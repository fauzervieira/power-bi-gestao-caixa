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08b01ba12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b840210720914793"/>
    <x:sheet xmlns:r="http://schemas.openxmlformats.org/officeDocument/2006/relationships" name="MODELO" sheetId="2" r:id="R1b7a29a6be954b05"/>
    <x:sheet xmlns:r="http://schemas.openxmlformats.org/officeDocument/2006/relationships" name="CHECKS" sheetId="3" r:id="Rde54976716304de6"/>
    <x:sheet xmlns:r="http://schemas.openxmlformats.org/officeDocument/2006/relationships" name="dCalendario" sheetId="4" r:id="Rf5d0fc6f30e34f70"/>
    <x:sheet xmlns:r="http://schemas.openxmlformats.org/officeDocument/2006/relationships" name="dEmpresas" sheetId="5" r:id="Rfbd7f6910498402e"/>
    <x:sheet xmlns:r="http://schemas.openxmlformats.org/officeDocument/2006/relationships" name="dUnidades" sheetId="6" r:id="R71903c6aa87c4ad1"/>
    <x:sheet xmlns:r="http://schemas.openxmlformats.org/officeDocument/2006/relationships" name="dClientes" sheetId="7" r:id="R84b08a3a5f3b4f29"/>
    <x:sheet xmlns:r="http://schemas.openxmlformats.org/officeDocument/2006/relationships" name="dFornecedores" sheetId="8" r:id="Re33fb1e9330443e2"/>
    <x:sheet xmlns:r="http://schemas.openxmlformats.org/officeDocument/2006/relationships" name="dCentrosCusto" sheetId="9" r:id="R009036b1a6594158"/>
    <x:sheet xmlns:r="http://schemas.openxmlformats.org/officeDocument/2006/relationships" name="dCategorias" sheetId="10" r:id="Ra67d16de147647af"/>
    <x:sheet xmlns:r="http://schemas.openxmlformats.org/officeDocument/2006/relationships" name="dContasBancarias" sheetId="11" r:id="R0ceaddea895245e4"/>
    <x:sheet xmlns:r="http://schemas.openxmlformats.org/officeDocument/2006/relationships" name="fContasPagar" sheetId="12" r:id="R0616380e22d44970"/>
    <x:sheet xmlns:r="http://schemas.openxmlformats.org/officeDocument/2006/relationships" name="fContasReceber" sheetId="13" r:id="R0bb82cd4e5274549"/>
    <x:sheet xmlns:r="http://schemas.openxmlformats.org/officeDocument/2006/relationships" name="fMovimentosCaixa" sheetId="14" r:id="Rd667946c61cb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R$ #,##0.00;[Red](R$ #,##0.00);-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72B4D"/>
      <x:name val="Carlito"/>
    </x:font>
    <x:font>
      <x:b/>
      <x:sz val="16"/>
      <x:color rgb="FFFFFFFF"/>
      <x:name val="Carlito"/>
    </x:font>
    <x:font>
      <x:b/>
      <x:sz val="11"/>
      <x:color rgb="FF092B63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92B63"/>
      </x:patternFill>
    </x:fill>
    <x:fill>
      <x:patternFill patternType="solid">
        <x:fgColor rgb="FFEAF4FF"/>
      </x:patternFill>
    </x:fill>
  </x:fills>
  <x:borders count="7">
    <x:border/>
    <x:border>
      <x:bottom style="thin">
        <x:color rgb="FFEDF2F7"/>
      </x:bottom>
    </x:border>
    <x:border>
      <x:top style="thin">
        <x:color rgb="FFEDF2F7"/>
      </x:top>
      <x:bottom style="thin">
        <x:color rgb="FFEDF2F7"/>
      </x:bottom>
    </x:border>
    <x:border>
      <x:top style="thin">
        <x:color rgb="FFEDF2F7"/>
      </x:top>
    </x:border>
    <x:border>
      <x:bottom style="thin">
        <x:color rgb="FFD8E5F2"/>
      </x:bottom>
    </x:border>
    <x:border>
      <x:top style="thin">
        <x:color rgb="FFD8E5F2"/>
      </x:top>
      <x:bottom style="thin">
        <x:color rgb="FFD8E5F2"/>
      </x:bottom>
    </x:border>
    <x:border>
      <x:top style="thin">
        <x:color rgb="FFD8E5F2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/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1" fillId="2" borderId="0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5" xfId="0" applyNumberFormat="1" applyFont="1" applyFill="1" applyBorder="1"/>
    <x:xf numFmtId="0" fontId="5" fillId="2" borderId="0" xfId="0" applyNumberFormat="1" applyFont="1" applyFill="1" applyBorder="1"/>
    <x:xf numFmtId="201" fontId="0" fillId="0" borderId="5" xfId="0" applyNumberFormat="1" applyFont="1" applyFill="1" applyBorder="1"/>
  </x:cellXfs>
  <x:cellStyles count="1">
    <x:cellStyle name="Normal" xfId="0"/>
  </x:cellStyles>
  <x:dxfs count="2">
    <x:dxf>
      <x:font>
        <x:b/>
        <x:color rgb="FF117A37"/>
      </x:font>
      <x:fill>
        <x:patternFill patternType="solid">
          <x:bgColor rgb="FFDFF5E6"/>
        </x:patternFill>
      </x:fill>
    </x:dxf>
    <x:dxf>
      <x:font>
        <x:b/>
        <x:color rgb="FFB42318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e17a1a48f4a01" /><Relationship Type="http://schemas.openxmlformats.org/officeDocument/2006/relationships/theme" Target="/xl/theme/theme1.xml" Id="Rc258faefa1254447" /><Relationship Type="http://schemas.microsoft.com/office/2022/11/relationships/FeaturePropertyBag" Target="/xl/featurePropertyBag/featurePropertyBag.xml" Id="R0efd7183a40c4e57" /><Relationship Type="http://schemas.openxmlformats.org/officeDocument/2006/relationships/sharedStrings" Target="/xl/sharedStrings.xml" Id="Ra5ba64573c4c41d0" /><Relationship Type="http://schemas.openxmlformats.org/officeDocument/2006/relationships/worksheet" Target="/xl/worksheets/sheet1.xml" Id="Rb840210720914793" /><Relationship Type="http://schemas.openxmlformats.org/officeDocument/2006/relationships/worksheet" Target="/xl/worksheets/sheet2.xml" Id="R1b7a29a6be954b05" /><Relationship Type="http://schemas.openxmlformats.org/officeDocument/2006/relationships/worksheet" Target="/xl/worksheets/sheet3.xml" Id="Rde54976716304de6" /><Relationship Type="http://schemas.openxmlformats.org/officeDocument/2006/relationships/worksheet" Target="/xl/worksheets/sheet4.xml" Id="Rf5d0fc6f30e34f70" /><Relationship Type="http://schemas.openxmlformats.org/officeDocument/2006/relationships/worksheet" Target="/xl/worksheets/sheet5.xml" Id="Rfbd7f6910498402e" /><Relationship Type="http://schemas.openxmlformats.org/officeDocument/2006/relationships/worksheet" Target="/xl/worksheets/sheet6.xml" Id="R71903c6aa87c4ad1" /><Relationship Type="http://schemas.openxmlformats.org/officeDocument/2006/relationships/worksheet" Target="/xl/worksheets/sheet7.xml" Id="R84b08a3a5f3b4f29" /><Relationship Type="http://schemas.openxmlformats.org/officeDocument/2006/relationships/worksheet" Target="/xl/worksheets/sheet8.xml" Id="Re33fb1e9330443e2" /><Relationship Type="http://schemas.openxmlformats.org/officeDocument/2006/relationships/worksheet" Target="/xl/worksheets/sheet9.xml" Id="R009036b1a6594158" /><Relationship Type="http://schemas.openxmlformats.org/officeDocument/2006/relationships/worksheet" Target="/xl/worksheets/sheet10.xml" Id="Ra67d16de147647af" /><Relationship Type="http://schemas.openxmlformats.org/officeDocument/2006/relationships/worksheet" Target="/xl/worksheets/sheet11.xml" Id="R0ceaddea895245e4" /><Relationship Type="http://schemas.openxmlformats.org/officeDocument/2006/relationships/worksheet" Target="/xl/worksheets/sheet12.xml" Id="R0616380e22d44970" /><Relationship Type="http://schemas.openxmlformats.org/officeDocument/2006/relationships/worksheet" Target="/xl/worksheets/sheet13.xml" Id="R0bb82cd4e5274549" /><Relationship Type="http://schemas.openxmlformats.org/officeDocument/2006/relationships/worksheet" Target="/xl/worksheets/sheet14.xml" Id="Rd667946c61cb479c" /><Relationship Type="http://schemas.microsoft.com/office/2017/10/relationships/person" Target="/xl/persons/person.xml" Id="R3ba119adcf9849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Fauze" id="{A55F1589-2FBC-4589-AB5F-A6FB0A7E15C9}"/>
</xltc:personList>
</file>

<file path=xl/tables/table1.xml><?xml version="1.0" encoding="utf-8"?>
<x:table xmlns:x="http://schemas.openxmlformats.org/spreadsheetml/2006/main" id="1" name="tb_dCalendario" displayName="tb_dCalendario" ref="A1:I822" headerRowCount="1" totalsRowCount="0" totalsRowShown="0">
  <x:autoFilter ref="A1:I822"/>
  <x:tableColumns count="9">
    <x:tableColumn id="1" name="Data"/>
    <x:tableColumn id="2" name="Ano"/>
    <x:tableColumn id="3" name="Trimestre"/>
    <x:tableColumn id="4" name="Mes_Numero"/>
    <x:tableColumn id="5" name="Mes_Nome"/>
    <x:tableColumn id="6" name="Ano_Mes"/>
    <x:tableColumn id="7" name="Dia"/>
    <x:tableColumn id="8" name="Dia_Semana"/>
    <x:tableColumn id="9" name="Dia_Ut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_dEmpresas" displayName="tb_dEmpresas" ref="A1:E4" headerRowCount="1" totalsRowCount="0" totalsRowShown="0">
  <x:autoFilter ref="A1:E4"/>
  <x:tableColumns count="5">
    <x:tableColumn id="1" name="ID_Empresa"/>
    <x:tableColumn id="2" name="Empresa"/>
    <x:tableColumn id="3" name="CNPJ"/>
    <x:tableColumn id="4" name="Regiao"/>
    <x:tableColumn id="5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_dUnidades" displayName="tb_dUnidades" ref="A1:E5" headerRowCount="1" totalsRowCount="0" totalsRowShown="0">
  <x:autoFilter ref="A1:E5"/>
  <x:tableColumns count="5">
    <x:tableColumn id="1" name="ID_Unidade"/>
    <x:tableColumn id="2" name="ID_Empresa"/>
    <x:tableColumn id="3" name="Unidade"/>
    <x:tableColumn id="4" name="Cidade"/>
    <x:tableColumn id="5" name="UF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_dClientes" displayName="tb_dClientes" ref="A1:G81" headerRowCount="1" totalsRowCount="0" totalsRowShown="0">
  <x:autoFilter ref="A1:G81"/>
  <x:tableColumns count="7">
    <x:tableColumn id="1" name="ID_Cliente"/>
    <x:tableColumn id="2" name="Cliente"/>
    <x:tableColumn id="3" name="Segmento"/>
    <x:tableColumn id="4" name="Porte"/>
    <x:tableColumn id="5" name="Risco_Credito"/>
    <x:tableColumn id="6" name="UF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_dFornecedores" displayName="tb_dFornecedores" ref="A1:E61" headerRowCount="1" totalsRowCount="0" totalsRowShown="0">
  <x:autoFilter ref="A1:E61"/>
  <x:tableColumns count="5">
    <x:tableColumn id="1" name="ID_Fornecedor"/>
    <x:tableColumn id="2" name="Fornecedor"/>
    <x:tableColumn id="3" name="Especialidade"/>
    <x:tableColumn id="4" name="UF"/>
    <x:tableColumn id="5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_dCentrosCusto" displayName="tb_dCentrosCusto" ref="A1:C9" headerRowCount="1" totalsRowCount="0" totalsRowShown="0">
  <x:autoFilter ref="A1:C9"/>
  <x:tableColumns count="3">
    <x:tableColumn id="1" name="ID_Centro_Custo"/>
    <x:tableColumn id="2" name="Centro_Custo"/>
    <x:tableColumn id="3" name="Grup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_dCategorias" displayName="tb_dCategorias" ref="A1:D19" headerRowCount="1" totalsRowCount="0" totalsRowShown="0">
  <x:autoFilter ref="A1:D19"/>
  <x:tableColumns count="4">
    <x:tableColumn id="1" name="ID_Categoria"/>
    <x:tableColumn id="2" name="Categoria"/>
    <x:tableColumn id="3" name="Natureza"/>
    <x:tableColumn id="4" name="Grupo_Flux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_dContasBancarias" displayName="tb_dContasBancarias" ref="A1:G7" headerRowCount="1" totalsRowCount="0" totalsRowShown="0">
  <x:autoFilter ref="A1:G7"/>
  <x:tableColumns count="7">
    <x:tableColumn id="1" name="ID_Conta_Bancaria"/>
    <x:tableColumn id="2" name="ID_Empresa"/>
    <x:tableColumn id="3" name="Banco"/>
    <x:tableColumn id="4" name="Tipo_Conta"/>
    <x:tableColumn id="5" name="Agencia"/>
    <x:tableColumn id="6" name="Conta"/>
    <x:tableColumn id="7" name="Saldo_Inicia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_fContasPagar" displayName="tb_fContasPagar" ref="A1:V901" headerRowCount="1" totalsRowCount="0" totalsRowShown="0">
  <x:autoFilter ref="A1:V901"/>
  <x:tableColumns count="22">
    <x:tableColumn id="1" name="ID_Titulo_Pagar"/>
    <x:tableColumn id="2" name="ID_Empresa"/>
    <x:tableColumn id="3" name="ID_Fornecedor"/>
    <x:tableColumn id="4" name="ID_Centro_Custo"/>
    <x:tableColumn id="5" name="ID_Categoria"/>
    <x:tableColumn id="6" name="ID_Conta_Bancaria"/>
    <x:tableColumn id="7" name="Documento"/>
    <x:tableColumn id="8" name="Descricao"/>
    <x:tableColumn id="9" name="Data_Emissao"/>
    <x:tableColumn id="10" name="Data_Vencimento"/>
    <x:tableColumn id="11" name="Data_Pagamento"/>
    <x:tableColumn id="12" name="Valor_Original"/>
    <x:tableColumn id="13" name="Juros_Multa"/>
    <x:tableColumn id="14" name="Desconto"/>
    <x:tableColumn id="15" name="Valor_Pago"/>
    <x:tableColumn id="16" name="Saldo_Aberto"/>
    <x:tableColumn id="17" name="Status"/>
    <x:tableColumn id="18" name="Forma_Pagamento"/>
    <x:tableColumn id="19" name="Competencia"/>
    <x:tableColumn id="20" name="Dias_Atraso"/>
    <x:tableColumn id="21" name="Faixa_Aging"/>
    <x:tableColumn id="22" name="ID_Unidad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_fContasReceber" displayName="tb_fContasReceber" ref="A1:X1101" headerRowCount="1" totalsRowCount="0" totalsRowShown="0">
  <x:autoFilter ref="A1:X1101"/>
  <x:tableColumns count="24">
    <x:tableColumn id="1" name="ID_Titulo_Receber"/>
    <x:tableColumn id="2" name="ID_Empresa"/>
    <x:tableColumn id="3" name="ID_Cliente"/>
    <x:tableColumn id="4" name="ID_Centro_Custo"/>
    <x:tableColumn id="5" name="ID_Categoria"/>
    <x:tableColumn id="6" name="ID_Conta_Bancaria"/>
    <x:tableColumn id="7" name="Documento"/>
    <x:tableColumn id="8" name="Descricao"/>
    <x:tableColumn id="9" name="Data_Emissao"/>
    <x:tableColumn id="10" name="Data_Vencimento"/>
    <x:tableColumn id="11" name="Data_Recebimento"/>
    <x:tableColumn id="12" name="Valor_Original"/>
    <x:tableColumn id="13" name="Juros_Multa"/>
    <x:tableColumn id="14" name="Desconto"/>
    <x:tableColumn id="15" name="Valor_Recebido"/>
    <x:tableColumn id="16" name="Saldo_Aberto"/>
    <x:tableColumn id="17" name="Status"/>
    <x:tableColumn id="18" name="Forma_Recebimento"/>
    <x:tableColumn id="19" name="Competencia"/>
    <x:tableColumn id="20" name="Dias_Atraso"/>
    <x:tableColumn id="21" name="Faixa_Aging"/>
    <x:tableColumn id="22" name="Risco_Credito"/>
    <x:tableColumn id="23" name="Segmento"/>
    <x:tableColumn id="24" name="ID_Unida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_fMovimentosCaixa" displayName="tb_fMovimentosCaixa" ref="A1:L1660" headerRowCount="1" totalsRowCount="0" totalsRowShown="0">
  <x:autoFilter ref="A1:L1660"/>
  <x:tableColumns count="12">
    <x:tableColumn id="1" name="ID_Movimento"/>
    <x:tableColumn id="2" name="Data_Movimento"/>
    <x:tableColumn id="3" name="ID_Empresa"/>
    <x:tableColumn id="4" name="ID_Conta_Bancaria"/>
    <x:tableColumn id="5" name="Tipo_Movimento"/>
    <x:tableColumn id="6" name="ID_Categoria"/>
    <x:tableColumn id="7" name="Descricao"/>
    <x:tableColumn id="8" name="ID_Titulo_Origem"/>
    <x:tableColumn id="9" name="Valor"/>
    <x:tableColumn id="10" name="Valor_Assinado"/>
    <x:tableColumn id="11" name="Status"/>
    <x:tableColumn id="12" name="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39844b68eb247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cba6d80dc9b47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d28dcd7e131f4b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e74ab0d66a34d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678c8fcda3346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e8ee8ffdd64c4c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e548c67e90a240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ca714e50344421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72eb63500d6943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b48eeb465145b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b5304bd5688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62999725341797" hidden="0" customWidth="1"/>
    <x:col min="2" max="2" width="52.5" hidden="0" customWidth="1"/>
    <x:col min="3" max="3" width="14.75" hidden="0" customWidth="1"/>
    <x:col min="4" max="4" width="24.75" hidden="0" customWidth="1"/>
    <x:col min="5" max="5" width="11.130000114440918" hidden="0" customWidth="1"/>
    <x:col min="6" max="6" width="6.380000114440918" hidden="0" customWidth="1"/>
    <x:col min="7" max="7" width="26.25" hidden="0" customWidth="1"/>
    <x:col min="8" max="8" width="27.5" hidden="0" customWidth="1"/>
  </x:cols>
  <x:sheetData>
    <x:row r="1" ht="36" customHeight="1">
      <x:c r="A1" s="23" t="str">
        <x:v>BASE DE DADOS — CONTAS A PAGAR, RECEBER E GESTÃO DE CAIXA</x:v>
      </x:c>
      <x:c r="B1" s="23"/>
      <x:c r="C1" s="23"/>
      <x:c r="D1" s="23"/>
      <x:c r="E1" s="23"/>
      <x:c r="F1" s="23"/>
      <x:c r="G1" s="23"/>
      <x:c r="H1" s="23"/>
    </x:row>
    <x:row r="3">
      <x:c r="A3" s="25" t="str">
        <x:v>Item</x:v>
      </x:c>
      <x:c r="B3" s="25" t="str">
        <x:v>Descrição</x:v>
      </x:c>
    </x:row>
    <x:row r="4">
      <x:c r="A4" s="26" t="str">
        <x:v>Finalidade</x:v>
      </x:c>
      <x:c r="B4" s="26" t="str">
        <x:v>Base sintética para construção do relatório no Power BI</x:v>
      </x:c>
    </x:row>
    <x:row r="5">
      <x:c r="A5" s="27" t="str">
        <x:v>Período</x:v>
      </x:c>
      <x:c r="B5" s="27" t="str">
        <x:v>2024-01-01 a 2025-12-31, com calendário até 2026-03-31</x:v>
      </x:c>
    </x:row>
    <x:row r="6">
      <x:c r="A6" s="27" t="str">
        <x:v>Data-base</x:v>
      </x:c>
      <x:c r="B6" s="29" t="n">
        <x:v>46022</x:v>
      </x:c>
    </x:row>
    <x:row r="7">
      <x:c r="A7" s="27" t="str">
        <x:v>Empresas</x:v>
      </x:c>
      <x:c r="B7" s="27" t="n">
        <x:v>3</x:v>
      </x:c>
    </x:row>
    <x:row r="8">
      <x:c r="A8" s="27" t="str">
        <x:v>Clientes</x:v>
      </x:c>
      <x:c r="B8" s="27" t="n">
        <x:v>80</x:v>
      </x:c>
    </x:row>
    <x:row r="9">
      <x:c r="A9" s="27" t="str">
        <x:v>Fornecedores</x:v>
      </x:c>
      <x:c r="B9" s="27" t="n">
        <x:v>60</x:v>
      </x:c>
    </x:row>
    <x:row r="10">
      <x:c r="A10" s="27" t="str">
        <x:v>Títulos a pagar</x:v>
      </x:c>
      <x:c r="B10" s="27" t="n">
        <x:v>900</x:v>
      </x:c>
    </x:row>
    <x:row r="11">
      <x:c r="A11" s="28" t="str">
        <x:v>Títulos a receber</x:v>
      </x:c>
      <x:c r="B11" s="28" t="n">
        <x:v>1100</x:v>
      </x:c>
    </x:row>
    <x:row r="13">
      <x:c r="A13" s="3" t="str">
        <x:v>Ordem sugerida no Power BI</x:v>
      </x:c>
      <x:c r="B13" s="3" t="str">
        <x:v>Tabela</x:v>
      </x:c>
      <x:c r="C13" s="3" t="str">
        <x:v>Chave</x:v>
      </x:c>
      <x:c r="D13" s="3" t="str">
        <x:v>Relacionar com</x:v>
      </x:c>
      <x:c r="E13" s="3" t="str">
        <x:v>Cardinalidade</x:v>
      </x:c>
      <x:c r="F13" s="3" t="str">
        <x:v>Direção</x:v>
      </x:c>
      <x:c r="G13" s="3" t="str">
        <x:v>Observação</x:v>
      </x:c>
      <x:c r="H13" s="3" t="str">
        <x:v>Uso</x:v>
      </x:c>
    </x:row>
    <x:row r="14">
      <x:c r="A14" s="26" t="n">
        <x:v>1</x:v>
      </x:c>
      <x:c r="B14" s="26" t="str">
        <x:v>dCalendario</x:v>
      </x:c>
      <x:c r="C14" s="26" t="str">
        <x:v>Data</x:v>
      </x:c>
      <x:c r="D14" s="26" t="str">
        <x:v>Datas das tabelas fato</x:v>
      </x:c>
      <x:c r="E14" s="26" t="str">
        <x:v>1:*</x:v>
      </x:c>
      <x:c r="F14" s="26" t="str">
        <x:v>Única</x:v>
      </x:c>
      <x:c r="G14" s="26" t="str">
        <x:v>Marque como tabela de datas</x:v>
      </x:c>
      <x:c r="H14" s="26" t="str">
        <x:v>Filtros e séries temporais</x:v>
      </x:c>
    </x:row>
    <x:row r="15">
      <x:c r="A15" s="27" t="n">
        <x:v>2</x:v>
      </x:c>
      <x:c r="B15" s="27" t="str">
        <x:v>dEmpresas</x:v>
      </x:c>
      <x:c r="C15" s="27" t="str">
        <x:v>ID_Empresa</x:v>
      </x:c>
      <x:c r="D15" s="27" t="str">
        <x:v>Todas as tabelas fato/dimensões</x:v>
      </x:c>
      <x:c r="E15" s="27" t="str">
        <x:v>1:*</x:v>
      </x:c>
      <x:c r="F15" s="27" t="str">
        <x:v>Única</x:v>
      </x:c>
      <x:c r="G15" s="27" t="str">
        <x:v>Dimensão corporativa</x:v>
      </x:c>
      <x:c r="H15" s="27" t="str">
        <x:v>Filtro Empresa</x:v>
      </x:c>
    </x:row>
    <x:row r="16">
      <x:c r="A16" s="27" t="n">
        <x:v>3</x:v>
      </x:c>
      <x:c r="B16" s="27" t="str">
        <x:v>dClientes</x:v>
      </x:c>
      <x:c r="C16" s="27" t="str">
        <x:v>ID_Cliente</x:v>
      </x:c>
      <x:c r="D16" s="27" t="str">
        <x:v>fContasReceber</x:v>
      </x:c>
      <x:c r="E16" s="27" t="str">
        <x:v>1:*</x:v>
      </x:c>
      <x:c r="F16" s="27" t="str">
        <x:v>Única</x:v>
      </x:c>
      <x:c r="G16" s="27" t="str">
        <x:v>Clientes e risco</x:v>
      </x:c>
      <x:c r="H16" s="27" t="str">
        <x:v>Recebimentos/Inadimplência</x:v>
      </x:c>
    </x:row>
    <x:row r="17">
      <x:c r="A17" s="27" t="n">
        <x:v>4</x:v>
      </x:c>
      <x:c r="B17" s="27" t="str">
        <x:v>dFornecedores</x:v>
      </x:c>
      <x:c r="C17" s="27" t="str">
        <x:v>ID_Fornecedor</x:v>
      </x:c>
      <x:c r="D17" s="27" t="str">
        <x:v>fContasPagar</x:v>
      </x:c>
      <x:c r="E17" s="27" t="str">
        <x:v>1:*</x:v>
      </x:c>
      <x:c r="F17" s="27" t="str">
        <x:v>Única</x:v>
      </x:c>
      <x:c r="G17" s="27" t="str">
        <x:v>Fornecedores</x:v>
      </x:c>
      <x:c r="H17" s="27" t="str">
        <x:v>Pagamentos</x:v>
      </x:c>
    </x:row>
    <x:row r="18">
      <x:c r="A18" s="27" t="n">
        <x:v>5</x:v>
      </x:c>
      <x:c r="B18" s="27" t="str">
        <x:v>dCentrosCusto</x:v>
      </x:c>
      <x:c r="C18" s="27" t="str">
        <x:v>ID_Centro_Custo</x:v>
      </x:c>
      <x:c r="D18" s="27" t="str">
        <x:v>Fatos financeiros</x:v>
      </x:c>
      <x:c r="E18" s="27" t="str">
        <x:v>1:*</x:v>
      </x:c>
      <x:c r="F18" s="27" t="str">
        <x:v>Única</x:v>
      </x:c>
      <x:c r="G18" s="27" t="str">
        <x:v>Centro de custo</x:v>
      </x:c>
      <x:c r="H18" s="27" t="str">
        <x:v>Análises gerenciais</x:v>
      </x:c>
    </x:row>
    <x:row r="19">
      <x:c r="A19" s="27" t="n">
        <x:v>6</x:v>
      </x:c>
      <x:c r="B19" s="27" t="str">
        <x:v>dCategorias</x:v>
      </x:c>
      <x:c r="C19" s="27" t="str">
        <x:v>ID_Categoria</x:v>
      </x:c>
      <x:c r="D19" s="27" t="str">
        <x:v>Fatos financeiros</x:v>
      </x:c>
      <x:c r="E19" s="27" t="str">
        <x:v>1:*</x:v>
      </x:c>
      <x:c r="F19" s="27" t="str">
        <x:v>Única</x:v>
      </x:c>
      <x:c r="G19" s="27" t="str">
        <x:v>Categorias do fluxo</x:v>
      </x:c>
      <x:c r="H19" s="27" t="str">
        <x:v>Composição e waterfall</x:v>
      </x:c>
    </x:row>
    <x:row r="20">
      <x:c r="A20" s="28" t="n">
        <x:v>7</x:v>
      </x:c>
      <x:c r="B20" s="28" t="str">
        <x:v>dContasBancarias</x:v>
      </x:c>
      <x:c r="C20" s="28" t="str">
        <x:v>ID_Conta_Bancaria</x:v>
      </x:c>
      <x:c r="D20" s="28" t="str">
        <x:v>Fatos financeiros</x:v>
      </x:c>
      <x:c r="E20" s="28" t="str">
        <x:v>1:*</x:v>
      </x:c>
      <x:c r="F20" s="28" t="str">
        <x:v>Única</x:v>
      </x:c>
      <x:c r="G20" s="28" t="str">
        <x:v>Conta bancária</x:v>
      </x:c>
      <x:c r="H20" s="28" t="str">
        <x:v>Saldo e fluxo de caixa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75" hidden="0" customWidth="1"/>
    <x:col min="2" max="2" width="8" hidden="0" customWidth="1"/>
    <x:col min="3" max="3" width="14.75" hidden="0" customWidth="1"/>
    <x:col min="4" max="4" width="14.380000114440918" hidden="0" customWidth="1"/>
    <x:col min="5" max="5" width="14.75" hidden="0" customWidth="1"/>
    <x:col min="6" max="6" width="13.880000114440918" hidden="0" customWidth="1"/>
    <x:col min="7" max="7" width="32.5" hidden="0" customWidth="1"/>
  </x:cols>
  <x:sheetData>
    <x:row r="1" ht="34" customHeight="1">
      <x:c r="A1" s="30" t="str">
        <x:v>MODELO ESTRELA RECOMENDADO</x:v>
      </x:c>
      <x:c r="B1" s="30"/>
      <x:c r="C1" s="30"/>
      <x:c r="D1" s="30"/>
      <x:c r="E1" s="30"/>
      <x:c r="F1" s="30"/>
      <x:c r="G1" s="30"/>
    </x:row>
    <x:row r="3">
      <x:c r="A3" s="3" t="str">
        <x:v>Tabela</x:v>
      </x:c>
      <x:c r="B3" s="3" t="str">
        <x:v>Tipo</x:v>
      </x:c>
      <x:c r="C3" s="3" t="str">
        <x:v>Chave primária</x:v>
      </x:c>
      <x:c r="D3" s="3" t="str">
        <x:v>Fato relacionado</x:v>
      </x:c>
      <x:c r="E3" s="3" t="str">
        <x:v>Chave estrangeira</x:v>
      </x:c>
      <x:c r="F3" s="3" t="str">
        <x:v>Data principal</x:v>
      </x:c>
      <x:c r="G3" s="3" t="str">
        <x:v>Finalidade</x:v>
      </x:c>
    </x:row>
    <x:row r="4">
      <x:c r="A4" s="26" t="str">
        <x:v>dCalendario</x:v>
      </x:c>
      <x:c r="B4" s="26" t="str">
        <x:v>Dimensão</x:v>
      </x:c>
      <x:c r="C4" s="26" t="str">
        <x:v>Data</x:v>
      </x:c>
      <x:c r="D4" s="26" t="str">
        <x:v>fContasPagar</x:v>
      </x:c>
      <x:c r="E4" s="26" t="str">
        <x:v>Data_Vencimento</x:v>
      </x:c>
      <x:c r="F4" s="26" t="str">
        <x:v>Data</x:v>
      </x:c>
      <x:c r="G4" s="26" t="str">
        <x:v>Análise de vencimentos</x:v>
      </x:c>
    </x:row>
    <x:row r="5">
      <x:c r="A5" s="27" t="str">
        <x:v>dCalendario</x:v>
      </x:c>
      <x:c r="B5" s="27" t="str">
        <x:v>Dimensão</x:v>
      </x:c>
      <x:c r="C5" s="27" t="str">
        <x:v>Data</x:v>
      </x:c>
      <x:c r="D5" s="27" t="str">
        <x:v>fContasReceber</x:v>
      </x:c>
      <x:c r="E5" s="27" t="str">
        <x:v>Data_Vencimento</x:v>
      </x:c>
      <x:c r="F5" s="27" t="str">
        <x:v>Data</x:v>
      </x:c>
      <x:c r="G5" s="27" t="str">
        <x:v>Análise de recebíveis</x:v>
      </x:c>
    </x:row>
    <x:row r="6">
      <x:c r="A6" s="27" t="str">
        <x:v>dCalendario</x:v>
      </x:c>
      <x:c r="B6" s="27" t="str">
        <x:v>Dimensão</x:v>
      </x:c>
      <x:c r="C6" s="27" t="str">
        <x:v>Data</x:v>
      </x:c>
      <x:c r="D6" s="27" t="str">
        <x:v>fMovimentosCaixa</x:v>
      </x:c>
      <x:c r="E6" s="27" t="str">
        <x:v>Data_Movimento</x:v>
      </x:c>
      <x:c r="F6" s="27" t="str">
        <x:v>Data</x:v>
      </x:c>
      <x:c r="G6" s="27" t="str">
        <x:v>Fluxo realizado</x:v>
      </x:c>
    </x:row>
    <x:row r="7">
      <x:c r="A7" s="27" t="str">
        <x:v>dEmpresas</x:v>
      </x:c>
      <x:c r="B7" s="27" t="str">
        <x:v>Dimensão</x:v>
      </x:c>
      <x:c r="C7" s="27" t="str">
        <x:v>ID_Empresa</x:v>
      </x:c>
      <x:c r="D7" s="27" t="str">
        <x:v>Todas as fatos</x:v>
      </x:c>
      <x:c r="E7" s="27" t="str">
        <x:v>ID_Empresa</x:v>
      </x:c>
      <x:c r="F7" s="27" t="str"/>
      <x:c r="G7" s="27" t="str">
        <x:v>Filtro corporativo</x:v>
      </x:c>
    </x:row>
    <x:row r="8">
      <x:c r="A8" s="27" t="str">
        <x:v>dClientes</x:v>
      </x:c>
      <x:c r="B8" s="27" t="str">
        <x:v>Dimensão</x:v>
      </x:c>
      <x:c r="C8" s="27" t="str">
        <x:v>ID_Cliente</x:v>
      </x:c>
      <x:c r="D8" s="27" t="str">
        <x:v>fContasReceber</x:v>
      </x:c>
      <x:c r="E8" s="27" t="str">
        <x:v>ID_Cliente</x:v>
      </x:c>
      <x:c r="F8" s="27" t="str"/>
      <x:c r="G8" s="27" t="str">
        <x:v>Cliente, segmento e risco</x:v>
      </x:c>
    </x:row>
    <x:row r="9">
      <x:c r="A9" s="27" t="str">
        <x:v>dFornecedores</x:v>
      </x:c>
      <x:c r="B9" s="27" t="str">
        <x:v>Dimensão</x:v>
      </x:c>
      <x:c r="C9" s="27" t="str">
        <x:v>ID_Fornecedor</x:v>
      </x:c>
      <x:c r="D9" s="27" t="str">
        <x:v>fContasPagar</x:v>
      </x:c>
      <x:c r="E9" s="27" t="str">
        <x:v>ID_Fornecedor</x:v>
      </x:c>
      <x:c r="F9" s="27" t="str"/>
      <x:c r="G9" s="27" t="str">
        <x:v>Fornecedor e especialidade</x:v>
      </x:c>
    </x:row>
    <x:row r="10">
      <x:c r="A10" s="27" t="str">
        <x:v>dCentrosCusto</x:v>
      </x:c>
      <x:c r="B10" s="27" t="str">
        <x:v>Dimensão</x:v>
      </x:c>
      <x:c r="C10" s="27" t="str">
        <x:v>ID_Centro_Custo</x:v>
      </x:c>
      <x:c r="D10" s="27" t="str">
        <x:v>Pagar/Receber</x:v>
      </x:c>
      <x:c r="E10" s="27" t="str">
        <x:v>ID_Centro_Custo</x:v>
      </x:c>
      <x:c r="F10" s="27" t="str"/>
      <x:c r="G10" s="27" t="str">
        <x:v>Gestão por centro de custo</x:v>
      </x:c>
    </x:row>
    <x:row r="11">
      <x:c r="A11" s="27" t="str">
        <x:v>dCategorias</x:v>
      </x:c>
      <x:c r="B11" s="27" t="str">
        <x:v>Dimensão</x:v>
      </x:c>
      <x:c r="C11" s="27" t="str">
        <x:v>ID_Categoria</x:v>
      </x:c>
      <x:c r="D11" s="27" t="str">
        <x:v>Todas as fatos</x:v>
      </x:c>
      <x:c r="E11" s="27" t="str">
        <x:v>ID_Categoria</x:v>
      </x:c>
      <x:c r="F11" s="27" t="str"/>
      <x:c r="G11" s="27" t="str">
        <x:v>Natureza e grupo do fluxo</x:v>
      </x:c>
    </x:row>
    <x:row r="12">
      <x:c r="A12" s="27" t="str">
        <x:v>dContasBancarias</x:v>
      </x:c>
      <x:c r="B12" s="27" t="str">
        <x:v>Dimensão</x:v>
      </x:c>
      <x:c r="C12" s="27" t="str">
        <x:v>ID_Conta_Bancaria</x:v>
      </x:c>
      <x:c r="D12" s="27" t="str">
        <x:v>Todas as fatos</x:v>
      </x:c>
      <x:c r="E12" s="27" t="str">
        <x:v>ID_Conta_Bancaria</x:v>
      </x:c>
      <x:c r="F12" s="27" t="str"/>
      <x:c r="G12" s="27" t="str">
        <x:v>Saldo e conciliação</x:v>
      </x:c>
    </x:row>
    <x:row r="13">
      <x:c r="A13" s="27" t="str">
        <x:v>dUnidades</x:v>
      </x:c>
      <x:c r="B13" s="27" t="str">
        <x:v>Dimensão</x:v>
      </x:c>
      <x:c r="C13" s="27" t="str">
        <x:v>ID_Unidade</x:v>
      </x:c>
      <x:c r="D13" s="27" t="str">
        <x:v>Pagar/Receber</x:v>
      </x:c>
      <x:c r="E13" s="27" t="str">
        <x:v>ID_Unidade</x:v>
      </x:c>
      <x:c r="F13" s="27" t="str"/>
      <x:c r="G13" s="27" t="str">
        <x:v>Análise por unidade</x:v>
      </x:c>
    </x:row>
    <x:row r="14">
      <x:c r="A14" s="27" t="str">
        <x:v>fContasPagar</x:v>
      </x:c>
      <x:c r="B14" s="27" t="str">
        <x:v>Fato</x:v>
      </x:c>
      <x:c r="C14" s="27" t="str">
        <x:v>ID_Titulo_Pagar</x:v>
      </x:c>
      <x:c r="D14" s="27" t="str"/>
      <x:c r="E14" s="27" t="str"/>
      <x:c r="F14" s="27" t="str">
        <x:v>Data_Vencimento</x:v>
      </x:c>
      <x:c r="G14" s="27" t="str">
        <x:v>Compromissos, aging e pagamentos</x:v>
      </x:c>
    </x:row>
    <x:row r="15">
      <x:c r="A15" s="28" t="str">
        <x:v>fContasReceber</x:v>
      </x:c>
      <x:c r="B15" s="28" t="str">
        <x:v>Fato</x:v>
      </x:c>
      <x:c r="C15" s="28" t="str">
        <x:v>ID_Titulo_Receber</x:v>
      </x:c>
      <x:c r="D15" s="28" t="str"/>
      <x:c r="E15" s="28" t="str"/>
      <x:c r="F15" s="28" t="str">
        <x:v>Data_Vencimento</x:v>
      </x:c>
      <x:c r="G15" s="28" t="str">
        <x:v>Recebíveis, aging e inadimplência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15.630000114440918" hidden="0" customWidth="1"/>
    <x:col min="3" max="3" width="18.8799991607666" hidden="0" customWidth="1"/>
    <x:col min="4" max="4" width="5.25" hidden="0" customWidth="1"/>
  </x:cols>
  <x:sheetData>
    <x:row r="1" ht="34" customHeight="1">
      <x:c r="A1" s="30" t="str">
        <x:v>CONTROLES DE QUALIDADE DA BASE</x:v>
      </x:c>
      <x:c r="B1" s="30"/>
      <x:c r="C1" s="30"/>
      <x:c r="D1" s="30"/>
    </x:row>
    <x:row r="3">
      <x:c r="A3" s="3" t="str">
        <x:v>Check</x:v>
      </x:c>
      <x:c r="B3" s="3" t="str">
        <x:v>Resultado esperado</x:v>
      </x:c>
      <x:c r="C3" s="3" t="str">
        <x:v>Resultado</x:v>
      </x:c>
      <x:c r="D3" s="3" t="str">
        <x:v>Status</x:v>
      </x:c>
    </x:row>
    <x:row r="4">
      <x:c r="A4" s="26" t="str">
        <x:v>Quantidade de títulos a pagar</x:v>
      </x:c>
      <x:c r="B4" s="26" t="n">
        <x:v>900</x:v>
      </x:c>
      <x:c r="C4" s="26" t="n">
        <x:f>COUNTA('fContasPagar'!A2:A901)</x:f>
        <x:v>900</x:v>
      </x:c>
      <x:c r="D4" s="26" t="str">
        <x:f>IF(ABS(C4-B4)&lt;0.01,"PASS","FAIL")</x:f>
        <x:v>PASS</x:v>
      </x:c>
    </x:row>
    <x:row r="5">
      <x:c r="A5" s="27" t="str">
        <x:v>Quantidade de títulos a receber</x:v>
      </x:c>
      <x:c r="B5" s="27" t="n">
        <x:v>1100</x:v>
      </x:c>
      <x:c r="C5" s="27" t="n">
        <x:f>COUNTA('fContasReceber'!A2:A1101)</x:f>
        <x:v>1100</x:v>
      </x:c>
      <x:c r="D5" s="27" t="str">
        <x:f>IF(ABS(C5-B5)&lt;0.01,"PASS","FAIL")</x:f>
        <x:v>PASS</x:v>
      </x:c>
    </x:row>
    <x:row r="6">
      <x:c r="A6" s="27" t="str">
        <x:v>Movimentos de caixa</x:v>
      </x:c>
      <x:c r="B6" s="27" t="n">
        <x:v>1659</x:v>
      </x:c>
      <x:c r="C6" s="27" t="n">
        <x:f>COUNTA('fMovimentosCaixa'!A2:A1660)</x:f>
        <x:v>1659</x:v>
      </x:c>
      <x:c r="D6" s="27" t="str">
        <x:f>IF(ABS(C6-B6)&lt;0.01,"PASS","FAIL")</x:f>
        <x:v>PASS</x:v>
      </x:c>
    </x:row>
    <x:row r="7">
      <x:c r="A7" s="27" t="str">
        <x:v>Valor pago x saídas de caixa</x:v>
      </x:c>
      <x:c r="B7" s="31" t="n">
        <x:v>0</x:v>
      </x:c>
      <x:c r="C7" s="31" t="n">
        <x:f>SUM('fContasPagar'!O2:O901)+SUMIFS('fMovimentosCaixa'!J2:J1660,'fMovimentosCaixa'!L2:L1660,"Contas a Pagar")</x:f>
        <x:v>-7.450580596923828e-9</x:v>
      </x:c>
      <x:c r="D7" s="27" t="str">
        <x:f>IF(ABS(C7-B7)&lt;0.01,"PASS","FAIL")</x:f>
        <x:v>PASS</x:v>
      </x:c>
    </x:row>
    <x:row r="8">
      <x:c r="A8" s="27" t="str">
        <x:v>Valor recebido x entradas sem saldo inicial</x:v>
      </x:c>
      <x:c r="B8" s="31" t="n">
        <x:v>0</x:v>
      </x:c>
      <x:c r="C8" s="31" t="n">
        <x:f>SUM('fContasReceber'!O2:O1101)-SUMIFS('fMovimentosCaixa'!J2:J1660,'fMovimentosCaixa'!L2:L1660,"Contas a Receber")</x:f>
        <x:v>7.450580596923828e-9</x:v>
      </x:c>
      <x:c r="D8" s="27" t="str">
        <x:f>IF(ABS(C8-B8)&lt;0.01,"PASS","FAIL")</x:f>
        <x:v>PASS</x:v>
      </x:c>
    </x:row>
    <x:row r="9">
      <x:c r="A9" s="27" t="str">
        <x:v>Saldo aberto negativo em contas a pagar</x:v>
      </x:c>
      <x:c r="B9" s="27" t="n">
        <x:v>0</x:v>
      </x:c>
      <x:c r="C9" s="27" t="n">
        <x:f>COUNTIF('fContasPagar'!P2:P901,"&lt;0")</x:f>
        <x:v>0</x:v>
      </x:c>
      <x:c r="D9" s="27" t="str">
        <x:f>IF(ABS(C9-B9)&lt;0.01,"PASS","FAIL")</x:f>
        <x:v>PASS</x:v>
      </x:c>
    </x:row>
    <x:row r="10">
      <x:c r="A10" s="28" t="str">
        <x:v>Saldo aberto negativo em contas a receber</x:v>
      </x:c>
      <x:c r="B10" s="28" t="n">
        <x:v>0</x:v>
      </x:c>
      <x:c r="C10" s="28" t="n">
        <x:f>COUNTIF('fContasReceber'!P2:P1101,"&lt;0")</x:f>
        <x:v>0</x:v>
      </x:c>
      <x:c r="D10" s="28" t="str">
        <x:f>IF(ABS(C10-B10)&lt;0.01,"PASS","FAIL")</x:f>
        <x:v>PASS</x:v>
      </x:c>
    </x:row>
  </x:sheetData>
  <x:mergeCells>
    <x:mergeCell ref="A1:D1"/>
  </x:mergeCells>
  <x:conditionalFormatting sqref="D4:D10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1.75" hidden="0" customWidth="1"/>
    <x:col min="4" max="4" width="12.75" hidden="0" customWidth="1"/>
    <x:col min="5" max="5" width="10.75" hidden="0" customWidth="1"/>
    <x:col min="6" max="6" width="10" hidden="0" customWidth="1"/>
    <x:col min="7" max="7" width="10" hidden="0" customWidth="1"/>
    <x:col min="8" max="8" width="12.75" hidden="0" customWidth="1"/>
    <x:col min="9" max="9" width="10.75" hidden="0" customWidth="1"/>
  </x:cols>
  <x:sheetData>
    <x:row r="1" ht="28" customHeight="1">
      <x:c r="A1" s="14" t="str">
        <x:v>Data</x:v>
      </x:c>
      <x:c r="B1" s="5" t="str">
        <x:v>Ano</x:v>
      </x:c>
      <x:c r="C1" s="5" t="str">
        <x:v>Trimestre</x:v>
      </x:c>
      <x:c r="D1" s="5" t="str">
        <x:v>Mes_Numero</x:v>
      </x:c>
      <x:c r="E1" s="5" t="str">
        <x:v>Mes_Nome</x:v>
      </x:c>
      <x:c r="F1" s="5" t="str">
        <x:v>Ano_Mes</x:v>
      </x:c>
      <x:c r="G1" s="5" t="str">
        <x:v>Dia</x:v>
      </x:c>
      <x:c r="H1" s="5" t="str">
        <x:v>Dia_Semana</x:v>
      </x:c>
      <x:c r="I1" s="5" t="str">
        <x:v>Dia_Util</x:v>
      </x:c>
    </x:row>
    <x:row r="2" ht="18" customHeight="1">
      <x:c r="A2" s="15" t="n">
        <x:v>45292</x:v>
      </x:c>
      <x:c r="B2" s="8" t="n">
        <x:v>2024</x:v>
      </x:c>
      <x:c r="C2" s="8" t="n">
        <x:v>1</x:v>
      </x:c>
      <x:c r="D2" s="8" t="n">
        <x:v>1</x:v>
      </x:c>
      <x:c r="E2" s="8" t="str">
        <x:v>Janeiro</x:v>
      </x:c>
      <x:c r="F2" s="8" t="str">
        <x:v>2024-01</x:v>
      </x:c>
      <x:c r="G2" s="8" t="n">
        <x:v>1</x:v>
      </x:c>
      <x:c r="H2" s="8" t="str">
        <x:v>Segunda-feira</x:v>
      </x:c>
      <x:c r="I2" s="9" t="b">
        <x:v>1</x:v>
      </x:c>
    </x:row>
    <x:row r="3" ht="18" customHeight="1">
      <x:c r="A3" s="16" t="n">
        <x:v>45293</x:v>
      </x:c>
      <x:c r="B3" s="10" t="n">
        <x:v>2024</x:v>
      </x:c>
      <x:c r="C3" s="10" t="n">
        <x:v>1</x:v>
      </x:c>
      <x:c r="D3" s="10" t="n">
        <x:v>1</x:v>
      </x:c>
      <x:c r="E3" s="10" t="str">
        <x:v>Janeiro</x:v>
      </x:c>
      <x:c r="F3" s="10" t="str">
        <x:v>2024-01</x:v>
      </x:c>
      <x:c r="G3" s="10" t="n">
        <x:v>2</x:v>
      </x:c>
      <x:c r="H3" s="10" t="str">
        <x:v>Terça-feira</x:v>
      </x:c>
      <x:c r="I3" s="11" t="b">
        <x:v>1</x:v>
      </x:c>
    </x:row>
    <x:row r="4" ht="18" customHeight="1">
      <x:c r="A4" s="16" t="n">
        <x:v>45294</x:v>
      </x:c>
      <x:c r="B4" s="10" t="n">
        <x:v>2024</x:v>
      </x:c>
      <x:c r="C4" s="10" t="n">
        <x:v>1</x:v>
      </x:c>
      <x:c r="D4" s="10" t="n">
        <x:v>1</x:v>
      </x:c>
      <x:c r="E4" s="10" t="str">
        <x:v>Janeiro</x:v>
      </x:c>
      <x:c r="F4" s="10" t="str">
        <x:v>2024-01</x:v>
      </x:c>
      <x:c r="G4" s="10" t="n">
        <x:v>3</x:v>
      </x:c>
      <x:c r="H4" s="10" t="str">
        <x:v>Quarta-feira</x:v>
      </x:c>
      <x:c r="I4" s="11" t="b">
        <x:v>1</x:v>
      </x:c>
    </x:row>
    <x:row r="5" ht="18" customHeight="1">
      <x:c r="A5" s="16" t="n">
        <x:v>45295</x:v>
      </x:c>
      <x:c r="B5" s="10" t="n">
        <x:v>2024</x:v>
      </x:c>
      <x:c r="C5" s="10" t="n">
        <x:v>1</x:v>
      </x:c>
      <x:c r="D5" s="10" t="n">
        <x:v>1</x:v>
      </x:c>
      <x:c r="E5" s="10" t="str">
        <x:v>Janeiro</x:v>
      </x:c>
      <x:c r="F5" s="10" t="str">
        <x:v>2024-01</x:v>
      </x:c>
      <x:c r="G5" s="10" t="n">
        <x:v>4</x:v>
      </x:c>
      <x:c r="H5" s="10" t="str">
        <x:v>Quinta-feira</x:v>
      </x:c>
      <x:c r="I5" s="11" t="b">
        <x:v>1</x:v>
      </x:c>
    </x:row>
    <x:row r="6" ht="18" customHeight="1">
      <x:c r="A6" s="16" t="n">
        <x:v>45296</x:v>
      </x:c>
      <x:c r="B6" s="10" t="n">
        <x:v>2024</x:v>
      </x:c>
      <x:c r="C6" s="10" t="n">
        <x:v>1</x:v>
      </x:c>
      <x:c r="D6" s="10" t="n">
        <x:v>1</x:v>
      </x:c>
      <x:c r="E6" s="10" t="str">
        <x:v>Janeiro</x:v>
      </x:c>
      <x:c r="F6" s="10" t="str">
        <x:v>2024-01</x:v>
      </x:c>
      <x:c r="G6" s="10" t="n">
        <x:v>5</x:v>
      </x:c>
      <x:c r="H6" s="10" t="str">
        <x:v>Sexta-feira</x:v>
      </x:c>
      <x:c r="I6" s="11" t="b">
        <x:v>1</x:v>
      </x:c>
    </x:row>
    <x:row r="7" ht="18" customHeight="1">
      <x:c r="A7" s="16" t="n">
        <x:v>45297</x:v>
      </x:c>
      <x:c r="B7" s="10" t="n">
        <x:v>2024</x:v>
      </x:c>
      <x:c r="C7" s="10" t="n">
        <x:v>1</x:v>
      </x:c>
      <x:c r="D7" s="10" t="n">
        <x:v>1</x:v>
      </x:c>
      <x:c r="E7" s="10" t="str">
        <x:v>Janeiro</x:v>
      </x:c>
      <x:c r="F7" s="10" t="str">
        <x:v>2024-01</x:v>
      </x:c>
      <x:c r="G7" s="10" t="n">
        <x:v>6</x:v>
      </x:c>
      <x:c r="H7" s="10" t="str">
        <x:v>Sábado</x:v>
      </x:c>
      <x:c r="I7" s="11" t="b">
        <x:v>0</x:v>
      </x:c>
    </x:row>
    <x:row r="8" ht="18" customHeight="1">
      <x:c r="A8" s="16" t="n">
        <x:v>45298</x:v>
      </x:c>
      <x:c r="B8" s="10" t="n">
        <x:v>2024</x:v>
      </x:c>
      <x:c r="C8" s="10" t="n">
        <x:v>1</x:v>
      </x:c>
      <x:c r="D8" s="10" t="n">
        <x:v>1</x:v>
      </x:c>
      <x:c r="E8" s="10" t="str">
        <x:v>Janeiro</x:v>
      </x:c>
      <x:c r="F8" s="10" t="str">
        <x:v>2024-01</x:v>
      </x:c>
      <x:c r="G8" s="10" t="n">
        <x:v>7</x:v>
      </x:c>
      <x:c r="H8" s="10" t="str">
        <x:v>Domingo</x:v>
      </x:c>
      <x:c r="I8" s="11" t="b">
        <x:v>0</x:v>
      </x:c>
    </x:row>
    <x:row r="9" ht="18" customHeight="1">
      <x:c r="A9" s="16" t="n">
        <x:v>45299</x:v>
      </x:c>
      <x:c r="B9" s="10" t="n">
        <x:v>2024</x:v>
      </x:c>
      <x:c r="C9" s="10" t="n">
        <x:v>1</x:v>
      </x:c>
      <x:c r="D9" s="10" t="n">
        <x:v>1</x:v>
      </x:c>
      <x:c r="E9" s="10" t="str">
        <x:v>Janeiro</x:v>
      </x:c>
      <x:c r="F9" s="10" t="str">
        <x:v>2024-01</x:v>
      </x:c>
      <x:c r="G9" s="10" t="n">
        <x:v>8</x:v>
      </x:c>
      <x:c r="H9" s="10" t="str">
        <x:v>Segunda-feira</x:v>
      </x:c>
      <x:c r="I9" s="11" t="b">
        <x:v>1</x:v>
      </x:c>
    </x:row>
    <x:row r="10" ht="18" customHeight="1">
      <x:c r="A10" s="16" t="n">
        <x:v>45300</x:v>
      </x:c>
      <x:c r="B10" s="10" t="n">
        <x:v>2024</x:v>
      </x:c>
      <x:c r="C10" s="10" t="n">
        <x:v>1</x:v>
      </x:c>
      <x:c r="D10" s="10" t="n">
        <x:v>1</x:v>
      </x:c>
      <x:c r="E10" s="10" t="str">
        <x:v>Janeiro</x:v>
      </x:c>
      <x:c r="F10" s="10" t="str">
        <x:v>2024-01</x:v>
      </x:c>
      <x:c r="G10" s="10" t="n">
        <x:v>9</x:v>
      </x:c>
      <x:c r="H10" s="10" t="str">
        <x:v>Terça-feira</x:v>
      </x:c>
      <x:c r="I10" s="11" t="b">
        <x:v>1</x:v>
      </x:c>
    </x:row>
    <x:row r="11" ht="18" customHeight="1">
      <x:c r="A11" s="16" t="n">
        <x:v>45301</x:v>
      </x:c>
      <x:c r="B11" s="10" t="n">
        <x:v>2024</x:v>
      </x:c>
      <x:c r="C11" s="10" t="n">
        <x:v>1</x:v>
      </x:c>
      <x:c r="D11" s="10" t="n">
        <x:v>1</x:v>
      </x:c>
      <x:c r="E11" s="10" t="str">
        <x:v>Janeiro</x:v>
      </x:c>
      <x:c r="F11" s="10" t="str">
        <x:v>2024-01</x:v>
      </x:c>
      <x:c r="G11" s="10" t="n">
        <x:v>10</x:v>
      </x:c>
      <x:c r="H11" s="10" t="str">
        <x:v>Quarta-feira</x:v>
      </x:c>
      <x:c r="I11" s="11" t="b">
        <x:v>1</x:v>
      </x:c>
    </x:row>
    <x:row r="12" ht="18" customHeight="1">
      <x:c r="A12" s="16" t="n">
        <x:v>45302</x:v>
      </x:c>
      <x:c r="B12" s="10" t="n">
        <x:v>2024</x:v>
      </x:c>
      <x:c r="C12" s="10" t="n">
        <x:v>1</x:v>
      </x:c>
      <x:c r="D12" s="10" t="n">
        <x:v>1</x:v>
      </x:c>
      <x:c r="E12" s="10" t="str">
        <x:v>Janeiro</x:v>
      </x:c>
      <x:c r="F12" s="10" t="str">
        <x:v>2024-01</x:v>
      </x:c>
      <x:c r="G12" s="10" t="n">
        <x:v>11</x:v>
      </x:c>
      <x:c r="H12" s="10" t="str">
        <x:v>Quinta-feira</x:v>
      </x:c>
      <x:c r="I12" s="11" t="b">
        <x:v>1</x:v>
      </x:c>
    </x:row>
    <x:row r="13" ht="18" customHeight="1">
      <x:c r="A13" s="16" t="n">
        <x:v>45303</x:v>
      </x:c>
      <x:c r="B13" s="10" t="n">
        <x:v>2024</x:v>
      </x:c>
      <x:c r="C13" s="10" t="n">
        <x:v>1</x:v>
      </x:c>
      <x:c r="D13" s="10" t="n">
        <x:v>1</x:v>
      </x:c>
      <x:c r="E13" s="10" t="str">
        <x:v>Janeiro</x:v>
      </x:c>
      <x:c r="F13" s="10" t="str">
        <x:v>2024-01</x:v>
      </x:c>
      <x:c r="G13" s="10" t="n">
        <x:v>12</x:v>
      </x:c>
      <x:c r="H13" s="10" t="str">
        <x:v>Sexta-feira</x:v>
      </x:c>
      <x:c r="I13" s="11" t="b">
        <x:v>1</x:v>
      </x:c>
    </x:row>
    <x:row r="14" ht="18" customHeight="1">
      <x:c r="A14" s="16" t="n">
        <x:v>45304</x:v>
      </x:c>
      <x:c r="B14" s="10" t="n">
        <x:v>2024</x:v>
      </x:c>
      <x:c r="C14" s="10" t="n">
        <x:v>1</x:v>
      </x:c>
      <x:c r="D14" s="10" t="n">
        <x:v>1</x:v>
      </x:c>
      <x:c r="E14" s="10" t="str">
        <x:v>Janeiro</x:v>
      </x:c>
      <x:c r="F14" s="10" t="str">
        <x:v>2024-01</x:v>
      </x:c>
      <x:c r="G14" s="10" t="n">
        <x:v>13</x:v>
      </x:c>
      <x:c r="H14" s="10" t="str">
        <x:v>Sábado</x:v>
      </x:c>
      <x:c r="I14" s="11" t="b">
        <x:v>0</x:v>
      </x:c>
    </x:row>
    <x:row r="15" ht="18" customHeight="1">
      <x:c r="A15" s="16" t="n">
        <x:v>45305</x:v>
      </x:c>
      <x:c r="B15" s="10" t="n">
        <x:v>2024</x:v>
      </x:c>
      <x:c r="C15" s="10" t="n">
        <x:v>1</x:v>
      </x:c>
      <x:c r="D15" s="10" t="n">
        <x:v>1</x:v>
      </x:c>
      <x:c r="E15" s="10" t="str">
        <x:v>Janeiro</x:v>
      </x:c>
      <x:c r="F15" s="10" t="str">
        <x:v>2024-01</x:v>
      </x:c>
      <x:c r="G15" s="10" t="n">
        <x:v>14</x:v>
      </x:c>
      <x:c r="H15" s="10" t="str">
        <x:v>Domingo</x:v>
      </x:c>
      <x:c r="I15" s="11" t="b">
        <x:v>0</x:v>
      </x:c>
    </x:row>
    <x:row r="16" ht="18" customHeight="1">
      <x:c r="A16" s="16" t="n">
        <x:v>45306</x:v>
      </x:c>
      <x:c r="B16" s="10" t="n">
        <x:v>2024</x:v>
      </x:c>
      <x:c r="C16" s="10" t="n">
        <x:v>1</x:v>
      </x:c>
      <x:c r="D16" s="10" t="n">
        <x:v>1</x:v>
      </x:c>
      <x:c r="E16" s="10" t="str">
        <x:v>Janeiro</x:v>
      </x:c>
      <x:c r="F16" s="10" t="str">
        <x:v>2024-01</x:v>
      </x:c>
      <x:c r="G16" s="10" t="n">
        <x:v>15</x:v>
      </x:c>
      <x:c r="H16" s="10" t="str">
        <x:v>Segunda-feira</x:v>
      </x:c>
      <x:c r="I16" s="11" t="b">
        <x:v>1</x:v>
      </x:c>
    </x:row>
    <x:row r="17" ht="18" customHeight="1">
      <x:c r="A17" s="16" t="n">
        <x:v>45307</x:v>
      </x:c>
      <x:c r="B17" s="10" t="n">
        <x:v>2024</x:v>
      </x:c>
      <x:c r="C17" s="10" t="n">
        <x:v>1</x:v>
      </x:c>
      <x:c r="D17" s="10" t="n">
        <x:v>1</x:v>
      </x:c>
      <x:c r="E17" s="10" t="str">
        <x:v>Janeiro</x:v>
      </x:c>
      <x:c r="F17" s="10" t="str">
        <x:v>2024-01</x:v>
      </x:c>
      <x:c r="G17" s="10" t="n">
        <x:v>16</x:v>
      </x:c>
      <x:c r="H17" s="10" t="str">
        <x:v>Terça-feira</x:v>
      </x:c>
      <x:c r="I17" s="11" t="b">
        <x:v>1</x:v>
      </x:c>
    </x:row>
    <x:row r="18" ht="18" customHeight="1">
      <x:c r="A18" s="16" t="n">
        <x:v>45308</x:v>
      </x:c>
      <x:c r="B18" s="10" t="n">
        <x:v>2024</x:v>
      </x:c>
      <x:c r="C18" s="10" t="n">
        <x:v>1</x:v>
      </x:c>
      <x:c r="D18" s="10" t="n">
        <x:v>1</x:v>
      </x:c>
      <x:c r="E18" s="10" t="str">
        <x:v>Janeiro</x:v>
      </x:c>
      <x:c r="F18" s="10" t="str">
        <x:v>2024-01</x:v>
      </x:c>
      <x:c r="G18" s="10" t="n">
        <x:v>17</x:v>
      </x:c>
      <x:c r="H18" s="10" t="str">
        <x:v>Quarta-feira</x:v>
      </x:c>
      <x:c r="I18" s="11" t="b">
        <x:v>1</x:v>
      </x:c>
    </x:row>
    <x:row r="19" ht="18" customHeight="1">
      <x:c r="A19" s="16" t="n">
        <x:v>45309</x:v>
      </x:c>
      <x:c r="B19" s="10" t="n">
        <x:v>2024</x:v>
      </x:c>
      <x:c r="C19" s="10" t="n">
        <x:v>1</x:v>
      </x:c>
      <x:c r="D19" s="10" t="n">
        <x:v>1</x:v>
      </x:c>
      <x:c r="E19" s="10" t="str">
        <x:v>Janeiro</x:v>
      </x:c>
      <x:c r="F19" s="10" t="str">
        <x:v>2024-01</x:v>
      </x:c>
      <x:c r="G19" s="10" t="n">
        <x:v>18</x:v>
      </x:c>
      <x:c r="H19" s="10" t="str">
        <x:v>Quinta-feira</x:v>
      </x:c>
      <x:c r="I19" s="11" t="b">
        <x:v>1</x:v>
      </x:c>
    </x:row>
    <x:row r="20" ht="18" customHeight="1">
      <x:c r="A20" s="16" t="n">
        <x:v>45310</x:v>
      </x:c>
      <x:c r="B20" s="10" t="n">
        <x:v>2024</x:v>
      </x:c>
      <x:c r="C20" s="10" t="n">
        <x:v>1</x:v>
      </x:c>
      <x:c r="D20" s="10" t="n">
        <x:v>1</x:v>
      </x:c>
      <x:c r="E20" s="10" t="str">
        <x:v>Janeiro</x:v>
      </x:c>
      <x:c r="F20" s="10" t="str">
        <x:v>2024-01</x:v>
      </x:c>
      <x:c r="G20" s="10" t="n">
        <x:v>19</x:v>
      </x:c>
      <x:c r="H20" s="10" t="str">
        <x:v>Sexta-feira</x:v>
      </x:c>
      <x:c r="I20" s="11" t="b">
        <x:v>1</x:v>
      </x:c>
    </x:row>
    <x:row r="21" ht="18" customHeight="1">
      <x:c r="A21" s="16" t="n">
        <x:v>45311</x:v>
      </x:c>
      <x:c r="B21" s="10" t="n">
        <x:v>2024</x:v>
      </x:c>
      <x:c r="C21" s="10" t="n">
        <x:v>1</x:v>
      </x:c>
      <x:c r="D21" s="10" t="n">
        <x:v>1</x:v>
      </x:c>
      <x:c r="E21" s="10" t="str">
        <x:v>Janeiro</x:v>
      </x:c>
      <x:c r="F21" s="10" t="str">
        <x:v>2024-01</x:v>
      </x:c>
      <x:c r="G21" s="10" t="n">
        <x:v>20</x:v>
      </x:c>
      <x:c r="H21" s="10" t="str">
        <x:v>Sábado</x:v>
      </x:c>
      <x:c r="I21" s="11" t="b">
        <x:v>0</x:v>
      </x:c>
    </x:row>
    <x:row r="22" ht="18" customHeight="1">
      <x:c r="A22" s="16" t="n">
        <x:v>45312</x:v>
      </x:c>
      <x:c r="B22" s="10" t="n">
        <x:v>2024</x:v>
      </x:c>
      <x:c r="C22" s="10" t="n">
        <x:v>1</x:v>
      </x:c>
      <x:c r="D22" s="10" t="n">
        <x:v>1</x:v>
      </x:c>
      <x:c r="E22" s="10" t="str">
        <x:v>Janeiro</x:v>
      </x:c>
      <x:c r="F22" s="10" t="str">
        <x:v>2024-01</x:v>
      </x:c>
      <x:c r="G22" s="10" t="n">
        <x:v>21</x:v>
      </x:c>
      <x:c r="H22" s="10" t="str">
        <x:v>Domingo</x:v>
      </x:c>
      <x:c r="I22" s="11" t="b">
        <x:v>0</x:v>
      </x:c>
    </x:row>
    <x:row r="23" ht="18" customHeight="1">
      <x:c r="A23" s="16" t="n">
        <x:v>45313</x:v>
      </x:c>
      <x:c r="B23" s="10" t="n">
        <x:v>2024</x:v>
      </x:c>
      <x:c r="C23" s="10" t="n">
        <x:v>1</x:v>
      </x:c>
      <x:c r="D23" s="10" t="n">
        <x:v>1</x:v>
      </x:c>
      <x:c r="E23" s="10" t="str">
        <x:v>Janeiro</x:v>
      </x:c>
      <x:c r="F23" s="10" t="str">
        <x:v>2024-01</x:v>
      </x:c>
      <x:c r="G23" s="10" t="n">
        <x:v>22</x:v>
      </x:c>
      <x:c r="H23" s="10" t="str">
        <x:v>Segunda-feira</x:v>
      </x:c>
      <x:c r="I23" s="11" t="b">
        <x:v>1</x:v>
      </x:c>
    </x:row>
    <x:row r="24" ht="18" customHeight="1">
      <x:c r="A24" s="16" t="n">
        <x:v>45314</x:v>
      </x:c>
      <x:c r="B24" s="10" t="n">
        <x:v>2024</x:v>
      </x:c>
      <x:c r="C24" s="10" t="n">
        <x:v>1</x:v>
      </x:c>
      <x:c r="D24" s="10" t="n">
        <x:v>1</x:v>
      </x:c>
      <x:c r="E24" s="10" t="str">
        <x:v>Janeiro</x:v>
      </x:c>
      <x:c r="F24" s="10" t="str">
        <x:v>2024-01</x:v>
      </x:c>
      <x:c r="G24" s="10" t="n">
        <x:v>23</x:v>
      </x:c>
      <x:c r="H24" s="10" t="str">
        <x:v>Terça-feira</x:v>
      </x:c>
      <x:c r="I24" s="11" t="b">
        <x:v>1</x:v>
      </x:c>
    </x:row>
    <x:row r="25" ht="18" customHeight="1">
      <x:c r="A25" s="16" t="n">
        <x:v>45315</x:v>
      </x:c>
      <x:c r="B25" s="10" t="n">
        <x:v>2024</x:v>
      </x:c>
      <x:c r="C25" s="10" t="n">
        <x:v>1</x:v>
      </x:c>
      <x:c r="D25" s="10" t="n">
        <x:v>1</x:v>
      </x:c>
      <x:c r="E25" s="10" t="str">
        <x:v>Janeiro</x:v>
      </x:c>
      <x:c r="F25" s="10" t="str">
        <x:v>2024-01</x:v>
      </x:c>
      <x:c r="G25" s="10" t="n">
        <x:v>24</x:v>
      </x:c>
      <x:c r="H25" s="10" t="str">
        <x:v>Quarta-feira</x:v>
      </x:c>
      <x:c r="I25" s="11" t="b">
        <x:v>1</x:v>
      </x:c>
    </x:row>
    <x:row r="26" ht="18" customHeight="1">
      <x:c r="A26" s="16" t="n">
        <x:v>45316</x:v>
      </x:c>
      <x:c r="B26" s="10" t="n">
        <x:v>2024</x:v>
      </x:c>
      <x:c r="C26" s="10" t="n">
        <x:v>1</x:v>
      </x:c>
      <x:c r="D26" s="10" t="n">
        <x:v>1</x:v>
      </x:c>
      <x:c r="E26" s="10" t="str">
        <x:v>Janeiro</x:v>
      </x:c>
      <x:c r="F26" s="10" t="str">
        <x:v>2024-01</x:v>
      </x:c>
      <x:c r="G26" s="10" t="n">
        <x:v>25</x:v>
      </x:c>
      <x:c r="H26" s="10" t="str">
        <x:v>Quinta-feira</x:v>
      </x:c>
      <x:c r="I26" s="11" t="b">
        <x:v>1</x:v>
      </x:c>
    </x:row>
    <x:row r="27" ht="18" customHeight="1">
      <x:c r="A27" s="16" t="n">
        <x:v>45317</x:v>
      </x:c>
      <x:c r="B27" s="10" t="n">
        <x:v>2024</x:v>
      </x:c>
      <x:c r="C27" s="10" t="n">
        <x:v>1</x:v>
      </x:c>
      <x:c r="D27" s="10" t="n">
        <x:v>1</x:v>
      </x:c>
      <x:c r="E27" s="10" t="str">
        <x:v>Janeiro</x:v>
      </x:c>
      <x:c r="F27" s="10" t="str">
        <x:v>2024-01</x:v>
      </x:c>
      <x:c r="G27" s="10" t="n">
        <x:v>26</x:v>
      </x:c>
      <x:c r="H27" s="10" t="str">
        <x:v>Sexta-feira</x:v>
      </x:c>
      <x:c r="I27" s="11" t="b">
        <x:v>1</x:v>
      </x:c>
    </x:row>
    <x:row r="28" ht="18" customHeight="1">
      <x:c r="A28" s="16" t="n">
        <x:v>45318</x:v>
      </x:c>
      <x:c r="B28" s="10" t="n">
        <x:v>2024</x:v>
      </x:c>
      <x:c r="C28" s="10" t="n">
        <x:v>1</x:v>
      </x:c>
      <x:c r="D28" s="10" t="n">
        <x:v>1</x:v>
      </x:c>
      <x:c r="E28" s="10" t="str">
        <x:v>Janeiro</x:v>
      </x:c>
      <x:c r="F28" s="10" t="str">
        <x:v>2024-01</x:v>
      </x:c>
      <x:c r="G28" s="10" t="n">
        <x:v>27</x:v>
      </x:c>
      <x:c r="H28" s="10" t="str">
        <x:v>Sábado</x:v>
      </x:c>
      <x:c r="I28" s="11" t="b">
        <x:v>0</x:v>
      </x:c>
    </x:row>
    <x:row r="29" ht="18" customHeight="1">
      <x:c r="A29" s="16" t="n">
        <x:v>45319</x:v>
      </x:c>
      <x:c r="B29" s="10" t="n">
        <x:v>2024</x:v>
      </x:c>
      <x:c r="C29" s="10" t="n">
        <x:v>1</x:v>
      </x:c>
      <x:c r="D29" s="10" t="n">
        <x:v>1</x:v>
      </x:c>
      <x:c r="E29" s="10" t="str">
        <x:v>Janeiro</x:v>
      </x:c>
      <x:c r="F29" s="10" t="str">
        <x:v>2024-01</x:v>
      </x:c>
      <x:c r="G29" s="10" t="n">
        <x:v>28</x:v>
      </x:c>
      <x:c r="H29" s="10" t="str">
        <x:v>Domingo</x:v>
      </x:c>
      <x:c r="I29" s="11" t="b">
        <x:v>0</x:v>
      </x:c>
    </x:row>
    <x:row r="30" ht="18" customHeight="1">
      <x:c r="A30" s="16" t="n">
        <x:v>45320</x:v>
      </x:c>
      <x:c r="B30" s="10" t="n">
        <x:v>2024</x:v>
      </x:c>
      <x:c r="C30" s="10" t="n">
        <x:v>1</x:v>
      </x:c>
      <x:c r="D30" s="10" t="n">
        <x:v>1</x:v>
      </x:c>
      <x:c r="E30" s="10" t="str">
        <x:v>Janeiro</x:v>
      </x:c>
      <x:c r="F30" s="10" t="str">
        <x:v>2024-01</x:v>
      </x:c>
      <x:c r="G30" s="10" t="n">
        <x:v>29</x:v>
      </x:c>
      <x:c r="H30" s="10" t="str">
        <x:v>Segunda-feira</x:v>
      </x:c>
      <x:c r="I30" s="11" t="b">
        <x:v>1</x:v>
      </x:c>
    </x:row>
    <x:row r="31" ht="18" customHeight="1">
      <x:c r="A31" s="16" t="n">
        <x:v>45321</x:v>
      </x:c>
      <x:c r="B31" s="10" t="n">
        <x:v>2024</x:v>
      </x:c>
      <x:c r="C31" s="10" t="n">
        <x:v>1</x:v>
      </x:c>
      <x:c r="D31" s="10" t="n">
        <x:v>1</x:v>
      </x:c>
      <x:c r="E31" s="10" t="str">
        <x:v>Janeiro</x:v>
      </x:c>
      <x:c r="F31" s="10" t="str">
        <x:v>2024-01</x:v>
      </x:c>
      <x:c r="G31" s="10" t="n">
        <x:v>30</x:v>
      </x:c>
      <x:c r="H31" s="10" t="str">
        <x:v>Terça-feira</x:v>
      </x:c>
      <x:c r="I31" s="11" t="b">
        <x:v>1</x:v>
      </x:c>
    </x:row>
    <x:row r="32" ht="18" customHeight="1">
      <x:c r="A32" s="16" t="n">
        <x:v>45322</x:v>
      </x:c>
      <x:c r="B32" s="10" t="n">
        <x:v>2024</x:v>
      </x:c>
      <x:c r="C32" s="10" t="n">
        <x:v>1</x:v>
      </x:c>
      <x:c r="D32" s="10" t="n">
        <x:v>1</x:v>
      </x:c>
      <x:c r="E32" s="10" t="str">
        <x:v>Janeiro</x:v>
      </x:c>
      <x:c r="F32" s="10" t="str">
        <x:v>2024-01</x:v>
      </x:c>
      <x:c r="G32" s="10" t="n">
        <x:v>31</x:v>
      </x:c>
      <x:c r="H32" s="10" t="str">
        <x:v>Quarta-feira</x:v>
      </x:c>
      <x:c r="I32" s="11" t="b">
        <x:v>1</x:v>
      </x:c>
    </x:row>
    <x:row r="33" ht="18" customHeight="1">
      <x:c r="A33" s="16" t="n">
        <x:v>45323</x:v>
      </x:c>
      <x:c r="B33" s="10" t="n">
        <x:v>2024</x:v>
      </x:c>
      <x:c r="C33" s="10" t="n">
        <x:v>1</x:v>
      </x:c>
      <x:c r="D33" s="10" t="n">
        <x:v>2</x:v>
      </x:c>
      <x:c r="E33" s="10" t="str">
        <x:v>Fevereiro</x:v>
      </x:c>
      <x:c r="F33" s="10" t="str">
        <x:v>2024-02</x:v>
      </x:c>
      <x:c r="G33" s="10" t="n">
        <x:v>1</x:v>
      </x:c>
      <x:c r="H33" s="10" t="str">
        <x:v>Quinta-feira</x:v>
      </x:c>
      <x:c r="I33" s="11" t="b">
        <x:v>1</x:v>
      </x:c>
    </x:row>
    <x:row r="34" ht="18" customHeight="1">
      <x:c r="A34" s="16" t="n">
        <x:v>45324</x:v>
      </x:c>
      <x:c r="B34" s="10" t="n">
        <x:v>2024</x:v>
      </x:c>
      <x:c r="C34" s="10" t="n">
        <x:v>1</x:v>
      </x:c>
      <x:c r="D34" s="10" t="n">
        <x:v>2</x:v>
      </x:c>
      <x:c r="E34" s="10" t="str">
        <x:v>Fevereiro</x:v>
      </x:c>
      <x:c r="F34" s="10" t="str">
        <x:v>2024-02</x:v>
      </x:c>
      <x:c r="G34" s="10" t="n">
        <x:v>2</x:v>
      </x:c>
      <x:c r="H34" s="10" t="str">
        <x:v>Sexta-feira</x:v>
      </x:c>
      <x:c r="I34" s="11" t="b">
        <x:v>1</x:v>
      </x:c>
    </x:row>
    <x:row r="35" ht="18" customHeight="1">
      <x:c r="A35" s="16" t="n">
        <x:v>45325</x:v>
      </x:c>
      <x:c r="B35" s="10" t="n">
        <x:v>2024</x:v>
      </x:c>
      <x:c r="C35" s="10" t="n">
        <x:v>1</x:v>
      </x:c>
      <x:c r="D35" s="10" t="n">
        <x:v>2</x:v>
      </x:c>
      <x:c r="E35" s="10" t="str">
        <x:v>Fevereiro</x:v>
      </x:c>
      <x:c r="F35" s="10" t="str">
        <x:v>2024-02</x:v>
      </x:c>
      <x:c r="G35" s="10" t="n">
        <x:v>3</x:v>
      </x:c>
      <x:c r="H35" s="10" t="str">
        <x:v>Sábado</x:v>
      </x:c>
      <x:c r="I35" s="11" t="b">
        <x:v>0</x:v>
      </x:c>
    </x:row>
    <x:row r="36" ht="18" customHeight="1">
      <x:c r="A36" s="16" t="n">
        <x:v>45326</x:v>
      </x:c>
      <x:c r="B36" s="10" t="n">
        <x:v>2024</x:v>
      </x:c>
      <x:c r="C36" s="10" t="n">
        <x:v>1</x:v>
      </x:c>
      <x:c r="D36" s="10" t="n">
        <x:v>2</x:v>
      </x:c>
      <x:c r="E36" s="10" t="str">
        <x:v>Fevereiro</x:v>
      </x:c>
      <x:c r="F36" s="10" t="str">
        <x:v>2024-02</x:v>
      </x:c>
      <x:c r="G36" s="10" t="n">
        <x:v>4</x:v>
      </x:c>
      <x:c r="H36" s="10" t="str">
        <x:v>Domingo</x:v>
      </x:c>
      <x:c r="I36" s="11" t="b">
        <x:v>0</x:v>
      </x:c>
    </x:row>
    <x:row r="37" ht="18" customHeight="1">
      <x:c r="A37" s="16" t="n">
        <x:v>45327</x:v>
      </x:c>
      <x:c r="B37" s="10" t="n">
        <x:v>2024</x:v>
      </x:c>
      <x:c r="C37" s="10" t="n">
        <x:v>1</x:v>
      </x:c>
      <x:c r="D37" s="10" t="n">
        <x:v>2</x:v>
      </x:c>
      <x:c r="E37" s="10" t="str">
        <x:v>Fevereiro</x:v>
      </x:c>
      <x:c r="F37" s="10" t="str">
        <x:v>2024-02</x:v>
      </x:c>
      <x:c r="G37" s="10" t="n">
        <x:v>5</x:v>
      </x:c>
      <x:c r="H37" s="10" t="str">
        <x:v>Segunda-feira</x:v>
      </x:c>
      <x:c r="I37" s="11" t="b">
        <x:v>1</x:v>
      </x:c>
    </x:row>
    <x:row r="38" ht="18" customHeight="1">
      <x:c r="A38" s="16" t="n">
        <x:v>45328</x:v>
      </x:c>
      <x:c r="B38" s="10" t="n">
        <x:v>2024</x:v>
      </x:c>
      <x:c r="C38" s="10" t="n">
        <x:v>1</x:v>
      </x:c>
      <x:c r="D38" s="10" t="n">
        <x:v>2</x:v>
      </x:c>
      <x:c r="E38" s="10" t="str">
        <x:v>Fevereiro</x:v>
      </x:c>
      <x:c r="F38" s="10" t="str">
        <x:v>2024-02</x:v>
      </x:c>
      <x:c r="G38" s="10" t="n">
        <x:v>6</x:v>
      </x:c>
      <x:c r="H38" s="10" t="str">
        <x:v>Terça-feira</x:v>
      </x:c>
      <x:c r="I38" s="11" t="b">
        <x:v>1</x:v>
      </x:c>
    </x:row>
    <x:row r="39" ht="18" customHeight="1">
      <x:c r="A39" s="16" t="n">
        <x:v>45329</x:v>
      </x:c>
      <x:c r="B39" s="10" t="n">
        <x:v>2024</x:v>
      </x:c>
      <x:c r="C39" s="10" t="n">
        <x:v>1</x:v>
      </x:c>
      <x:c r="D39" s="10" t="n">
        <x:v>2</x:v>
      </x:c>
      <x:c r="E39" s="10" t="str">
        <x:v>Fevereiro</x:v>
      </x:c>
      <x:c r="F39" s="10" t="str">
        <x:v>2024-02</x:v>
      </x:c>
      <x:c r="G39" s="10" t="n">
        <x:v>7</x:v>
      </x:c>
      <x:c r="H39" s="10" t="str">
        <x:v>Quarta-feira</x:v>
      </x:c>
      <x:c r="I39" s="11" t="b">
        <x:v>1</x:v>
      </x:c>
    </x:row>
    <x:row r="40" ht="18" customHeight="1">
      <x:c r="A40" s="16" t="n">
        <x:v>45330</x:v>
      </x:c>
      <x:c r="B40" s="10" t="n">
        <x:v>2024</x:v>
      </x:c>
      <x:c r="C40" s="10" t="n">
        <x:v>1</x:v>
      </x:c>
      <x:c r="D40" s="10" t="n">
        <x:v>2</x:v>
      </x:c>
      <x:c r="E40" s="10" t="str">
        <x:v>Fevereiro</x:v>
      </x:c>
      <x:c r="F40" s="10" t="str">
        <x:v>2024-02</x:v>
      </x:c>
      <x:c r="G40" s="10" t="n">
        <x:v>8</x:v>
      </x:c>
      <x:c r="H40" s="10" t="str">
        <x:v>Quinta-feira</x:v>
      </x:c>
      <x:c r="I40" s="11" t="b">
        <x:v>1</x:v>
      </x:c>
    </x:row>
    <x:row r="41" ht="18" customHeight="1">
      <x:c r="A41" s="16" t="n">
        <x:v>45331</x:v>
      </x:c>
      <x:c r="B41" s="10" t="n">
        <x:v>2024</x:v>
      </x:c>
      <x:c r="C41" s="10" t="n">
        <x:v>1</x:v>
      </x:c>
      <x:c r="D41" s="10" t="n">
        <x:v>2</x:v>
      </x:c>
      <x:c r="E41" s="10" t="str">
        <x:v>Fevereiro</x:v>
      </x:c>
      <x:c r="F41" s="10" t="str">
        <x:v>2024-02</x:v>
      </x:c>
      <x:c r="G41" s="10" t="n">
        <x:v>9</x:v>
      </x:c>
      <x:c r="H41" s="10" t="str">
        <x:v>Sexta-feira</x:v>
      </x:c>
      <x:c r="I41" s="11" t="b">
        <x:v>1</x:v>
      </x:c>
    </x:row>
    <x:row r="42" ht="18" customHeight="1">
      <x:c r="A42" s="16" t="n">
        <x:v>45332</x:v>
      </x:c>
      <x:c r="B42" s="10" t="n">
        <x:v>2024</x:v>
      </x:c>
      <x:c r="C42" s="10" t="n">
        <x:v>1</x:v>
      </x:c>
      <x:c r="D42" s="10" t="n">
        <x:v>2</x:v>
      </x:c>
      <x:c r="E42" s="10" t="str">
        <x:v>Fevereiro</x:v>
      </x:c>
      <x:c r="F42" s="10" t="str">
        <x:v>2024-02</x:v>
      </x:c>
      <x:c r="G42" s="10" t="n">
        <x:v>10</x:v>
      </x:c>
      <x:c r="H42" s="10" t="str">
        <x:v>Sábado</x:v>
      </x:c>
      <x:c r="I42" s="11" t="b">
        <x:v>0</x:v>
      </x:c>
    </x:row>
    <x:row r="43" ht="18" customHeight="1">
      <x:c r="A43" s="16" t="n">
        <x:v>45333</x:v>
      </x:c>
      <x:c r="B43" s="10" t="n">
        <x:v>2024</x:v>
      </x:c>
      <x:c r="C43" s="10" t="n">
        <x:v>1</x:v>
      </x:c>
      <x:c r="D43" s="10" t="n">
        <x:v>2</x:v>
      </x:c>
      <x:c r="E43" s="10" t="str">
        <x:v>Fevereiro</x:v>
      </x:c>
      <x:c r="F43" s="10" t="str">
        <x:v>2024-02</x:v>
      </x:c>
      <x:c r="G43" s="10" t="n">
        <x:v>11</x:v>
      </x:c>
      <x:c r="H43" s="10" t="str">
        <x:v>Domingo</x:v>
      </x:c>
      <x:c r="I43" s="11" t="b">
        <x:v>0</x:v>
      </x:c>
    </x:row>
    <x:row r="44" ht="18" customHeight="1">
      <x:c r="A44" s="16" t="n">
        <x:v>45334</x:v>
      </x:c>
      <x:c r="B44" s="10" t="n">
        <x:v>2024</x:v>
      </x:c>
      <x:c r="C44" s="10" t="n">
        <x:v>1</x:v>
      </x:c>
      <x:c r="D44" s="10" t="n">
        <x:v>2</x:v>
      </x:c>
      <x:c r="E44" s="10" t="str">
        <x:v>Fevereiro</x:v>
      </x:c>
      <x:c r="F44" s="10" t="str">
        <x:v>2024-02</x:v>
      </x:c>
      <x:c r="G44" s="10" t="n">
        <x:v>12</x:v>
      </x:c>
      <x:c r="H44" s="10" t="str">
        <x:v>Segunda-feira</x:v>
      </x:c>
      <x:c r="I44" s="11" t="b">
        <x:v>1</x:v>
      </x:c>
    </x:row>
    <x:row r="45" ht="18" customHeight="1">
      <x:c r="A45" s="16" t="n">
        <x:v>45335</x:v>
      </x:c>
      <x:c r="B45" s="10" t="n">
        <x:v>2024</x:v>
      </x:c>
      <x:c r="C45" s="10" t="n">
        <x:v>1</x:v>
      </x:c>
      <x:c r="D45" s="10" t="n">
        <x:v>2</x:v>
      </x:c>
      <x:c r="E45" s="10" t="str">
        <x:v>Fevereiro</x:v>
      </x:c>
      <x:c r="F45" s="10" t="str">
        <x:v>2024-02</x:v>
      </x:c>
      <x:c r="G45" s="10" t="n">
        <x:v>13</x:v>
      </x:c>
      <x:c r="H45" s="10" t="str">
        <x:v>Terça-feira</x:v>
      </x:c>
      <x:c r="I45" s="11" t="b">
        <x:v>1</x:v>
      </x:c>
    </x:row>
    <x:row r="46" ht="18" customHeight="1">
      <x:c r="A46" s="16" t="n">
        <x:v>45336</x:v>
      </x:c>
      <x:c r="B46" s="10" t="n">
        <x:v>2024</x:v>
      </x:c>
      <x:c r="C46" s="10" t="n">
        <x:v>1</x:v>
      </x:c>
      <x:c r="D46" s="10" t="n">
        <x:v>2</x:v>
      </x:c>
      <x:c r="E46" s="10" t="str">
        <x:v>Fevereiro</x:v>
      </x:c>
      <x:c r="F46" s="10" t="str">
        <x:v>2024-02</x:v>
      </x:c>
      <x:c r="G46" s="10" t="n">
        <x:v>14</x:v>
      </x:c>
      <x:c r="H46" s="10" t="str">
        <x:v>Quarta-feira</x:v>
      </x:c>
      <x:c r="I46" s="11" t="b">
        <x:v>1</x:v>
      </x:c>
    </x:row>
    <x:row r="47" ht="18" customHeight="1">
      <x:c r="A47" s="16" t="n">
        <x:v>45337</x:v>
      </x:c>
      <x:c r="B47" s="10" t="n">
        <x:v>2024</x:v>
      </x:c>
      <x:c r="C47" s="10" t="n">
        <x:v>1</x:v>
      </x:c>
      <x:c r="D47" s="10" t="n">
        <x:v>2</x:v>
      </x:c>
      <x:c r="E47" s="10" t="str">
        <x:v>Fevereiro</x:v>
      </x:c>
      <x:c r="F47" s="10" t="str">
        <x:v>2024-02</x:v>
      </x:c>
      <x:c r="G47" s="10" t="n">
        <x:v>15</x:v>
      </x:c>
      <x:c r="H47" s="10" t="str">
        <x:v>Quinta-feira</x:v>
      </x:c>
      <x:c r="I47" s="11" t="b">
        <x:v>1</x:v>
      </x:c>
    </x:row>
    <x:row r="48" ht="18" customHeight="1">
      <x:c r="A48" s="16" t="n">
        <x:v>45338</x:v>
      </x:c>
      <x:c r="B48" s="10" t="n">
        <x:v>2024</x:v>
      </x:c>
      <x:c r="C48" s="10" t="n">
        <x:v>1</x:v>
      </x:c>
      <x:c r="D48" s="10" t="n">
        <x:v>2</x:v>
      </x:c>
      <x:c r="E48" s="10" t="str">
        <x:v>Fevereiro</x:v>
      </x:c>
      <x:c r="F48" s="10" t="str">
        <x:v>2024-02</x:v>
      </x:c>
      <x:c r="G48" s="10" t="n">
        <x:v>16</x:v>
      </x:c>
      <x:c r="H48" s="10" t="str">
        <x:v>Sexta-feira</x:v>
      </x:c>
      <x:c r="I48" s="11" t="b">
        <x:v>1</x:v>
      </x:c>
    </x:row>
    <x:row r="49" ht="18" customHeight="1">
      <x:c r="A49" s="16" t="n">
        <x:v>45339</x:v>
      </x:c>
      <x:c r="B49" s="10" t="n">
        <x:v>2024</x:v>
      </x:c>
      <x:c r="C49" s="10" t="n">
        <x:v>1</x:v>
      </x:c>
      <x:c r="D49" s="10" t="n">
        <x:v>2</x:v>
      </x:c>
      <x:c r="E49" s="10" t="str">
        <x:v>Fevereiro</x:v>
      </x:c>
      <x:c r="F49" s="10" t="str">
        <x:v>2024-02</x:v>
      </x:c>
      <x:c r="G49" s="10" t="n">
        <x:v>17</x:v>
      </x:c>
      <x:c r="H49" s="10" t="str">
        <x:v>Sábado</x:v>
      </x:c>
      <x:c r="I49" s="11" t="b">
        <x:v>0</x:v>
      </x:c>
    </x:row>
    <x:row r="50" ht="18" customHeight="1">
      <x:c r="A50" s="16" t="n">
        <x:v>45340</x:v>
      </x:c>
      <x:c r="B50" s="10" t="n">
        <x:v>2024</x:v>
      </x:c>
      <x:c r="C50" s="10" t="n">
        <x:v>1</x:v>
      </x:c>
      <x:c r="D50" s="10" t="n">
        <x:v>2</x:v>
      </x:c>
      <x:c r="E50" s="10" t="str">
        <x:v>Fevereiro</x:v>
      </x:c>
      <x:c r="F50" s="10" t="str">
        <x:v>2024-02</x:v>
      </x:c>
      <x:c r="G50" s="10" t="n">
        <x:v>18</x:v>
      </x:c>
      <x:c r="H50" s="10" t="str">
        <x:v>Domingo</x:v>
      </x:c>
      <x:c r="I50" s="11" t="b">
        <x:v>0</x:v>
      </x:c>
    </x:row>
    <x:row r="51" ht="18" customHeight="1">
      <x:c r="A51" s="16" t="n">
        <x:v>45341</x:v>
      </x:c>
      <x:c r="B51" s="10" t="n">
        <x:v>2024</x:v>
      </x:c>
      <x:c r="C51" s="10" t="n">
        <x:v>1</x:v>
      </x:c>
      <x:c r="D51" s="10" t="n">
        <x:v>2</x:v>
      </x:c>
      <x:c r="E51" s="10" t="str">
        <x:v>Fevereiro</x:v>
      </x:c>
      <x:c r="F51" s="10" t="str">
        <x:v>2024-02</x:v>
      </x:c>
      <x:c r="G51" s="10" t="n">
        <x:v>19</x:v>
      </x:c>
      <x:c r="H51" s="10" t="str">
        <x:v>Segunda-feira</x:v>
      </x:c>
      <x:c r="I51" s="11" t="b">
        <x:v>1</x:v>
      </x:c>
    </x:row>
    <x:row r="52" ht="18" customHeight="1">
      <x:c r="A52" s="16" t="n">
        <x:v>45342</x:v>
      </x:c>
      <x:c r="B52" s="10" t="n">
        <x:v>2024</x:v>
      </x:c>
      <x:c r="C52" s="10" t="n">
        <x:v>1</x:v>
      </x:c>
      <x:c r="D52" s="10" t="n">
        <x:v>2</x:v>
      </x:c>
      <x:c r="E52" s="10" t="str">
        <x:v>Fevereiro</x:v>
      </x:c>
      <x:c r="F52" s="10" t="str">
        <x:v>2024-02</x:v>
      </x:c>
      <x:c r="G52" s="10" t="n">
        <x:v>20</x:v>
      </x:c>
      <x:c r="H52" s="10" t="str">
        <x:v>Terça-feira</x:v>
      </x:c>
      <x:c r="I52" s="11" t="b">
        <x:v>1</x:v>
      </x:c>
    </x:row>
    <x:row r="53" ht="18" customHeight="1">
      <x:c r="A53" s="16" t="n">
        <x:v>45343</x:v>
      </x:c>
      <x:c r="B53" s="10" t="n">
        <x:v>2024</x:v>
      </x:c>
      <x:c r="C53" s="10" t="n">
        <x:v>1</x:v>
      </x:c>
      <x:c r="D53" s="10" t="n">
        <x:v>2</x:v>
      </x:c>
      <x:c r="E53" s="10" t="str">
        <x:v>Fevereiro</x:v>
      </x:c>
      <x:c r="F53" s="10" t="str">
        <x:v>2024-02</x:v>
      </x:c>
      <x:c r="G53" s="10" t="n">
        <x:v>21</x:v>
      </x:c>
      <x:c r="H53" s="10" t="str">
        <x:v>Quarta-feira</x:v>
      </x:c>
      <x:c r="I53" s="11" t="b">
        <x:v>1</x:v>
      </x:c>
    </x:row>
    <x:row r="54" ht="18" customHeight="1">
      <x:c r="A54" s="16" t="n">
        <x:v>45344</x:v>
      </x:c>
      <x:c r="B54" s="10" t="n">
        <x:v>2024</x:v>
      </x:c>
      <x:c r="C54" s="10" t="n">
        <x:v>1</x:v>
      </x:c>
      <x:c r="D54" s="10" t="n">
        <x:v>2</x:v>
      </x:c>
      <x:c r="E54" s="10" t="str">
        <x:v>Fevereiro</x:v>
      </x:c>
      <x:c r="F54" s="10" t="str">
        <x:v>2024-02</x:v>
      </x:c>
      <x:c r="G54" s="10" t="n">
        <x:v>22</x:v>
      </x:c>
      <x:c r="H54" s="10" t="str">
        <x:v>Quinta-feira</x:v>
      </x:c>
      <x:c r="I54" s="11" t="b">
        <x:v>1</x:v>
      </x:c>
    </x:row>
    <x:row r="55" ht="18" customHeight="1">
      <x:c r="A55" s="16" t="n">
        <x:v>45345</x:v>
      </x:c>
      <x:c r="B55" s="10" t="n">
        <x:v>2024</x:v>
      </x:c>
      <x:c r="C55" s="10" t="n">
        <x:v>1</x:v>
      </x:c>
      <x:c r="D55" s="10" t="n">
        <x:v>2</x:v>
      </x:c>
      <x:c r="E55" s="10" t="str">
        <x:v>Fevereiro</x:v>
      </x:c>
      <x:c r="F55" s="10" t="str">
        <x:v>2024-02</x:v>
      </x:c>
      <x:c r="G55" s="10" t="n">
        <x:v>23</x:v>
      </x:c>
      <x:c r="H55" s="10" t="str">
        <x:v>Sexta-feira</x:v>
      </x:c>
      <x:c r="I55" s="11" t="b">
        <x:v>1</x:v>
      </x:c>
    </x:row>
    <x:row r="56" ht="18" customHeight="1">
      <x:c r="A56" s="16" t="n">
        <x:v>45346</x:v>
      </x:c>
      <x:c r="B56" s="10" t="n">
        <x:v>2024</x:v>
      </x:c>
      <x:c r="C56" s="10" t="n">
        <x:v>1</x:v>
      </x:c>
      <x:c r="D56" s="10" t="n">
        <x:v>2</x:v>
      </x:c>
      <x:c r="E56" s="10" t="str">
        <x:v>Fevereiro</x:v>
      </x:c>
      <x:c r="F56" s="10" t="str">
        <x:v>2024-02</x:v>
      </x:c>
      <x:c r="G56" s="10" t="n">
        <x:v>24</x:v>
      </x:c>
      <x:c r="H56" s="10" t="str">
        <x:v>Sábado</x:v>
      </x:c>
      <x:c r="I56" s="11" t="b">
        <x:v>0</x:v>
      </x:c>
    </x:row>
    <x:row r="57" ht="18" customHeight="1">
      <x:c r="A57" s="16" t="n">
        <x:v>45347</x:v>
      </x:c>
      <x:c r="B57" s="10" t="n">
        <x:v>2024</x:v>
      </x:c>
      <x:c r="C57" s="10" t="n">
        <x:v>1</x:v>
      </x:c>
      <x:c r="D57" s="10" t="n">
        <x:v>2</x:v>
      </x:c>
      <x:c r="E57" s="10" t="str">
        <x:v>Fevereiro</x:v>
      </x:c>
      <x:c r="F57" s="10" t="str">
        <x:v>2024-02</x:v>
      </x:c>
      <x:c r="G57" s="10" t="n">
        <x:v>25</x:v>
      </x:c>
      <x:c r="H57" s="10" t="str">
        <x:v>Domingo</x:v>
      </x:c>
      <x:c r="I57" s="11" t="b">
        <x:v>0</x:v>
      </x:c>
    </x:row>
    <x:row r="58" ht="18" customHeight="1">
      <x:c r="A58" s="16" t="n">
        <x:v>45348</x:v>
      </x:c>
      <x:c r="B58" s="10" t="n">
        <x:v>2024</x:v>
      </x:c>
      <x:c r="C58" s="10" t="n">
        <x:v>1</x:v>
      </x:c>
      <x:c r="D58" s="10" t="n">
        <x:v>2</x:v>
      </x:c>
      <x:c r="E58" s="10" t="str">
        <x:v>Fevereiro</x:v>
      </x:c>
      <x:c r="F58" s="10" t="str">
        <x:v>2024-02</x:v>
      </x:c>
      <x:c r="G58" s="10" t="n">
        <x:v>26</x:v>
      </x:c>
      <x:c r="H58" s="10" t="str">
        <x:v>Segunda-feira</x:v>
      </x:c>
      <x:c r="I58" s="11" t="b">
        <x:v>1</x:v>
      </x:c>
    </x:row>
    <x:row r="59" ht="18" customHeight="1">
      <x:c r="A59" s="16" t="n">
        <x:v>45349</x:v>
      </x:c>
      <x:c r="B59" s="10" t="n">
        <x:v>2024</x:v>
      </x:c>
      <x:c r="C59" s="10" t="n">
        <x:v>1</x:v>
      </x:c>
      <x:c r="D59" s="10" t="n">
        <x:v>2</x:v>
      </x:c>
      <x:c r="E59" s="10" t="str">
        <x:v>Fevereiro</x:v>
      </x:c>
      <x:c r="F59" s="10" t="str">
        <x:v>2024-02</x:v>
      </x:c>
      <x:c r="G59" s="10" t="n">
        <x:v>27</x:v>
      </x:c>
      <x:c r="H59" s="10" t="str">
        <x:v>Terça-feira</x:v>
      </x:c>
      <x:c r="I59" s="11" t="b">
        <x:v>1</x:v>
      </x:c>
    </x:row>
    <x:row r="60" ht="18" customHeight="1">
      <x:c r="A60" s="16" t="n">
        <x:v>45350</x:v>
      </x:c>
      <x:c r="B60" s="10" t="n">
        <x:v>2024</x:v>
      </x:c>
      <x:c r="C60" s="10" t="n">
        <x:v>1</x:v>
      </x:c>
      <x:c r="D60" s="10" t="n">
        <x:v>2</x:v>
      </x:c>
      <x:c r="E60" s="10" t="str">
        <x:v>Fevereiro</x:v>
      </x:c>
      <x:c r="F60" s="10" t="str">
        <x:v>2024-02</x:v>
      </x:c>
      <x:c r="G60" s="10" t="n">
        <x:v>28</x:v>
      </x:c>
      <x:c r="H60" s="10" t="str">
        <x:v>Quarta-feira</x:v>
      </x:c>
      <x:c r="I60" s="11" t="b">
        <x:v>1</x:v>
      </x:c>
    </x:row>
    <x:row r="61" ht="18" customHeight="1">
      <x:c r="A61" s="16" t="n">
        <x:v>45351</x:v>
      </x:c>
      <x:c r="B61" s="10" t="n">
        <x:v>2024</x:v>
      </x:c>
      <x:c r="C61" s="10" t="n">
        <x:v>1</x:v>
      </x:c>
      <x:c r="D61" s="10" t="n">
        <x:v>2</x:v>
      </x:c>
      <x:c r="E61" s="10" t="str">
        <x:v>Fevereiro</x:v>
      </x:c>
      <x:c r="F61" s="10" t="str">
        <x:v>2024-02</x:v>
      </x:c>
      <x:c r="G61" s="10" t="n">
        <x:v>29</x:v>
      </x:c>
      <x:c r="H61" s="10" t="str">
        <x:v>Quinta-feira</x:v>
      </x:c>
      <x:c r="I61" s="11" t="b">
        <x:v>1</x:v>
      </x:c>
    </x:row>
    <x:row r="62" ht="18" customHeight="1">
      <x:c r="A62" s="16" t="n">
        <x:v>45352</x:v>
      </x:c>
      <x:c r="B62" s="10" t="n">
        <x:v>2024</x:v>
      </x:c>
      <x:c r="C62" s="10" t="n">
        <x:v>1</x:v>
      </x:c>
      <x:c r="D62" s="10" t="n">
        <x:v>3</x:v>
      </x:c>
      <x:c r="E62" s="10" t="str">
        <x:v>Março</x:v>
      </x:c>
      <x:c r="F62" s="10" t="str">
        <x:v>2024-03</x:v>
      </x:c>
      <x:c r="G62" s="10" t="n">
        <x:v>1</x:v>
      </x:c>
      <x:c r="H62" s="10" t="str">
        <x:v>Sexta-feira</x:v>
      </x:c>
      <x:c r="I62" s="11" t="b">
        <x:v>1</x:v>
      </x:c>
    </x:row>
    <x:row r="63" ht="18" customHeight="1">
      <x:c r="A63" s="16" t="n">
        <x:v>45353</x:v>
      </x:c>
      <x:c r="B63" s="10" t="n">
        <x:v>2024</x:v>
      </x:c>
      <x:c r="C63" s="10" t="n">
        <x:v>1</x:v>
      </x:c>
      <x:c r="D63" s="10" t="n">
        <x:v>3</x:v>
      </x:c>
      <x:c r="E63" s="10" t="str">
        <x:v>Março</x:v>
      </x:c>
      <x:c r="F63" s="10" t="str">
        <x:v>2024-03</x:v>
      </x:c>
      <x:c r="G63" s="10" t="n">
        <x:v>2</x:v>
      </x:c>
      <x:c r="H63" s="10" t="str">
        <x:v>Sábado</x:v>
      </x:c>
      <x:c r="I63" s="11" t="b">
        <x:v>0</x:v>
      </x:c>
    </x:row>
    <x:row r="64" ht="18" customHeight="1">
      <x:c r="A64" s="16" t="n">
        <x:v>45354</x:v>
      </x:c>
      <x:c r="B64" s="10" t="n">
        <x:v>2024</x:v>
      </x:c>
      <x:c r="C64" s="10" t="n">
        <x:v>1</x:v>
      </x:c>
      <x:c r="D64" s="10" t="n">
        <x:v>3</x:v>
      </x:c>
      <x:c r="E64" s="10" t="str">
        <x:v>Março</x:v>
      </x:c>
      <x:c r="F64" s="10" t="str">
        <x:v>2024-03</x:v>
      </x:c>
      <x:c r="G64" s="10" t="n">
        <x:v>3</x:v>
      </x:c>
      <x:c r="H64" s="10" t="str">
        <x:v>Domingo</x:v>
      </x:c>
      <x:c r="I64" s="11" t="b">
        <x:v>0</x:v>
      </x:c>
    </x:row>
    <x:row r="65" ht="18" customHeight="1">
      <x:c r="A65" s="16" t="n">
        <x:v>45355</x:v>
      </x:c>
      <x:c r="B65" s="10" t="n">
        <x:v>2024</x:v>
      </x:c>
      <x:c r="C65" s="10" t="n">
        <x:v>1</x:v>
      </x:c>
      <x:c r="D65" s="10" t="n">
        <x:v>3</x:v>
      </x:c>
      <x:c r="E65" s="10" t="str">
        <x:v>Março</x:v>
      </x:c>
      <x:c r="F65" s="10" t="str">
        <x:v>2024-03</x:v>
      </x:c>
      <x:c r="G65" s="10" t="n">
        <x:v>4</x:v>
      </x:c>
      <x:c r="H65" s="10" t="str">
        <x:v>Segunda-feira</x:v>
      </x:c>
      <x:c r="I65" s="11" t="b">
        <x:v>1</x:v>
      </x:c>
    </x:row>
    <x:row r="66" ht="18" customHeight="1">
      <x:c r="A66" s="16" t="n">
        <x:v>45356</x:v>
      </x:c>
      <x:c r="B66" s="10" t="n">
        <x:v>2024</x:v>
      </x:c>
      <x:c r="C66" s="10" t="n">
        <x:v>1</x:v>
      </x:c>
      <x:c r="D66" s="10" t="n">
        <x:v>3</x:v>
      </x:c>
      <x:c r="E66" s="10" t="str">
        <x:v>Março</x:v>
      </x:c>
      <x:c r="F66" s="10" t="str">
        <x:v>2024-03</x:v>
      </x:c>
      <x:c r="G66" s="10" t="n">
        <x:v>5</x:v>
      </x:c>
      <x:c r="H66" s="10" t="str">
        <x:v>Terça-feira</x:v>
      </x:c>
      <x:c r="I66" s="11" t="b">
        <x:v>1</x:v>
      </x:c>
    </x:row>
    <x:row r="67" ht="18" customHeight="1">
      <x:c r="A67" s="16" t="n">
        <x:v>45357</x:v>
      </x:c>
      <x:c r="B67" s="10" t="n">
        <x:v>2024</x:v>
      </x:c>
      <x:c r="C67" s="10" t="n">
        <x:v>1</x:v>
      </x:c>
      <x:c r="D67" s="10" t="n">
        <x:v>3</x:v>
      </x:c>
      <x:c r="E67" s="10" t="str">
        <x:v>Março</x:v>
      </x:c>
      <x:c r="F67" s="10" t="str">
        <x:v>2024-03</x:v>
      </x:c>
      <x:c r="G67" s="10" t="n">
        <x:v>6</x:v>
      </x:c>
      <x:c r="H67" s="10" t="str">
        <x:v>Quarta-feira</x:v>
      </x:c>
      <x:c r="I67" s="11" t="b">
        <x:v>1</x:v>
      </x:c>
    </x:row>
    <x:row r="68" ht="18" customHeight="1">
      <x:c r="A68" s="16" t="n">
        <x:v>45358</x:v>
      </x:c>
      <x:c r="B68" s="10" t="n">
        <x:v>2024</x:v>
      </x:c>
      <x:c r="C68" s="10" t="n">
        <x:v>1</x:v>
      </x:c>
      <x:c r="D68" s="10" t="n">
        <x:v>3</x:v>
      </x:c>
      <x:c r="E68" s="10" t="str">
        <x:v>Março</x:v>
      </x:c>
      <x:c r="F68" s="10" t="str">
        <x:v>2024-03</x:v>
      </x:c>
      <x:c r="G68" s="10" t="n">
        <x:v>7</x:v>
      </x:c>
      <x:c r="H68" s="10" t="str">
        <x:v>Quinta-feira</x:v>
      </x:c>
      <x:c r="I68" s="11" t="b">
        <x:v>1</x:v>
      </x:c>
    </x:row>
    <x:row r="69" ht="18" customHeight="1">
      <x:c r="A69" s="16" t="n">
        <x:v>45359</x:v>
      </x:c>
      <x:c r="B69" s="10" t="n">
        <x:v>2024</x:v>
      </x:c>
      <x:c r="C69" s="10" t="n">
        <x:v>1</x:v>
      </x:c>
      <x:c r="D69" s="10" t="n">
        <x:v>3</x:v>
      </x:c>
      <x:c r="E69" s="10" t="str">
        <x:v>Março</x:v>
      </x:c>
      <x:c r="F69" s="10" t="str">
        <x:v>2024-03</x:v>
      </x:c>
      <x:c r="G69" s="10" t="n">
        <x:v>8</x:v>
      </x:c>
      <x:c r="H69" s="10" t="str">
        <x:v>Sexta-feira</x:v>
      </x:c>
      <x:c r="I69" s="11" t="b">
        <x:v>1</x:v>
      </x:c>
    </x:row>
    <x:row r="70" ht="18" customHeight="1">
      <x:c r="A70" s="16" t="n">
        <x:v>45360</x:v>
      </x:c>
      <x:c r="B70" s="10" t="n">
        <x:v>2024</x:v>
      </x:c>
      <x:c r="C70" s="10" t="n">
        <x:v>1</x:v>
      </x:c>
      <x:c r="D70" s="10" t="n">
        <x:v>3</x:v>
      </x:c>
      <x:c r="E70" s="10" t="str">
        <x:v>Março</x:v>
      </x:c>
      <x:c r="F70" s="10" t="str">
        <x:v>2024-03</x:v>
      </x:c>
      <x:c r="G70" s="10" t="n">
        <x:v>9</x:v>
      </x:c>
      <x:c r="H70" s="10" t="str">
        <x:v>Sábado</x:v>
      </x:c>
      <x:c r="I70" s="11" t="b">
        <x:v>0</x:v>
      </x:c>
    </x:row>
    <x:row r="71" ht="18" customHeight="1">
      <x:c r="A71" s="16" t="n">
        <x:v>45361</x:v>
      </x:c>
      <x:c r="B71" s="10" t="n">
        <x:v>2024</x:v>
      </x:c>
      <x:c r="C71" s="10" t="n">
        <x:v>1</x:v>
      </x:c>
      <x:c r="D71" s="10" t="n">
        <x:v>3</x:v>
      </x:c>
      <x:c r="E71" s="10" t="str">
        <x:v>Março</x:v>
      </x:c>
      <x:c r="F71" s="10" t="str">
        <x:v>2024-03</x:v>
      </x:c>
      <x:c r="G71" s="10" t="n">
        <x:v>10</x:v>
      </x:c>
      <x:c r="H71" s="10" t="str">
        <x:v>Domingo</x:v>
      </x:c>
      <x:c r="I71" s="11" t="b">
        <x:v>0</x:v>
      </x:c>
    </x:row>
    <x:row r="72" ht="18" customHeight="1">
      <x:c r="A72" s="16" t="n">
        <x:v>45362</x:v>
      </x:c>
      <x:c r="B72" s="10" t="n">
        <x:v>2024</x:v>
      </x:c>
      <x:c r="C72" s="10" t="n">
        <x:v>1</x:v>
      </x:c>
      <x:c r="D72" s="10" t="n">
        <x:v>3</x:v>
      </x:c>
      <x:c r="E72" s="10" t="str">
        <x:v>Março</x:v>
      </x:c>
      <x:c r="F72" s="10" t="str">
        <x:v>2024-03</x:v>
      </x:c>
      <x:c r="G72" s="10" t="n">
        <x:v>11</x:v>
      </x:c>
      <x:c r="H72" s="10" t="str">
        <x:v>Segunda-feira</x:v>
      </x:c>
      <x:c r="I72" s="11" t="b">
        <x:v>1</x:v>
      </x:c>
    </x:row>
    <x:row r="73" ht="18" customHeight="1">
      <x:c r="A73" s="16" t="n">
        <x:v>45363</x:v>
      </x:c>
      <x:c r="B73" s="10" t="n">
        <x:v>2024</x:v>
      </x:c>
      <x:c r="C73" s="10" t="n">
        <x:v>1</x:v>
      </x:c>
      <x:c r="D73" s="10" t="n">
        <x:v>3</x:v>
      </x:c>
      <x:c r="E73" s="10" t="str">
        <x:v>Março</x:v>
      </x:c>
      <x:c r="F73" s="10" t="str">
        <x:v>2024-03</x:v>
      </x:c>
      <x:c r="G73" s="10" t="n">
        <x:v>12</x:v>
      </x:c>
      <x:c r="H73" s="10" t="str">
        <x:v>Terça-feira</x:v>
      </x:c>
      <x:c r="I73" s="11" t="b">
        <x:v>1</x:v>
      </x:c>
    </x:row>
    <x:row r="74" ht="18" customHeight="1">
      <x:c r="A74" s="16" t="n">
        <x:v>45364</x:v>
      </x:c>
      <x:c r="B74" s="10" t="n">
        <x:v>2024</x:v>
      </x:c>
      <x:c r="C74" s="10" t="n">
        <x:v>1</x:v>
      </x:c>
      <x:c r="D74" s="10" t="n">
        <x:v>3</x:v>
      </x:c>
      <x:c r="E74" s="10" t="str">
        <x:v>Março</x:v>
      </x:c>
      <x:c r="F74" s="10" t="str">
        <x:v>2024-03</x:v>
      </x:c>
      <x:c r="G74" s="10" t="n">
        <x:v>13</x:v>
      </x:c>
      <x:c r="H74" s="10" t="str">
        <x:v>Quarta-feira</x:v>
      </x:c>
      <x:c r="I74" s="11" t="b">
        <x:v>1</x:v>
      </x:c>
    </x:row>
    <x:row r="75" ht="18" customHeight="1">
      <x:c r="A75" s="16" t="n">
        <x:v>45365</x:v>
      </x:c>
      <x:c r="B75" s="10" t="n">
        <x:v>2024</x:v>
      </x:c>
      <x:c r="C75" s="10" t="n">
        <x:v>1</x:v>
      </x:c>
      <x:c r="D75" s="10" t="n">
        <x:v>3</x:v>
      </x:c>
      <x:c r="E75" s="10" t="str">
        <x:v>Março</x:v>
      </x:c>
      <x:c r="F75" s="10" t="str">
        <x:v>2024-03</x:v>
      </x:c>
      <x:c r="G75" s="10" t="n">
        <x:v>14</x:v>
      </x:c>
      <x:c r="H75" s="10" t="str">
        <x:v>Quinta-feira</x:v>
      </x:c>
      <x:c r="I75" s="11" t="b">
        <x:v>1</x:v>
      </x:c>
    </x:row>
    <x:row r="76" ht="18" customHeight="1">
      <x:c r="A76" s="16" t="n">
        <x:v>45366</x:v>
      </x:c>
      <x:c r="B76" s="10" t="n">
        <x:v>2024</x:v>
      </x:c>
      <x:c r="C76" s="10" t="n">
        <x:v>1</x:v>
      </x:c>
      <x:c r="D76" s="10" t="n">
        <x:v>3</x:v>
      </x:c>
      <x:c r="E76" s="10" t="str">
        <x:v>Março</x:v>
      </x:c>
      <x:c r="F76" s="10" t="str">
        <x:v>2024-03</x:v>
      </x:c>
      <x:c r="G76" s="10" t="n">
        <x:v>15</x:v>
      </x:c>
      <x:c r="H76" s="10" t="str">
        <x:v>Sexta-feira</x:v>
      </x:c>
      <x:c r="I76" s="11" t="b">
        <x:v>1</x:v>
      </x:c>
    </x:row>
    <x:row r="77" ht="18" customHeight="1">
      <x:c r="A77" s="16" t="n">
        <x:v>45367</x:v>
      </x:c>
      <x:c r="B77" s="10" t="n">
        <x:v>2024</x:v>
      </x:c>
      <x:c r="C77" s="10" t="n">
        <x:v>1</x:v>
      </x:c>
      <x:c r="D77" s="10" t="n">
        <x:v>3</x:v>
      </x:c>
      <x:c r="E77" s="10" t="str">
        <x:v>Março</x:v>
      </x:c>
      <x:c r="F77" s="10" t="str">
        <x:v>2024-03</x:v>
      </x:c>
      <x:c r="G77" s="10" t="n">
        <x:v>16</x:v>
      </x:c>
      <x:c r="H77" s="10" t="str">
        <x:v>Sábado</x:v>
      </x:c>
      <x:c r="I77" s="11" t="b">
        <x:v>0</x:v>
      </x:c>
    </x:row>
    <x:row r="78" ht="18" customHeight="1">
      <x:c r="A78" s="16" t="n">
        <x:v>45368</x:v>
      </x:c>
      <x:c r="B78" s="10" t="n">
        <x:v>2024</x:v>
      </x:c>
      <x:c r="C78" s="10" t="n">
        <x:v>1</x:v>
      </x:c>
      <x:c r="D78" s="10" t="n">
        <x:v>3</x:v>
      </x:c>
      <x:c r="E78" s="10" t="str">
        <x:v>Março</x:v>
      </x:c>
      <x:c r="F78" s="10" t="str">
        <x:v>2024-03</x:v>
      </x:c>
      <x:c r="G78" s="10" t="n">
        <x:v>17</x:v>
      </x:c>
      <x:c r="H78" s="10" t="str">
        <x:v>Domingo</x:v>
      </x:c>
      <x:c r="I78" s="11" t="b">
        <x:v>0</x:v>
      </x:c>
    </x:row>
    <x:row r="79" ht="18" customHeight="1">
      <x:c r="A79" s="16" t="n">
        <x:v>45369</x:v>
      </x:c>
      <x:c r="B79" s="10" t="n">
        <x:v>2024</x:v>
      </x:c>
      <x:c r="C79" s="10" t="n">
        <x:v>1</x:v>
      </x:c>
      <x:c r="D79" s="10" t="n">
        <x:v>3</x:v>
      </x:c>
      <x:c r="E79" s="10" t="str">
        <x:v>Março</x:v>
      </x:c>
      <x:c r="F79" s="10" t="str">
        <x:v>2024-03</x:v>
      </x:c>
      <x:c r="G79" s="10" t="n">
        <x:v>18</x:v>
      </x:c>
      <x:c r="H79" s="10" t="str">
        <x:v>Segunda-feira</x:v>
      </x:c>
      <x:c r="I79" s="11" t="b">
        <x:v>1</x:v>
      </x:c>
    </x:row>
    <x:row r="80" ht="18" customHeight="1">
      <x:c r="A80" s="16" t="n">
        <x:v>45370</x:v>
      </x:c>
      <x:c r="B80" s="10" t="n">
        <x:v>2024</x:v>
      </x:c>
      <x:c r="C80" s="10" t="n">
        <x:v>1</x:v>
      </x:c>
      <x:c r="D80" s="10" t="n">
        <x:v>3</x:v>
      </x:c>
      <x:c r="E80" s="10" t="str">
        <x:v>Março</x:v>
      </x:c>
      <x:c r="F80" s="10" t="str">
        <x:v>2024-03</x:v>
      </x:c>
      <x:c r="G80" s="10" t="n">
        <x:v>19</x:v>
      </x:c>
      <x:c r="H80" s="10" t="str">
        <x:v>Terça-feira</x:v>
      </x:c>
      <x:c r="I80" s="11" t="b">
        <x:v>1</x:v>
      </x:c>
    </x:row>
    <x:row r="81" ht="18" customHeight="1">
      <x:c r="A81" s="16" t="n">
        <x:v>45371</x:v>
      </x:c>
      <x:c r="B81" s="10" t="n">
        <x:v>2024</x:v>
      </x:c>
      <x:c r="C81" s="10" t="n">
        <x:v>1</x:v>
      </x:c>
      <x:c r="D81" s="10" t="n">
        <x:v>3</x:v>
      </x:c>
      <x:c r="E81" s="10" t="str">
        <x:v>Março</x:v>
      </x:c>
      <x:c r="F81" s="10" t="str">
        <x:v>2024-03</x:v>
      </x:c>
      <x:c r="G81" s="10" t="n">
        <x:v>20</x:v>
      </x:c>
      <x:c r="H81" s="10" t="str">
        <x:v>Quarta-feira</x:v>
      </x:c>
      <x:c r="I81" s="11" t="b">
        <x:v>1</x:v>
      </x:c>
    </x:row>
    <x:row r="82" ht="18" customHeight="1">
      <x:c r="A82" s="16" t="n">
        <x:v>45372</x:v>
      </x:c>
      <x:c r="B82" s="10" t="n">
        <x:v>2024</x:v>
      </x:c>
      <x:c r="C82" s="10" t="n">
        <x:v>1</x:v>
      </x:c>
      <x:c r="D82" s="10" t="n">
        <x:v>3</x:v>
      </x:c>
      <x:c r="E82" s="10" t="str">
        <x:v>Março</x:v>
      </x:c>
      <x:c r="F82" s="10" t="str">
        <x:v>2024-03</x:v>
      </x:c>
      <x:c r="G82" s="10" t="n">
        <x:v>21</x:v>
      </x:c>
      <x:c r="H82" s="10" t="str">
        <x:v>Quinta-feira</x:v>
      </x:c>
      <x:c r="I82" s="11" t="b">
        <x:v>1</x:v>
      </x:c>
    </x:row>
    <x:row r="83" ht="18" customHeight="1">
      <x:c r="A83" s="16" t="n">
        <x:v>45373</x:v>
      </x:c>
      <x:c r="B83" s="10" t="n">
        <x:v>2024</x:v>
      </x:c>
      <x:c r="C83" s="10" t="n">
        <x:v>1</x:v>
      </x:c>
      <x:c r="D83" s="10" t="n">
        <x:v>3</x:v>
      </x:c>
      <x:c r="E83" s="10" t="str">
        <x:v>Março</x:v>
      </x:c>
      <x:c r="F83" s="10" t="str">
        <x:v>2024-03</x:v>
      </x:c>
      <x:c r="G83" s="10" t="n">
        <x:v>22</x:v>
      </x:c>
      <x:c r="H83" s="10" t="str">
        <x:v>Sexta-feira</x:v>
      </x:c>
      <x:c r="I83" s="11" t="b">
        <x:v>1</x:v>
      </x:c>
    </x:row>
    <x:row r="84" ht="18" customHeight="1">
      <x:c r="A84" s="16" t="n">
        <x:v>45374</x:v>
      </x:c>
      <x:c r="B84" s="10" t="n">
        <x:v>2024</x:v>
      </x:c>
      <x:c r="C84" s="10" t="n">
        <x:v>1</x:v>
      </x:c>
      <x:c r="D84" s="10" t="n">
        <x:v>3</x:v>
      </x:c>
      <x:c r="E84" s="10" t="str">
        <x:v>Março</x:v>
      </x:c>
      <x:c r="F84" s="10" t="str">
        <x:v>2024-03</x:v>
      </x:c>
      <x:c r="G84" s="10" t="n">
        <x:v>23</x:v>
      </x:c>
      <x:c r="H84" s="10" t="str">
        <x:v>Sábado</x:v>
      </x:c>
      <x:c r="I84" s="11" t="b">
        <x:v>0</x:v>
      </x:c>
    </x:row>
    <x:row r="85" ht="18" customHeight="1">
      <x:c r="A85" s="16" t="n">
        <x:v>45375</x:v>
      </x:c>
      <x:c r="B85" s="10" t="n">
        <x:v>2024</x:v>
      </x:c>
      <x:c r="C85" s="10" t="n">
        <x:v>1</x:v>
      </x:c>
      <x:c r="D85" s="10" t="n">
        <x:v>3</x:v>
      </x:c>
      <x:c r="E85" s="10" t="str">
        <x:v>Março</x:v>
      </x:c>
      <x:c r="F85" s="10" t="str">
        <x:v>2024-03</x:v>
      </x:c>
      <x:c r="G85" s="10" t="n">
        <x:v>24</x:v>
      </x:c>
      <x:c r="H85" s="10" t="str">
        <x:v>Domingo</x:v>
      </x:c>
      <x:c r="I85" s="11" t="b">
        <x:v>0</x:v>
      </x:c>
    </x:row>
    <x:row r="86" ht="18" customHeight="1">
      <x:c r="A86" s="16" t="n">
        <x:v>45376</x:v>
      </x:c>
      <x:c r="B86" s="10" t="n">
        <x:v>2024</x:v>
      </x:c>
      <x:c r="C86" s="10" t="n">
        <x:v>1</x:v>
      </x:c>
      <x:c r="D86" s="10" t="n">
        <x:v>3</x:v>
      </x:c>
      <x:c r="E86" s="10" t="str">
        <x:v>Março</x:v>
      </x:c>
      <x:c r="F86" s="10" t="str">
        <x:v>2024-03</x:v>
      </x:c>
      <x:c r="G86" s="10" t="n">
        <x:v>25</x:v>
      </x:c>
      <x:c r="H86" s="10" t="str">
        <x:v>Segunda-feira</x:v>
      </x:c>
      <x:c r="I86" s="11" t="b">
        <x:v>1</x:v>
      </x:c>
    </x:row>
    <x:row r="87" ht="18" customHeight="1">
      <x:c r="A87" s="16" t="n">
        <x:v>45377</x:v>
      </x:c>
      <x:c r="B87" s="10" t="n">
        <x:v>2024</x:v>
      </x:c>
      <x:c r="C87" s="10" t="n">
        <x:v>1</x:v>
      </x:c>
      <x:c r="D87" s="10" t="n">
        <x:v>3</x:v>
      </x:c>
      <x:c r="E87" s="10" t="str">
        <x:v>Março</x:v>
      </x:c>
      <x:c r="F87" s="10" t="str">
        <x:v>2024-03</x:v>
      </x:c>
      <x:c r="G87" s="10" t="n">
        <x:v>26</x:v>
      </x:c>
      <x:c r="H87" s="10" t="str">
        <x:v>Terça-feira</x:v>
      </x:c>
      <x:c r="I87" s="11" t="b">
        <x:v>1</x:v>
      </x:c>
    </x:row>
    <x:row r="88" ht="18" customHeight="1">
      <x:c r="A88" s="16" t="n">
        <x:v>45378</x:v>
      </x:c>
      <x:c r="B88" s="10" t="n">
        <x:v>2024</x:v>
      </x:c>
      <x:c r="C88" s="10" t="n">
        <x:v>1</x:v>
      </x:c>
      <x:c r="D88" s="10" t="n">
        <x:v>3</x:v>
      </x:c>
      <x:c r="E88" s="10" t="str">
        <x:v>Março</x:v>
      </x:c>
      <x:c r="F88" s="10" t="str">
        <x:v>2024-03</x:v>
      </x:c>
      <x:c r="G88" s="10" t="n">
        <x:v>27</x:v>
      </x:c>
      <x:c r="H88" s="10" t="str">
        <x:v>Quarta-feira</x:v>
      </x:c>
      <x:c r="I88" s="11" t="b">
        <x:v>1</x:v>
      </x:c>
    </x:row>
    <x:row r="89" ht="18" customHeight="1">
      <x:c r="A89" s="16" t="n">
        <x:v>45379</x:v>
      </x:c>
      <x:c r="B89" s="10" t="n">
        <x:v>2024</x:v>
      </x:c>
      <x:c r="C89" s="10" t="n">
        <x:v>1</x:v>
      </x:c>
      <x:c r="D89" s="10" t="n">
        <x:v>3</x:v>
      </x:c>
      <x:c r="E89" s="10" t="str">
        <x:v>Março</x:v>
      </x:c>
      <x:c r="F89" s="10" t="str">
        <x:v>2024-03</x:v>
      </x:c>
      <x:c r="G89" s="10" t="n">
        <x:v>28</x:v>
      </x:c>
      <x:c r="H89" s="10" t="str">
        <x:v>Quinta-feira</x:v>
      </x:c>
      <x:c r="I89" s="11" t="b">
        <x:v>1</x:v>
      </x:c>
    </x:row>
    <x:row r="90" ht="18" customHeight="1">
      <x:c r="A90" s="16" t="n">
        <x:v>45380</x:v>
      </x:c>
      <x:c r="B90" s="10" t="n">
        <x:v>2024</x:v>
      </x:c>
      <x:c r="C90" s="10" t="n">
        <x:v>1</x:v>
      </x:c>
      <x:c r="D90" s="10" t="n">
        <x:v>3</x:v>
      </x:c>
      <x:c r="E90" s="10" t="str">
        <x:v>Março</x:v>
      </x:c>
      <x:c r="F90" s="10" t="str">
        <x:v>2024-03</x:v>
      </x:c>
      <x:c r="G90" s="10" t="n">
        <x:v>29</x:v>
      </x:c>
      <x:c r="H90" s="10" t="str">
        <x:v>Sexta-feira</x:v>
      </x:c>
      <x:c r="I90" s="11" t="b">
        <x:v>1</x:v>
      </x:c>
    </x:row>
    <x:row r="91" ht="18" customHeight="1">
      <x:c r="A91" s="16" t="n">
        <x:v>45381</x:v>
      </x:c>
      <x:c r="B91" s="10" t="n">
        <x:v>2024</x:v>
      </x:c>
      <x:c r="C91" s="10" t="n">
        <x:v>1</x:v>
      </x:c>
      <x:c r="D91" s="10" t="n">
        <x:v>3</x:v>
      </x:c>
      <x:c r="E91" s="10" t="str">
        <x:v>Março</x:v>
      </x:c>
      <x:c r="F91" s="10" t="str">
        <x:v>2024-03</x:v>
      </x:c>
      <x:c r="G91" s="10" t="n">
        <x:v>30</x:v>
      </x:c>
      <x:c r="H91" s="10" t="str">
        <x:v>Sábado</x:v>
      </x:c>
      <x:c r="I91" s="11" t="b">
        <x:v>0</x:v>
      </x:c>
    </x:row>
    <x:row r="92" ht="18" customHeight="1">
      <x:c r="A92" s="16" t="n">
        <x:v>45382</x:v>
      </x:c>
      <x:c r="B92" s="10" t="n">
        <x:v>2024</x:v>
      </x:c>
      <x:c r="C92" s="10" t="n">
        <x:v>1</x:v>
      </x:c>
      <x:c r="D92" s="10" t="n">
        <x:v>3</x:v>
      </x:c>
      <x:c r="E92" s="10" t="str">
        <x:v>Março</x:v>
      </x:c>
      <x:c r="F92" s="10" t="str">
        <x:v>2024-03</x:v>
      </x:c>
      <x:c r="G92" s="10" t="n">
        <x:v>31</x:v>
      </x:c>
      <x:c r="H92" s="10" t="str">
        <x:v>Domingo</x:v>
      </x:c>
      <x:c r="I92" s="11" t="b">
        <x:v>0</x:v>
      </x:c>
    </x:row>
    <x:row r="93" ht="18" customHeight="1">
      <x:c r="A93" s="16" t="n">
        <x:v>45383</x:v>
      </x:c>
      <x:c r="B93" s="10" t="n">
        <x:v>2024</x:v>
      </x:c>
      <x:c r="C93" s="10" t="n">
        <x:v>2</x:v>
      </x:c>
      <x:c r="D93" s="10" t="n">
        <x:v>4</x:v>
      </x:c>
      <x:c r="E93" s="10" t="str">
        <x:v>Abril</x:v>
      </x:c>
      <x:c r="F93" s="10" t="str">
        <x:v>2024-04</x:v>
      </x:c>
      <x:c r="G93" s="10" t="n">
        <x:v>1</x:v>
      </x:c>
      <x:c r="H93" s="10" t="str">
        <x:v>Segunda-feira</x:v>
      </x:c>
      <x:c r="I93" s="11" t="b">
        <x:v>1</x:v>
      </x:c>
    </x:row>
    <x:row r="94" ht="18" customHeight="1">
      <x:c r="A94" s="16" t="n">
        <x:v>45384</x:v>
      </x:c>
      <x:c r="B94" s="10" t="n">
        <x:v>2024</x:v>
      </x:c>
      <x:c r="C94" s="10" t="n">
        <x:v>2</x:v>
      </x:c>
      <x:c r="D94" s="10" t="n">
        <x:v>4</x:v>
      </x:c>
      <x:c r="E94" s="10" t="str">
        <x:v>Abril</x:v>
      </x:c>
      <x:c r="F94" s="10" t="str">
        <x:v>2024-04</x:v>
      </x:c>
      <x:c r="G94" s="10" t="n">
        <x:v>2</x:v>
      </x:c>
      <x:c r="H94" s="10" t="str">
        <x:v>Terça-feira</x:v>
      </x:c>
      <x:c r="I94" s="11" t="b">
        <x:v>1</x:v>
      </x:c>
    </x:row>
    <x:row r="95" ht="18" customHeight="1">
      <x:c r="A95" s="16" t="n">
        <x:v>45385</x:v>
      </x:c>
      <x:c r="B95" s="10" t="n">
        <x:v>2024</x:v>
      </x:c>
      <x:c r="C95" s="10" t="n">
        <x:v>2</x:v>
      </x:c>
      <x:c r="D95" s="10" t="n">
        <x:v>4</x:v>
      </x:c>
      <x:c r="E95" s="10" t="str">
        <x:v>Abril</x:v>
      </x:c>
      <x:c r="F95" s="10" t="str">
        <x:v>2024-04</x:v>
      </x:c>
      <x:c r="G95" s="10" t="n">
        <x:v>3</x:v>
      </x:c>
      <x:c r="H95" s="10" t="str">
        <x:v>Quarta-feira</x:v>
      </x:c>
      <x:c r="I95" s="11" t="b">
        <x:v>1</x:v>
      </x:c>
    </x:row>
    <x:row r="96" ht="18" customHeight="1">
      <x:c r="A96" s="16" t="n">
        <x:v>45386</x:v>
      </x:c>
      <x:c r="B96" s="10" t="n">
        <x:v>2024</x:v>
      </x:c>
      <x:c r="C96" s="10" t="n">
        <x:v>2</x:v>
      </x:c>
      <x:c r="D96" s="10" t="n">
        <x:v>4</x:v>
      </x:c>
      <x:c r="E96" s="10" t="str">
        <x:v>Abril</x:v>
      </x:c>
      <x:c r="F96" s="10" t="str">
        <x:v>2024-04</x:v>
      </x:c>
      <x:c r="G96" s="10" t="n">
        <x:v>4</x:v>
      </x:c>
      <x:c r="H96" s="10" t="str">
        <x:v>Quinta-feira</x:v>
      </x:c>
      <x:c r="I96" s="11" t="b">
        <x:v>1</x:v>
      </x:c>
    </x:row>
    <x:row r="97" ht="18" customHeight="1">
      <x:c r="A97" s="16" t="n">
        <x:v>45387</x:v>
      </x:c>
      <x:c r="B97" s="10" t="n">
        <x:v>2024</x:v>
      </x:c>
      <x:c r="C97" s="10" t="n">
        <x:v>2</x:v>
      </x:c>
      <x:c r="D97" s="10" t="n">
        <x:v>4</x:v>
      </x:c>
      <x:c r="E97" s="10" t="str">
        <x:v>Abril</x:v>
      </x:c>
      <x:c r="F97" s="10" t="str">
        <x:v>2024-04</x:v>
      </x:c>
      <x:c r="G97" s="10" t="n">
        <x:v>5</x:v>
      </x:c>
      <x:c r="H97" s="10" t="str">
        <x:v>Sexta-feira</x:v>
      </x:c>
      <x:c r="I97" s="11" t="b">
        <x:v>1</x:v>
      </x:c>
    </x:row>
    <x:row r="98" ht="18" customHeight="1">
      <x:c r="A98" s="16" t="n">
        <x:v>45388</x:v>
      </x:c>
      <x:c r="B98" s="10" t="n">
        <x:v>2024</x:v>
      </x:c>
      <x:c r="C98" s="10" t="n">
        <x:v>2</x:v>
      </x:c>
      <x:c r="D98" s="10" t="n">
        <x:v>4</x:v>
      </x:c>
      <x:c r="E98" s="10" t="str">
        <x:v>Abril</x:v>
      </x:c>
      <x:c r="F98" s="10" t="str">
        <x:v>2024-04</x:v>
      </x:c>
      <x:c r="G98" s="10" t="n">
        <x:v>6</x:v>
      </x:c>
      <x:c r="H98" s="10" t="str">
        <x:v>Sábado</x:v>
      </x:c>
      <x:c r="I98" s="11" t="b">
        <x:v>0</x:v>
      </x:c>
    </x:row>
    <x:row r="99" ht="18" customHeight="1">
      <x:c r="A99" s="16" t="n">
        <x:v>45389</x:v>
      </x:c>
      <x:c r="B99" s="10" t="n">
        <x:v>2024</x:v>
      </x:c>
      <x:c r="C99" s="10" t="n">
        <x:v>2</x:v>
      </x:c>
      <x:c r="D99" s="10" t="n">
        <x:v>4</x:v>
      </x:c>
      <x:c r="E99" s="10" t="str">
        <x:v>Abril</x:v>
      </x:c>
      <x:c r="F99" s="10" t="str">
        <x:v>2024-04</x:v>
      </x:c>
      <x:c r="G99" s="10" t="n">
        <x:v>7</x:v>
      </x:c>
      <x:c r="H99" s="10" t="str">
        <x:v>Domingo</x:v>
      </x:c>
      <x:c r="I99" s="11" t="b">
        <x:v>0</x:v>
      </x:c>
    </x:row>
    <x:row r="100" ht="18" customHeight="1">
      <x:c r="A100" s="16" t="n">
        <x:v>45390</x:v>
      </x:c>
      <x:c r="B100" s="10" t="n">
        <x:v>2024</x:v>
      </x:c>
      <x:c r="C100" s="10" t="n">
        <x:v>2</x:v>
      </x:c>
      <x:c r="D100" s="10" t="n">
        <x:v>4</x:v>
      </x:c>
      <x:c r="E100" s="10" t="str">
        <x:v>Abril</x:v>
      </x:c>
      <x:c r="F100" s="10" t="str">
        <x:v>2024-04</x:v>
      </x:c>
      <x:c r="G100" s="10" t="n">
        <x:v>8</x:v>
      </x:c>
      <x:c r="H100" s="10" t="str">
        <x:v>Segunda-feira</x:v>
      </x:c>
      <x:c r="I100" s="11" t="b">
        <x:v>1</x:v>
      </x:c>
    </x:row>
    <x:row r="101" ht="18" customHeight="1">
      <x:c r="A101" s="16" t="n">
        <x:v>45391</x:v>
      </x:c>
      <x:c r="B101" s="10" t="n">
        <x:v>2024</x:v>
      </x:c>
      <x:c r="C101" s="10" t="n">
        <x:v>2</x:v>
      </x:c>
      <x:c r="D101" s="10" t="n">
        <x:v>4</x:v>
      </x:c>
      <x:c r="E101" s="10" t="str">
        <x:v>Abril</x:v>
      </x:c>
      <x:c r="F101" s="10" t="str">
        <x:v>2024-04</x:v>
      </x:c>
      <x:c r="G101" s="10" t="n">
        <x:v>9</x:v>
      </x:c>
      <x:c r="H101" s="10" t="str">
        <x:v>Terça-feira</x:v>
      </x:c>
      <x:c r="I101" s="11" t="b">
        <x:v>1</x:v>
      </x:c>
    </x:row>
    <x:row r="102" ht="18" customHeight="1">
      <x:c r="A102" s="16" t="n">
        <x:v>45392</x:v>
      </x:c>
      <x:c r="B102" s="10" t="n">
        <x:v>2024</x:v>
      </x:c>
      <x:c r="C102" s="10" t="n">
        <x:v>2</x:v>
      </x:c>
      <x:c r="D102" s="10" t="n">
        <x:v>4</x:v>
      </x:c>
      <x:c r="E102" s="10" t="str">
        <x:v>Abril</x:v>
      </x:c>
      <x:c r="F102" s="10" t="str">
        <x:v>2024-04</x:v>
      </x:c>
      <x:c r="G102" s="10" t="n">
        <x:v>10</x:v>
      </x:c>
      <x:c r="H102" s="10" t="str">
        <x:v>Quarta-feira</x:v>
      </x:c>
      <x:c r="I102" s="11" t="b">
        <x:v>1</x:v>
      </x:c>
    </x:row>
    <x:row r="103" ht="18" customHeight="1">
      <x:c r="A103" s="16" t="n">
        <x:v>45393</x:v>
      </x:c>
      <x:c r="B103" s="10" t="n">
        <x:v>2024</x:v>
      </x:c>
      <x:c r="C103" s="10" t="n">
        <x:v>2</x:v>
      </x:c>
      <x:c r="D103" s="10" t="n">
        <x:v>4</x:v>
      </x:c>
      <x:c r="E103" s="10" t="str">
        <x:v>Abril</x:v>
      </x:c>
      <x:c r="F103" s="10" t="str">
        <x:v>2024-04</x:v>
      </x:c>
      <x:c r="G103" s="10" t="n">
        <x:v>11</x:v>
      </x:c>
      <x:c r="H103" s="10" t="str">
        <x:v>Quinta-feira</x:v>
      </x:c>
      <x:c r="I103" s="11" t="b">
        <x:v>1</x:v>
      </x:c>
    </x:row>
    <x:row r="104" ht="18" customHeight="1">
      <x:c r="A104" s="16" t="n">
        <x:v>45394</x:v>
      </x:c>
      <x:c r="B104" s="10" t="n">
        <x:v>2024</x:v>
      </x:c>
      <x:c r="C104" s="10" t="n">
        <x:v>2</x:v>
      </x:c>
      <x:c r="D104" s="10" t="n">
        <x:v>4</x:v>
      </x:c>
      <x:c r="E104" s="10" t="str">
        <x:v>Abril</x:v>
      </x:c>
      <x:c r="F104" s="10" t="str">
        <x:v>2024-04</x:v>
      </x:c>
      <x:c r="G104" s="10" t="n">
        <x:v>12</x:v>
      </x:c>
      <x:c r="H104" s="10" t="str">
        <x:v>Sexta-feira</x:v>
      </x:c>
      <x:c r="I104" s="11" t="b">
        <x:v>1</x:v>
      </x:c>
    </x:row>
    <x:row r="105" ht="18" customHeight="1">
      <x:c r="A105" s="16" t="n">
        <x:v>45395</x:v>
      </x:c>
      <x:c r="B105" s="10" t="n">
        <x:v>2024</x:v>
      </x:c>
      <x:c r="C105" s="10" t="n">
        <x:v>2</x:v>
      </x:c>
      <x:c r="D105" s="10" t="n">
        <x:v>4</x:v>
      </x:c>
      <x:c r="E105" s="10" t="str">
        <x:v>Abril</x:v>
      </x:c>
      <x:c r="F105" s="10" t="str">
        <x:v>2024-04</x:v>
      </x:c>
      <x:c r="G105" s="10" t="n">
        <x:v>13</x:v>
      </x:c>
      <x:c r="H105" s="10" t="str">
        <x:v>Sábado</x:v>
      </x:c>
      <x:c r="I105" s="11" t="b">
        <x:v>0</x:v>
      </x:c>
    </x:row>
    <x:row r="106" ht="18" customHeight="1">
      <x:c r="A106" s="16" t="n">
        <x:v>45396</x:v>
      </x:c>
      <x:c r="B106" s="10" t="n">
        <x:v>2024</x:v>
      </x:c>
      <x:c r="C106" s="10" t="n">
        <x:v>2</x:v>
      </x:c>
      <x:c r="D106" s="10" t="n">
        <x:v>4</x:v>
      </x:c>
      <x:c r="E106" s="10" t="str">
        <x:v>Abril</x:v>
      </x:c>
      <x:c r="F106" s="10" t="str">
        <x:v>2024-04</x:v>
      </x:c>
      <x:c r="G106" s="10" t="n">
        <x:v>14</x:v>
      </x:c>
      <x:c r="H106" s="10" t="str">
        <x:v>Domingo</x:v>
      </x:c>
      <x:c r="I106" s="11" t="b">
        <x:v>0</x:v>
      </x:c>
    </x:row>
    <x:row r="107" ht="18" customHeight="1">
      <x:c r="A107" s="16" t="n">
        <x:v>45397</x:v>
      </x:c>
      <x:c r="B107" s="10" t="n">
        <x:v>2024</x:v>
      </x:c>
      <x:c r="C107" s="10" t="n">
        <x:v>2</x:v>
      </x:c>
      <x:c r="D107" s="10" t="n">
        <x:v>4</x:v>
      </x:c>
      <x:c r="E107" s="10" t="str">
        <x:v>Abril</x:v>
      </x:c>
      <x:c r="F107" s="10" t="str">
        <x:v>2024-04</x:v>
      </x:c>
      <x:c r="G107" s="10" t="n">
        <x:v>15</x:v>
      </x:c>
      <x:c r="H107" s="10" t="str">
        <x:v>Segunda-feira</x:v>
      </x:c>
      <x:c r="I107" s="11" t="b">
        <x:v>1</x:v>
      </x:c>
    </x:row>
    <x:row r="108" ht="18" customHeight="1">
      <x:c r="A108" s="16" t="n">
        <x:v>45398</x:v>
      </x:c>
      <x:c r="B108" s="10" t="n">
        <x:v>2024</x:v>
      </x:c>
      <x:c r="C108" s="10" t="n">
        <x:v>2</x:v>
      </x:c>
      <x:c r="D108" s="10" t="n">
        <x:v>4</x:v>
      </x:c>
      <x:c r="E108" s="10" t="str">
        <x:v>Abril</x:v>
      </x:c>
      <x:c r="F108" s="10" t="str">
        <x:v>2024-04</x:v>
      </x:c>
      <x:c r="G108" s="10" t="n">
        <x:v>16</x:v>
      </x:c>
      <x:c r="H108" s="10" t="str">
        <x:v>Terça-feira</x:v>
      </x:c>
      <x:c r="I108" s="11" t="b">
        <x:v>1</x:v>
      </x:c>
    </x:row>
    <x:row r="109" ht="18" customHeight="1">
      <x:c r="A109" s="16" t="n">
        <x:v>45399</x:v>
      </x:c>
      <x:c r="B109" s="10" t="n">
        <x:v>2024</x:v>
      </x:c>
      <x:c r="C109" s="10" t="n">
        <x:v>2</x:v>
      </x:c>
      <x:c r="D109" s="10" t="n">
        <x:v>4</x:v>
      </x:c>
      <x:c r="E109" s="10" t="str">
        <x:v>Abril</x:v>
      </x:c>
      <x:c r="F109" s="10" t="str">
        <x:v>2024-04</x:v>
      </x:c>
      <x:c r="G109" s="10" t="n">
        <x:v>17</x:v>
      </x:c>
      <x:c r="H109" s="10" t="str">
        <x:v>Quarta-feira</x:v>
      </x:c>
      <x:c r="I109" s="11" t="b">
        <x:v>1</x:v>
      </x:c>
    </x:row>
    <x:row r="110" ht="18" customHeight="1">
      <x:c r="A110" s="16" t="n">
        <x:v>45400</x:v>
      </x:c>
      <x:c r="B110" s="10" t="n">
        <x:v>2024</x:v>
      </x:c>
      <x:c r="C110" s="10" t="n">
        <x:v>2</x:v>
      </x:c>
      <x:c r="D110" s="10" t="n">
        <x:v>4</x:v>
      </x:c>
      <x:c r="E110" s="10" t="str">
        <x:v>Abril</x:v>
      </x:c>
      <x:c r="F110" s="10" t="str">
        <x:v>2024-04</x:v>
      </x:c>
      <x:c r="G110" s="10" t="n">
        <x:v>18</x:v>
      </x:c>
      <x:c r="H110" s="10" t="str">
        <x:v>Quinta-feira</x:v>
      </x:c>
      <x:c r="I110" s="11" t="b">
        <x:v>1</x:v>
      </x:c>
    </x:row>
    <x:row r="111" ht="18" customHeight="1">
      <x:c r="A111" s="16" t="n">
        <x:v>45401</x:v>
      </x:c>
      <x:c r="B111" s="10" t="n">
        <x:v>2024</x:v>
      </x:c>
      <x:c r="C111" s="10" t="n">
        <x:v>2</x:v>
      </x:c>
      <x:c r="D111" s="10" t="n">
        <x:v>4</x:v>
      </x:c>
      <x:c r="E111" s="10" t="str">
        <x:v>Abril</x:v>
      </x:c>
      <x:c r="F111" s="10" t="str">
        <x:v>2024-04</x:v>
      </x:c>
      <x:c r="G111" s="10" t="n">
        <x:v>19</x:v>
      </x:c>
      <x:c r="H111" s="10" t="str">
        <x:v>Sexta-feira</x:v>
      </x:c>
      <x:c r="I111" s="11" t="b">
        <x:v>1</x:v>
      </x:c>
    </x:row>
    <x:row r="112" ht="18" customHeight="1">
      <x:c r="A112" s="16" t="n">
        <x:v>45402</x:v>
      </x:c>
      <x:c r="B112" s="10" t="n">
        <x:v>2024</x:v>
      </x:c>
      <x:c r="C112" s="10" t="n">
        <x:v>2</x:v>
      </x:c>
      <x:c r="D112" s="10" t="n">
        <x:v>4</x:v>
      </x:c>
      <x:c r="E112" s="10" t="str">
        <x:v>Abril</x:v>
      </x:c>
      <x:c r="F112" s="10" t="str">
        <x:v>2024-04</x:v>
      </x:c>
      <x:c r="G112" s="10" t="n">
        <x:v>20</x:v>
      </x:c>
      <x:c r="H112" s="10" t="str">
        <x:v>Sábado</x:v>
      </x:c>
      <x:c r="I112" s="11" t="b">
        <x:v>0</x:v>
      </x:c>
    </x:row>
    <x:row r="113" ht="18" customHeight="1">
      <x:c r="A113" s="16" t="n">
        <x:v>45403</x:v>
      </x:c>
      <x:c r="B113" s="10" t="n">
        <x:v>2024</x:v>
      </x:c>
      <x:c r="C113" s="10" t="n">
        <x:v>2</x:v>
      </x:c>
      <x:c r="D113" s="10" t="n">
        <x:v>4</x:v>
      </x:c>
      <x:c r="E113" s="10" t="str">
        <x:v>Abril</x:v>
      </x:c>
      <x:c r="F113" s="10" t="str">
        <x:v>2024-04</x:v>
      </x:c>
      <x:c r="G113" s="10" t="n">
        <x:v>21</x:v>
      </x:c>
      <x:c r="H113" s="10" t="str">
        <x:v>Domingo</x:v>
      </x:c>
      <x:c r="I113" s="11" t="b">
        <x:v>0</x:v>
      </x:c>
    </x:row>
    <x:row r="114" ht="18" customHeight="1">
      <x:c r="A114" s="16" t="n">
        <x:v>45404</x:v>
      </x:c>
      <x:c r="B114" s="10" t="n">
        <x:v>2024</x:v>
      </x:c>
      <x:c r="C114" s="10" t="n">
        <x:v>2</x:v>
      </x:c>
      <x:c r="D114" s="10" t="n">
        <x:v>4</x:v>
      </x:c>
      <x:c r="E114" s="10" t="str">
        <x:v>Abril</x:v>
      </x:c>
      <x:c r="F114" s="10" t="str">
        <x:v>2024-04</x:v>
      </x:c>
      <x:c r="G114" s="10" t="n">
        <x:v>22</x:v>
      </x:c>
      <x:c r="H114" s="10" t="str">
        <x:v>Segunda-feira</x:v>
      </x:c>
      <x:c r="I114" s="11" t="b">
        <x:v>1</x:v>
      </x:c>
    </x:row>
    <x:row r="115" ht="18" customHeight="1">
      <x:c r="A115" s="16" t="n">
        <x:v>45405</x:v>
      </x:c>
      <x:c r="B115" s="10" t="n">
        <x:v>2024</x:v>
      </x:c>
      <x:c r="C115" s="10" t="n">
        <x:v>2</x:v>
      </x:c>
      <x:c r="D115" s="10" t="n">
        <x:v>4</x:v>
      </x:c>
      <x:c r="E115" s="10" t="str">
        <x:v>Abril</x:v>
      </x:c>
      <x:c r="F115" s="10" t="str">
        <x:v>2024-04</x:v>
      </x:c>
      <x:c r="G115" s="10" t="n">
        <x:v>23</x:v>
      </x:c>
      <x:c r="H115" s="10" t="str">
        <x:v>Terça-feira</x:v>
      </x:c>
      <x:c r="I115" s="11" t="b">
        <x:v>1</x:v>
      </x:c>
    </x:row>
    <x:row r="116" ht="18" customHeight="1">
      <x:c r="A116" s="16" t="n">
        <x:v>45406</x:v>
      </x:c>
      <x:c r="B116" s="10" t="n">
        <x:v>2024</x:v>
      </x:c>
      <x:c r="C116" s="10" t="n">
        <x:v>2</x:v>
      </x:c>
      <x:c r="D116" s="10" t="n">
        <x:v>4</x:v>
      </x:c>
      <x:c r="E116" s="10" t="str">
        <x:v>Abril</x:v>
      </x:c>
      <x:c r="F116" s="10" t="str">
        <x:v>2024-04</x:v>
      </x:c>
      <x:c r="G116" s="10" t="n">
        <x:v>24</x:v>
      </x:c>
      <x:c r="H116" s="10" t="str">
        <x:v>Quarta-feira</x:v>
      </x:c>
      <x:c r="I116" s="11" t="b">
        <x:v>1</x:v>
      </x:c>
    </x:row>
    <x:row r="117" ht="18" customHeight="1">
      <x:c r="A117" s="16" t="n">
        <x:v>45407</x:v>
      </x:c>
      <x:c r="B117" s="10" t="n">
        <x:v>2024</x:v>
      </x:c>
      <x:c r="C117" s="10" t="n">
        <x:v>2</x:v>
      </x:c>
      <x:c r="D117" s="10" t="n">
        <x:v>4</x:v>
      </x:c>
      <x:c r="E117" s="10" t="str">
        <x:v>Abril</x:v>
      </x:c>
      <x:c r="F117" s="10" t="str">
        <x:v>2024-04</x:v>
      </x:c>
      <x:c r="G117" s="10" t="n">
        <x:v>25</x:v>
      </x:c>
      <x:c r="H117" s="10" t="str">
        <x:v>Quinta-feira</x:v>
      </x:c>
      <x:c r="I117" s="11" t="b">
        <x:v>1</x:v>
      </x:c>
    </x:row>
    <x:row r="118" ht="18" customHeight="1">
      <x:c r="A118" s="16" t="n">
        <x:v>45408</x:v>
      </x:c>
      <x:c r="B118" s="10" t="n">
        <x:v>2024</x:v>
      </x:c>
      <x:c r="C118" s="10" t="n">
        <x:v>2</x:v>
      </x:c>
      <x:c r="D118" s="10" t="n">
        <x:v>4</x:v>
      </x:c>
      <x:c r="E118" s="10" t="str">
        <x:v>Abril</x:v>
      </x:c>
      <x:c r="F118" s="10" t="str">
        <x:v>2024-04</x:v>
      </x:c>
      <x:c r="G118" s="10" t="n">
        <x:v>26</x:v>
      </x:c>
      <x:c r="H118" s="10" t="str">
        <x:v>Sexta-feira</x:v>
      </x:c>
      <x:c r="I118" s="11" t="b">
        <x:v>1</x:v>
      </x:c>
    </x:row>
    <x:row r="119" ht="18" customHeight="1">
      <x:c r="A119" s="16" t="n">
        <x:v>45409</x:v>
      </x:c>
      <x:c r="B119" s="10" t="n">
        <x:v>2024</x:v>
      </x:c>
      <x:c r="C119" s="10" t="n">
        <x:v>2</x:v>
      </x:c>
      <x:c r="D119" s="10" t="n">
        <x:v>4</x:v>
      </x:c>
      <x:c r="E119" s="10" t="str">
        <x:v>Abril</x:v>
      </x:c>
      <x:c r="F119" s="10" t="str">
        <x:v>2024-04</x:v>
      </x:c>
      <x:c r="G119" s="10" t="n">
        <x:v>27</x:v>
      </x:c>
      <x:c r="H119" s="10" t="str">
        <x:v>Sábado</x:v>
      </x:c>
      <x:c r="I119" s="11" t="b">
        <x:v>0</x:v>
      </x:c>
    </x:row>
    <x:row r="120" ht="18" customHeight="1">
      <x:c r="A120" s="16" t="n">
        <x:v>45410</x:v>
      </x:c>
      <x:c r="B120" s="10" t="n">
        <x:v>2024</x:v>
      </x:c>
      <x:c r="C120" s="10" t="n">
        <x:v>2</x:v>
      </x:c>
      <x:c r="D120" s="10" t="n">
        <x:v>4</x:v>
      </x:c>
      <x:c r="E120" s="10" t="str">
        <x:v>Abril</x:v>
      </x:c>
      <x:c r="F120" s="10" t="str">
        <x:v>2024-04</x:v>
      </x:c>
      <x:c r="G120" s="10" t="n">
        <x:v>28</x:v>
      </x:c>
      <x:c r="H120" s="10" t="str">
        <x:v>Domingo</x:v>
      </x:c>
      <x:c r="I120" s="11" t="b">
        <x:v>0</x:v>
      </x:c>
    </x:row>
    <x:row r="121" ht="18" customHeight="1">
      <x:c r="A121" s="16" t="n">
        <x:v>45411</x:v>
      </x:c>
      <x:c r="B121" s="10" t="n">
        <x:v>2024</x:v>
      </x:c>
      <x:c r="C121" s="10" t="n">
        <x:v>2</x:v>
      </x:c>
      <x:c r="D121" s="10" t="n">
        <x:v>4</x:v>
      </x:c>
      <x:c r="E121" s="10" t="str">
        <x:v>Abril</x:v>
      </x:c>
      <x:c r="F121" s="10" t="str">
        <x:v>2024-04</x:v>
      </x:c>
      <x:c r="G121" s="10" t="n">
        <x:v>29</x:v>
      </x:c>
      <x:c r="H121" s="10" t="str">
        <x:v>Segunda-feira</x:v>
      </x:c>
      <x:c r="I121" s="11" t="b">
        <x:v>1</x:v>
      </x:c>
    </x:row>
    <x:row r="122" ht="18" customHeight="1">
      <x:c r="A122" s="16" t="n">
        <x:v>45412</x:v>
      </x:c>
      <x:c r="B122" s="10" t="n">
        <x:v>2024</x:v>
      </x:c>
      <x:c r="C122" s="10" t="n">
        <x:v>2</x:v>
      </x:c>
      <x:c r="D122" s="10" t="n">
        <x:v>4</x:v>
      </x:c>
      <x:c r="E122" s="10" t="str">
        <x:v>Abril</x:v>
      </x:c>
      <x:c r="F122" s="10" t="str">
        <x:v>2024-04</x:v>
      </x:c>
      <x:c r="G122" s="10" t="n">
        <x:v>30</x:v>
      </x:c>
      <x:c r="H122" s="10" t="str">
        <x:v>Terça-feira</x:v>
      </x:c>
      <x:c r="I122" s="11" t="b">
        <x:v>1</x:v>
      </x:c>
    </x:row>
    <x:row r="123" ht="18" customHeight="1">
      <x:c r="A123" s="16" t="n">
        <x:v>45413</x:v>
      </x:c>
      <x:c r="B123" s="10" t="n">
        <x:v>2024</x:v>
      </x:c>
      <x:c r="C123" s="10" t="n">
        <x:v>2</x:v>
      </x:c>
      <x:c r="D123" s="10" t="n">
        <x:v>5</x:v>
      </x:c>
      <x:c r="E123" s="10" t="str">
        <x:v>Maio</x:v>
      </x:c>
      <x:c r="F123" s="10" t="str">
        <x:v>2024-05</x:v>
      </x:c>
      <x:c r="G123" s="10" t="n">
        <x:v>1</x:v>
      </x:c>
      <x:c r="H123" s="10" t="str">
        <x:v>Quarta-feira</x:v>
      </x:c>
      <x:c r="I123" s="11" t="b">
        <x:v>1</x:v>
      </x:c>
    </x:row>
    <x:row r="124" ht="18" customHeight="1">
      <x:c r="A124" s="16" t="n">
        <x:v>45414</x:v>
      </x:c>
      <x:c r="B124" s="10" t="n">
        <x:v>2024</x:v>
      </x:c>
      <x:c r="C124" s="10" t="n">
        <x:v>2</x:v>
      </x:c>
      <x:c r="D124" s="10" t="n">
        <x:v>5</x:v>
      </x:c>
      <x:c r="E124" s="10" t="str">
        <x:v>Maio</x:v>
      </x:c>
      <x:c r="F124" s="10" t="str">
        <x:v>2024-05</x:v>
      </x:c>
      <x:c r="G124" s="10" t="n">
        <x:v>2</x:v>
      </x:c>
      <x:c r="H124" s="10" t="str">
        <x:v>Quinta-feira</x:v>
      </x:c>
      <x:c r="I124" s="11" t="b">
        <x:v>1</x:v>
      </x:c>
    </x:row>
    <x:row r="125" ht="18" customHeight="1">
      <x:c r="A125" s="16" t="n">
        <x:v>45415</x:v>
      </x:c>
      <x:c r="B125" s="10" t="n">
        <x:v>2024</x:v>
      </x:c>
      <x:c r="C125" s="10" t="n">
        <x:v>2</x:v>
      </x:c>
      <x:c r="D125" s="10" t="n">
        <x:v>5</x:v>
      </x:c>
      <x:c r="E125" s="10" t="str">
        <x:v>Maio</x:v>
      </x:c>
      <x:c r="F125" s="10" t="str">
        <x:v>2024-05</x:v>
      </x:c>
      <x:c r="G125" s="10" t="n">
        <x:v>3</x:v>
      </x:c>
      <x:c r="H125" s="10" t="str">
        <x:v>Sexta-feira</x:v>
      </x:c>
      <x:c r="I125" s="11" t="b">
        <x:v>1</x:v>
      </x:c>
    </x:row>
    <x:row r="126" ht="18" customHeight="1">
      <x:c r="A126" s="16" t="n">
        <x:v>45416</x:v>
      </x:c>
      <x:c r="B126" s="10" t="n">
        <x:v>2024</x:v>
      </x:c>
      <x:c r="C126" s="10" t="n">
        <x:v>2</x:v>
      </x:c>
      <x:c r="D126" s="10" t="n">
        <x:v>5</x:v>
      </x:c>
      <x:c r="E126" s="10" t="str">
        <x:v>Maio</x:v>
      </x:c>
      <x:c r="F126" s="10" t="str">
        <x:v>2024-05</x:v>
      </x:c>
      <x:c r="G126" s="10" t="n">
        <x:v>4</x:v>
      </x:c>
      <x:c r="H126" s="10" t="str">
        <x:v>Sábado</x:v>
      </x:c>
      <x:c r="I126" s="11" t="b">
        <x:v>0</x:v>
      </x:c>
    </x:row>
    <x:row r="127" ht="18" customHeight="1">
      <x:c r="A127" s="16" t="n">
        <x:v>45417</x:v>
      </x:c>
      <x:c r="B127" s="10" t="n">
        <x:v>2024</x:v>
      </x:c>
      <x:c r="C127" s="10" t="n">
        <x:v>2</x:v>
      </x:c>
      <x:c r="D127" s="10" t="n">
        <x:v>5</x:v>
      </x:c>
      <x:c r="E127" s="10" t="str">
        <x:v>Maio</x:v>
      </x:c>
      <x:c r="F127" s="10" t="str">
        <x:v>2024-05</x:v>
      </x:c>
      <x:c r="G127" s="10" t="n">
        <x:v>5</x:v>
      </x:c>
      <x:c r="H127" s="10" t="str">
        <x:v>Domingo</x:v>
      </x:c>
      <x:c r="I127" s="11" t="b">
        <x:v>0</x:v>
      </x:c>
    </x:row>
    <x:row r="128" ht="18" customHeight="1">
      <x:c r="A128" s="16" t="n">
        <x:v>45418</x:v>
      </x:c>
      <x:c r="B128" s="10" t="n">
        <x:v>2024</x:v>
      </x:c>
      <x:c r="C128" s="10" t="n">
        <x:v>2</x:v>
      </x:c>
      <x:c r="D128" s="10" t="n">
        <x:v>5</x:v>
      </x:c>
      <x:c r="E128" s="10" t="str">
        <x:v>Maio</x:v>
      </x:c>
      <x:c r="F128" s="10" t="str">
        <x:v>2024-05</x:v>
      </x:c>
      <x:c r="G128" s="10" t="n">
        <x:v>6</x:v>
      </x:c>
      <x:c r="H128" s="10" t="str">
        <x:v>Segunda-feira</x:v>
      </x:c>
      <x:c r="I128" s="11" t="b">
        <x:v>1</x:v>
      </x:c>
    </x:row>
    <x:row r="129" ht="18" customHeight="1">
      <x:c r="A129" s="16" t="n">
        <x:v>45419</x:v>
      </x:c>
      <x:c r="B129" s="10" t="n">
        <x:v>2024</x:v>
      </x:c>
      <x:c r="C129" s="10" t="n">
        <x:v>2</x:v>
      </x:c>
      <x:c r="D129" s="10" t="n">
        <x:v>5</x:v>
      </x:c>
      <x:c r="E129" s="10" t="str">
        <x:v>Maio</x:v>
      </x:c>
      <x:c r="F129" s="10" t="str">
        <x:v>2024-05</x:v>
      </x:c>
      <x:c r="G129" s="10" t="n">
        <x:v>7</x:v>
      </x:c>
      <x:c r="H129" s="10" t="str">
        <x:v>Terça-feira</x:v>
      </x:c>
      <x:c r="I129" s="11" t="b">
        <x:v>1</x:v>
      </x:c>
    </x:row>
    <x:row r="130" ht="18" customHeight="1">
      <x:c r="A130" s="16" t="n">
        <x:v>45420</x:v>
      </x:c>
      <x:c r="B130" s="10" t="n">
        <x:v>2024</x:v>
      </x:c>
      <x:c r="C130" s="10" t="n">
        <x:v>2</x:v>
      </x:c>
      <x:c r="D130" s="10" t="n">
        <x:v>5</x:v>
      </x:c>
      <x:c r="E130" s="10" t="str">
        <x:v>Maio</x:v>
      </x:c>
      <x:c r="F130" s="10" t="str">
        <x:v>2024-05</x:v>
      </x:c>
      <x:c r="G130" s="10" t="n">
        <x:v>8</x:v>
      </x:c>
      <x:c r="H130" s="10" t="str">
        <x:v>Quarta-feira</x:v>
      </x:c>
      <x:c r="I130" s="11" t="b">
        <x:v>1</x:v>
      </x:c>
    </x:row>
    <x:row r="131" ht="18" customHeight="1">
      <x:c r="A131" s="16" t="n">
        <x:v>45421</x:v>
      </x:c>
      <x:c r="B131" s="10" t="n">
        <x:v>2024</x:v>
      </x:c>
      <x:c r="C131" s="10" t="n">
        <x:v>2</x:v>
      </x:c>
      <x:c r="D131" s="10" t="n">
        <x:v>5</x:v>
      </x:c>
      <x:c r="E131" s="10" t="str">
        <x:v>Maio</x:v>
      </x:c>
      <x:c r="F131" s="10" t="str">
        <x:v>2024-05</x:v>
      </x:c>
      <x:c r="G131" s="10" t="n">
        <x:v>9</x:v>
      </x:c>
      <x:c r="H131" s="10" t="str">
        <x:v>Quinta-feira</x:v>
      </x:c>
      <x:c r="I131" s="11" t="b">
        <x:v>1</x:v>
      </x:c>
    </x:row>
    <x:row r="132" ht="18" customHeight="1">
      <x:c r="A132" s="16" t="n">
        <x:v>45422</x:v>
      </x:c>
      <x:c r="B132" s="10" t="n">
        <x:v>2024</x:v>
      </x:c>
      <x:c r="C132" s="10" t="n">
        <x:v>2</x:v>
      </x:c>
      <x:c r="D132" s="10" t="n">
        <x:v>5</x:v>
      </x:c>
      <x:c r="E132" s="10" t="str">
        <x:v>Maio</x:v>
      </x:c>
      <x:c r="F132" s="10" t="str">
        <x:v>2024-05</x:v>
      </x:c>
      <x:c r="G132" s="10" t="n">
        <x:v>10</x:v>
      </x:c>
      <x:c r="H132" s="10" t="str">
        <x:v>Sexta-feira</x:v>
      </x:c>
      <x:c r="I132" s="11" t="b">
        <x:v>1</x:v>
      </x:c>
    </x:row>
    <x:row r="133" ht="18" customHeight="1">
      <x:c r="A133" s="16" t="n">
        <x:v>45423</x:v>
      </x:c>
      <x:c r="B133" s="10" t="n">
        <x:v>2024</x:v>
      </x:c>
      <x:c r="C133" s="10" t="n">
        <x:v>2</x:v>
      </x:c>
      <x:c r="D133" s="10" t="n">
        <x:v>5</x:v>
      </x:c>
      <x:c r="E133" s="10" t="str">
        <x:v>Maio</x:v>
      </x:c>
      <x:c r="F133" s="10" t="str">
        <x:v>2024-05</x:v>
      </x:c>
      <x:c r="G133" s="10" t="n">
        <x:v>11</x:v>
      </x:c>
      <x:c r="H133" s="10" t="str">
        <x:v>Sábado</x:v>
      </x:c>
      <x:c r="I133" s="11" t="b">
        <x:v>0</x:v>
      </x:c>
    </x:row>
    <x:row r="134" ht="18" customHeight="1">
      <x:c r="A134" s="16" t="n">
        <x:v>45424</x:v>
      </x:c>
      <x:c r="B134" s="10" t="n">
        <x:v>2024</x:v>
      </x:c>
      <x:c r="C134" s="10" t="n">
        <x:v>2</x:v>
      </x:c>
      <x:c r="D134" s="10" t="n">
        <x:v>5</x:v>
      </x:c>
      <x:c r="E134" s="10" t="str">
        <x:v>Maio</x:v>
      </x:c>
      <x:c r="F134" s="10" t="str">
        <x:v>2024-05</x:v>
      </x:c>
      <x:c r="G134" s="10" t="n">
        <x:v>12</x:v>
      </x:c>
      <x:c r="H134" s="10" t="str">
        <x:v>Domingo</x:v>
      </x:c>
      <x:c r="I134" s="11" t="b">
        <x:v>0</x:v>
      </x:c>
    </x:row>
    <x:row r="135" ht="18" customHeight="1">
      <x:c r="A135" s="16" t="n">
        <x:v>45425</x:v>
      </x:c>
      <x:c r="B135" s="10" t="n">
        <x:v>2024</x:v>
      </x:c>
      <x:c r="C135" s="10" t="n">
        <x:v>2</x:v>
      </x:c>
      <x:c r="D135" s="10" t="n">
        <x:v>5</x:v>
      </x:c>
      <x:c r="E135" s="10" t="str">
        <x:v>Maio</x:v>
      </x:c>
      <x:c r="F135" s="10" t="str">
        <x:v>2024-05</x:v>
      </x:c>
      <x:c r="G135" s="10" t="n">
        <x:v>13</x:v>
      </x:c>
      <x:c r="H135" s="10" t="str">
        <x:v>Segunda-feira</x:v>
      </x:c>
      <x:c r="I135" s="11" t="b">
        <x:v>1</x:v>
      </x:c>
    </x:row>
    <x:row r="136" ht="18" customHeight="1">
      <x:c r="A136" s="16" t="n">
        <x:v>45426</x:v>
      </x:c>
      <x:c r="B136" s="10" t="n">
        <x:v>2024</x:v>
      </x:c>
      <x:c r="C136" s="10" t="n">
        <x:v>2</x:v>
      </x:c>
      <x:c r="D136" s="10" t="n">
        <x:v>5</x:v>
      </x:c>
      <x:c r="E136" s="10" t="str">
        <x:v>Maio</x:v>
      </x:c>
      <x:c r="F136" s="10" t="str">
        <x:v>2024-05</x:v>
      </x:c>
      <x:c r="G136" s="10" t="n">
        <x:v>14</x:v>
      </x:c>
      <x:c r="H136" s="10" t="str">
        <x:v>Terça-feira</x:v>
      </x:c>
      <x:c r="I136" s="11" t="b">
        <x:v>1</x:v>
      </x:c>
    </x:row>
    <x:row r="137" ht="18" customHeight="1">
      <x:c r="A137" s="16" t="n">
        <x:v>45427</x:v>
      </x:c>
      <x:c r="B137" s="10" t="n">
        <x:v>2024</x:v>
      </x:c>
      <x:c r="C137" s="10" t="n">
        <x:v>2</x:v>
      </x:c>
      <x:c r="D137" s="10" t="n">
        <x:v>5</x:v>
      </x:c>
      <x:c r="E137" s="10" t="str">
        <x:v>Maio</x:v>
      </x:c>
      <x:c r="F137" s="10" t="str">
        <x:v>2024-05</x:v>
      </x:c>
      <x:c r="G137" s="10" t="n">
        <x:v>15</x:v>
      </x:c>
      <x:c r="H137" s="10" t="str">
        <x:v>Quarta-feira</x:v>
      </x:c>
      <x:c r="I137" s="11" t="b">
        <x:v>1</x:v>
      </x:c>
    </x:row>
    <x:row r="138" ht="18" customHeight="1">
      <x:c r="A138" s="16" t="n">
        <x:v>45428</x:v>
      </x:c>
      <x:c r="B138" s="10" t="n">
        <x:v>2024</x:v>
      </x:c>
      <x:c r="C138" s="10" t="n">
        <x:v>2</x:v>
      </x:c>
      <x:c r="D138" s="10" t="n">
        <x:v>5</x:v>
      </x:c>
      <x:c r="E138" s="10" t="str">
        <x:v>Maio</x:v>
      </x:c>
      <x:c r="F138" s="10" t="str">
        <x:v>2024-05</x:v>
      </x:c>
      <x:c r="G138" s="10" t="n">
        <x:v>16</x:v>
      </x:c>
      <x:c r="H138" s="10" t="str">
        <x:v>Quinta-feira</x:v>
      </x:c>
      <x:c r="I138" s="11" t="b">
        <x:v>1</x:v>
      </x:c>
    </x:row>
    <x:row r="139" ht="18" customHeight="1">
      <x:c r="A139" s="16" t="n">
        <x:v>45429</x:v>
      </x:c>
      <x:c r="B139" s="10" t="n">
        <x:v>2024</x:v>
      </x:c>
      <x:c r="C139" s="10" t="n">
        <x:v>2</x:v>
      </x:c>
      <x:c r="D139" s="10" t="n">
        <x:v>5</x:v>
      </x:c>
      <x:c r="E139" s="10" t="str">
        <x:v>Maio</x:v>
      </x:c>
      <x:c r="F139" s="10" t="str">
        <x:v>2024-05</x:v>
      </x:c>
      <x:c r="G139" s="10" t="n">
        <x:v>17</x:v>
      </x:c>
      <x:c r="H139" s="10" t="str">
        <x:v>Sexta-feira</x:v>
      </x:c>
      <x:c r="I139" s="11" t="b">
        <x:v>1</x:v>
      </x:c>
    </x:row>
    <x:row r="140" ht="18" customHeight="1">
      <x:c r="A140" s="16" t="n">
        <x:v>45430</x:v>
      </x:c>
      <x:c r="B140" s="10" t="n">
        <x:v>2024</x:v>
      </x:c>
      <x:c r="C140" s="10" t="n">
        <x:v>2</x:v>
      </x:c>
      <x:c r="D140" s="10" t="n">
        <x:v>5</x:v>
      </x:c>
      <x:c r="E140" s="10" t="str">
        <x:v>Maio</x:v>
      </x:c>
      <x:c r="F140" s="10" t="str">
        <x:v>2024-05</x:v>
      </x:c>
      <x:c r="G140" s="10" t="n">
        <x:v>18</x:v>
      </x:c>
      <x:c r="H140" s="10" t="str">
        <x:v>Sábado</x:v>
      </x:c>
      <x:c r="I140" s="11" t="b">
        <x:v>0</x:v>
      </x:c>
    </x:row>
    <x:row r="141" ht="18" customHeight="1">
      <x:c r="A141" s="16" t="n">
        <x:v>45431</x:v>
      </x:c>
      <x:c r="B141" s="10" t="n">
        <x:v>2024</x:v>
      </x:c>
      <x:c r="C141" s="10" t="n">
        <x:v>2</x:v>
      </x:c>
      <x:c r="D141" s="10" t="n">
        <x:v>5</x:v>
      </x:c>
      <x:c r="E141" s="10" t="str">
        <x:v>Maio</x:v>
      </x:c>
      <x:c r="F141" s="10" t="str">
        <x:v>2024-05</x:v>
      </x:c>
      <x:c r="G141" s="10" t="n">
        <x:v>19</x:v>
      </x:c>
      <x:c r="H141" s="10" t="str">
        <x:v>Domingo</x:v>
      </x:c>
      <x:c r="I141" s="11" t="b">
        <x:v>0</x:v>
      </x:c>
    </x:row>
    <x:row r="142" ht="18" customHeight="1">
      <x:c r="A142" s="16" t="n">
        <x:v>45432</x:v>
      </x:c>
      <x:c r="B142" s="10" t="n">
        <x:v>2024</x:v>
      </x:c>
      <x:c r="C142" s="10" t="n">
        <x:v>2</x:v>
      </x:c>
      <x:c r="D142" s="10" t="n">
        <x:v>5</x:v>
      </x:c>
      <x:c r="E142" s="10" t="str">
        <x:v>Maio</x:v>
      </x:c>
      <x:c r="F142" s="10" t="str">
        <x:v>2024-05</x:v>
      </x:c>
      <x:c r="G142" s="10" t="n">
        <x:v>20</x:v>
      </x:c>
      <x:c r="H142" s="10" t="str">
        <x:v>Segunda-feira</x:v>
      </x:c>
      <x:c r="I142" s="11" t="b">
        <x:v>1</x:v>
      </x:c>
    </x:row>
    <x:row r="143" ht="18" customHeight="1">
      <x:c r="A143" s="16" t="n">
        <x:v>45433</x:v>
      </x:c>
      <x:c r="B143" s="10" t="n">
        <x:v>2024</x:v>
      </x:c>
      <x:c r="C143" s="10" t="n">
        <x:v>2</x:v>
      </x:c>
      <x:c r="D143" s="10" t="n">
        <x:v>5</x:v>
      </x:c>
      <x:c r="E143" s="10" t="str">
        <x:v>Maio</x:v>
      </x:c>
      <x:c r="F143" s="10" t="str">
        <x:v>2024-05</x:v>
      </x:c>
      <x:c r="G143" s="10" t="n">
        <x:v>21</x:v>
      </x:c>
      <x:c r="H143" s="10" t="str">
        <x:v>Terça-feira</x:v>
      </x:c>
      <x:c r="I143" s="11" t="b">
        <x:v>1</x:v>
      </x:c>
    </x:row>
    <x:row r="144" ht="18" customHeight="1">
      <x:c r="A144" s="16" t="n">
        <x:v>45434</x:v>
      </x:c>
      <x:c r="B144" s="10" t="n">
        <x:v>2024</x:v>
      </x:c>
      <x:c r="C144" s="10" t="n">
        <x:v>2</x:v>
      </x:c>
      <x:c r="D144" s="10" t="n">
        <x:v>5</x:v>
      </x:c>
      <x:c r="E144" s="10" t="str">
        <x:v>Maio</x:v>
      </x:c>
      <x:c r="F144" s="10" t="str">
        <x:v>2024-05</x:v>
      </x:c>
      <x:c r="G144" s="10" t="n">
        <x:v>22</x:v>
      </x:c>
      <x:c r="H144" s="10" t="str">
        <x:v>Quarta-feira</x:v>
      </x:c>
      <x:c r="I144" s="11" t="b">
        <x:v>1</x:v>
      </x:c>
    </x:row>
    <x:row r="145" ht="18" customHeight="1">
      <x:c r="A145" s="16" t="n">
        <x:v>45435</x:v>
      </x:c>
      <x:c r="B145" s="10" t="n">
        <x:v>2024</x:v>
      </x:c>
      <x:c r="C145" s="10" t="n">
        <x:v>2</x:v>
      </x:c>
      <x:c r="D145" s="10" t="n">
        <x:v>5</x:v>
      </x:c>
      <x:c r="E145" s="10" t="str">
        <x:v>Maio</x:v>
      </x:c>
      <x:c r="F145" s="10" t="str">
        <x:v>2024-05</x:v>
      </x:c>
      <x:c r="G145" s="10" t="n">
        <x:v>23</x:v>
      </x:c>
      <x:c r="H145" s="10" t="str">
        <x:v>Quinta-feira</x:v>
      </x:c>
      <x:c r="I145" s="11" t="b">
        <x:v>1</x:v>
      </x:c>
    </x:row>
    <x:row r="146" ht="18" customHeight="1">
      <x:c r="A146" s="16" t="n">
        <x:v>45436</x:v>
      </x:c>
      <x:c r="B146" s="10" t="n">
        <x:v>2024</x:v>
      </x:c>
      <x:c r="C146" s="10" t="n">
        <x:v>2</x:v>
      </x:c>
      <x:c r="D146" s="10" t="n">
        <x:v>5</x:v>
      </x:c>
      <x:c r="E146" s="10" t="str">
        <x:v>Maio</x:v>
      </x:c>
      <x:c r="F146" s="10" t="str">
        <x:v>2024-05</x:v>
      </x:c>
      <x:c r="G146" s="10" t="n">
        <x:v>24</x:v>
      </x:c>
      <x:c r="H146" s="10" t="str">
        <x:v>Sexta-feira</x:v>
      </x:c>
      <x:c r="I146" s="11" t="b">
        <x:v>1</x:v>
      </x:c>
    </x:row>
    <x:row r="147" ht="18" customHeight="1">
      <x:c r="A147" s="16" t="n">
        <x:v>45437</x:v>
      </x:c>
      <x:c r="B147" s="10" t="n">
        <x:v>2024</x:v>
      </x:c>
      <x:c r="C147" s="10" t="n">
        <x:v>2</x:v>
      </x:c>
      <x:c r="D147" s="10" t="n">
        <x:v>5</x:v>
      </x:c>
      <x:c r="E147" s="10" t="str">
        <x:v>Maio</x:v>
      </x:c>
      <x:c r="F147" s="10" t="str">
        <x:v>2024-05</x:v>
      </x:c>
      <x:c r="G147" s="10" t="n">
        <x:v>25</x:v>
      </x:c>
      <x:c r="H147" s="10" t="str">
        <x:v>Sábado</x:v>
      </x:c>
      <x:c r="I147" s="11" t="b">
        <x:v>0</x:v>
      </x:c>
    </x:row>
    <x:row r="148" ht="18" customHeight="1">
      <x:c r="A148" s="16" t="n">
        <x:v>45438</x:v>
      </x:c>
      <x:c r="B148" s="10" t="n">
        <x:v>2024</x:v>
      </x:c>
      <x:c r="C148" s="10" t="n">
        <x:v>2</x:v>
      </x:c>
      <x:c r="D148" s="10" t="n">
        <x:v>5</x:v>
      </x:c>
      <x:c r="E148" s="10" t="str">
        <x:v>Maio</x:v>
      </x:c>
      <x:c r="F148" s="10" t="str">
        <x:v>2024-05</x:v>
      </x:c>
      <x:c r="G148" s="10" t="n">
        <x:v>26</x:v>
      </x:c>
      <x:c r="H148" s="10" t="str">
        <x:v>Domingo</x:v>
      </x:c>
      <x:c r="I148" s="11" t="b">
        <x:v>0</x:v>
      </x:c>
    </x:row>
    <x:row r="149" ht="18" customHeight="1">
      <x:c r="A149" s="16" t="n">
        <x:v>45439</x:v>
      </x:c>
      <x:c r="B149" s="10" t="n">
        <x:v>2024</x:v>
      </x:c>
      <x:c r="C149" s="10" t="n">
        <x:v>2</x:v>
      </x:c>
      <x:c r="D149" s="10" t="n">
        <x:v>5</x:v>
      </x:c>
      <x:c r="E149" s="10" t="str">
        <x:v>Maio</x:v>
      </x:c>
      <x:c r="F149" s="10" t="str">
        <x:v>2024-05</x:v>
      </x:c>
      <x:c r="G149" s="10" t="n">
        <x:v>27</x:v>
      </x:c>
      <x:c r="H149" s="10" t="str">
        <x:v>Segunda-feira</x:v>
      </x:c>
      <x:c r="I149" s="11" t="b">
        <x:v>1</x:v>
      </x:c>
    </x:row>
    <x:row r="150" ht="18" customHeight="1">
      <x:c r="A150" s="16" t="n">
        <x:v>45440</x:v>
      </x:c>
      <x:c r="B150" s="10" t="n">
        <x:v>2024</x:v>
      </x:c>
      <x:c r="C150" s="10" t="n">
        <x:v>2</x:v>
      </x:c>
      <x:c r="D150" s="10" t="n">
        <x:v>5</x:v>
      </x:c>
      <x:c r="E150" s="10" t="str">
        <x:v>Maio</x:v>
      </x:c>
      <x:c r="F150" s="10" t="str">
        <x:v>2024-05</x:v>
      </x:c>
      <x:c r="G150" s="10" t="n">
        <x:v>28</x:v>
      </x:c>
      <x:c r="H150" s="10" t="str">
        <x:v>Terça-feira</x:v>
      </x:c>
      <x:c r="I150" s="11" t="b">
        <x:v>1</x:v>
      </x:c>
    </x:row>
    <x:row r="151" ht="18" customHeight="1">
      <x:c r="A151" s="16" t="n">
        <x:v>45441</x:v>
      </x:c>
      <x:c r="B151" s="10" t="n">
        <x:v>2024</x:v>
      </x:c>
      <x:c r="C151" s="10" t="n">
        <x:v>2</x:v>
      </x:c>
      <x:c r="D151" s="10" t="n">
        <x:v>5</x:v>
      </x:c>
      <x:c r="E151" s="10" t="str">
        <x:v>Maio</x:v>
      </x:c>
      <x:c r="F151" s="10" t="str">
        <x:v>2024-05</x:v>
      </x:c>
      <x:c r="G151" s="10" t="n">
        <x:v>29</x:v>
      </x:c>
      <x:c r="H151" s="10" t="str">
        <x:v>Quarta-feira</x:v>
      </x:c>
      <x:c r="I151" s="11" t="b">
        <x:v>1</x:v>
      </x:c>
    </x:row>
    <x:row r="152" ht="18" customHeight="1">
      <x:c r="A152" s="16" t="n">
        <x:v>45442</x:v>
      </x:c>
      <x:c r="B152" s="10" t="n">
        <x:v>2024</x:v>
      </x:c>
      <x:c r="C152" s="10" t="n">
        <x:v>2</x:v>
      </x:c>
      <x:c r="D152" s="10" t="n">
        <x:v>5</x:v>
      </x:c>
      <x:c r="E152" s="10" t="str">
        <x:v>Maio</x:v>
      </x:c>
      <x:c r="F152" s="10" t="str">
        <x:v>2024-05</x:v>
      </x:c>
      <x:c r="G152" s="10" t="n">
        <x:v>30</x:v>
      </x:c>
      <x:c r="H152" s="10" t="str">
        <x:v>Quinta-feira</x:v>
      </x:c>
      <x:c r="I152" s="11" t="b">
        <x:v>1</x:v>
      </x:c>
    </x:row>
    <x:row r="153" ht="18" customHeight="1">
      <x:c r="A153" s="16" t="n">
        <x:v>45443</x:v>
      </x:c>
      <x:c r="B153" s="10" t="n">
        <x:v>2024</x:v>
      </x:c>
      <x:c r="C153" s="10" t="n">
        <x:v>2</x:v>
      </x:c>
      <x:c r="D153" s="10" t="n">
        <x:v>5</x:v>
      </x:c>
      <x:c r="E153" s="10" t="str">
        <x:v>Maio</x:v>
      </x:c>
      <x:c r="F153" s="10" t="str">
        <x:v>2024-05</x:v>
      </x:c>
      <x:c r="G153" s="10" t="n">
        <x:v>31</x:v>
      </x:c>
      <x:c r="H153" s="10" t="str">
        <x:v>Sexta-feira</x:v>
      </x:c>
      <x:c r="I153" s="11" t="b">
        <x:v>1</x:v>
      </x:c>
    </x:row>
    <x:row r="154" ht="18" customHeight="1">
      <x:c r="A154" s="16" t="n">
        <x:v>45444</x:v>
      </x:c>
      <x:c r="B154" s="10" t="n">
        <x:v>2024</x:v>
      </x:c>
      <x:c r="C154" s="10" t="n">
        <x:v>2</x:v>
      </x:c>
      <x:c r="D154" s="10" t="n">
        <x:v>6</x:v>
      </x:c>
      <x:c r="E154" s="10" t="str">
        <x:v>Junho</x:v>
      </x:c>
      <x:c r="F154" s="10" t="str">
        <x:v>2024-06</x:v>
      </x:c>
      <x:c r="G154" s="10" t="n">
        <x:v>1</x:v>
      </x:c>
      <x:c r="H154" s="10" t="str">
        <x:v>Sábado</x:v>
      </x:c>
      <x:c r="I154" s="11" t="b">
        <x:v>0</x:v>
      </x:c>
    </x:row>
    <x:row r="155" ht="18" customHeight="1">
      <x:c r="A155" s="16" t="n">
        <x:v>45445</x:v>
      </x:c>
      <x:c r="B155" s="10" t="n">
        <x:v>2024</x:v>
      </x:c>
      <x:c r="C155" s="10" t="n">
        <x:v>2</x:v>
      </x:c>
      <x:c r="D155" s="10" t="n">
        <x:v>6</x:v>
      </x:c>
      <x:c r="E155" s="10" t="str">
        <x:v>Junho</x:v>
      </x:c>
      <x:c r="F155" s="10" t="str">
        <x:v>2024-06</x:v>
      </x:c>
      <x:c r="G155" s="10" t="n">
        <x:v>2</x:v>
      </x:c>
      <x:c r="H155" s="10" t="str">
        <x:v>Domingo</x:v>
      </x:c>
      <x:c r="I155" s="11" t="b">
        <x:v>0</x:v>
      </x:c>
    </x:row>
    <x:row r="156" ht="18" customHeight="1">
      <x:c r="A156" s="16" t="n">
        <x:v>45446</x:v>
      </x:c>
      <x:c r="B156" s="10" t="n">
        <x:v>2024</x:v>
      </x:c>
      <x:c r="C156" s="10" t="n">
        <x:v>2</x:v>
      </x:c>
      <x:c r="D156" s="10" t="n">
        <x:v>6</x:v>
      </x:c>
      <x:c r="E156" s="10" t="str">
        <x:v>Junho</x:v>
      </x:c>
      <x:c r="F156" s="10" t="str">
        <x:v>2024-06</x:v>
      </x:c>
      <x:c r="G156" s="10" t="n">
        <x:v>3</x:v>
      </x:c>
      <x:c r="H156" s="10" t="str">
        <x:v>Segunda-feira</x:v>
      </x:c>
      <x:c r="I156" s="11" t="b">
        <x:v>1</x:v>
      </x:c>
    </x:row>
    <x:row r="157" ht="18" customHeight="1">
      <x:c r="A157" s="16" t="n">
        <x:v>45447</x:v>
      </x:c>
      <x:c r="B157" s="10" t="n">
        <x:v>2024</x:v>
      </x:c>
      <x:c r="C157" s="10" t="n">
        <x:v>2</x:v>
      </x:c>
      <x:c r="D157" s="10" t="n">
        <x:v>6</x:v>
      </x:c>
      <x:c r="E157" s="10" t="str">
        <x:v>Junho</x:v>
      </x:c>
      <x:c r="F157" s="10" t="str">
        <x:v>2024-06</x:v>
      </x:c>
      <x:c r="G157" s="10" t="n">
        <x:v>4</x:v>
      </x:c>
      <x:c r="H157" s="10" t="str">
        <x:v>Terça-feira</x:v>
      </x:c>
      <x:c r="I157" s="11" t="b">
        <x:v>1</x:v>
      </x:c>
    </x:row>
    <x:row r="158" ht="18" customHeight="1">
      <x:c r="A158" s="16" t="n">
        <x:v>45448</x:v>
      </x:c>
      <x:c r="B158" s="10" t="n">
        <x:v>2024</x:v>
      </x:c>
      <x:c r="C158" s="10" t="n">
        <x:v>2</x:v>
      </x:c>
      <x:c r="D158" s="10" t="n">
        <x:v>6</x:v>
      </x:c>
      <x:c r="E158" s="10" t="str">
        <x:v>Junho</x:v>
      </x:c>
      <x:c r="F158" s="10" t="str">
        <x:v>2024-06</x:v>
      </x:c>
      <x:c r="G158" s="10" t="n">
        <x:v>5</x:v>
      </x:c>
      <x:c r="H158" s="10" t="str">
        <x:v>Quarta-feira</x:v>
      </x:c>
      <x:c r="I158" s="11" t="b">
        <x:v>1</x:v>
      </x:c>
    </x:row>
    <x:row r="159" ht="18" customHeight="1">
      <x:c r="A159" s="16" t="n">
        <x:v>45449</x:v>
      </x:c>
      <x:c r="B159" s="10" t="n">
        <x:v>2024</x:v>
      </x:c>
      <x:c r="C159" s="10" t="n">
        <x:v>2</x:v>
      </x:c>
      <x:c r="D159" s="10" t="n">
        <x:v>6</x:v>
      </x:c>
      <x:c r="E159" s="10" t="str">
        <x:v>Junho</x:v>
      </x:c>
      <x:c r="F159" s="10" t="str">
        <x:v>2024-06</x:v>
      </x:c>
      <x:c r="G159" s="10" t="n">
        <x:v>6</x:v>
      </x:c>
      <x:c r="H159" s="10" t="str">
        <x:v>Quinta-feira</x:v>
      </x:c>
      <x:c r="I159" s="11" t="b">
        <x:v>1</x:v>
      </x:c>
    </x:row>
    <x:row r="160" ht="18" customHeight="1">
      <x:c r="A160" s="16" t="n">
        <x:v>45450</x:v>
      </x:c>
      <x:c r="B160" s="10" t="n">
        <x:v>2024</x:v>
      </x:c>
      <x:c r="C160" s="10" t="n">
        <x:v>2</x:v>
      </x:c>
      <x:c r="D160" s="10" t="n">
        <x:v>6</x:v>
      </x:c>
      <x:c r="E160" s="10" t="str">
        <x:v>Junho</x:v>
      </x:c>
      <x:c r="F160" s="10" t="str">
        <x:v>2024-06</x:v>
      </x:c>
      <x:c r="G160" s="10" t="n">
        <x:v>7</x:v>
      </x:c>
      <x:c r="H160" s="10" t="str">
        <x:v>Sexta-feira</x:v>
      </x:c>
      <x:c r="I160" s="11" t="b">
        <x:v>1</x:v>
      </x:c>
    </x:row>
    <x:row r="161" ht="18" customHeight="1">
      <x:c r="A161" s="16" t="n">
        <x:v>45451</x:v>
      </x:c>
      <x:c r="B161" s="10" t="n">
        <x:v>2024</x:v>
      </x:c>
      <x:c r="C161" s="10" t="n">
        <x:v>2</x:v>
      </x:c>
      <x:c r="D161" s="10" t="n">
        <x:v>6</x:v>
      </x:c>
      <x:c r="E161" s="10" t="str">
        <x:v>Junho</x:v>
      </x:c>
      <x:c r="F161" s="10" t="str">
        <x:v>2024-06</x:v>
      </x:c>
      <x:c r="G161" s="10" t="n">
        <x:v>8</x:v>
      </x:c>
      <x:c r="H161" s="10" t="str">
        <x:v>Sábado</x:v>
      </x:c>
      <x:c r="I161" s="11" t="b">
        <x:v>0</x:v>
      </x:c>
    </x:row>
    <x:row r="162" ht="18" customHeight="1">
      <x:c r="A162" s="16" t="n">
        <x:v>45452</x:v>
      </x:c>
      <x:c r="B162" s="10" t="n">
        <x:v>2024</x:v>
      </x:c>
      <x:c r="C162" s="10" t="n">
        <x:v>2</x:v>
      </x:c>
      <x:c r="D162" s="10" t="n">
        <x:v>6</x:v>
      </x:c>
      <x:c r="E162" s="10" t="str">
        <x:v>Junho</x:v>
      </x:c>
      <x:c r="F162" s="10" t="str">
        <x:v>2024-06</x:v>
      </x:c>
      <x:c r="G162" s="10" t="n">
        <x:v>9</x:v>
      </x:c>
      <x:c r="H162" s="10" t="str">
        <x:v>Domingo</x:v>
      </x:c>
      <x:c r="I162" s="11" t="b">
        <x:v>0</x:v>
      </x:c>
    </x:row>
    <x:row r="163" ht="18" customHeight="1">
      <x:c r="A163" s="16" t="n">
        <x:v>45453</x:v>
      </x:c>
      <x:c r="B163" s="10" t="n">
        <x:v>2024</x:v>
      </x:c>
      <x:c r="C163" s="10" t="n">
        <x:v>2</x:v>
      </x:c>
      <x:c r="D163" s="10" t="n">
        <x:v>6</x:v>
      </x:c>
      <x:c r="E163" s="10" t="str">
        <x:v>Junho</x:v>
      </x:c>
      <x:c r="F163" s="10" t="str">
        <x:v>2024-06</x:v>
      </x:c>
      <x:c r="G163" s="10" t="n">
        <x:v>10</x:v>
      </x:c>
      <x:c r="H163" s="10" t="str">
        <x:v>Segunda-feira</x:v>
      </x:c>
      <x:c r="I163" s="11" t="b">
        <x:v>1</x:v>
      </x:c>
    </x:row>
    <x:row r="164" ht="18" customHeight="1">
      <x:c r="A164" s="16" t="n">
        <x:v>45454</x:v>
      </x:c>
      <x:c r="B164" s="10" t="n">
        <x:v>2024</x:v>
      </x:c>
      <x:c r="C164" s="10" t="n">
        <x:v>2</x:v>
      </x:c>
      <x:c r="D164" s="10" t="n">
        <x:v>6</x:v>
      </x:c>
      <x:c r="E164" s="10" t="str">
        <x:v>Junho</x:v>
      </x:c>
      <x:c r="F164" s="10" t="str">
        <x:v>2024-06</x:v>
      </x:c>
      <x:c r="G164" s="10" t="n">
        <x:v>11</x:v>
      </x:c>
      <x:c r="H164" s="10" t="str">
        <x:v>Terça-feira</x:v>
      </x:c>
      <x:c r="I164" s="11" t="b">
        <x:v>1</x:v>
      </x:c>
    </x:row>
    <x:row r="165" ht="18" customHeight="1">
      <x:c r="A165" s="16" t="n">
        <x:v>45455</x:v>
      </x:c>
      <x:c r="B165" s="10" t="n">
        <x:v>2024</x:v>
      </x:c>
      <x:c r="C165" s="10" t="n">
        <x:v>2</x:v>
      </x:c>
      <x:c r="D165" s="10" t="n">
        <x:v>6</x:v>
      </x:c>
      <x:c r="E165" s="10" t="str">
        <x:v>Junho</x:v>
      </x:c>
      <x:c r="F165" s="10" t="str">
        <x:v>2024-06</x:v>
      </x:c>
      <x:c r="G165" s="10" t="n">
        <x:v>12</x:v>
      </x:c>
      <x:c r="H165" s="10" t="str">
        <x:v>Quarta-feira</x:v>
      </x:c>
      <x:c r="I165" s="11" t="b">
        <x:v>1</x:v>
      </x:c>
    </x:row>
    <x:row r="166" ht="18" customHeight="1">
      <x:c r="A166" s="16" t="n">
        <x:v>45456</x:v>
      </x:c>
      <x:c r="B166" s="10" t="n">
        <x:v>2024</x:v>
      </x:c>
      <x:c r="C166" s="10" t="n">
        <x:v>2</x:v>
      </x:c>
      <x:c r="D166" s="10" t="n">
        <x:v>6</x:v>
      </x:c>
      <x:c r="E166" s="10" t="str">
        <x:v>Junho</x:v>
      </x:c>
      <x:c r="F166" s="10" t="str">
        <x:v>2024-06</x:v>
      </x:c>
      <x:c r="G166" s="10" t="n">
        <x:v>13</x:v>
      </x:c>
      <x:c r="H166" s="10" t="str">
        <x:v>Quinta-feira</x:v>
      </x:c>
      <x:c r="I166" s="11" t="b">
        <x:v>1</x:v>
      </x:c>
    </x:row>
    <x:row r="167" ht="18" customHeight="1">
      <x:c r="A167" s="16" t="n">
        <x:v>45457</x:v>
      </x:c>
      <x:c r="B167" s="10" t="n">
        <x:v>2024</x:v>
      </x:c>
      <x:c r="C167" s="10" t="n">
        <x:v>2</x:v>
      </x:c>
      <x:c r="D167" s="10" t="n">
        <x:v>6</x:v>
      </x:c>
      <x:c r="E167" s="10" t="str">
        <x:v>Junho</x:v>
      </x:c>
      <x:c r="F167" s="10" t="str">
        <x:v>2024-06</x:v>
      </x:c>
      <x:c r="G167" s="10" t="n">
        <x:v>14</x:v>
      </x:c>
      <x:c r="H167" s="10" t="str">
        <x:v>Sexta-feira</x:v>
      </x:c>
      <x:c r="I167" s="11" t="b">
        <x:v>1</x:v>
      </x:c>
    </x:row>
    <x:row r="168" ht="18" customHeight="1">
      <x:c r="A168" s="16" t="n">
        <x:v>45458</x:v>
      </x:c>
      <x:c r="B168" s="10" t="n">
        <x:v>2024</x:v>
      </x:c>
      <x:c r="C168" s="10" t="n">
        <x:v>2</x:v>
      </x:c>
      <x:c r="D168" s="10" t="n">
        <x:v>6</x:v>
      </x:c>
      <x:c r="E168" s="10" t="str">
        <x:v>Junho</x:v>
      </x:c>
      <x:c r="F168" s="10" t="str">
        <x:v>2024-06</x:v>
      </x:c>
      <x:c r="G168" s="10" t="n">
        <x:v>15</x:v>
      </x:c>
      <x:c r="H168" s="10" t="str">
        <x:v>Sábado</x:v>
      </x:c>
      <x:c r="I168" s="11" t="b">
        <x:v>0</x:v>
      </x:c>
    </x:row>
    <x:row r="169" ht="18" customHeight="1">
      <x:c r="A169" s="16" t="n">
        <x:v>45459</x:v>
      </x:c>
      <x:c r="B169" s="10" t="n">
        <x:v>2024</x:v>
      </x:c>
      <x:c r="C169" s="10" t="n">
        <x:v>2</x:v>
      </x:c>
      <x:c r="D169" s="10" t="n">
        <x:v>6</x:v>
      </x:c>
      <x:c r="E169" s="10" t="str">
        <x:v>Junho</x:v>
      </x:c>
      <x:c r="F169" s="10" t="str">
        <x:v>2024-06</x:v>
      </x:c>
      <x:c r="G169" s="10" t="n">
        <x:v>16</x:v>
      </x:c>
      <x:c r="H169" s="10" t="str">
        <x:v>Domingo</x:v>
      </x:c>
      <x:c r="I169" s="11" t="b">
        <x:v>0</x:v>
      </x:c>
    </x:row>
    <x:row r="170" ht="18" customHeight="1">
      <x:c r="A170" s="16" t="n">
        <x:v>45460</x:v>
      </x:c>
      <x:c r="B170" s="10" t="n">
        <x:v>2024</x:v>
      </x:c>
      <x:c r="C170" s="10" t="n">
        <x:v>2</x:v>
      </x:c>
      <x:c r="D170" s="10" t="n">
        <x:v>6</x:v>
      </x:c>
      <x:c r="E170" s="10" t="str">
        <x:v>Junho</x:v>
      </x:c>
      <x:c r="F170" s="10" t="str">
        <x:v>2024-06</x:v>
      </x:c>
      <x:c r="G170" s="10" t="n">
        <x:v>17</x:v>
      </x:c>
      <x:c r="H170" s="10" t="str">
        <x:v>Segunda-feira</x:v>
      </x:c>
      <x:c r="I170" s="11" t="b">
        <x:v>1</x:v>
      </x:c>
    </x:row>
    <x:row r="171" ht="18" customHeight="1">
      <x:c r="A171" s="16" t="n">
        <x:v>45461</x:v>
      </x:c>
      <x:c r="B171" s="10" t="n">
        <x:v>2024</x:v>
      </x:c>
      <x:c r="C171" s="10" t="n">
        <x:v>2</x:v>
      </x:c>
      <x:c r="D171" s="10" t="n">
        <x:v>6</x:v>
      </x:c>
      <x:c r="E171" s="10" t="str">
        <x:v>Junho</x:v>
      </x:c>
      <x:c r="F171" s="10" t="str">
        <x:v>2024-06</x:v>
      </x:c>
      <x:c r="G171" s="10" t="n">
        <x:v>18</x:v>
      </x:c>
      <x:c r="H171" s="10" t="str">
        <x:v>Terça-feira</x:v>
      </x:c>
      <x:c r="I171" s="11" t="b">
        <x:v>1</x:v>
      </x:c>
    </x:row>
    <x:row r="172" ht="18" customHeight="1">
      <x:c r="A172" s="16" t="n">
        <x:v>45462</x:v>
      </x:c>
      <x:c r="B172" s="10" t="n">
        <x:v>2024</x:v>
      </x:c>
      <x:c r="C172" s="10" t="n">
        <x:v>2</x:v>
      </x:c>
      <x:c r="D172" s="10" t="n">
        <x:v>6</x:v>
      </x:c>
      <x:c r="E172" s="10" t="str">
        <x:v>Junho</x:v>
      </x:c>
      <x:c r="F172" s="10" t="str">
        <x:v>2024-06</x:v>
      </x:c>
      <x:c r="G172" s="10" t="n">
        <x:v>19</x:v>
      </x:c>
      <x:c r="H172" s="10" t="str">
        <x:v>Quarta-feira</x:v>
      </x:c>
      <x:c r="I172" s="11" t="b">
        <x:v>1</x:v>
      </x:c>
    </x:row>
    <x:row r="173" ht="18" customHeight="1">
      <x:c r="A173" s="16" t="n">
        <x:v>45463</x:v>
      </x:c>
      <x:c r="B173" s="10" t="n">
        <x:v>2024</x:v>
      </x:c>
      <x:c r="C173" s="10" t="n">
        <x:v>2</x:v>
      </x:c>
      <x:c r="D173" s="10" t="n">
        <x:v>6</x:v>
      </x:c>
      <x:c r="E173" s="10" t="str">
        <x:v>Junho</x:v>
      </x:c>
      <x:c r="F173" s="10" t="str">
        <x:v>2024-06</x:v>
      </x:c>
      <x:c r="G173" s="10" t="n">
        <x:v>20</x:v>
      </x:c>
      <x:c r="H173" s="10" t="str">
        <x:v>Quinta-feira</x:v>
      </x:c>
      <x:c r="I173" s="11" t="b">
        <x:v>1</x:v>
      </x:c>
    </x:row>
    <x:row r="174" ht="18" customHeight="1">
      <x:c r="A174" s="16" t="n">
        <x:v>45464</x:v>
      </x:c>
      <x:c r="B174" s="10" t="n">
        <x:v>2024</x:v>
      </x:c>
      <x:c r="C174" s="10" t="n">
        <x:v>2</x:v>
      </x:c>
      <x:c r="D174" s="10" t="n">
        <x:v>6</x:v>
      </x:c>
      <x:c r="E174" s="10" t="str">
        <x:v>Junho</x:v>
      </x:c>
      <x:c r="F174" s="10" t="str">
        <x:v>2024-06</x:v>
      </x:c>
      <x:c r="G174" s="10" t="n">
        <x:v>21</x:v>
      </x:c>
      <x:c r="H174" s="10" t="str">
        <x:v>Sexta-feira</x:v>
      </x:c>
      <x:c r="I174" s="11" t="b">
        <x:v>1</x:v>
      </x:c>
    </x:row>
    <x:row r="175" ht="18" customHeight="1">
      <x:c r="A175" s="16" t="n">
        <x:v>45465</x:v>
      </x:c>
      <x:c r="B175" s="10" t="n">
        <x:v>2024</x:v>
      </x:c>
      <x:c r="C175" s="10" t="n">
        <x:v>2</x:v>
      </x:c>
      <x:c r="D175" s="10" t="n">
        <x:v>6</x:v>
      </x:c>
      <x:c r="E175" s="10" t="str">
        <x:v>Junho</x:v>
      </x:c>
      <x:c r="F175" s="10" t="str">
        <x:v>2024-06</x:v>
      </x:c>
      <x:c r="G175" s="10" t="n">
        <x:v>22</x:v>
      </x:c>
      <x:c r="H175" s="10" t="str">
        <x:v>Sábado</x:v>
      </x:c>
      <x:c r="I175" s="11" t="b">
        <x:v>0</x:v>
      </x:c>
    </x:row>
    <x:row r="176" ht="18" customHeight="1">
      <x:c r="A176" s="16" t="n">
        <x:v>45466</x:v>
      </x:c>
      <x:c r="B176" s="10" t="n">
        <x:v>2024</x:v>
      </x:c>
      <x:c r="C176" s="10" t="n">
        <x:v>2</x:v>
      </x:c>
      <x:c r="D176" s="10" t="n">
        <x:v>6</x:v>
      </x:c>
      <x:c r="E176" s="10" t="str">
        <x:v>Junho</x:v>
      </x:c>
      <x:c r="F176" s="10" t="str">
        <x:v>2024-06</x:v>
      </x:c>
      <x:c r="G176" s="10" t="n">
        <x:v>23</x:v>
      </x:c>
      <x:c r="H176" s="10" t="str">
        <x:v>Domingo</x:v>
      </x:c>
      <x:c r="I176" s="11" t="b">
        <x:v>0</x:v>
      </x:c>
    </x:row>
    <x:row r="177" ht="18" customHeight="1">
      <x:c r="A177" s="16" t="n">
        <x:v>45467</x:v>
      </x:c>
      <x:c r="B177" s="10" t="n">
        <x:v>2024</x:v>
      </x:c>
      <x:c r="C177" s="10" t="n">
        <x:v>2</x:v>
      </x:c>
      <x:c r="D177" s="10" t="n">
        <x:v>6</x:v>
      </x:c>
      <x:c r="E177" s="10" t="str">
        <x:v>Junho</x:v>
      </x:c>
      <x:c r="F177" s="10" t="str">
        <x:v>2024-06</x:v>
      </x:c>
      <x:c r="G177" s="10" t="n">
        <x:v>24</x:v>
      </x:c>
      <x:c r="H177" s="10" t="str">
        <x:v>Segunda-feira</x:v>
      </x:c>
      <x:c r="I177" s="11" t="b">
        <x:v>1</x:v>
      </x:c>
    </x:row>
    <x:row r="178" ht="18" customHeight="1">
      <x:c r="A178" s="16" t="n">
        <x:v>45468</x:v>
      </x:c>
      <x:c r="B178" s="10" t="n">
        <x:v>2024</x:v>
      </x:c>
      <x:c r="C178" s="10" t="n">
        <x:v>2</x:v>
      </x:c>
      <x:c r="D178" s="10" t="n">
        <x:v>6</x:v>
      </x:c>
      <x:c r="E178" s="10" t="str">
        <x:v>Junho</x:v>
      </x:c>
      <x:c r="F178" s="10" t="str">
        <x:v>2024-06</x:v>
      </x:c>
      <x:c r="G178" s="10" t="n">
        <x:v>25</x:v>
      </x:c>
      <x:c r="H178" s="10" t="str">
        <x:v>Terça-feira</x:v>
      </x:c>
      <x:c r="I178" s="11" t="b">
        <x:v>1</x:v>
      </x:c>
    </x:row>
    <x:row r="179" ht="18" customHeight="1">
      <x:c r="A179" s="16" t="n">
        <x:v>45469</x:v>
      </x:c>
      <x:c r="B179" s="10" t="n">
        <x:v>2024</x:v>
      </x:c>
      <x:c r="C179" s="10" t="n">
        <x:v>2</x:v>
      </x:c>
      <x:c r="D179" s="10" t="n">
        <x:v>6</x:v>
      </x:c>
      <x:c r="E179" s="10" t="str">
        <x:v>Junho</x:v>
      </x:c>
      <x:c r="F179" s="10" t="str">
        <x:v>2024-06</x:v>
      </x:c>
      <x:c r="G179" s="10" t="n">
        <x:v>26</x:v>
      </x:c>
      <x:c r="H179" s="10" t="str">
        <x:v>Quarta-feira</x:v>
      </x:c>
      <x:c r="I179" s="11" t="b">
        <x:v>1</x:v>
      </x:c>
    </x:row>
    <x:row r="180" ht="18" customHeight="1">
      <x:c r="A180" s="16" t="n">
        <x:v>45470</x:v>
      </x:c>
      <x:c r="B180" s="10" t="n">
        <x:v>2024</x:v>
      </x:c>
      <x:c r="C180" s="10" t="n">
        <x:v>2</x:v>
      </x:c>
      <x:c r="D180" s="10" t="n">
        <x:v>6</x:v>
      </x:c>
      <x:c r="E180" s="10" t="str">
        <x:v>Junho</x:v>
      </x:c>
      <x:c r="F180" s="10" t="str">
        <x:v>2024-06</x:v>
      </x:c>
      <x:c r="G180" s="10" t="n">
        <x:v>27</x:v>
      </x:c>
      <x:c r="H180" s="10" t="str">
        <x:v>Quinta-feira</x:v>
      </x:c>
      <x:c r="I180" s="11" t="b">
        <x:v>1</x:v>
      </x:c>
    </x:row>
    <x:row r="181" ht="18" customHeight="1">
      <x:c r="A181" s="16" t="n">
        <x:v>45471</x:v>
      </x:c>
      <x:c r="B181" s="10" t="n">
        <x:v>2024</x:v>
      </x:c>
      <x:c r="C181" s="10" t="n">
        <x:v>2</x:v>
      </x:c>
      <x:c r="D181" s="10" t="n">
        <x:v>6</x:v>
      </x:c>
      <x:c r="E181" s="10" t="str">
        <x:v>Junho</x:v>
      </x:c>
      <x:c r="F181" s="10" t="str">
        <x:v>2024-06</x:v>
      </x:c>
      <x:c r="G181" s="10" t="n">
        <x:v>28</x:v>
      </x:c>
      <x:c r="H181" s="10" t="str">
        <x:v>Sexta-feira</x:v>
      </x:c>
      <x:c r="I181" s="11" t="b">
        <x:v>1</x:v>
      </x:c>
    </x:row>
    <x:row r="182" ht="18" customHeight="1">
      <x:c r="A182" s="16" t="n">
        <x:v>45472</x:v>
      </x:c>
      <x:c r="B182" s="10" t="n">
        <x:v>2024</x:v>
      </x:c>
      <x:c r="C182" s="10" t="n">
        <x:v>2</x:v>
      </x:c>
      <x:c r="D182" s="10" t="n">
        <x:v>6</x:v>
      </x:c>
      <x:c r="E182" s="10" t="str">
        <x:v>Junho</x:v>
      </x:c>
      <x:c r="F182" s="10" t="str">
        <x:v>2024-06</x:v>
      </x:c>
      <x:c r="G182" s="10" t="n">
        <x:v>29</x:v>
      </x:c>
      <x:c r="H182" s="10" t="str">
        <x:v>Sábado</x:v>
      </x:c>
      <x:c r="I182" s="11" t="b">
        <x:v>0</x:v>
      </x:c>
    </x:row>
    <x:row r="183" ht="18" customHeight="1">
      <x:c r="A183" s="16" t="n">
        <x:v>45473</x:v>
      </x:c>
      <x:c r="B183" s="10" t="n">
        <x:v>2024</x:v>
      </x:c>
      <x:c r="C183" s="10" t="n">
        <x:v>2</x:v>
      </x:c>
      <x:c r="D183" s="10" t="n">
        <x:v>6</x:v>
      </x:c>
      <x:c r="E183" s="10" t="str">
        <x:v>Junho</x:v>
      </x:c>
      <x:c r="F183" s="10" t="str">
        <x:v>2024-06</x:v>
      </x:c>
      <x:c r="G183" s="10" t="n">
        <x:v>30</x:v>
      </x:c>
      <x:c r="H183" s="10" t="str">
        <x:v>Domingo</x:v>
      </x:c>
      <x:c r="I183" s="11" t="b">
        <x:v>0</x:v>
      </x:c>
    </x:row>
    <x:row r="184" ht="18" customHeight="1">
      <x:c r="A184" s="16" t="n">
        <x:v>45474</x:v>
      </x:c>
      <x:c r="B184" s="10" t="n">
        <x:v>2024</x:v>
      </x:c>
      <x:c r="C184" s="10" t="n">
        <x:v>3</x:v>
      </x:c>
      <x:c r="D184" s="10" t="n">
        <x:v>7</x:v>
      </x:c>
      <x:c r="E184" s="10" t="str">
        <x:v>Julho</x:v>
      </x:c>
      <x:c r="F184" s="10" t="str">
        <x:v>2024-07</x:v>
      </x:c>
      <x:c r="G184" s="10" t="n">
        <x:v>1</x:v>
      </x:c>
      <x:c r="H184" s="10" t="str">
        <x:v>Segunda-feira</x:v>
      </x:c>
      <x:c r="I184" s="11" t="b">
        <x:v>1</x:v>
      </x:c>
    </x:row>
    <x:row r="185" ht="18" customHeight="1">
      <x:c r="A185" s="16" t="n">
        <x:v>45475</x:v>
      </x:c>
      <x:c r="B185" s="10" t="n">
        <x:v>2024</x:v>
      </x:c>
      <x:c r="C185" s="10" t="n">
        <x:v>3</x:v>
      </x:c>
      <x:c r="D185" s="10" t="n">
        <x:v>7</x:v>
      </x:c>
      <x:c r="E185" s="10" t="str">
        <x:v>Julho</x:v>
      </x:c>
      <x:c r="F185" s="10" t="str">
        <x:v>2024-07</x:v>
      </x:c>
      <x:c r="G185" s="10" t="n">
        <x:v>2</x:v>
      </x:c>
      <x:c r="H185" s="10" t="str">
        <x:v>Terça-feira</x:v>
      </x:c>
      <x:c r="I185" s="11" t="b">
        <x:v>1</x:v>
      </x:c>
    </x:row>
    <x:row r="186" ht="18" customHeight="1">
      <x:c r="A186" s="16" t="n">
        <x:v>45476</x:v>
      </x:c>
      <x:c r="B186" s="10" t="n">
        <x:v>2024</x:v>
      </x:c>
      <x:c r="C186" s="10" t="n">
        <x:v>3</x:v>
      </x:c>
      <x:c r="D186" s="10" t="n">
        <x:v>7</x:v>
      </x:c>
      <x:c r="E186" s="10" t="str">
        <x:v>Julho</x:v>
      </x:c>
      <x:c r="F186" s="10" t="str">
        <x:v>2024-07</x:v>
      </x:c>
      <x:c r="G186" s="10" t="n">
        <x:v>3</x:v>
      </x:c>
      <x:c r="H186" s="10" t="str">
        <x:v>Quarta-feira</x:v>
      </x:c>
      <x:c r="I186" s="11" t="b">
        <x:v>1</x:v>
      </x:c>
    </x:row>
    <x:row r="187" ht="18" customHeight="1">
      <x:c r="A187" s="16" t="n">
        <x:v>45477</x:v>
      </x:c>
      <x:c r="B187" s="10" t="n">
        <x:v>2024</x:v>
      </x:c>
      <x:c r="C187" s="10" t="n">
        <x:v>3</x:v>
      </x:c>
      <x:c r="D187" s="10" t="n">
        <x:v>7</x:v>
      </x:c>
      <x:c r="E187" s="10" t="str">
        <x:v>Julho</x:v>
      </x:c>
      <x:c r="F187" s="10" t="str">
        <x:v>2024-07</x:v>
      </x:c>
      <x:c r="G187" s="10" t="n">
        <x:v>4</x:v>
      </x:c>
      <x:c r="H187" s="10" t="str">
        <x:v>Quinta-feira</x:v>
      </x:c>
      <x:c r="I187" s="11" t="b">
        <x:v>1</x:v>
      </x:c>
    </x:row>
    <x:row r="188" ht="18" customHeight="1">
      <x:c r="A188" s="16" t="n">
        <x:v>45478</x:v>
      </x:c>
      <x:c r="B188" s="10" t="n">
        <x:v>2024</x:v>
      </x:c>
      <x:c r="C188" s="10" t="n">
        <x:v>3</x:v>
      </x:c>
      <x:c r="D188" s="10" t="n">
        <x:v>7</x:v>
      </x:c>
      <x:c r="E188" s="10" t="str">
        <x:v>Julho</x:v>
      </x:c>
      <x:c r="F188" s="10" t="str">
        <x:v>2024-07</x:v>
      </x:c>
      <x:c r="G188" s="10" t="n">
        <x:v>5</x:v>
      </x:c>
      <x:c r="H188" s="10" t="str">
        <x:v>Sexta-feira</x:v>
      </x:c>
      <x:c r="I188" s="11" t="b">
        <x:v>1</x:v>
      </x:c>
    </x:row>
    <x:row r="189" ht="18" customHeight="1">
      <x:c r="A189" s="16" t="n">
        <x:v>45479</x:v>
      </x:c>
      <x:c r="B189" s="10" t="n">
        <x:v>2024</x:v>
      </x:c>
      <x:c r="C189" s="10" t="n">
        <x:v>3</x:v>
      </x:c>
      <x:c r="D189" s="10" t="n">
        <x:v>7</x:v>
      </x:c>
      <x:c r="E189" s="10" t="str">
        <x:v>Julho</x:v>
      </x:c>
      <x:c r="F189" s="10" t="str">
        <x:v>2024-07</x:v>
      </x:c>
      <x:c r="G189" s="10" t="n">
        <x:v>6</x:v>
      </x:c>
      <x:c r="H189" s="10" t="str">
        <x:v>Sábado</x:v>
      </x:c>
      <x:c r="I189" s="11" t="b">
        <x:v>0</x:v>
      </x:c>
    </x:row>
    <x:row r="190" ht="18" customHeight="1">
      <x:c r="A190" s="16" t="n">
        <x:v>45480</x:v>
      </x:c>
      <x:c r="B190" s="10" t="n">
        <x:v>2024</x:v>
      </x:c>
      <x:c r="C190" s="10" t="n">
        <x:v>3</x:v>
      </x:c>
      <x:c r="D190" s="10" t="n">
        <x:v>7</x:v>
      </x:c>
      <x:c r="E190" s="10" t="str">
        <x:v>Julho</x:v>
      </x:c>
      <x:c r="F190" s="10" t="str">
        <x:v>2024-07</x:v>
      </x:c>
      <x:c r="G190" s="10" t="n">
        <x:v>7</x:v>
      </x:c>
      <x:c r="H190" s="10" t="str">
        <x:v>Domingo</x:v>
      </x:c>
      <x:c r="I190" s="11" t="b">
        <x:v>0</x:v>
      </x:c>
    </x:row>
    <x:row r="191" ht="18" customHeight="1">
      <x:c r="A191" s="16" t="n">
        <x:v>45481</x:v>
      </x:c>
      <x:c r="B191" s="10" t="n">
        <x:v>2024</x:v>
      </x:c>
      <x:c r="C191" s="10" t="n">
        <x:v>3</x:v>
      </x:c>
      <x:c r="D191" s="10" t="n">
        <x:v>7</x:v>
      </x:c>
      <x:c r="E191" s="10" t="str">
        <x:v>Julho</x:v>
      </x:c>
      <x:c r="F191" s="10" t="str">
        <x:v>2024-07</x:v>
      </x:c>
      <x:c r="G191" s="10" t="n">
        <x:v>8</x:v>
      </x:c>
      <x:c r="H191" s="10" t="str">
        <x:v>Segunda-feira</x:v>
      </x:c>
      <x:c r="I191" s="11" t="b">
        <x:v>1</x:v>
      </x:c>
    </x:row>
    <x:row r="192" ht="18" customHeight="1">
      <x:c r="A192" s="16" t="n">
        <x:v>45482</x:v>
      </x:c>
      <x:c r="B192" s="10" t="n">
        <x:v>2024</x:v>
      </x:c>
      <x:c r="C192" s="10" t="n">
        <x:v>3</x:v>
      </x:c>
      <x:c r="D192" s="10" t="n">
        <x:v>7</x:v>
      </x:c>
      <x:c r="E192" s="10" t="str">
        <x:v>Julho</x:v>
      </x:c>
      <x:c r="F192" s="10" t="str">
        <x:v>2024-07</x:v>
      </x:c>
      <x:c r="G192" s="10" t="n">
        <x:v>9</x:v>
      </x:c>
      <x:c r="H192" s="10" t="str">
        <x:v>Terça-feira</x:v>
      </x:c>
      <x:c r="I192" s="11" t="b">
        <x:v>1</x:v>
      </x:c>
    </x:row>
    <x:row r="193" ht="18" customHeight="1">
      <x:c r="A193" s="16" t="n">
        <x:v>45483</x:v>
      </x:c>
      <x:c r="B193" s="10" t="n">
        <x:v>2024</x:v>
      </x:c>
      <x:c r="C193" s="10" t="n">
        <x:v>3</x:v>
      </x:c>
      <x:c r="D193" s="10" t="n">
        <x:v>7</x:v>
      </x:c>
      <x:c r="E193" s="10" t="str">
        <x:v>Julho</x:v>
      </x:c>
      <x:c r="F193" s="10" t="str">
        <x:v>2024-07</x:v>
      </x:c>
      <x:c r="G193" s="10" t="n">
        <x:v>10</x:v>
      </x:c>
      <x:c r="H193" s="10" t="str">
        <x:v>Quarta-feira</x:v>
      </x:c>
      <x:c r="I193" s="11" t="b">
        <x:v>1</x:v>
      </x:c>
    </x:row>
    <x:row r="194" ht="18" customHeight="1">
      <x:c r="A194" s="16" t="n">
        <x:v>45484</x:v>
      </x:c>
      <x:c r="B194" s="10" t="n">
        <x:v>2024</x:v>
      </x:c>
      <x:c r="C194" s="10" t="n">
        <x:v>3</x:v>
      </x:c>
      <x:c r="D194" s="10" t="n">
        <x:v>7</x:v>
      </x:c>
      <x:c r="E194" s="10" t="str">
        <x:v>Julho</x:v>
      </x:c>
      <x:c r="F194" s="10" t="str">
        <x:v>2024-07</x:v>
      </x:c>
      <x:c r="G194" s="10" t="n">
        <x:v>11</x:v>
      </x:c>
      <x:c r="H194" s="10" t="str">
        <x:v>Quinta-feira</x:v>
      </x:c>
      <x:c r="I194" s="11" t="b">
        <x:v>1</x:v>
      </x:c>
    </x:row>
    <x:row r="195" ht="18" customHeight="1">
      <x:c r="A195" s="16" t="n">
        <x:v>45485</x:v>
      </x:c>
      <x:c r="B195" s="10" t="n">
        <x:v>2024</x:v>
      </x:c>
      <x:c r="C195" s="10" t="n">
        <x:v>3</x:v>
      </x:c>
      <x:c r="D195" s="10" t="n">
        <x:v>7</x:v>
      </x:c>
      <x:c r="E195" s="10" t="str">
        <x:v>Julho</x:v>
      </x:c>
      <x:c r="F195" s="10" t="str">
        <x:v>2024-07</x:v>
      </x:c>
      <x:c r="G195" s="10" t="n">
        <x:v>12</x:v>
      </x:c>
      <x:c r="H195" s="10" t="str">
        <x:v>Sexta-feira</x:v>
      </x:c>
      <x:c r="I195" s="11" t="b">
        <x:v>1</x:v>
      </x:c>
    </x:row>
    <x:row r="196" ht="18" customHeight="1">
      <x:c r="A196" s="16" t="n">
        <x:v>45486</x:v>
      </x:c>
      <x:c r="B196" s="10" t="n">
        <x:v>2024</x:v>
      </x:c>
      <x:c r="C196" s="10" t="n">
        <x:v>3</x:v>
      </x:c>
      <x:c r="D196" s="10" t="n">
        <x:v>7</x:v>
      </x:c>
      <x:c r="E196" s="10" t="str">
        <x:v>Julho</x:v>
      </x:c>
      <x:c r="F196" s="10" t="str">
        <x:v>2024-07</x:v>
      </x:c>
      <x:c r="G196" s="10" t="n">
        <x:v>13</x:v>
      </x:c>
      <x:c r="H196" s="10" t="str">
        <x:v>Sábado</x:v>
      </x:c>
      <x:c r="I196" s="11" t="b">
        <x:v>0</x:v>
      </x:c>
    </x:row>
    <x:row r="197" ht="18" customHeight="1">
      <x:c r="A197" s="16" t="n">
        <x:v>45487</x:v>
      </x:c>
      <x:c r="B197" s="10" t="n">
        <x:v>2024</x:v>
      </x:c>
      <x:c r="C197" s="10" t="n">
        <x:v>3</x:v>
      </x:c>
      <x:c r="D197" s="10" t="n">
        <x:v>7</x:v>
      </x:c>
      <x:c r="E197" s="10" t="str">
        <x:v>Julho</x:v>
      </x:c>
      <x:c r="F197" s="10" t="str">
        <x:v>2024-07</x:v>
      </x:c>
      <x:c r="G197" s="10" t="n">
        <x:v>14</x:v>
      </x:c>
      <x:c r="H197" s="10" t="str">
        <x:v>Domingo</x:v>
      </x:c>
      <x:c r="I197" s="11" t="b">
        <x:v>0</x:v>
      </x:c>
    </x:row>
    <x:row r="198" ht="18" customHeight="1">
      <x:c r="A198" s="16" t="n">
        <x:v>45488</x:v>
      </x:c>
      <x:c r="B198" s="10" t="n">
        <x:v>2024</x:v>
      </x:c>
      <x:c r="C198" s="10" t="n">
        <x:v>3</x:v>
      </x:c>
      <x:c r="D198" s="10" t="n">
        <x:v>7</x:v>
      </x:c>
      <x:c r="E198" s="10" t="str">
        <x:v>Julho</x:v>
      </x:c>
      <x:c r="F198" s="10" t="str">
        <x:v>2024-07</x:v>
      </x:c>
      <x:c r="G198" s="10" t="n">
        <x:v>15</x:v>
      </x:c>
      <x:c r="H198" s="10" t="str">
        <x:v>Segunda-feira</x:v>
      </x:c>
      <x:c r="I198" s="11" t="b">
        <x:v>1</x:v>
      </x:c>
    </x:row>
    <x:row r="199" ht="18" customHeight="1">
      <x:c r="A199" s="16" t="n">
        <x:v>45489</x:v>
      </x:c>
      <x:c r="B199" s="10" t="n">
        <x:v>2024</x:v>
      </x:c>
      <x:c r="C199" s="10" t="n">
        <x:v>3</x:v>
      </x:c>
      <x:c r="D199" s="10" t="n">
        <x:v>7</x:v>
      </x:c>
      <x:c r="E199" s="10" t="str">
        <x:v>Julho</x:v>
      </x:c>
      <x:c r="F199" s="10" t="str">
        <x:v>2024-07</x:v>
      </x:c>
      <x:c r="G199" s="10" t="n">
        <x:v>16</x:v>
      </x:c>
      <x:c r="H199" s="10" t="str">
        <x:v>Terça-feira</x:v>
      </x:c>
      <x:c r="I199" s="11" t="b">
        <x:v>1</x:v>
      </x:c>
    </x:row>
    <x:row r="200" ht="18" customHeight="1">
      <x:c r="A200" s="16" t="n">
        <x:v>45490</x:v>
      </x:c>
      <x:c r="B200" s="10" t="n">
        <x:v>2024</x:v>
      </x:c>
      <x:c r="C200" s="10" t="n">
        <x:v>3</x:v>
      </x:c>
      <x:c r="D200" s="10" t="n">
        <x:v>7</x:v>
      </x:c>
      <x:c r="E200" s="10" t="str">
        <x:v>Julho</x:v>
      </x:c>
      <x:c r="F200" s="10" t="str">
        <x:v>2024-07</x:v>
      </x:c>
      <x:c r="G200" s="10" t="n">
        <x:v>17</x:v>
      </x:c>
      <x:c r="H200" s="10" t="str">
        <x:v>Quarta-feira</x:v>
      </x:c>
      <x:c r="I200" s="11" t="b">
        <x:v>1</x:v>
      </x:c>
    </x:row>
    <x:row r="201" ht="18" customHeight="1">
      <x:c r="A201" s="16" t="n">
        <x:v>45491</x:v>
      </x:c>
      <x:c r="B201" s="10" t="n">
        <x:v>2024</x:v>
      </x:c>
      <x:c r="C201" s="10" t="n">
        <x:v>3</x:v>
      </x:c>
      <x:c r="D201" s="10" t="n">
        <x:v>7</x:v>
      </x:c>
      <x:c r="E201" s="10" t="str">
        <x:v>Julho</x:v>
      </x:c>
      <x:c r="F201" s="10" t="str">
        <x:v>2024-07</x:v>
      </x:c>
      <x:c r="G201" s="10" t="n">
        <x:v>18</x:v>
      </x:c>
      <x:c r="H201" s="10" t="str">
        <x:v>Quinta-feira</x:v>
      </x:c>
      <x:c r="I201" s="11" t="b">
        <x:v>1</x:v>
      </x:c>
    </x:row>
    <x:row r="202" ht="18" customHeight="1">
      <x:c r="A202" s="16" t="n">
        <x:v>45492</x:v>
      </x:c>
      <x:c r="B202" s="10" t="n">
        <x:v>2024</x:v>
      </x:c>
      <x:c r="C202" s="10" t="n">
        <x:v>3</x:v>
      </x:c>
      <x:c r="D202" s="10" t="n">
        <x:v>7</x:v>
      </x:c>
      <x:c r="E202" s="10" t="str">
        <x:v>Julho</x:v>
      </x:c>
      <x:c r="F202" s="10" t="str">
        <x:v>2024-07</x:v>
      </x:c>
      <x:c r="G202" s="10" t="n">
        <x:v>19</x:v>
      </x:c>
      <x:c r="H202" s="10" t="str">
        <x:v>Sexta-feira</x:v>
      </x:c>
      <x:c r="I202" s="11" t="b">
        <x:v>1</x:v>
      </x:c>
    </x:row>
    <x:row r="203" ht="18" customHeight="1">
      <x:c r="A203" s="16" t="n">
        <x:v>45493</x:v>
      </x:c>
      <x:c r="B203" s="10" t="n">
        <x:v>2024</x:v>
      </x:c>
      <x:c r="C203" s="10" t="n">
        <x:v>3</x:v>
      </x:c>
      <x:c r="D203" s="10" t="n">
        <x:v>7</x:v>
      </x:c>
      <x:c r="E203" s="10" t="str">
        <x:v>Julho</x:v>
      </x:c>
      <x:c r="F203" s="10" t="str">
        <x:v>2024-07</x:v>
      </x:c>
      <x:c r="G203" s="10" t="n">
        <x:v>20</x:v>
      </x:c>
      <x:c r="H203" s="10" t="str">
        <x:v>Sábado</x:v>
      </x:c>
      <x:c r="I203" s="11" t="b">
        <x:v>0</x:v>
      </x:c>
    </x:row>
    <x:row r="204" ht="18" customHeight="1">
      <x:c r="A204" s="16" t="n">
        <x:v>45494</x:v>
      </x:c>
      <x:c r="B204" s="10" t="n">
        <x:v>2024</x:v>
      </x:c>
      <x:c r="C204" s="10" t="n">
        <x:v>3</x:v>
      </x:c>
      <x:c r="D204" s="10" t="n">
        <x:v>7</x:v>
      </x:c>
      <x:c r="E204" s="10" t="str">
        <x:v>Julho</x:v>
      </x:c>
      <x:c r="F204" s="10" t="str">
        <x:v>2024-07</x:v>
      </x:c>
      <x:c r="G204" s="10" t="n">
        <x:v>21</x:v>
      </x:c>
      <x:c r="H204" s="10" t="str">
        <x:v>Domingo</x:v>
      </x:c>
      <x:c r="I204" s="11" t="b">
        <x:v>0</x:v>
      </x:c>
    </x:row>
    <x:row r="205" ht="18" customHeight="1">
      <x:c r="A205" s="16" t="n">
        <x:v>45495</x:v>
      </x:c>
      <x:c r="B205" s="10" t="n">
        <x:v>2024</x:v>
      </x:c>
      <x:c r="C205" s="10" t="n">
        <x:v>3</x:v>
      </x:c>
      <x:c r="D205" s="10" t="n">
        <x:v>7</x:v>
      </x:c>
      <x:c r="E205" s="10" t="str">
        <x:v>Julho</x:v>
      </x:c>
      <x:c r="F205" s="10" t="str">
        <x:v>2024-07</x:v>
      </x:c>
      <x:c r="G205" s="10" t="n">
        <x:v>22</x:v>
      </x:c>
      <x:c r="H205" s="10" t="str">
        <x:v>Segunda-feira</x:v>
      </x:c>
      <x:c r="I205" s="11" t="b">
        <x:v>1</x:v>
      </x:c>
    </x:row>
    <x:row r="206" ht="18" customHeight="1">
      <x:c r="A206" s="16" t="n">
        <x:v>45496</x:v>
      </x:c>
      <x:c r="B206" s="10" t="n">
        <x:v>2024</x:v>
      </x:c>
      <x:c r="C206" s="10" t="n">
        <x:v>3</x:v>
      </x:c>
      <x:c r="D206" s="10" t="n">
        <x:v>7</x:v>
      </x:c>
      <x:c r="E206" s="10" t="str">
        <x:v>Julho</x:v>
      </x:c>
      <x:c r="F206" s="10" t="str">
        <x:v>2024-07</x:v>
      </x:c>
      <x:c r="G206" s="10" t="n">
        <x:v>23</x:v>
      </x:c>
      <x:c r="H206" s="10" t="str">
        <x:v>Terça-feira</x:v>
      </x:c>
      <x:c r="I206" s="11" t="b">
        <x:v>1</x:v>
      </x:c>
    </x:row>
    <x:row r="207" ht="18" customHeight="1">
      <x:c r="A207" s="16" t="n">
        <x:v>45497</x:v>
      </x:c>
      <x:c r="B207" s="10" t="n">
        <x:v>2024</x:v>
      </x:c>
      <x:c r="C207" s="10" t="n">
        <x:v>3</x:v>
      </x:c>
      <x:c r="D207" s="10" t="n">
        <x:v>7</x:v>
      </x:c>
      <x:c r="E207" s="10" t="str">
        <x:v>Julho</x:v>
      </x:c>
      <x:c r="F207" s="10" t="str">
        <x:v>2024-07</x:v>
      </x:c>
      <x:c r="G207" s="10" t="n">
        <x:v>24</x:v>
      </x:c>
      <x:c r="H207" s="10" t="str">
        <x:v>Quarta-feira</x:v>
      </x:c>
      <x:c r="I207" s="11" t="b">
        <x:v>1</x:v>
      </x:c>
    </x:row>
    <x:row r="208" ht="18" customHeight="1">
      <x:c r="A208" s="16" t="n">
        <x:v>45498</x:v>
      </x:c>
      <x:c r="B208" s="10" t="n">
        <x:v>2024</x:v>
      </x:c>
      <x:c r="C208" s="10" t="n">
        <x:v>3</x:v>
      </x:c>
      <x:c r="D208" s="10" t="n">
        <x:v>7</x:v>
      </x:c>
      <x:c r="E208" s="10" t="str">
        <x:v>Julho</x:v>
      </x:c>
      <x:c r="F208" s="10" t="str">
        <x:v>2024-07</x:v>
      </x:c>
      <x:c r="G208" s="10" t="n">
        <x:v>25</x:v>
      </x:c>
      <x:c r="H208" s="10" t="str">
        <x:v>Quinta-feira</x:v>
      </x:c>
      <x:c r="I208" s="11" t="b">
        <x:v>1</x:v>
      </x:c>
    </x:row>
    <x:row r="209" ht="18" customHeight="1">
      <x:c r="A209" s="16" t="n">
        <x:v>45499</x:v>
      </x:c>
      <x:c r="B209" s="10" t="n">
        <x:v>2024</x:v>
      </x:c>
      <x:c r="C209" s="10" t="n">
        <x:v>3</x:v>
      </x:c>
      <x:c r="D209" s="10" t="n">
        <x:v>7</x:v>
      </x:c>
      <x:c r="E209" s="10" t="str">
        <x:v>Julho</x:v>
      </x:c>
      <x:c r="F209" s="10" t="str">
        <x:v>2024-07</x:v>
      </x:c>
      <x:c r="G209" s="10" t="n">
        <x:v>26</x:v>
      </x:c>
      <x:c r="H209" s="10" t="str">
        <x:v>Sexta-feira</x:v>
      </x:c>
      <x:c r="I209" s="11" t="b">
        <x:v>1</x:v>
      </x:c>
    </x:row>
    <x:row r="210" ht="18" customHeight="1">
      <x:c r="A210" s="16" t="n">
        <x:v>45500</x:v>
      </x:c>
      <x:c r="B210" s="10" t="n">
        <x:v>2024</x:v>
      </x:c>
      <x:c r="C210" s="10" t="n">
        <x:v>3</x:v>
      </x:c>
      <x:c r="D210" s="10" t="n">
        <x:v>7</x:v>
      </x:c>
      <x:c r="E210" s="10" t="str">
        <x:v>Julho</x:v>
      </x:c>
      <x:c r="F210" s="10" t="str">
        <x:v>2024-07</x:v>
      </x:c>
      <x:c r="G210" s="10" t="n">
        <x:v>27</x:v>
      </x:c>
      <x:c r="H210" s="10" t="str">
        <x:v>Sábado</x:v>
      </x:c>
      <x:c r="I210" s="11" t="b">
        <x:v>0</x:v>
      </x:c>
    </x:row>
    <x:row r="211" ht="18" customHeight="1">
      <x:c r="A211" s="16" t="n">
        <x:v>45501</x:v>
      </x:c>
      <x:c r="B211" s="10" t="n">
        <x:v>2024</x:v>
      </x:c>
      <x:c r="C211" s="10" t="n">
        <x:v>3</x:v>
      </x:c>
      <x:c r="D211" s="10" t="n">
        <x:v>7</x:v>
      </x:c>
      <x:c r="E211" s="10" t="str">
        <x:v>Julho</x:v>
      </x:c>
      <x:c r="F211" s="10" t="str">
        <x:v>2024-07</x:v>
      </x:c>
      <x:c r="G211" s="10" t="n">
        <x:v>28</x:v>
      </x:c>
      <x:c r="H211" s="10" t="str">
        <x:v>Domingo</x:v>
      </x:c>
      <x:c r="I211" s="11" t="b">
        <x:v>0</x:v>
      </x:c>
    </x:row>
    <x:row r="212" ht="18" customHeight="1">
      <x:c r="A212" s="16" t="n">
        <x:v>45502</x:v>
      </x:c>
      <x:c r="B212" s="10" t="n">
        <x:v>2024</x:v>
      </x:c>
      <x:c r="C212" s="10" t="n">
        <x:v>3</x:v>
      </x:c>
      <x:c r="D212" s="10" t="n">
        <x:v>7</x:v>
      </x:c>
      <x:c r="E212" s="10" t="str">
        <x:v>Julho</x:v>
      </x:c>
      <x:c r="F212" s="10" t="str">
        <x:v>2024-07</x:v>
      </x:c>
      <x:c r="G212" s="10" t="n">
        <x:v>29</x:v>
      </x:c>
      <x:c r="H212" s="10" t="str">
        <x:v>Segunda-feira</x:v>
      </x:c>
      <x:c r="I212" s="11" t="b">
        <x:v>1</x:v>
      </x:c>
    </x:row>
    <x:row r="213" ht="18" customHeight="1">
      <x:c r="A213" s="16" t="n">
        <x:v>45503</x:v>
      </x:c>
      <x:c r="B213" s="10" t="n">
        <x:v>2024</x:v>
      </x:c>
      <x:c r="C213" s="10" t="n">
        <x:v>3</x:v>
      </x:c>
      <x:c r="D213" s="10" t="n">
        <x:v>7</x:v>
      </x:c>
      <x:c r="E213" s="10" t="str">
        <x:v>Julho</x:v>
      </x:c>
      <x:c r="F213" s="10" t="str">
        <x:v>2024-07</x:v>
      </x:c>
      <x:c r="G213" s="10" t="n">
        <x:v>30</x:v>
      </x:c>
      <x:c r="H213" s="10" t="str">
        <x:v>Terça-feira</x:v>
      </x:c>
      <x:c r="I213" s="11" t="b">
        <x:v>1</x:v>
      </x:c>
    </x:row>
    <x:row r="214" ht="18" customHeight="1">
      <x:c r="A214" s="16" t="n">
        <x:v>45504</x:v>
      </x:c>
      <x:c r="B214" s="10" t="n">
        <x:v>2024</x:v>
      </x:c>
      <x:c r="C214" s="10" t="n">
        <x:v>3</x:v>
      </x:c>
      <x:c r="D214" s="10" t="n">
        <x:v>7</x:v>
      </x:c>
      <x:c r="E214" s="10" t="str">
        <x:v>Julho</x:v>
      </x:c>
      <x:c r="F214" s="10" t="str">
        <x:v>2024-07</x:v>
      </x:c>
      <x:c r="G214" s="10" t="n">
        <x:v>31</x:v>
      </x:c>
      <x:c r="H214" s="10" t="str">
        <x:v>Quarta-feira</x:v>
      </x:c>
      <x:c r="I214" s="11" t="b">
        <x:v>1</x:v>
      </x:c>
    </x:row>
    <x:row r="215" ht="18" customHeight="1">
      <x:c r="A215" s="16" t="n">
        <x:v>45505</x:v>
      </x:c>
      <x:c r="B215" s="10" t="n">
        <x:v>2024</x:v>
      </x:c>
      <x:c r="C215" s="10" t="n">
        <x:v>3</x:v>
      </x:c>
      <x:c r="D215" s="10" t="n">
        <x:v>8</x:v>
      </x:c>
      <x:c r="E215" s="10" t="str">
        <x:v>Agosto</x:v>
      </x:c>
      <x:c r="F215" s="10" t="str">
        <x:v>2024-08</x:v>
      </x:c>
      <x:c r="G215" s="10" t="n">
        <x:v>1</x:v>
      </x:c>
      <x:c r="H215" s="10" t="str">
        <x:v>Quinta-feira</x:v>
      </x:c>
      <x:c r="I215" s="11" t="b">
        <x:v>1</x:v>
      </x:c>
    </x:row>
    <x:row r="216" ht="18" customHeight="1">
      <x:c r="A216" s="16" t="n">
        <x:v>45506</x:v>
      </x:c>
      <x:c r="B216" s="10" t="n">
        <x:v>2024</x:v>
      </x:c>
      <x:c r="C216" s="10" t="n">
        <x:v>3</x:v>
      </x:c>
      <x:c r="D216" s="10" t="n">
        <x:v>8</x:v>
      </x:c>
      <x:c r="E216" s="10" t="str">
        <x:v>Agosto</x:v>
      </x:c>
      <x:c r="F216" s="10" t="str">
        <x:v>2024-08</x:v>
      </x:c>
      <x:c r="G216" s="10" t="n">
        <x:v>2</x:v>
      </x:c>
      <x:c r="H216" s="10" t="str">
        <x:v>Sexta-feira</x:v>
      </x:c>
      <x:c r="I216" s="11" t="b">
        <x:v>1</x:v>
      </x:c>
    </x:row>
    <x:row r="217" ht="18" customHeight="1">
      <x:c r="A217" s="16" t="n">
        <x:v>45507</x:v>
      </x:c>
      <x:c r="B217" s="10" t="n">
        <x:v>2024</x:v>
      </x:c>
      <x:c r="C217" s="10" t="n">
        <x:v>3</x:v>
      </x:c>
      <x:c r="D217" s="10" t="n">
        <x:v>8</x:v>
      </x:c>
      <x:c r="E217" s="10" t="str">
        <x:v>Agosto</x:v>
      </x:c>
      <x:c r="F217" s="10" t="str">
        <x:v>2024-08</x:v>
      </x:c>
      <x:c r="G217" s="10" t="n">
        <x:v>3</x:v>
      </x:c>
      <x:c r="H217" s="10" t="str">
        <x:v>Sábado</x:v>
      </x:c>
      <x:c r="I217" s="11" t="b">
        <x:v>0</x:v>
      </x:c>
    </x:row>
    <x:row r="218" ht="18" customHeight="1">
      <x:c r="A218" s="16" t="n">
        <x:v>45508</x:v>
      </x:c>
      <x:c r="B218" s="10" t="n">
        <x:v>2024</x:v>
      </x:c>
      <x:c r="C218" s="10" t="n">
        <x:v>3</x:v>
      </x:c>
      <x:c r="D218" s="10" t="n">
        <x:v>8</x:v>
      </x:c>
      <x:c r="E218" s="10" t="str">
        <x:v>Agosto</x:v>
      </x:c>
      <x:c r="F218" s="10" t="str">
        <x:v>2024-08</x:v>
      </x:c>
      <x:c r="G218" s="10" t="n">
        <x:v>4</x:v>
      </x:c>
      <x:c r="H218" s="10" t="str">
        <x:v>Domingo</x:v>
      </x:c>
      <x:c r="I218" s="11" t="b">
        <x:v>0</x:v>
      </x:c>
    </x:row>
    <x:row r="219" ht="18" customHeight="1">
      <x:c r="A219" s="16" t="n">
        <x:v>45509</x:v>
      </x:c>
      <x:c r="B219" s="10" t="n">
        <x:v>2024</x:v>
      </x:c>
      <x:c r="C219" s="10" t="n">
        <x:v>3</x:v>
      </x:c>
      <x:c r="D219" s="10" t="n">
        <x:v>8</x:v>
      </x:c>
      <x:c r="E219" s="10" t="str">
        <x:v>Agosto</x:v>
      </x:c>
      <x:c r="F219" s="10" t="str">
        <x:v>2024-08</x:v>
      </x:c>
      <x:c r="G219" s="10" t="n">
        <x:v>5</x:v>
      </x:c>
      <x:c r="H219" s="10" t="str">
        <x:v>Segunda-feira</x:v>
      </x:c>
      <x:c r="I219" s="11" t="b">
        <x:v>1</x:v>
      </x:c>
    </x:row>
    <x:row r="220" ht="18" customHeight="1">
      <x:c r="A220" s="16" t="n">
        <x:v>45510</x:v>
      </x:c>
      <x:c r="B220" s="10" t="n">
        <x:v>2024</x:v>
      </x:c>
      <x:c r="C220" s="10" t="n">
        <x:v>3</x:v>
      </x:c>
      <x:c r="D220" s="10" t="n">
        <x:v>8</x:v>
      </x:c>
      <x:c r="E220" s="10" t="str">
        <x:v>Agosto</x:v>
      </x:c>
      <x:c r="F220" s="10" t="str">
        <x:v>2024-08</x:v>
      </x:c>
      <x:c r="G220" s="10" t="n">
        <x:v>6</x:v>
      </x:c>
      <x:c r="H220" s="10" t="str">
        <x:v>Terça-feira</x:v>
      </x:c>
      <x:c r="I220" s="11" t="b">
        <x:v>1</x:v>
      </x:c>
    </x:row>
    <x:row r="221" ht="18" customHeight="1">
      <x:c r="A221" s="16" t="n">
        <x:v>45511</x:v>
      </x:c>
      <x:c r="B221" s="10" t="n">
        <x:v>2024</x:v>
      </x:c>
      <x:c r="C221" s="10" t="n">
        <x:v>3</x:v>
      </x:c>
      <x:c r="D221" s="10" t="n">
        <x:v>8</x:v>
      </x:c>
      <x:c r="E221" s="10" t="str">
        <x:v>Agosto</x:v>
      </x:c>
      <x:c r="F221" s="10" t="str">
        <x:v>2024-08</x:v>
      </x:c>
      <x:c r="G221" s="10" t="n">
        <x:v>7</x:v>
      </x:c>
      <x:c r="H221" s="10" t="str">
        <x:v>Quarta-feira</x:v>
      </x:c>
      <x:c r="I221" s="11" t="b">
        <x:v>1</x:v>
      </x:c>
    </x:row>
    <x:row r="222" ht="18" customHeight="1">
      <x:c r="A222" s="16" t="n">
        <x:v>45512</x:v>
      </x:c>
      <x:c r="B222" s="10" t="n">
        <x:v>2024</x:v>
      </x:c>
      <x:c r="C222" s="10" t="n">
        <x:v>3</x:v>
      </x:c>
      <x:c r="D222" s="10" t="n">
        <x:v>8</x:v>
      </x:c>
      <x:c r="E222" s="10" t="str">
        <x:v>Agosto</x:v>
      </x:c>
      <x:c r="F222" s="10" t="str">
        <x:v>2024-08</x:v>
      </x:c>
      <x:c r="G222" s="10" t="n">
        <x:v>8</x:v>
      </x:c>
      <x:c r="H222" s="10" t="str">
        <x:v>Quinta-feira</x:v>
      </x:c>
      <x:c r="I222" s="11" t="b">
        <x:v>1</x:v>
      </x:c>
    </x:row>
    <x:row r="223" ht="18" customHeight="1">
      <x:c r="A223" s="16" t="n">
        <x:v>45513</x:v>
      </x:c>
      <x:c r="B223" s="10" t="n">
        <x:v>2024</x:v>
      </x:c>
      <x:c r="C223" s="10" t="n">
        <x:v>3</x:v>
      </x:c>
      <x:c r="D223" s="10" t="n">
        <x:v>8</x:v>
      </x:c>
      <x:c r="E223" s="10" t="str">
        <x:v>Agosto</x:v>
      </x:c>
      <x:c r="F223" s="10" t="str">
        <x:v>2024-08</x:v>
      </x:c>
      <x:c r="G223" s="10" t="n">
        <x:v>9</x:v>
      </x:c>
      <x:c r="H223" s="10" t="str">
        <x:v>Sexta-feira</x:v>
      </x:c>
      <x:c r="I223" s="11" t="b">
        <x:v>1</x:v>
      </x:c>
    </x:row>
    <x:row r="224" ht="18" customHeight="1">
      <x:c r="A224" s="16" t="n">
        <x:v>45514</x:v>
      </x:c>
      <x:c r="B224" s="10" t="n">
        <x:v>2024</x:v>
      </x:c>
      <x:c r="C224" s="10" t="n">
        <x:v>3</x:v>
      </x:c>
      <x:c r="D224" s="10" t="n">
        <x:v>8</x:v>
      </x:c>
      <x:c r="E224" s="10" t="str">
        <x:v>Agosto</x:v>
      </x:c>
      <x:c r="F224" s="10" t="str">
        <x:v>2024-08</x:v>
      </x:c>
      <x:c r="G224" s="10" t="n">
        <x:v>10</x:v>
      </x:c>
      <x:c r="H224" s="10" t="str">
        <x:v>Sábado</x:v>
      </x:c>
      <x:c r="I224" s="11" t="b">
        <x:v>0</x:v>
      </x:c>
    </x:row>
    <x:row r="225" ht="18" customHeight="1">
      <x:c r="A225" s="16" t="n">
        <x:v>45515</x:v>
      </x:c>
      <x:c r="B225" s="10" t="n">
        <x:v>2024</x:v>
      </x:c>
      <x:c r="C225" s="10" t="n">
        <x:v>3</x:v>
      </x:c>
      <x:c r="D225" s="10" t="n">
        <x:v>8</x:v>
      </x:c>
      <x:c r="E225" s="10" t="str">
        <x:v>Agosto</x:v>
      </x:c>
      <x:c r="F225" s="10" t="str">
        <x:v>2024-08</x:v>
      </x:c>
      <x:c r="G225" s="10" t="n">
        <x:v>11</x:v>
      </x:c>
      <x:c r="H225" s="10" t="str">
        <x:v>Domingo</x:v>
      </x:c>
      <x:c r="I225" s="11" t="b">
        <x:v>0</x:v>
      </x:c>
    </x:row>
    <x:row r="226" ht="18" customHeight="1">
      <x:c r="A226" s="16" t="n">
        <x:v>45516</x:v>
      </x:c>
      <x:c r="B226" s="10" t="n">
        <x:v>2024</x:v>
      </x:c>
      <x:c r="C226" s="10" t="n">
        <x:v>3</x:v>
      </x:c>
      <x:c r="D226" s="10" t="n">
        <x:v>8</x:v>
      </x:c>
      <x:c r="E226" s="10" t="str">
        <x:v>Agosto</x:v>
      </x:c>
      <x:c r="F226" s="10" t="str">
        <x:v>2024-08</x:v>
      </x:c>
      <x:c r="G226" s="10" t="n">
        <x:v>12</x:v>
      </x:c>
      <x:c r="H226" s="10" t="str">
        <x:v>Segunda-feira</x:v>
      </x:c>
      <x:c r="I226" s="11" t="b">
        <x:v>1</x:v>
      </x:c>
    </x:row>
    <x:row r="227" ht="18" customHeight="1">
      <x:c r="A227" s="16" t="n">
        <x:v>45517</x:v>
      </x:c>
      <x:c r="B227" s="10" t="n">
        <x:v>2024</x:v>
      </x:c>
      <x:c r="C227" s="10" t="n">
        <x:v>3</x:v>
      </x:c>
      <x:c r="D227" s="10" t="n">
        <x:v>8</x:v>
      </x:c>
      <x:c r="E227" s="10" t="str">
        <x:v>Agosto</x:v>
      </x:c>
      <x:c r="F227" s="10" t="str">
        <x:v>2024-08</x:v>
      </x:c>
      <x:c r="G227" s="10" t="n">
        <x:v>13</x:v>
      </x:c>
      <x:c r="H227" s="10" t="str">
        <x:v>Terça-feira</x:v>
      </x:c>
      <x:c r="I227" s="11" t="b">
        <x:v>1</x:v>
      </x:c>
    </x:row>
    <x:row r="228" ht="18" customHeight="1">
      <x:c r="A228" s="16" t="n">
        <x:v>45518</x:v>
      </x:c>
      <x:c r="B228" s="10" t="n">
        <x:v>2024</x:v>
      </x:c>
      <x:c r="C228" s="10" t="n">
        <x:v>3</x:v>
      </x:c>
      <x:c r="D228" s="10" t="n">
        <x:v>8</x:v>
      </x:c>
      <x:c r="E228" s="10" t="str">
        <x:v>Agosto</x:v>
      </x:c>
      <x:c r="F228" s="10" t="str">
        <x:v>2024-08</x:v>
      </x:c>
      <x:c r="G228" s="10" t="n">
        <x:v>14</x:v>
      </x:c>
      <x:c r="H228" s="10" t="str">
        <x:v>Quarta-feira</x:v>
      </x:c>
      <x:c r="I228" s="11" t="b">
        <x:v>1</x:v>
      </x:c>
    </x:row>
    <x:row r="229" ht="18" customHeight="1">
      <x:c r="A229" s="16" t="n">
        <x:v>45519</x:v>
      </x:c>
      <x:c r="B229" s="10" t="n">
        <x:v>2024</x:v>
      </x:c>
      <x:c r="C229" s="10" t="n">
        <x:v>3</x:v>
      </x:c>
      <x:c r="D229" s="10" t="n">
        <x:v>8</x:v>
      </x:c>
      <x:c r="E229" s="10" t="str">
        <x:v>Agosto</x:v>
      </x:c>
      <x:c r="F229" s="10" t="str">
        <x:v>2024-08</x:v>
      </x:c>
      <x:c r="G229" s="10" t="n">
        <x:v>15</x:v>
      </x:c>
      <x:c r="H229" s="10" t="str">
        <x:v>Quinta-feira</x:v>
      </x:c>
      <x:c r="I229" s="11" t="b">
        <x:v>1</x:v>
      </x:c>
    </x:row>
    <x:row r="230" ht="18" customHeight="1">
      <x:c r="A230" s="16" t="n">
        <x:v>45520</x:v>
      </x:c>
      <x:c r="B230" s="10" t="n">
        <x:v>2024</x:v>
      </x:c>
      <x:c r="C230" s="10" t="n">
        <x:v>3</x:v>
      </x:c>
      <x:c r="D230" s="10" t="n">
        <x:v>8</x:v>
      </x:c>
      <x:c r="E230" s="10" t="str">
        <x:v>Agosto</x:v>
      </x:c>
      <x:c r="F230" s="10" t="str">
        <x:v>2024-08</x:v>
      </x:c>
      <x:c r="G230" s="10" t="n">
        <x:v>16</x:v>
      </x:c>
      <x:c r="H230" s="10" t="str">
        <x:v>Sexta-feira</x:v>
      </x:c>
      <x:c r="I230" s="11" t="b">
        <x:v>1</x:v>
      </x:c>
    </x:row>
    <x:row r="231" ht="18" customHeight="1">
      <x:c r="A231" s="16" t="n">
        <x:v>45521</x:v>
      </x:c>
      <x:c r="B231" s="10" t="n">
        <x:v>2024</x:v>
      </x:c>
      <x:c r="C231" s="10" t="n">
        <x:v>3</x:v>
      </x:c>
      <x:c r="D231" s="10" t="n">
        <x:v>8</x:v>
      </x:c>
      <x:c r="E231" s="10" t="str">
        <x:v>Agosto</x:v>
      </x:c>
      <x:c r="F231" s="10" t="str">
        <x:v>2024-08</x:v>
      </x:c>
      <x:c r="G231" s="10" t="n">
        <x:v>17</x:v>
      </x:c>
      <x:c r="H231" s="10" t="str">
        <x:v>Sábado</x:v>
      </x:c>
      <x:c r="I231" s="11" t="b">
        <x:v>0</x:v>
      </x:c>
    </x:row>
    <x:row r="232" ht="18" customHeight="1">
      <x:c r="A232" s="16" t="n">
        <x:v>45522</x:v>
      </x:c>
      <x:c r="B232" s="10" t="n">
        <x:v>2024</x:v>
      </x:c>
      <x:c r="C232" s="10" t="n">
        <x:v>3</x:v>
      </x:c>
      <x:c r="D232" s="10" t="n">
        <x:v>8</x:v>
      </x:c>
      <x:c r="E232" s="10" t="str">
        <x:v>Agosto</x:v>
      </x:c>
      <x:c r="F232" s="10" t="str">
        <x:v>2024-08</x:v>
      </x:c>
      <x:c r="G232" s="10" t="n">
        <x:v>18</x:v>
      </x:c>
      <x:c r="H232" s="10" t="str">
        <x:v>Domingo</x:v>
      </x:c>
      <x:c r="I232" s="11" t="b">
        <x:v>0</x:v>
      </x:c>
    </x:row>
    <x:row r="233" ht="18" customHeight="1">
      <x:c r="A233" s="16" t="n">
        <x:v>45523</x:v>
      </x:c>
      <x:c r="B233" s="10" t="n">
        <x:v>2024</x:v>
      </x:c>
      <x:c r="C233" s="10" t="n">
        <x:v>3</x:v>
      </x:c>
      <x:c r="D233" s="10" t="n">
        <x:v>8</x:v>
      </x:c>
      <x:c r="E233" s="10" t="str">
        <x:v>Agosto</x:v>
      </x:c>
      <x:c r="F233" s="10" t="str">
        <x:v>2024-08</x:v>
      </x:c>
      <x:c r="G233" s="10" t="n">
        <x:v>19</x:v>
      </x:c>
      <x:c r="H233" s="10" t="str">
        <x:v>Segunda-feira</x:v>
      </x:c>
      <x:c r="I233" s="11" t="b">
        <x:v>1</x:v>
      </x:c>
    </x:row>
    <x:row r="234" ht="18" customHeight="1">
      <x:c r="A234" s="16" t="n">
        <x:v>45524</x:v>
      </x:c>
      <x:c r="B234" s="10" t="n">
        <x:v>2024</x:v>
      </x:c>
      <x:c r="C234" s="10" t="n">
        <x:v>3</x:v>
      </x:c>
      <x:c r="D234" s="10" t="n">
        <x:v>8</x:v>
      </x:c>
      <x:c r="E234" s="10" t="str">
        <x:v>Agosto</x:v>
      </x:c>
      <x:c r="F234" s="10" t="str">
        <x:v>2024-08</x:v>
      </x:c>
      <x:c r="G234" s="10" t="n">
        <x:v>20</x:v>
      </x:c>
      <x:c r="H234" s="10" t="str">
        <x:v>Terça-feira</x:v>
      </x:c>
      <x:c r="I234" s="11" t="b">
        <x:v>1</x:v>
      </x:c>
    </x:row>
    <x:row r="235" ht="18" customHeight="1">
      <x:c r="A235" s="16" t="n">
        <x:v>45525</x:v>
      </x:c>
      <x:c r="B235" s="10" t="n">
        <x:v>2024</x:v>
      </x:c>
      <x:c r="C235" s="10" t="n">
        <x:v>3</x:v>
      </x:c>
      <x:c r="D235" s="10" t="n">
        <x:v>8</x:v>
      </x:c>
      <x:c r="E235" s="10" t="str">
        <x:v>Agosto</x:v>
      </x:c>
      <x:c r="F235" s="10" t="str">
        <x:v>2024-08</x:v>
      </x:c>
      <x:c r="G235" s="10" t="n">
        <x:v>21</x:v>
      </x:c>
      <x:c r="H235" s="10" t="str">
        <x:v>Quarta-feira</x:v>
      </x:c>
      <x:c r="I235" s="11" t="b">
        <x:v>1</x:v>
      </x:c>
    </x:row>
    <x:row r="236" ht="18" customHeight="1">
      <x:c r="A236" s="16" t="n">
        <x:v>45526</x:v>
      </x:c>
      <x:c r="B236" s="10" t="n">
        <x:v>2024</x:v>
      </x:c>
      <x:c r="C236" s="10" t="n">
        <x:v>3</x:v>
      </x:c>
      <x:c r="D236" s="10" t="n">
        <x:v>8</x:v>
      </x:c>
      <x:c r="E236" s="10" t="str">
        <x:v>Agosto</x:v>
      </x:c>
      <x:c r="F236" s="10" t="str">
        <x:v>2024-08</x:v>
      </x:c>
      <x:c r="G236" s="10" t="n">
        <x:v>22</x:v>
      </x:c>
      <x:c r="H236" s="10" t="str">
        <x:v>Quinta-feira</x:v>
      </x:c>
      <x:c r="I236" s="11" t="b">
        <x:v>1</x:v>
      </x:c>
    </x:row>
    <x:row r="237" ht="18" customHeight="1">
      <x:c r="A237" s="16" t="n">
        <x:v>45527</x:v>
      </x:c>
      <x:c r="B237" s="10" t="n">
        <x:v>2024</x:v>
      </x:c>
      <x:c r="C237" s="10" t="n">
        <x:v>3</x:v>
      </x:c>
      <x:c r="D237" s="10" t="n">
        <x:v>8</x:v>
      </x:c>
      <x:c r="E237" s="10" t="str">
        <x:v>Agosto</x:v>
      </x:c>
      <x:c r="F237" s="10" t="str">
        <x:v>2024-08</x:v>
      </x:c>
      <x:c r="G237" s="10" t="n">
        <x:v>23</x:v>
      </x:c>
      <x:c r="H237" s="10" t="str">
        <x:v>Sexta-feira</x:v>
      </x:c>
      <x:c r="I237" s="11" t="b">
        <x:v>1</x:v>
      </x:c>
    </x:row>
    <x:row r="238" ht="18" customHeight="1">
      <x:c r="A238" s="16" t="n">
        <x:v>45528</x:v>
      </x:c>
      <x:c r="B238" s="10" t="n">
        <x:v>2024</x:v>
      </x:c>
      <x:c r="C238" s="10" t="n">
        <x:v>3</x:v>
      </x:c>
      <x:c r="D238" s="10" t="n">
        <x:v>8</x:v>
      </x:c>
      <x:c r="E238" s="10" t="str">
        <x:v>Agosto</x:v>
      </x:c>
      <x:c r="F238" s="10" t="str">
        <x:v>2024-08</x:v>
      </x:c>
      <x:c r="G238" s="10" t="n">
        <x:v>24</x:v>
      </x:c>
      <x:c r="H238" s="10" t="str">
        <x:v>Sábado</x:v>
      </x:c>
      <x:c r="I238" s="11" t="b">
        <x:v>0</x:v>
      </x:c>
    </x:row>
    <x:row r="239" ht="18" customHeight="1">
      <x:c r="A239" s="16" t="n">
        <x:v>45529</x:v>
      </x:c>
      <x:c r="B239" s="10" t="n">
        <x:v>2024</x:v>
      </x:c>
      <x:c r="C239" s="10" t="n">
        <x:v>3</x:v>
      </x:c>
      <x:c r="D239" s="10" t="n">
        <x:v>8</x:v>
      </x:c>
      <x:c r="E239" s="10" t="str">
        <x:v>Agosto</x:v>
      </x:c>
      <x:c r="F239" s="10" t="str">
        <x:v>2024-08</x:v>
      </x:c>
      <x:c r="G239" s="10" t="n">
        <x:v>25</x:v>
      </x:c>
      <x:c r="H239" s="10" t="str">
        <x:v>Domingo</x:v>
      </x:c>
      <x:c r="I239" s="11" t="b">
        <x:v>0</x:v>
      </x:c>
    </x:row>
    <x:row r="240" ht="18" customHeight="1">
      <x:c r="A240" s="16" t="n">
        <x:v>45530</x:v>
      </x:c>
      <x:c r="B240" s="10" t="n">
        <x:v>2024</x:v>
      </x:c>
      <x:c r="C240" s="10" t="n">
        <x:v>3</x:v>
      </x:c>
      <x:c r="D240" s="10" t="n">
        <x:v>8</x:v>
      </x:c>
      <x:c r="E240" s="10" t="str">
        <x:v>Agosto</x:v>
      </x:c>
      <x:c r="F240" s="10" t="str">
        <x:v>2024-08</x:v>
      </x:c>
      <x:c r="G240" s="10" t="n">
        <x:v>26</x:v>
      </x:c>
      <x:c r="H240" s="10" t="str">
        <x:v>Segunda-feira</x:v>
      </x:c>
      <x:c r="I240" s="11" t="b">
        <x:v>1</x:v>
      </x:c>
    </x:row>
    <x:row r="241" ht="18" customHeight="1">
      <x:c r="A241" s="16" t="n">
        <x:v>45531</x:v>
      </x:c>
      <x:c r="B241" s="10" t="n">
        <x:v>2024</x:v>
      </x:c>
      <x:c r="C241" s="10" t="n">
        <x:v>3</x:v>
      </x:c>
      <x:c r="D241" s="10" t="n">
        <x:v>8</x:v>
      </x:c>
      <x:c r="E241" s="10" t="str">
        <x:v>Agosto</x:v>
      </x:c>
      <x:c r="F241" s="10" t="str">
        <x:v>2024-08</x:v>
      </x:c>
      <x:c r="G241" s="10" t="n">
        <x:v>27</x:v>
      </x:c>
      <x:c r="H241" s="10" t="str">
        <x:v>Terça-feira</x:v>
      </x:c>
      <x:c r="I241" s="11" t="b">
        <x:v>1</x:v>
      </x:c>
    </x:row>
    <x:row r="242" ht="18" customHeight="1">
      <x:c r="A242" s="16" t="n">
        <x:v>45532</x:v>
      </x:c>
      <x:c r="B242" s="10" t="n">
        <x:v>2024</x:v>
      </x:c>
      <x:c r="C242" s="10" t="n">
        <x:v>3</x:v>
      </x:c>
      <x:c r="D242" s="10" t="n">
        <x:v>8</x:v>
      </x:c>
      <x:c r="E242" s="10" t="str">
        <x:v>Agosto</x:v>
      </x:c>
      <x:c r="F242" s="10" t="str">
        <x:v>2024-08</x:v>
      </x:c>
      <x:c r="G242" s="10" t="n">
        <x:v>28</x:v>
      </x:c>
      <x:c r="H242" s="10" t="str">
        <x:v>Quarta-feira</x:v>
      </x:c>
      <x:c r="I242" s="11" t="b">
        <x:v>1</x:v>
      </x:c>
    </x:row>
    <x:row r="243" ht="18" customHeight="1">
      <x:c r="A243" s="16" t="n">
        <x:v>45533</x:v>
      </x:c>
      <x:c r="B243" s="10" t="n">
        <x:v>2024</x:v>
      </x:c>
      <x:c r="C243" s="10" t="n">
        <x:v>3</x:v>
      </x:c>
      <x:c r="D243" s="10" t="n">
        <x:v>8</x:v>
      </x:c>
      <x:c r="E243" s="10" t="str">
        <x:v>Agosto</x:v>
      </x:c>
      <x:c r="F243" s="10" t="str">
        <x:v>2024-08</x:v>
      </x:c>
      <x:c r="G243" s="10" t="n">
        <x:v>29</x:v>
      </x:c>
      <x:c r="H243" s="10" t="str">
        <x:v>Quinta-feira</x:v>
      </x:c>
      <x:c r="I243" s="11" t="b">
        <x:v>1</x:v>
      </x:c>
    </x:row>
    <x:row r="244" ht="18" customHeight="1">
      <x:c r="A244" s="16" t="n">
        <x:v>45534</x:v>
      </x:c>
      <x:c r="B244" s="10" t="n">
        <x:v>2024</x:v>
      </x:c>
      <x:c r="C244" s="10" t="n">
        <x:v>3</x:v>
      </x:c>
      <x:c r="D244" s="10" t="n">
        <x:v>8</x:v>
      </x:c>
      <x:c r="E244" s="10" t="str">
        <x:v>Agosto</x:v>
      </x:c>
      <x:c r="F244" s="10" t="str">
        <x:v>2024-08</x:v>
      </x:c>
      <x:c r="G244" s="10" t="n">
        <x:v>30</x:v>
      </x:c>
      <x:c r="H244" s="10" t="str">
        <x:v>Sexta-feira</x:v>
      </x:c>
      <x:c r="I244" s="11" t="b">
        <x:v>1</x:v>
      </x:c>
    </x:row>
    <x:row r="245" ht="18" customHeight="1">
      <x:c r="A245" s="16" t="n">
        <x:v>45535</x:v>
      </x:c>
      <x:c r="B245" s="10" t="n">
        <x:v>2024</x:v>
      </x:c>
      <x:c r="C245" s="10" t="n">
        <x:v>3</x:v>
      </x:c>
      <x:c r="D245" s="10" t="n">
        <x:v>8</x:v>
      </x:c>
      <x:c r="E245" s="10" t="str">
        <x:v>Agosto</x:v>
      </x:c>
      <x:c r="F245" s="10" t="str">
        <x:v>2024-08</x:v>
      </x:c>
      <x:c r="G245" s="10" t="n">
        <x:v>31</x:v>
      </x:c>
      <x:c r="H245" s="10" t="str">
        <x:v>Sábado</x:v>
      </x:c>
      <x:c r="I245" s="11" t="b">
        <x:v>0</x:v>
      </x:c>
    </x:row>
    <x:row r="246" ht="18" customHeight="1">
      <x:c r="A246" s="16" t="n">
        <x:v>45536</x:v>
      </x:c>
      <x:c r="B246" s="10" t="n">
        <x:v>2024</x:v>
      </x:c>
      <x:c r="C246" s="10" t="n">
        <x:v>3</x:v>
      </x:c>
      <x:c r="D246" s="10" t="n">
        <x:v>9</x:v>
      </x:c>
      <x:c r="E246" s="10" t="str">
        <x:v>Setembro</x:v>
      </x:c>
      <x:c r="F246" s="10" t="str">
        <x:v>2024-09</x:v>
      </x:c>
      <x:c r="G246" s="10" t="n">
        <x:v>1</x:v>
      </x:c>
      <x:c r="H246" s="10" t="str">
        <x:v>Domingo</x:v>
      </x:c>
      <x:c r="I246" s="11" t="b">
        <x:v>0</x:v>
      </x:c>
    </x:row>
    <x:row r="247" ht="18" customHeight="1">
      <x:c r="A247" s="16" t="n">
        <x:v>45537</x:v>
      </x:c>
      <x:c r="B247" s="10" t="n">
        <x:v>2024</x:v>
      </x:c>
      <x:c r="C247" s="10" t="n">
        <x:v>3</x:v>
      </x:c>
      <x:c r="D247" s="10" t="n">
        <x:v>9</x:v>
      </x:c>
      <x:c r="E247" s="10" t="str">
        <x:v>Setembro</x:v>
      </x:c>
      <x:c r="F247" s="10" t="str">
        <x:v>2024-09</x:v>
      </x:c>
      <x:c r="G247" s="10" t="n">
        <x:v>2</x:v>
      </x:c>
      <x:c r="H247" s="10" t="str">
        <x:v>Segunda-feira</x:v>
      </x:c>
      <x:c r="I247" s="11" t="b">
        <x:v>1</x:v>
      </x:c>
    </x:row>
    <x:row r="248" ht="18" customHeight="1">
      <x:c r="A248" s="16" t="n">
        <x:v>45538</x:v>
      </x:c>
      <x:c r="B248" s="10" t="n">
        <x:v>2024</x:v>
      </x:c>
      <x:c r="C248" s="10" t="n">
        <x:v>3</x:v>
      </x:c>
      <x:c r="D248" s="10" t="n">
        <x:v>9</x:v>
      </x:c>
      <x:c r="E248" s="10" t="str">
        <x:v>Setembro</x:v>
      </x:c>
      <x:c r="F248" s="10" t="str">
        <x:v>2024-09</x:v>
      </x:c>
      <x:c r="G248" s="10" t="n">
        <x:v>3</x:v>
      </x:c>
      <x:c r="H248" s="10" t="str">
        <x:v>Terça-feira</x:v>
      </x:c>
      <x:c r="I248" s="11" t="b">
        <x:v>1</x:v>
      </x:c>
    </x:row>
    <x:row r="249" ht="18" customHeight="1">
      <x:c r="A249" s="16" t="n">
        <x:v>45539</x:v>
      </x:c>
      <x:c r="B249" s="10" t="n">
        <x:v>2024</x:v>
      </x:c>
      <x:c r="C249" s="10" t="n">
        <x:v>3</x:v>
      </x:c>
      <x:c r="D249" s="10" t="n">
        <x:v>9</x:v>
      </x:c>
      <x:c r="E249" s="10" t="str">
        <x:v>Setembro</x:v>
      </x:c>
      <x:c r="F249" s="10" t="str">
        <x:v>2024-09</x:v>
      </x:c>
      <x:c r="G249" s="10" t="n">
        <x:v>4</x:v>
      </x:c>
      <x:c r="H249" s="10" t="str">
        <x:v>Quarta-feira</x:v>
      </x:c>
      <x:c r="I249" s="11" t="b">
        <x:v>1</x:v>
      </x:c>
    </x:row>
    <x:row r="250" ht="18" customHeight="1">
      <x:c r="A250" s="16" t="n">
        <x:v>45540</x:v>
      </x:c>
      <x:c r="B250" s="10" t="n">
        <x:v>2024</x:v>
      </x:c>
      <x:c r="C250" s="10" t="n">
        <x:v>3</x:v>
      </x:c>
      <x:c r="D250" s="10" t="n">
        <x:v>9</x:v>
      </x:c>
      <x:c r="E250" s="10" t="str">
        <x:v>Setembro</x:v>
      </x:c>
      <x:c r="F250" s="10" t="str">
        <x:v>2024-09</x:v>
      </x:c>
      <x:c r="G250" s="10" t="n">
        <x:v>5</x:v>
      </x:c>
      <x:c r="H250" s="10" t="str">
        <x:v>Quinta-feira</x:v>
      </x:c>
      <x:c r="I250" s="11" t="b">
        <x:v>1</x:v>
      </x:c>
    </x:row>
    <x:row r="251" ht="18" customHeight="1">
      <x:c r="A251" s="16" t="n">
        <x:v>45541</x:v>
      </x:c>
      <x:c r="B251" s="10" t="n">
        <x:v>2024</x:v>
      </x:c>
      <x:c r="C251" s="10" t="n">
        <x:v>3</x:v>
      </x:c>
      <x:c r="D251" s="10" t="n">
        <x:v>9</x:v>
      </x:c>
      <x:c r="E251" s="10" t="str">
        <x:v>Setembro</x:v>
      </x:c>
      <x:c r="F251" s="10" t="str">
        <x:v>2024-09</x:v>
      </x:c>
      <x:c r="G251" s="10" t="n">
        <x:v>6</x:v>
      </x:c>
      <x:c r="H251" s="10" t="str">
        <x:v>Sexta-feira</x:v>
      </x:c>
      <x:c r="I251" s="11" t="b">
        <x:v>1</x:v>
      </x:c>
    </x:row>
    <x:row r="252" ht="18" customHeight="1">
      <x:c r="A252" s="16" t="n">
        <x:v>45542</x:v>
      </x:c>
      <x:c r="B252" s="10" t="n">
        <x:v>2024</x:v>
      </x:c>
      <x:c r="C252" s="10" t="n">
        <x:v>3</x:v>
      </x:c>
      <x:c r="D252" s="10" t="n">
        <x:v>9</x:v>
      </x:c>
      <x:c r="E252" s="10" t="str">
        <x:v>Setembro</x:v>
      </x:c>
      <x:c r="F252" s="10" t="str">
        <x:v>2024-09</x:v>
      </x:c>
      <x:c r="G252" s="10" t="n">
        <x:v>7</x:v>
      </x:c>
      <x:c r="H252" s="10" t="str">
        <x:v>Sábado</x:v>
      </x:c>
      <x:c r="I252" s="11" t="b">
        <x:v>0</x:v>
      </x:c>
    </x:row>
    <x:row r="253" ht="18" customHeight="1">
      <x:c r="A253" s="16" t="n">
        <x:v>45543</x:v>
      </x:c>
      <x:c r="B253" s="10" t="n">
        <x:v>2024</x:v>
      </x:c>
      <x:c r="C253" s="10" t="n">
        <x:v>3</x:v>
      </x:c>
      <x:c r="D253" s="10" t="n">
        <x:v>9</x:v>
      </x:c>
      <x:c r="E253" s="10" t="str">
        <x:v>Setembro</x:v>
      </x:c>
      <x:c r="F253" s="10" t="str">
        <x:v>2024-09</x:v>
      </x:c>
      <x:c r="G253" s="10" t="n">
        <x:v>8</x:v>
      </x:c>
      <x:c r="H253" s="10" t="str">
        <x:v>Domingo</x:v>
      </x:c>
      <x:c r="I253" s="11" t="b">
        <x:v>0</x:v>
      </x:c>
    </x:row>
    <x:row r="254" ht="18" customHeight="1">
      <x:c r="A254" s="16" t="n">
        <x:v>45544</x:v>
      </x:c>
      <x:c r="B254" s="10" t="n">
        <x:v>2024</x:v>
      </x:c>
      <x:c r="C254" s="10" t="n">
        <x:v>3</x:v>
      </x:c>
      <x:c r="D254" s="10" t="n">
        <x:v>9</x:v>
      </x:c>
      <x:c r="E254" s="10" t="str">
        <x:v>Setembro</x:v>
      </x:c>
      <x:c r="F254" s="10" t="str">
        <x:v>2024-09</x:v>
      </x:c>
      <x:c r="G254" s="10" t="n">
        <x:v>9</x:v>
      </x:c>
      <x:c r="H254" s="10" t="str">
        <x:v>Segunda-feira</x:v>
      </x:c>
      <x:c r="I254" s="11" t="b">
        <x:v>1</x:v>
      </x:c>
    </x:row>
    <x:row r="255" ht="18" customHeight="1">
      <x:c r="A255" s="16" t="n">
        <x:v>45545</x:v>
      </x:c>
      <x:c r="B255" s="10" t="n">
        <x:v>2024</x:v>
      </x:c>
      <x:c r="C255" s="10" t="n">
        <x:v>3</x:v>
      </x:c>
      <x:c r="D255" s="10" t="n">
        <x:v>9</x:v>
      </x:c>
      <x:c r="E255" s="10" t="str">
        <x:v>Setembro</x:v>
      </x:c>
      <x:c r="F255" s="10" t="str">
        <x:v>2024-09</x:v>
      </x:c>
      <x:c r="G255" s="10" t="n">
        <x:v>10</x:v>
      </x:c>
      <x:c r="H255" s="10" t="str">
        <x:v>Terça-feira</x:v>
      </x:c>
      <x:c r="I255" s="11" t="b">
        <x:v>1</x:v>
      </x:c>
    </x:row>
    <x:row r="256" ht="18" customHeight="1">
      <x:c r="A256" s="16" t="n">
        <x:v>45546</x:v>
      </x:c>
      <x:c r="B256" s="10" t="n">
        <x:v>2024</x:v>
      </x:c>
      <x:c r="C256" s="10" t="n">
        <x:v>3</x:v>
      </x:c>
      <x:c r="D256" s="10" t="n">
        <x:v>9</x:v>
      </x:c>
      <x:c r="E256" s="10" t="str">
        <x:v>Setembro</x:v>
      </x:c>
      <x:c r="F256" s="10" t="str">
        <x:v>2024-09</x:v>
      </x:c>
      <x:c r="G256" s="10" t="n">
        <x:v>11</x:v>
      </x:c>
      <x:c r="H256" s="10" t="str">
        <x:v>Quarta-feira</x:v>
      </x:c>
      <x:c r="I256" s="11" t="b">
        <x:v>1</x:v>
      </x:c>
    </x:row>
    <x:row r="257" ht="18" customHeight="1">
      <x:c r="A257" s="16" t="n">
        <x:v>45547</x:v>
      </x:c>
      <x:c r="B257" s="10" t="n">
        <x:v>2024</x:v>
      </x:c>
      <x:c r="C257" s="10" t="n">
        <x:v>3</x:v>
      </x:c>
      <x:c r="D257" s="10" t="n">
        <x:v>9</x:v>
      </x:c>
      <x:c r="E257" s="10" t="str">
        <x:v>Setembro</x:v>
      </x:c>
      <x:c r="F257" s="10" t="str">
        <x:v>2024-09</x:v>
      </x:c>
      <x:c r="G257" s="10" t="n">
        <x:v>12</x:v>
      </x:c>
      <x:c r="H257" s="10" t="str">
        <x:v>Quinta-feira</x:v>
      </x:c>
      <x:c r="I257" s="11" t="b">
        <x:v>1</x:v>
      </x:c>
    </x:row>
    <x:row r="258" ht="18" customHeight="1">
      <x:c r="A258" s="16" t="n">
        <x:v>45548</x:v>
      </x:c>
      <x:c r="B258" s="10" t="n">
        <x:v>2024</x:v>
      </x:c>
      <x:c r="C258" s="10" t="n">
        <x:v>3</x:v>
      </x:c>
      <x:c r="D258" s="10" t="n">
        <x:v>9</x:v>
      </x:c>
      <x:c r="E258" s="10" t="str">
        <x:v>Setembro</x:v>
      </x:c>
      <x:c r="F258" s="10" t="str">
        <x:v>2024-09</x:v>
      </x:c>
      <x:c r="G258" s="10" t="n">
        <x:v>13</x:v>
      </x:c>
      <x:c r="H258" s="10" t="str">
        <x:v>Sexta-feira</x:v>
      </x:c>
      <x:c r="I258" s="11" t="b">
        <x:v>1</x:v>
      </x:c>
    </x:row>
    <x:row r="259" ht="18" customHeight="1">
      <x:c r="A259" s="16" t="n">
        <x:v>45549</x:v>
      </x:c>
      <x:c r="B259" s="10" t="n">
        <x:v>2024</x:v>
      </x:c>
      <x:c r="C259" s="10" t="n">
        <x:v>3</x:v>
      </x:c>
      <x:c r="D259" s="10" t="n">
        <x:v>9</x:v>
      </x:c>
      <x:c r="E259" s="10" t="str">
        <x:v>Setembro</x:v>
      </x:c>
      <x:c r="F259" s="10" t="str">
        <x:v>2024-09</x:v>
      </x:c>
      <x:c r="G259" s="10" t="n">
        <x:v>14</x:v>
      </x:c>
      <x:c r="H259" s="10" t="str">
        <x:v>Sábado</x:v>
      </x:c>
      <x:c r="I259" s="11" t="b">
        <x:v>0</x:v>
      </x:c>
    </x:row>
    <x:row r="260" ht="18" customHeight="1">
      <x:c r="A260" s="16" t="n">
        <x:v>45550</x:v>
      </x:c>
      <x:c r="B260" s="10" t="n">
        <x:v>2024</x:v>
      </x:c>
      <x:c r="C260" s="10" t="n">
        <x:v>3</x:v>
      </x:c>
      <x:c r="D260" s="10" t="n">
        <x:v>9</x:v>
      </x:c>
      <x:c r="E260" s="10" t="str">
        <x:v>Setembro</x:v>
      </x:c>
      <x:c r="F260" s="10" t="str">
        <x:v>2024-09</x:v>
      </x:c>
      <x:c r="G260" s="10" t="n">
        <x:v>15</x:v>
      </x:c>
      <x:c r="H260" s="10" t="str">
        <x:v>Domingo</x:v>
      </x:c>
      <x:c r="I260" s="11" t="b">
        <x:v>0</x:v>
      </x:c>
    </x:row>
    <x:row r="261" ht="18" customHeight="1">
      <x:c r="A261" s="16" t="n">
        <x:v>45551</x:v>
      </x:c>
      <x:c r="B261" s="10" t="n">
        <x:v>2024</x:v>
      </x:c>
      <x:c r="C261" s="10" t="n">
        <x:v>3</x:v>
      </x:c>
      <x:c r="D261" s="10" t="n">
        <x:v>9</x:v>
      </x:c>
      <x:c r="E261" s="10" t="str">
        <x:v>Setembro</x:v>
      </x:c>
      <x:c r="F261" s="10" t="str">
        <x:v>2024-09</x:v>
      </x:c>
      <x:c r="G261" s="10" t="n">
        <x:v>16</x:v>
      </x:c>
      <x:c r="H261" s="10" t="str">
        <x:v>Segunda-feira</x:v>
      </x:c>
      <x:c r="I261" s="11" t="b">
        <x:v>1</x:v>
      </x:c>
    </x:row>
    <x:row r="262" ht="18" customHeight="1">
      <x:c r="A262" s="16" t="n">
        <x:v>45552</x:v>
      </x:c>
      <x:c r="B262" s="10" t="n">
        <x:v>2024</x:v>
      </x:c>
      <x:c r="C262" s="10" t="n">
        <x:v>3</x:v>
      </x:c>
      <x:c r="D262" s="10" t="n">
        <x:v>9</x:v>
      </x:c>
      <x:c r="E262" s="10" t="str">
        <x:v>Setembro</x:v>
      </x:c>
      <x:c r="F262" s="10" t="str">
        <x:v>2024-09</x:v>
      </x:c>
      <x:c r="G262" s="10" t="n">
        <x:v>17</x:v>
      </x:c>
      <x:c r="H262" s="10" t="str">
        <x:v>Terça-feira</x:v>
      </x:c>
      <x:c r="I262" s="11" t="b">
        <x:v>1</x:v>
      </x:c>
    </x:row>
    <x:row r="263" ht="18" customHeight="1">
      <x:c r="A263" s="16" t="n">
        <x:v>45553</x:v>
      </x:c>
      <x:c r="B263" s="10" t="n">
        <x:v>2024</x:v>
      </x:c>
      <x:c r="C263" s="10" t="n">
        <x:v>3</x:v>
      </x:c>
      <x:c r="D263" s="10" t="n">
        <x:v>9</x:v>
      </x:c>
      <x:c r="E263" s="10" t="str">
        <x:v>Setembro</x:v>
      </x:c>
      <x:c r="F263" s="10" t="str">
        <x:v>2024-09</x:v>
      </x:c>
      <x:c r="G263" s="10" t="n">
        <x:v>18</x:v>
      </x:c>
      <x:c r="H263" s="10" t="str">
        <x:v>Quarta-feira</x:v>
      </x:c>
      <x:c r="I263" s="11" t="b">
        <x:v>1</x:v>
      </x:c>
    </x:row>
    <x:row r="264" ht="18" customHeight="1">
      <x:c r="A264" s="16" t="n">
        <x:v>45554</x:v>
      </x:c>
      <x:c r="B264" s="10" t="n">
        <x:v>2024</x:v>
      </x:c>
      <x:c r="C264" s="10" t="n">
        <x:v>3</x:v>
      </x:c>
      <x:c r="D264" s="10" t="n">
        <x:v>9</x:v>
      </x:c>
      <x:c r="E264" s="10" t="str">
        <x:v>Setembro</x:v>
      </x:c>
      <x:c r="F264" s="10" t="str">
        <x:v>2024-09</x:v>
      </x:c>
      <x:c r="G264" s="10" t="n">
        <x:v>19</x:v>
      </x:c>
      <x:c r="H264" s="10" t="str">
        <x:v>Quinta-feira</x:v>
      </x:c>
      <x:c r="I264" s="11" t="b">
        <x:v>1</x:v>
      </x:c>
    </x:row>
    <x:row r="265" ht="18" customHeight="1">
      <x:c r="A265" s="16" t="n">
        <x:v>45555</x:v>
      </x:c>
      <x:c r="B265" s="10" t="n">
        <x:v>2024</x:v>
      </x:c>
      <x:c r="C265" s="10" t="n">
        <x:v>3</x:v>
      </x:c>
      <x:c r="D265" s="10" t="n">
        <x:v>9</x:v>
      </x:c>
      <x:c r="E265" s="10" t="str">
        <x:v>Setembro</x:v>
      </x:c>
      <x:c r="F265" s="10" t="str">
        <x:v>2024-09</x:v>
      </x:c>
      <x:c r="G265" s="10" t="n">
        <x:v>20</x:v>
      </x:c>
      <x:c r="H265" s="10" t="str">
        <x:v>Sexta-feira</x:v>
      </x:c>
      <x:c r="I265" s="11" t="b">
        <x:v>1</x:v>
      </x:c>
    </x:row>
    <x:row r="266" ht="18" customHeight="1">
      <x:c r="A266" s="16" t="n">
        <x:v>45556</x:v>
      </x:c>
      <x:c r="B266" s="10" t="n">
        <x:v>2024</x:v>
      </x:c>
      <x:c r="C266" s="10" t="n">
        <x:v>3</x:v>
      </x:c>
      <x:c r="D266" s="10" t="n">
        <x:v>9</x:v>
      </x:c>
      <x:c r="E266" s="10" t="str">
        <x:v>Setembro</x:v>
      </x:c>
      <x:c r="F266" s="10" t="str">
        <x:v>2024-09</x:v>
      </x:c>
      <x:c r="G266" s="10" t="n">
        <x:v>21</x:v>
      </x:c>
      <x:c r="H266" s="10" t="str">
        <x:v>Sábado</x:v>
      </x:c>
      <x:c r="I266" s="11" t="b">
        <x:v>0</x:v>
      </x:c>
    </x:row>
    <x:row r="267" ht="18" customHeight="1">
      <x:c r="A267" s="16" t="n">
        <x:v>45557</x:v>
      </x:c>
      <x:c r="B267" s="10" t="n">
        <x:v>2024</x:v>
      </x:c>
      <x:c r="C267" s="10" t="n">
        <x:v>3</x:v>
      </x:c>
      <x:c r="D267" s="10" t="n">
        <x:v>9</x:v>
      </x:c>
      <x:c r="E267" s="10" t="str">
        <x:v>Setembro</x:v>
      </x:c>
      <x:c r="F267" s="10" t="str">
        <x:v>2024-09</x:v>
      </x:c>
      <x:c r="G267" s="10" t="n">
        <x:v>22</x:v>
      </x:c>
      <x:c r="H267" s="10" t="str">
        <x:v>Domingo</x:v>
      </x:c>
      <x:c r="I267" s="11" t="b">
        <x:v>0</x:v>
      </x:c>
    </x:row>
    <x:row r="268" ht="18" customHeight="1">
      <x:c r="A268" s="16" t="n">
        <x:v>45558</x:v>
      </x:c>
      <x:c r="B268" s="10" t="n">
        <x:v>2024</x:v>
      </x:c>
      <x:c r="C268" s="10" t="n">
        <x:v>3</x:v>
      </x:c>
      <x:c r="D268" s="10" t="n">
        <x:v>9</x:v>
      </x:c>
      <x:c r="E268" s="10" t="str">
        <x:v>Setembro</x:v>
      </x:c>
      <x:c r="F268" s="10" t="str">
        <x:v>2024-09</x:v>
      </x:c>
      <x:c r="G268" s="10" t="n">
        <x:v>23</x:v>
      </x:c>
      <x:c r="H268" s="10" t="str">
        <x:v>Segunda-feira</x:v>
      </x:c>
      <x:c r="I268" s="11" t="b">
        <x:v>1</x:v>
      </x:c>
    </x:row>
    <x:row r="269" ht="18" customHeight="1">
      <x:c r="A269" s="16" t="n">
        <x:v>45559</x:v>
      </x:c>
      <x:c r="B269" s="10" t="n">
        <x:v>2024</x:v>
      </x:c>
      <x:c r="C269" s="10" t="n">
        <x:v>3</x:v>
      </x:c>
      <x:c r="D269" s="10" t="n">
        <x:v>9</x:v>
      </x:c>
      <x:c r="E269" s="10" t="str">
        <x:v>Setembro</x:v>
      </x:c>
      <x:c r="F269" s="10" t="str">
        <x:v>2024-09</x:v>
      </x:c>
      <x:c r="G269" s="10" t="n">
        <x:v>24</x:v>
      </x:c>
      <x:c r="H269" s="10" t="str">
        <x:v>Terça-feira</x:v>
      </x:c>
      <x:c r="I269" s="11" t="b">
        <x:v>1</x:v>
      </x:c>
    </x:row>
    <x:row r="270" ht="18" customHeight="1">
      <x:c r="A270" s="16" t="n">
        <x:v>45560</x:v>
      </x:c>
      <x:c r="B270" s="10" t="n">
        <x:v>2024</x:v>
      </x:c>
      <x:c r="C270" s="10" t="n">
        <x:v>3</x:v>
      </x:c>
      <x:c r="D270" s="10" t="n">
        <x:v>9</x:v>
      </x:c>
      <x:c r="E270" s="10" t="str">
        <x:v>Setembro</x:v>
      </x:c>
      <x:c r="F270" s="10" t="str">
        <x:v>2024-09</x:v>
      </x:c>
      <x:c r="G270" s="10" t="n">
        <x:v>25</x:v>
      </x:c>
      <x:c r="H270" s="10" t="str">
        <x:v>Quarta-feira</x:v>
      </x:c>
      <x:c r="I270" s="11" t="b">
        <x:v>1</x:v>
      </x:c>
    </x:row>
    <x:row r="271" ht="18" customHeight="1">
      <x:c r="A271" s="16" t="n">
        <x:v>45561</x:v>
      </x:c>
      <x:c r="B271" s="10" t="n">
        <x:v>2024</x:v>
      </x:c>
      <x:c r="C271" s="10" t="n">
        <x:v>3</x:v>
      </x:c>
      <x:c r="D271" s="10" t="n">
        <x:v>9</x:v>
      </x:c>
      <x:c r="E271" s="10" t="str">
        <x:v>Setembro</x:v>
      </x:c>
      <x:c r="F271" s="10" t="str">
        <x:v>2024-09</x:v>
      </x:c>
      <x:c r="G271" s="10" t="n">
        <x:v>26</x:v>
      </x:c>
      <x:c r="H271" s="10" t="str">
        <x:v>Quinta-feira</x:v>
      </x:c>
      <x:c r="I271" s="11" t="b">
        <x:v>1</x:v>
      </x:c>
    </x:row>
    <x:row r="272" ht="18" customHeight="1">
      <x:c r="A272" s="16" t="n">
        <x:v>45562</x:v>
      </x:c>
      <x:c r="B272" s="10" t="n">
        <x:v>2024</x:v>
      </x:c>
      <x:c r="C272" s="10" t="n">
        <x:v>3</x:v>
      </x:c>
      <x:c r="D272" s="10" t="n">
        <x:v>9</x:v>
      </x:c>
      <x:c r="E272" s="10" t="str">
        <x:v>Setembro</x:v>
      </x:c>
      <x:c r="F272" s="10" t="str">
        <x:v>2024-09</x:v>
      </x:c>
      <x:c r="G272" s="10" t="n">
        <x:v>27</x:v>
      </x:c>
      <x:c r="H272" s="10" t="str">
        <x:v>Sexta-feira</x:v>
      </x:c>
      <x:c r="I272" s="11" t="b">
        <x:v>1</x:v>
      </x:c>
    </x:row>
    <x:row r="273" ht="18" customHeight="1">
      <x:c r="A273" s="16" t="n">
        <x:v>45563</x:v>
      </x:c>
      <x:c r="B273" s="10" t="n">
        <x:v>2024</x:v>
      </x:c>
      <x:c r="C273" s="10" t="n">
        <x:v>3</x:v>
      </x:c>
      <x:c r="D273" s="10" t="n">
        <x:v>9</x:v>
      </x:c>
      <x:c r="E273" s="10" t="str">
        <x:v>Setembro</x:v>
      </x:c>
      <x:c r="F273" s="10" t="str">
        <x:v>2024-09</x:v>
      </x:c>
      <x:c r="G273" s="10" t="n">
        <x:v>28</x:v>
      </x:c>
      <x:c r="H273" s="10" t="str">
        <x:v>Sábado</x:v>
      </x:c>
      <x:c r="I273" s="11" t="b">
        <x:v>0</x:v>
      </x:c>
    </x:row>
    <x:row r="274" ht="18" customHeight="1">
      <x:c r="A274" s="16" t="n">
        <x:v>45564</x:v>
      </x:c>
      <x:c r="B274" s="10" t="n">
        <x:v>2024</x:v>
      </x:c>
      <x:c r="C274" s="10" t="n">
        <x:v>3</x:v>
      </x:c>
      <x:c r="D274" s="10" t="n">
        <x:v>9</x:v>
      </x:c>
      <x:c r="E274" s="10" t="str">
        <x:v>Setembro</x:v>
      </x:c>
      <x:c r="F274" s="10" t="str">
        <x:v>2024-09</x:v>
      </x:c>
      <x:c r="G274" s="10" t="n">
        <x:v>29</x:v>
      </x:c>
      <x:c r="H274" s="10" t="str">
        <x:v>Domingo</x:v>
      </x:c>
      <x:c r="I274" s="11" t="b">
        <x:v>0</x:v>
      </x:c>
    </x:row>
    <x:row r="275" ht="18" customHeight="1">
      <x:c r="A275" s="16" t="n">
        <x:v>45565</x:v>
      </x:c>
      <x:c r="B275" s="10" t="n">
        <x:v>2024</x:v>
      </x:c>
      <x:c r="C275" s="10" t="n">
        <x:v>3</x:v>
      </x:c>
      <x:c r="D275" s="10" t="n">
        <x:v>9</x:v>
      </x:c>
      <x:c r="E275" s="10" t="str">
        <x:v>Setembro</x:v>
      </x:c>
      <x:c r="F275" s="10" t="str">
        <x:v>2024-09</x:v>
      </x:c>
      <x:c r="G275" s="10" t="n">
        <x:v>30</x:v>
      </x:c>
      <x:c r="H275" s="10" t="str">
        <x:v>Segunda-feira</x:v>
      </x:c>
      <x:c r="I275" s="11" t="b">
        <x:v>1</x:v>
      </x:c>
    </x:row>
    <x:row r="276" ht="18" customHeight="1">
      <x:c r="A276" s="16" t="n">
        <x:v>45566</x:v>
      </x:c>
      <x:c r="B276" s="10" t="n">
        <x:v>2024</x:v>
      </x:c>
      <x:c r="C276" s="10" t="n">
        <x:v>4</x:v>
      </x:c>
      <x:c r="D276" s="10" t="n">
        <x:v>10</x:v>
      </x:c>
      <x:c r="E276" s="10" t="str">
        <x:v>Outubro</x:v>
      </x:c>
      <x:c r="F276" s="10" t="str">
        <x:v>2024-10</x:v>
      </x:c>
      <x:c r="G276" s="10" t="n">
        <x:v>1</x:v>
      </x:c>
      <x:c r="H276" s="10" t="str">
        <x:v>Terça-feira</x:v>
      </x:c>
      <x:c r="I276" s="11" t="b">
        <x:v>1</x:v>
      </x:c>
    </x:row>
    <x:row r="277" ht="18" customHeight="1">
      <x:c r="A277" s="16" t="n">
        <x:v>45567</x:v>
      </x:c>
      <x:c r="B277" s="10" t="n">
        <x:v>2024</x:v>
      </x:c>
      <x:c r="C277" s="10" t="n">
        <x:v>4</x:v>
      </x:c>
      <x:c r="D277" s="10" t="n">
        <x:v>10</x:v>
      </x:c>
      <x:c r="E277" s="10" t="str">
        <x:v>Outubro</x:v>
      </x:c>
      <x:c r="F277" s="10" t="str">
        <x:v>2024-10</x:v>
      </x:c>
      <x:c r="G277" s="10" t="n">
        <x:v>2</x:v>
      </x:c>
      <x:c r="H277" s="10" t="str">
        <x:v>Quarta-feira</x:v>
      </x:c>
      <x:c r="I277" s="11" t="b">
        <x:v>1</x:v>
      </x:c>
    </x:row>
    <x:row r="278" ht="18" customHeight="1">
      <x:c r="A278" s="16" t="n">
        <x:v>45568</x:v>
      </x:c>
      <x:c r="B278" s="10" t="n">
        <x:v>2024</x:v>
      </x:c>
      <x:c r="C278" s="10" t="n">
        <x:v>4</x:v>
      </x:c>
      <x:c r="D278" s="10" t="n">
        <x:v>10</x:v>
      </x:c>
      <x:c r="E278" s="10" t="str">
        <x:v>Outubro</x:v>
      </x:c>
      <x:c r="F278" s="10" t="str">
        <x:v>2024-10</x:v>
      </x:c>
      <x:c r="G278" s="10" t="n">
        <x:v>3</x:v>
      </x:c>
      <x:c r="H278" s="10" t="str">
        <x:v>Quinta-feira</x:v>
      </x:c>
      <x:c r="I278" s="11" t="b">
        <x:v>1</x:v>
      </x:c>
    </x:row>
    <x:row r="279" ht="18" customHeight="1">
      <x:c r="A279" s="16" t="n">
        <x:v>45569</x:v>
      </x:c>
      <x:c r="B279" s="10" t="n">
        <x:v>2024</x:v>
      </x:c>
      <x:c r="C279" s="10" t="n">
        <x:v>4</x:v>
      </x:c>
      <x:c r="D279" s="10" t="n">
        <x:v>10</x:v>
      </x:c>
      <x:c r="E279" s="10" t="str">
        <x:v>Outubro</x:v>
      </x:c>
      <x:c r="F279" s="10" t="str">
        <x:v>2024-10</x:v>
      </x:c>
      <x:c r="G279" s="10" t="n">
        <x:v>4</x:v>
      </x:c>
      <x:c r="H279" s="10" t="str">
        <x:v>Sexta-feira</x:v>
      </x:c>
      <x:c r="I279" s="11" t="b">
        <x:v>1</x:v>
      </x:c>
    </x:row>
    <x:row r="280" ht="18" customHeight="1">
      <x:c r="A280" s="16" t="n">
        <x:v>45570</x:v>
      </x:c>
      <x:c r="B280" s="10" t="n">
        <x:v>2024</x:v>
      </x:c>
      <x:c r="C280" s="10" t="n">
        <x:v>4</x:v>
      </x:c>
      <x:c r="D280" s="10" t="n">
        <x:v>10</x:v>
      </x:c>
      <x:c r="E280" s="10" t="str">
        <x:v>Outubro</x:v>
      </x:c>
      <x:c r="F280" s="10" t="str">
        <x:v>2024-10</x:v>
      </x:c>
      <x:c r="G280" s="10" t="n">
        <x:v>5</x:v>
      </x:c>
      <x:c r="H280" s="10" t="str">
        <x:v>Sábado</x:v>
      </x:c>
      <x:c r="I280" s="11" t="b">
        <x:v>0</x:v>
      </x:c>
    </x:row>
    <x:row r="281" ht="18" customHeight="1">
      <x:c r="A281" s="16" t="n">
        <x:v>45571</x:v>
      </x:c>
      <x:c r="B281" s="10" t="n">
        <x:v>2024</x:v>
      </x:c>
      <x:c r="C281" s="10" t="n">
        <x:v>4</x:v>
      </x:c>
      <x:c r="D281" s="10" t="n">
        <x:v>10</x:v>
      </x:c>
      <x:c r="E281" s="10" t="str">
        <x:v>Outubro</x:v>
      </x:c>
      <x:c r="F281" s="10" t="str">
        <x:v>2024-10</x:v>
      </x:c>
      <x:c r="G281" s="10" t="n">
        <x:v>6</x:v>
      </x:c>
      <x:c r="H281" s="10" t="str">
        <x:v>Domingo</x:v>
      </x:c>
      <x:c r="I281" s="11" t="b">
        <x:v>0</x:v>
      </x:c>
    </x:row>
    <x:row r="282" ht="18" customHeight="1">
      <x:c r="A282" s="16" t="n">
        <x:v>45572</x:v>
      </x:c>
      <x:c r="B282" s="10" t="n">
        <x:v>2024</x:v>
      </x:c>
      <x:c r="C282" s="10" t="n">
        <x:v>4</x:v>
      </x:c>
      <x:c r="D282" s="10" t="n">
        <x:v>10</x:v>
      </x:c>
      <x:c r="E282" s="10" t="str">
        <x:v>Outubro</x:v>
      </x:c>
      <x:c r="F282" s="10" t="str">
        <x:v>2024-10</x:v>
      </x:c>
      <x:c r="G282" s="10" t="n">
        <x:v>7</x:v>
      </x:c>
      <x:c r="H282" s="10" t="str">
        <x:v>Segunda-feira</x:v>
      </x:c>
      <x:c r="I282" s="11" t="b">
        <x:v>1</x:v>
      </x:c>
    </x:row>
    <x:row r="283" ht="18" customHeight="1">
      <x:c r="A283" s="16" t="n">
        <x:v>45573</x:v>
      </x:c>
      <x:c r="B283" s="10" t="n">
        <x:v>2024</x:v>
      </x:c>
      <x:c r="C283" s="10" t="n">
        <x:v>4</x:v>
      </x:c>
      <x:c r="D283" s="10" t="n">
        <x:v>10</x:v>
      </x:c>
      <x:c r="E283" s="10" t="str">
        <x:v>Outubro</x:v>
      </x:c>
      <x:c r="F283" s="10" t="str">
        <x:v>2024-10</x:v>
      </x:c>
      <x:c r="G283" s="10" t="n">
        <x:v>8</x:v>
      </x:c>
      <x:c r="H283" s="10" t="str">
        <x:v>Terça-feira</x:v>
      </x:c>
      <x:c r="I283" s="11" t="b">
        <x:v>1</x:v>
      </x:c>
    </x:row>
    <x:row r="284" ht="18" customHeight="1">
      <x:c r="A284" s="16" t="n">
        <x:v>45574</x:v>
      </x:c>
      <x:c r="B284" s="10" t="n">
        <x:v>2024</x:v>
      </x:c>
      <x:c r="C284" s="10" t="n">
        <x:v>4</x:v>
      </x:c>
      <x:c r="D284" s="10" t="n">
        <x:v>10</x:v>
      </x:c>
      <x:c r="E284" s="10" t="str">
        <x:v>Outubro</x:v>
      </x:c>
      <x:c r="F284" s="10" t="str">
        <x:v>2024-10</x:v>
      </x:c>
      <x:c r="G284" s="10" t="n">
        <x:v>9</x:v>
      </x:c>
      <x:c r="H284" s="10" t="str">
        <x:v>Quarta-feira</x:v>
      </x:c>
      <x:c r="I284" s="11" t="b">
        <x:v>1</x:v>
      </x:c>
    </x:row>
    <x:row r="285" ht="18" customHeight="1">
      <x:c r="A285" s="16" t="n">
        <x:v>45575</x:v>
      </x:c>
      <x:c r="B285" s="10" t="n">
        <x:v>2024</x:v>
      </x:c>
      <x:c r="C285" s="10" t="n">
        <x:v>4</x:v>
      </x:c>
      <x:c r="D285" s="10" t="n">
        <x:v>10</x:v>
      </x:c>
      <x:c r="E285" s="10" t="str">
        <x:v>Outubro</x:v>
      </x:c>
      <x:c r="F285" s="10" t="str">
        <x:v>2024-10</x:v>
      </x:c>
      <x:c r="G285" s="10" t="n">
        <x:v>10</x:v>
      </x:c>
      <x:c r="H285" s="10" t="str">
        <x:v>Quinta-feira</x:v>
      </x:c>
      <x:c r="I285" s="11" t="b">
        <x:v>1</x:v>
      </x:c>
    </x:row>
    <x:row r="286" ht="18" customHeight="1">
      <x:c r="A286" s="16" t="n">
        <x:v>45576</x:v>
      </x:c>
      <x:c r="B286" s="10" t="n">
        <x:v>2024</x:v>
      </x:c>
      <x:c r="C286" s="10" t="n">
        <x:v>4</x:v>
      </x:c>
      <x:c r="D286" s="10" t="n">
        <x:v>10</x:v>
      </x:c>
      <x:c r="E286" s="10" t="str">
        <x:v>Outubro</x:v>
      </x:c>
      <x:c r="F286" s="10" t="str">
        <x:v>2024-10</x:v>
      </x:c>
      <x:c r="G286" s="10" t="n">
        <x:v>11</x:v>
      </x:c>
      <x:c r="H286" s="10" t="str">
        <x:v>Sexta-feira</x:v>
      </x:c>
      <x:c r="I286" s="11" t="b">
        <x:v>1</x:v>
      </x:c>
    </x:row>
    <x:row r="287" ht="18" customHeight="1">
      <x:c r="A287" s="16" t="n">
        <x:v>45577</x:v>
      </x:c>
      <x:c r="B287" s="10" t="n">
        <x:v>2024</x:v>
      </x:c>
      <x:c r="C287" s="10" t="n">
        <x:v>4</x:v>
      </x:c>
      <x:c r="D287" s="10" t="n">
        <x:v>10</x:v>
      </x:c>
      <x:c r="E287" s="10" t="str">
        <x:v>Outubro</x:v>
      </x:c>
      <x:c r="F287" s="10" t="str">
        <x:v>2024-10</x:v>
      </x:c>
      <x:c r="G287" s="10" t="n">
        <x:v>12</x:v>
      </x:c>
      <x:c r="H287" s="10" t="str">
        <x:v>Sábado</x:v>
      </x:c>
      <x:c r="I287" s="11" t="b">
        <x:v>0</x:v>
      </x:c>
    </x:row>
    <x:row r="288" ht="18" customHeight="1">
      <x:c r="A288" s="16" t="n">
        <x:v>45578</x:v>
      </x:c>
      <x:c r="B288" s="10" t="n">
        <x:v>2024</x:v>
      </x:c>
      <x:c r="C288" s="10" t="n">
        <x:v>4</x:v>
      </x:c>
      <x:c r="D288" s="10" t="n">
        <x:v>10</x:v>
      </x:c>
      <x:c r="E288" s="10" t="str">
        <x:v>Outubro</x:v>
      </x:c>
      <x:c r="F288" s="10" t="str">
        <x:v>2024-10</x:v>
      </x:c>
      <x:c r="G288" s="10" t="n">
        <x:v>13</x:v>
      </x:c>
      <x:c r="H288" s="10" t="str">
        <x:v>Domingo</x:v>
      </x:c>
      <x:c r="I288" s="11" t="b">
        <x:v>0</x:v>
      </x:c>
    </x:row>
    <x:row r="289" ht="18" customHeight="1">
      <x:c r="A289" s="16" t="n">
        <x:v>45579</x:v>
      </x:c>
      <x:c r="B289" s="10" t="n">
        <x:v>2024</x:v>
      </x:c>
      <x:c r="C289" s="10" t="n">
        <x:v>4</x:v>
      </x:c>
      <x:c r="D289" s="10" t="n">
        <x:v>10</x:v>
      </x:c>
      <x:c r="E289" s="10" t="str">
        <x:v>Outubro</x:v>
      </x:c>
      <x:c r="F289" s="10" t="str">
        <x:v>2024-10</x:v>
      </x:c>
      <x:c r="G289" s="10" t="n">
        <x:v>14</x:v>
      </x:c>
      <x:c r="H289" s="10" t="str">
        <x:v>Segunda-feira</x:v>
      </x:c>
      <x:c r="I289" s="11" t="b">
        <x:v>1</x:v>
      </x:c>
    </x:row>
    <x:row r="290" ht="18" customHeight="1">
      <x:c r="A290" s="16" t="n">
        <x:v>45580</x:v>
      </x:c>
      <x:c r="B290" s="10" t="n">
        <x:v>2024</x:v>
      </x:c>
      <x:c r="C290" s="10" t="n">
        <x:v>4</x:v>
      </x:c>
      <x:c r="D290" s="10" t="n">
        <x:v>10</x:v>
      </x:c>
      <x:c r="E290" s="10" t="str">
        <x:v>Outubro</x:v>
      </x:c>
      <x:c r="F290" s="10" t="str">
        <x:v>2024-10</x:v>
      </x:c>
      <x:c r="G290" s="10" t="n">
        <x:v>15</x:v>
      </x:c>
      <x:c r="H290" s="10" t="str">
        <x:v>Terça-feira</x:v>
      </x:c>
      <x:c r="I290" s="11" t="b">
        <x:v>1</x:v>
      </x:c>
    </x:row>
    <x:row r="291" ht="18" customHeight="1">
      <x:c r="A291" s="16" t="n">
        <x:v>45581</x:v>
      </x:c>
      <x:c r="B291" s="10" t="n">
        <x:v>2024</x:v>
      </x:c>
      <x:c r="C291" s="10" t="n">
        <x:v>4</x:v>
      </x:c>
      <x:c r="D291" s="10" t="n">
        <x:v>10</x:v>
      </x:c>
      <x:c r="E291" s="10" t="str">
        <x:v>Outubro</x:v>
      </x:c>
      <x:c r="F291" s="10" t="str">
        <x:v>2024-10</x:v>
      </x:c>
      <x:c r="G291" s="10" t="n">
        <x:v>16</x:v>
      </x:c>
      <x:c r="H291" s="10" t="str">
        <x:v>Quarta-feira</x:v>
      </x:c>
      <x:c r="I291" s="11" t="b">
        <x:v>1</x:v>
      </x:c>
    </x:row>
    <x:row r="292" ht="18" customHeight="1">
      <x:c r="A292" s="16" t="n">
        <x:v>45582</x:v>
      </x:c>
      <x:c r="B292" s="10" t="n">
        <x:v>2024</x:v>
      </x:c>
      <x:c r="C292" s="10" t="n">
        <x:v>4</x:v>
      </x:c>
      <x:c r="D292" s="10" t="n">
        <x:v>10</x:v>
      </x:c>
      <x:c r="E292" s="10" t="str">
        <x:v>Outubro</x:v>
      </x:c>
      <x:c r="F292" s="10" t="str">
        <x:v>2024-10</x:v>
      </x:c>
      <x:c r="G292" s="10" t="n">
        <x:v>17</x:v>
      </x:c>
      <x:c r="H292" s="10" t="str">
        <x:v>Quinta-feira</x:v>
      </x:c>
      <x:c r="I292" s="11" t="b">
        <x:v>1</x:v>
      </x:c>
    </x:row>
    <x:row r="293" ht="18" customHeight="1">
      <x:c r="A293" s="16" t="n">
        <x:v>45583</x:v>
      </x:c>
      <x:c r="B293" s="10" t="n">
        <x:v>2024</x:v>
      </x:c>
      <x:c r="C293" s="10" t="n">
        <x:v>4</x:v>
      </x:c>
      <x:c r="D293" s="10" t="n">
        <x:v>10</x:v>
      </x:c>
      <x:c r="E293" s="10" t="str">
        <x:v>Outubro</x:v>
      </x:c>
      <x:c r="F293" s="10" t="str">
        <x:v>2024-10</x:v>
      </x:c>
      <x:c r="G293" s="10" t="n">
        <x:v>18</x:v>
      </x:c>
      <x:c r="H293" s="10" t="str">
        <x:v>Sexta-feira</x:v>
      </x:c>
      <x:c r="I293" s="11" t="b">
        <x:v>1</x:v>
      </x:c>
    </x:row>
    <x:row r="294" ht="18" customHeight="1">
      <x:c r="A294" s="16" t="n">
        <x:v>45584</x:v>
      </x:c>
      <x:c r="B294" s="10" t="n">
        <x:v>2024</x:v>
      </x:c>
      <x:c r="C294" s="10" t="n">
        <x:v>4</x:v>
      </x:c>
      <x:c r="D294" s="10" t="n">
        <x:v>10</x:v>
      </x:c>
      <x:c r="E294" s="10" t="str">
        <x:v>Outubro</x:v>
      </x:c>
      <x:c r="F294" s="10" t="str">
        <x:v>2024-10</x:v>
      </x:c>
      <x:c r="G294" s="10" t="n">
        <x:v>19</x:v>
      </x:c>
      <x:c r="H294" s="10" t="str">
        <x:v>Sábado</x:v>
      </x:c>
      <x:c r="I294" s="11" t="b">
        <x:v>0</x:v>
      </x:c>
    </x:row>
    <x:row r="295" ht="18" customHeight="1">
      <x:c r="A295" s="16" t="n">
        <x:v>45585</x:v>
      </x:c>
      <x:c r="B295" s="10" t="n">
        <x:v>2024</x:v>
      </x:c>
      <x:c r="C295" s="10" t="n">
        <x:v>4</x:v>
      </x:c>
      <x:c r="D295" s="10" t="n">
        <x:v>10</x:v>
      </x:c>
      <x:c r="E295" s="10" t="str">
        <x:v>Outubro</x:v>
      </x:c>
      <x:c r="F295" s="10" t="str">
        <x:v>2024-10</x:v>
      </x:c>
      <x:c r="G295" s="10" t="n">
        <x:v>20</x:v>
      </x:c>
      <x:c r="H295" s="10" t="str">
        <x:v>Domingo</x:v>
      </x:c>
      <x:c r="I295" s="11" t="b">
        <x:v>0</x:v>
      </x:c>
    </x:row>
    <x:row r="296" ht="18" customHeight="1">
      <x:c r="A296" s="16" t="n">
        <x:v>45586</x:v>
      </x:c>
      <x:c r="B296" s="10" t="n">
        <x:v>2024</x:v>
      </x:c>
      <x:c r="C296" s="10" t="n">
        <x:v>4</x:v>
      </x:c>
      <x:c r="D296" s="10" t="n">
        <x:v>10</x:v>
      </x:c>
      <x:c r="E296" s="10" t="str">
        <x:v>Outubro</x:v>
      </x:c>
      <x:c r="F296" s="10" t="str">
        <x:v>2024-10</x:v>
      </x:c>
      <x:c r="G296" s="10" t="n">
        <x:v>21</x:v>
      </x:c>
      <x:c r="H296" s="10" t="str">
        <x:v>Segunda-feira</x:v>
      </x:c>
      <x:c r="I296" s="11" t="b">
        <x:v>1</x:v>
      </x:c>
    </x:row>
    <x:row r="297" ht="18" customHeight="1">
      <x:c r="A297" s="16" t="n">
        <x:v>45587</x:v>
      </x:c>
      <x:c r="B297" s="10" t="n">
        <x:v>2024</x:v>
      </x:c>
      <x:c r="C297" s="10" t="n">
        <x:v>4</x:v>
      </x:c>
      <x:c r="D297" s="10" t="n">
        <x:v>10</x:v>
      </x:c>
      <x:c r="E297" s="10" t="str">
        <x:v>Outubro</x:v>
      </x:c>
      <x:c r="F297" s="10" t="str">
        <x:v>2024-10</x:v>
      </x:c>
      <x:c r="G297" s="10" t="n">
        <x:v>22</x:v>
      </x:c>
      <x:c r="H297" s="10" t="str">
        <x:v>Terça-feira</x:v>
      </x:c>
      <x:c r="I297" s="11" t="b">
        <x:v>1</x:v>
      </x:c>
    </x:row>
    <x:row r="298" ht="18" customHeight="1">
      <x:c r="A298" s="16" t="n">
        <x:v>45588</x:v>
      </x:c>
      <x:c r="B298" s="10" t="n">
        <x:v>2024</x:v>
      </x:c>
      <x:c r="C298" s="10" t="n">
        <x:v>4</x:v>
      </x:c>
      <x:c r="D298" s="10" t="n">
        <x:v>10</x:v>
      </x:c>
      <x:c r="E298" s="10" t="str">
        <x:v>Outubro</x:v>
      </x:c>
      <x:c r="F298" s="10" t="str">
        <x:v>2024-10</x:v>
      </x:c>
      <x:c r="G298" s="10" t="n">
        <x:v>23</x:v>
      </x:c>
      <x:c r="H298" s="10" t="str">
        <x:v>Quarta-feira</x:v>
      </x:c>
      <x:c r="I298" s="11" t="b">
        <x:v>1</x:v>
      </x:c>
    </x:row>
    <x:row r="299" ht="18" customHeight="1">
      <x:c r="A299" s="16" t="n">
        <x:v>45589</x:v>
      </x:c>
      <x:c r="B299" s="10" t="n">
        <x:v>2024</x:v>
      </x:c>
      <x:c r="C299" s="10" t="n">
        <x:v>4</x:v>
      </x:c>
      <x:c r="D299" s="10" t="n">
        <x:v>10</x:v>
      </x:c>
      <x:c r="E299" s="10" t="str">
        <x:v>Outubro</x:v>
      </x:c>
      <x:c r="F299" s="10" t="str">
        <x:v>2024-10</x:v>
      </x:c>
      <x:c r="G299" s="10" t="n">
        <x:v>24</x:v>
      </x:c>
      <x:c r="H299" s="10" t="str">
        <x:v>Quinta-feira</x:v>
      </x:c>
      <x:c r="I299" s="11" t="b">
        <x:v>1</x:v>
      </x:c>
    </x:row>
    <x:row r="300" ht="18" customHeight="1">
      <x:c r="A300" s="16" t="n">
        <x:v>45590</x:v>
      </x:c>
      <x:c r="B300" s="10" t="n">
        <x:v>2024</x:v>
      </x:c>
      <x:c r="C300" s="10" t="n">
        <x:v>4</x:v>
      </x:c>
      <x:c r="D300" s="10" t="n">
        <x:v>10</x:v>
      </x:c>
      <x:c r="E300" s="10" t="str">
        <x:v>Outubro</x:v>
      </x:c>
      <x:c r="F300" s="10" t="str">
        <x:v>2024-10</x:v>
      </x:c>
      <x:c r="G300" s="10" t="n">
        <x:v>25</x:v>
      </x:c>
      <x:c r="H300" s="10" t="str">
        <x:v>Sexta-feira</x:v>
      </x:c>
      <x:c r="I300" s="11" t="b">
        <x:v>1</x:v>
      </x:c>
    </x:row>
    <x:row r="301" ht="18" customHeight="1">
      <x:c r="A301" s="16" t="n">
        <x:v>45591</x:v>
      </x:c>
      <x:c r="B301" s="10" t="n">
        <x:v>2024</x:v>
      </x:c>
      <x:c r="C301" s="10" t="n">
        <x:v>4</x:v>
      </x:c>
      <x:c r="D301" s="10" t="n">
        <x:v>10</x:v>
      </x:c>
      <x:c r="E301" s="10" t="str">
        <x:v>Outubro</x:v>
      </x:c>
      <x:c r="F301" s="10" t="str">
        <x:v>2024-10</x:v>
      </x:c>
      <x:c r="G301" s="10" t="n">
        <x:v>26</x:v>
      </x:c>
      <x:c r="H301" s="10" t="str">
        <x:v>Sábado</x:v>
      </x:c>
      <x:c r="I301" s="11" t="b">
        <x:v>0</x:v>
      </x:c>
    </x:row>
    <x:row r="302" ht="18" customHeight="1">
      <x:c r="A302" s="16" t="n">
        <x:v>45592</x:v>
      </x:c>
      <x:c r="B302" s="10" t="n">
        <x:v>2024</x:v>
      </x:c>
      <x:c r="C302" s="10" t="n">
        <x:v>4</x:v>
      </x:c>
      <x:c r="D302" s="10" t="n">
        <x:v>10</x:v>
      </x:c>
      <x:c r="E302" s="10" t="str">
        <x:v>Outubro</x:v>
      </x:c>
      <x:c r="F302" s="10" t="str">
        <x:v>2024-10</x:v>
      </x:c>
      <x:c r="G302" s="10" t="n">
        <x:v>27</x:v>
      </x:c>
      <x:c r="H302" s="10" t="str">
        <x:v>Domingo</x:v>
      </x:c>
      <x:c r="I302" s="11" t="b">
        <x:v>0</x:v>
      </x:c>
    </x:row>
    <x:row r="303" ht="18" customHeight="1">
      <x:c r="A303" s="16" t="n">
        <x:v>45593</x:v>
      </x:c>
      <x:c r="B303" s="10" t="n">
        <x:v>2024</x:v>
      </x:c>
      <x:c r="C303" s="10" t="n">
        <x:v>4</x:v>
      </x:c>
      <x:c r="D303" s="10" t="n">
        <x:v>10</x:v>
      </x:c>
      <x:c r="E303" s="10" t="str">
        <x:v>Outubro</x:v>
      </x:c>
      <x:c r="F303" s="10" t="str">
        <x:v>2024-10</x:v>
      </x:c>
      <x:c r="G303" s="10" t="n">
        <x:v>28</x:v>
      </x:c>
      <x:c r="H303" s="10" t="str">
        <x:v>Segunda-feira</x:v>
      </x:c>
      <x:c r="I303" s="11" t="b">
        <x:v>1</x:v>
      </x:c>
    </x:row>
    <x:row r="304" ht="18" customHeight="1">
      <x:c r="A304" s="16" t="n">
        <x:v>45594</x:v>
      </x:c>
      <x:c r="B304" s="10" t="n">
        <x:v>2024</x:v>
      </x:c>
      <x:c r="C304" s="10" t="n">
        <x:v>4</x:v>
      </x:c>
      <x:c r="D304" s="10" t="n">
        <x:v>10</x:v>
      </x:c>
      <x:c r="E304" s="10" t="str">
        <x:v>Outubro</x:v>
      </x:c>
      <x:c r="F304" s="10" t="str">
        <x:v>2024-10</x:v>
      </x:c>
      <x:c r="G304" s="10" t="n">
        <x:v>29</x:v>
      </x:c>
      <x:c r="H304" s="10" t="str">
        <x:v>Terça-feira</x:v>
      </x:c>
      <x:c r="I304" s="11" t="b">
        <x:v>1</x:v>
      </x:c>
    </x:row>
    <x:row r="305" ht="18" customHeight="1">
      <x:c r="A305" s="16" t="n">
        <x:v>45595</x:v>
      </x:c>
      <x:c r="B305" s="10" t="n">
        <x:v>2024</x:v>
      </x:c>
      <x:c r="C305" s="10" t="n">
        <x:v>4</x:v>
      </x:c>
      <x:c r="D305" s="10" t="n">
        <x:v>10</x:v>
      </x:c>
      <x:c r="E305" s="10" t="str">
        <x:v>Outubro</x:v>
      </x:c>
      <x:c r="F305" s="10" t="str">
        <x:v>2024-10</x:v>
      </x:c>
      <x:c r="G305" s="10" t="n">
        <x:v>30</x:v>
      </x:c>
      <x:c r="H305" s="10" t="str">
        <x:v>Quarta-feira</x:v>
      </x:c>
      <x:c r="I305" s="11" t="b">
        <x:v>1</x:v>
      </x:c>
    </x:row>
    <x:row r="306" ht="18" customHeight="1">
      <x:c r="A306" s="16" t="n">
        <x:v>45596</x:v>
      </x:c>
      <x:c r="B306" s="10" t="n">
        <x:v>2024</x:v>
      </x:c>
      <x:c r="C306" s="10" t="n">
        <x:v>4</x:v>
      </x:c>
      <x:c r="D306" s="10" t="n">
        <x:v>10</x:v>
      </x:c>
      <x:c r="E306" s="10" t="str">
        <x:v>Outubro</x:v>
      </x:c>
      <x:c r="F306" s="10" t="str">
        <x:v>2024-10</x:v>
      </x:c>
      <x:c r="G306" s="10" t="n">
        <x:v>31</x:v>
      </x:c>
      <x:c r="H306" s="10" t="str">
        <x:v>Quinta-feira</x:v>
      </x:c>
      <x:c r="I306" s="11" t="b">
        <x:v>1</x:v>
      </x:c>
    </x:row>
    <x:row r="307" ht="18" customHeight="1">
      <x:c r="A307" s="16" t="n">
        <x:v>45597</x:v>
      </x:c>
      <x:c r="B307" s="10" t="n">
        <x:v>2024</x:v>
      </x:c>
      <x:c r="C307" s="10" t="n">
        <x:v>4</x:v>
      </x:c>
      <x:c r="D307" s="10" t="n">
        <x:v>11</x:v>
      </x:c>
      <x:c r="E307" s="10" t="str">
        <x:v>Novembro</x:v>
      </x:c>
      <x:c r="F307" s="10" t="str">
        <x:v>2024-11</x:v>
      </x:c>
      <x:c r="G307" s="10" t="n">
        <x:v>1</x:v>
      </x:c>
      <x:c r="H307" s="10" t="str">
        <x:v>Sexta-feira</x:v>
      </x:c>
      <x:c r="I307" s="11" t="b">
        <x:v>1</x:v>
      </x:c>
    </x:row>
    <x:row r="308" ht="18" customHeight="1">
      <x:c r="A308" s="16" t="n">
        <x:v>45598</x:v>
      </x:c>
      <x:c r="B308" s="10" t="n">
        <x:v>2024</x:v>
      </x:c>
      <x:c r="C308" s="10" t="n">
        <x:v>4</x:v>
      </x:c>
      <x:c r="D308" s="10" t="n">
        <x:v>11</x:v>
      </x:c>
      <x:c r="E308" s="10" t="str">
        <x:v>Novembro</x:v>
      </x:c>
      <x:c r="F308" s="10" t="str">
        <x:v>2024-11</x:v>
      </x:c>
      <x:c r="G308" s="10" t="n">
        <x:v>2</x:v>
      </x:c>
      <x:c r="H308" s="10" t="str">
        <x:v>Sábado</x:v>
      </x:c>
      <x:c r="I308" s="11" t="b">
        <x:v>0</x:v>
      </x:c>
    </x:row>
    <x:row r="309" ht="18" customHeight="1">
      <x:c r="A309" s="16" t="n">
        <x:v>45599</x:v>
      </x:c>
      <x:c r="B309" s="10" t="n">
        <x:v>2024</x:v>
      </x:c>
      <x:c r="C309" s="10" t="n">
        <x:v>4</x:v>
      </x:c>
      <x:c r="D309" s="10" t="n">
        <x:v>11</x:v>
      </x:c>
      <x:c r="E309" s="10" t="str">
        <x:v>Novembro</x:v>
      </x:c>
      <x:c r="F309" s="10" t="str">
        <x:v>2024-11</x:v>
      </x:c>
      <x:c r="G309" s="10" t="n">
        <x:v>3</x:v>
      </x:c>
      <x:c r="H309" s="10" t="str">
        <x:v>Domingo</x:v>
      </x:c>
      <x:c r="I309" s="11" t="b">
        <x:v>0</x:v>
      </x:c>
    </x:row>
    <x:row r="310" ht="18" customHeight="1">
      <x:c r="A310" s="16" t="n">
        <x:v>45600</x:v>
      </x:c>
      <x:c r="B310" s="10" t="n">
        <x:v>2024</x:v>
      </x:c>
      <x:c r="C310" s="10" t="n">
        <x:v>4</x:v>
      </x:c>
      <x:c r="D310" s="10" t="n">
        <x:v>11</x:v>
      </x:c>
      <x:c r="E310" s="10" t="str">
        <x:v>Novembro</x:v>
      </x:c>
      <x:c r="F310" s="10" t="str">
        <x:v>2024-11</x:v>
      </x:c>
      <x:c r="G310" s="10" t="n">
        <x:v>4</x:v>
      </x:c>
      <x:c r="H310" s="10" t="str">
        <x:v>Segunda-feira</x:v>
      </x:c>
      <x:c r="I310" s="11" t="b">
        <x:v>1</x:v>
      </x:c>
    </x:row>
    <x:row r="311" ht="18" customHeight="1">
      <x:c r="A311" s="16" t="n">
        <x:v>45601</x:v>
      </x:c>
      <x:c r="B311" s="10" t="n">
        <x:v>2024</x:v>
      </x:c>
      <x:c r="C311" s="10" t="n">
        <x:v>4</x:v>
      </x:c>
      <x:c r="D311" s="10" t="n">
        <x:v>11</x:v>
      </x:c>
      <x:c r="E311" s="10" t="str">
        <x:v>Novembro</x:v>
      </x:c>
      <x:c r="F311" s="10" t="str">
        <x:v>2024-11</x:v>
      </x:c>
      <x:c r="G311" s="10" t="n">
        <x:v>5</x:v>
      </x:c>
      <x:c r="H311" s="10" t="str">
        <x:v>Terça-feira</x:v>
      </x:c>
      <x:c r="I311" s="11" t="b">
        <x:v>1</x:v>
      </x:c>
    </x:row>
    <x:row r="312" ht="18" customHeight="1">
      <x:c r="A312" s="16" t="n">
        <x:v>45602</x:v>
      </x:c>
      <x:c r="B312" s="10" t="n">
        <x:v>2024</x:v>
      </x:c>
      <x:c r="C312" s="10" t="n">
        <x:v>4</x:v>
      </x:c>
      <x:c r="D312" s="10" t="n">
        <x:v>11</x:v>
      </x:c>
      <x:c r="E312" s="10" t="str">
        <x:v>Novembro</x:v>
      </x:c>
      <x:c r="F312" s="10" t="str">
        <x:v>2024-11</x:v>
      </x:c>
      <x:c r="G312" s="10" t="n">
        <x:v>6</x:v>
      </x:c>
      <x:c r="H312" s="10" t="str">
        <x:v>Quarta-feira</x:v>
      </x:c>
      <x:c r="I312" s="11" t="b">
        <x:v>1</x:v>
      </x:c>
    </x:row>
    <x:row r="313" ht="18" customHeight="1">
      <x:c r="A313" s="16" t="n">
        <x:v>45603</x:v>
      </x:c>
      <x:c r="B313" s="10" t="n">
        <x:v>2024</x:v>
      </x:c>
      <x:c r="C313" s="10" t="n">
        <x:v>4</x:v>
      </x:c>
      <x:c r="D313" s="10" t="n">
        <x:v>11</x:v>
      </x:c>
      <x:c r="E313" s="10" t="str">
        <x:v>Novembro</x:v>
      </x:c>
      <x:c r="F313" s="10" t="str">
        <x:v>2024-11</x:v>
      </x:c>
      <x:c r="G313" s="10" t="n">
        <x:v>7</x:v>
      </x:c>
      <x:c r="H313" s="10" t="str">
        <x:v>Quinta-feira</x:v>
      </x:c>
      <x:c r="I313" s="11" t="b">
        <x:v>1</x:v>
      </x:c>
    </x:row>
    <x:row r="314" ht="18" customHeight="1">
      <x:c r="A314" s="16" t="n">
        <x:v>45604</x:v>
      </x:c>
      <x:c r="B314" s="10" t="n">
        <x:v>2024</x:v>
      </x:c>
      <x:c r="C314" s="10" t="n">
        <x:v>4</x:v>
      </x:c>
      <x:c r="D314" s="10" t="n">
        <x:v>11</x:v>
      </x:c>
      <x:c r="E314" s="10" t="str">
        <x:v>Novembro</x:v>
      </x:c>
      <x:c r="F314" s="10" t="str">
        <x:v>2024-11</x:v>
      </x:c>
      <x:c r="G314" s="10" t="n">
        <x:v>8</x:v>
      </x:c>
      <x:c r="H314" s="10" t="str">
        <x:v>Sexta-feira</x:v>
      </x:c>
      <x:c r="I314" s="11" t="b">
        <x:v>1</x:v>
      </x:c>
    </x:row>
    <x:row r="315" ht="18" customHeight="1">
      <x:c r="A315" s="16" t="n">
        <x:v>45605</x:v>
      </x:c>
      <x:c r="B315" s="10" t="n">
        <x:v>2024</x:v>
      </x:c>
      <x:c r="C315" s="10" t="n">
        <x:v>4</x:v>
      </x:c>
      <x:c r="D315" s="10" t="n">
        <x:v>11</x:v>
      </x:c>
      <x:c r="E315" s="10" t="str">
        <x:v>Novembro</x:v>
      </x:c>
      <x:c r="F315" s="10" t="str">
        <x:v>2024-11</x:v>
      </x:c>
      <x:c r="G315" s="10" t="n">
        <x:v>9</x:v>
      </x:c>
      <x:c r="H315" s="10" t="str">
        <x:v>Sábado</x:v>
      </x:c>
      <x:c r="I315" s="11" t="b">
        <x:v>0</x:v>
      </x:c>
    </x:row>
    <x:row r="316" ht="18" customHeight="1">
      <x:c r="A316" s="16" t="n">
        <x:v>45606</x:v>
      </x:c>
      <x:c r="B316" s="10" t="n">
        <x:v>2024</x:v>
      </x:c>
      <x:c r="C316" s="10" t="n">
        <x:v>4</x:v>
      </x:c>
      <x:c r="D316" s="10" t="n">
        <x:v>11</x:v>
      </x:c>
      <x:c r="E316" s="10" t="str">
        <x:v>Novembro</x:v>
      </x:c>
      <x:c r="F316" s="10" t="str">
        <x:v>2024-11</x:v>
      </x:c>
      <x:c r="G316" s="10" t="n">
        <x:v>10</x:v>
      </x:c>
      <x:c r="H316" s="10" t="str">
        <x:v>Domingo</x:v>
      </x:c>
      <x:c r="I316" s="11" t="b">
        <x:v>0</x:v>
      </x:c>
    </x:row>
    <x:row r="317" ht="18" customHeight="1">
      <x:c r="A317" s="16" t="n">
        <x:v>45607</x:v>
      </x:c>
      <x:c r="B317" s="10" t="n">
        <x:v>2024</x:v>
      </x:c>
      <x:c r="C317" s="10" t="n">
        <x:v>4</x:v>
      </x:c>
      <x:c r="D317" s="10" t="n">
        <x:v>11</x:v>
      </x:c>
      <x:c r="E317" s="10" t="str">
        <x:v>Novembro</x:v>
      </x:c>
      <x:c r="F317" s="10" t="str">
        <x:v>2024-11</x:v>
      </x:c>
      <x:c r="G317" s="10" t="n">
        <x:v>11</x:v>
      </x:c>
      <x:c r="H317" s="10" t="str">
        <x:v>Segunda-feira</x:v>
      </x:c>
      <x:c r="I317" s="11" t="b">
        <x:v>1</x:v>
      </x:c>
    </x:row>
    <x:row r="318" ht="18" customHeight="1">
      <x:c r="A318" s="16" t="n">
        <x:v>45608</x:v>
      </x:c>
      <x:c r="B318" s="10" t="n">
        <x:v>2024</x:v>
      </x:c>
      <x:c r="C318" s="10" t="n">
        <x:v>4</x:v>
      </x:c>
      <x:c r="D318" s="10" t="n">
        <x:v>11</x:v>
      </x:c>
      <x:c r="E318" s="10" t="str">
        <x:v>Novembro</x:v>
      </x:c>
      <x:c r="F318" s="10" t="str">
        <x:v>2024-11</x:v>
      </x:c>
      <x:c r="G318" s="10" t="n">
        <x:v>12</x:v>
      </x:c>
      <x:c r="H318" s="10" t="str">
        <x:v>Terça-feira</x:v>
      </x:c>
      <x:c r="I318" s="11" t="b">
        <x:v>1</x:v>
      </x:c>
    </x:row>
    <x:row r="319" ht="18" customHeight="1">
      <x:c r="A319" s="16" t="n">
        <x:v>45609</x:v>
      </x:c>
      <x:c r="B319" s="10" t="n">
        <x:v>2024</x:v>
      </x:c>
      <x:c r="C319" s="10" t="n">
        <x:v>4</x:v>
      </x:c>
      <x:c r="D319" s="10" t="n">
        <x:v>11</x:v>
      </x:c>
      <x:c r="E319" s="10" t="str">
        <x:v>Novembro</x:v>
      </x:c>
      <x:c r="F319" s="10" t="str">
        <x:v>2024-11</x:v>
      </x:c>
      <x:c r="G319" s="10" t="n">
        <x:v>13</x:v>
      </x:c>
      <x:c r="H319" s="10" t="str">
        <x:v>Quarta-feira</x:v>
      </x:c>
      <x:c r="I319" s="11" t="b">
        <x:v>1</x:v>
      </x:c>
    </x:row>
    <x:row r="320" ht="18" customHeight="1">
      <x:c r="A320" s="16" t="n">
        <x:v>45610</x:v>
      </x:c>
      <x:c r="B320" s="10" t="n">
        <x:v>2024</x:v>
      </x:c>
      <x:c r="C320" s="10" t="n">
        <x:v>4</x:v>
      </x:c>
      <x:c r="D320" s="10" t="n">
        <x:v>11</x:v>
      </x:c>
      <x:c r="E320" s="10" t="str">
        <x:v>Novembro</x:v>
      </x:c>
      <x:c r="F320" s="10" t="str">
        <x:v>2024-11</x:v>
      </x:c>
      <x:c r="G320" s="10" t="n">
        <x:v>14</x:v>
      </x:c>
      <x:c r="H320" s="10" t="str">
        <x:v>Quinta-feira</x:v>
      </x:c>
      <x:c r="I320" s="11" t="b">
        <x:v>1</x:v>
      </x:c>
    </x:row>
    <x:row r="321" ht="18" customHeight="1">
      <x:c r="A321" s="16" t="n">
        <x:v>45611</x:v>
      </x:c>
      <x:c r="B321" s="10" t="n">
        <x:v>2024</x:v>
      </x:c>
      <x:c r="C321" s="10" t="n">
        <x:v>4</x:v>
      </x:c>
      <x:c r="D321" s="10" t="n">
        <x:v>11</x:v>
      </x:c>
      <x:c r="E321" s="10" t="str">
        <x:v>Novembro</x:v>
      </x:c>
      <x:c r="F321" s="10" t="str">
        <x:v>2024-11</x:v>
      </x:c>
      <x:c r="G321" s="10" t="n">
        <x:v>15</x:v>
      </x:c>
      <x:c r="H321" s="10" t="str">
        <x:v>Sexta-feira</x:v>
      </x:c>
      <x:c r="I321" s="11" t="b">
        <x:v>1</x:v>
      </x:c>
    </x:row>
    <x:row r="322" ht="18" customHeight="1">
      <x:c r="A322" s="16" t="n">
        <x:v>45612</x:v>
      </x:c>
      <x:c r="B322" s="10" t="n">
        <x:v>2024</x:v>
      </x:c>
      <x:c r="C322" s="10" t="n">
        <x:v>4</x:v>
      </x:c>
      <x:c r="D322" s="10" t="n">
        <x:v>11</x:v>
      </x:c>
      <x:c r="E322" s="10" t="str">
        <x:v>Novembro</x:v>
      </x:c>
      <x:c r="F322" s="10" t="str">
        <x:v>2024-11</x:v>
      </x:c>
      <x:c r="G322" s="10" t="n">
        <x:v>16</x:v>
      </x:c>
      <x:c r="H322" s="10" t="str">
        <x:v>Sábado</x:v>
      </x:c>
      <x:c r="I322" s="11" t="b">
        <x:v>0</x:v>
      </x:c>
    </x:row>
    <x:row r="323" ht="18" customHeight="1">
      <x:c r="A323" s="16" t="n">
        <x:v>45613</x:v>
      </x:c>
      <x:c r="B323" s="10" t="n">
        <x:v>2024</x:v>
      </x:c>
      <x:c r="C323" s="10" t="n">
        <x:v>4</x:v>
      </x:c>
      <x:c r="D323" s="10" t="n">
        <x:v>11</x:v>
      </x:c>
      <x:c r="E323" s="10" t="str">
        <x:v>Novembro</x:v>
      </x:c>
      <x:c r="F323" s="10" t="str">
        <x:v>2024-11</x:v>
      </x:c>
      <x:c r="G323" s="10" t="n">
        <x:v>17</x:v>
      </x:c>
      <x:c r="H323" s="10" t="str">
        <x:v>Domingo</x:v>
      </x:c>
      <x:c r="I323" s="11" t="b">
        <x:v>0</x:v>
      </x:c>
    </x:row>
    <x:row r="324" ht="18" customHeight="1">
      <x:c r="A324" s="16" t="n">
        <x:v>45614</x:v>
      </x:c>
      <x:c r="B324" s="10" t="n">
        <x:v>2024</x:v>
      </x:c>
      <x:c r="C324" s="10" t="n">
        <x:v>4</x:v>
      </x:c>
      <x:c r="D324" s="10" t="n">
        <x:v>11</x:v>
      </x:c>
      <x:c r="E324" s="10" t="str">
        <x:v>Novembro</x:v>
      </x:c>
      <x:c r="F324" s="10" t="str">
        <x:v>2024-11</x:v>
      </x:c>
      <x:c r="G324" s="10" t="n">
        <x:v>18</x:v>
      </x:c>
      <x:c r="H324" s="10" t="str">
        <x:v>Segunda-feira</x:v>
      </x:c>
      <x:c r="I324" s="11" t="b">
        <x:v>1</x:v>
      </x:c>
    </x:row>
    <x:row r="325" ht="18" customHeight="1">
      <x:c r="A325" s="16" t="n">
        <x:v>45615</x:v>
      </x:c>
      <x:c r="B325" s="10" t="n">
        <x:v>2024</x:v>
      </x:c>
      <x:c r="C325" s="10" t="n">
        <x:v>4</x:v>
      </x:c>
      <x:c r="D325" s="10" t="n">
        <x:v>11</x:v>
      </x:c>
      <x:c r="E325" s="10" t="str">
        <x:v>Novembro</x:v>
      </x:c>
      <x:c r="F325" s="10" t="str">
        <x:v>2024-11</x:v>
      </x:c>
      <x:c r="G325" s="10" t="n">
        <x:v>19</x:v>
      </x:c>
      <x:c r="H325" s="10" t="str">
        <x:v>Terça-feira</x:v>
      </x:c>
      <x:c r="I325" s="11" t="b">
        <x:v>1</x:v>
      </x:c>
    </x:row>
    <x:row r="326" ht="18" customHeight="1">
      <x:c r="A326" s="16" t="n">
        <x:v>45616</x:v>
      </x:c>
      <x:c r="B326" s="10" t="n">
        <x:v>2024</x:v>
      </x:c>
      <x:c r="C326" s="10" t="n">
        <x:v>4</x:v>
      </x:c>
      <x:c r="D326" s="10" t="n">
        <x:v>11</x:v>
      </x:c>
      <x:c r="E326" s="10" t="str">
        <x:v>Novembro</x:v>
      </x:c>
      <x:c r="F326" s="10" t="str">
        <x:v>2024-11</x:v>
      </x:c>
      <x:c r="G326" s="10" t="n">
        <x:v>20</x:v>
      </x:c>
      <x:c r="H326" s="10" t="str">
        <x:v>Quarta-feira</x:v>
      </x:c>
      <x:c r="I326" s="11" t="b">
        <x:v>1</x:v>
      </x:c>
    </x:row>
    <x:row r="327" ht="18" customHeight="1">
      <x:c r="A327" s="16" t="n">
        <x:v>45617</x:v>
      </x:c>
      <x:c r="B327" s="10" t="n">
        <x:v>2024</x:v>
      </x:c>
      <x:c r="C327" s="10" t="n">
        <x:v>4</x:v>
      </x:c>
      <x:c r="D327" s="10" t="n">
        <x:v>11</x:v>
      </x:c>
      <x:c r="E327" s="10" t="str">
        <x:v>Novembro</x:v>
      </x:c>
      <x:c r="F327" s="10" t="str">
        <x:v>2024-11</x:v>
      </x:c>
      <x:c r="G327" s="10" t="n">
        <x:v>21</x:v>
      </x:c>
      <x:c r="H327" s="10" t="str">
        <x:v>Quinta-feira</x:v>
      </x:c>
      <x:c r="I327" s="11" t="b">
        <x:v>1</x:v>
      </x:c>
    </x:row>
    <x:row r="328" ht="18" customHeight="1">
      <x:c r="A328" s="16" t="n">
        <x:v>45618</x:v>
      </x:c>
      <x:c r="B328" s="10" t="n">
        <x:v>2024</x:v>
      </x:c>
      <x:c r="C328" s="10" t="n">
        <x:v>4</x:v>
      </x:c>
      <x:c r="D328" s="10" t="n">
        <x:v>11</x:v>
      </x:c>
      <x:c r="E328" s="10" t="str">
        <x:v>Novembro</x:v>
      </x:c>
      <x:c r="F328" s="10" t="str">
        <x:v>2024-11</x:v>
      </x:c>
      <x:c r="G328" s="10" t="n">
        <x:v>22</x:v>
      </x:c>
      <x:c r="H328" s="10" t="str">
        <x:v>Sexta-feira</x:v>
      </x:c>
      <x:c r="I328" s="11" t="b">
        <x:v>1</x:v>
      </x:c>
    </x:row>
    <x:row r="329" ht="18" customHeight="1">
      <x:c r="A329" s="16" t="n">
        <x:v>45619</x:v>
      </x:c>
      <x:c r="B329" s="10" t="n">
        <x:v>2024</x:v>
      </x:c>
      <x:c r="C329" s="10" t="n">
        <x:v>4</x:v>
      </x:c>
      <x:c r="D329" s="10" t="n">
        <x:v>11</x:v>
      </x:c>
      <x:c r="E329" s="10" t="str">
        <x:v>Novembro</x:v>
      </x:c>
      <x:c r="F329" s="10" t="str">
        <x:v>2024-11</x:v>
      </x:c>
      <x:c r="G329" s="10" t="n">
        <x:v>23</x:v>
      </x:c>
      <x:c r="H329" s="10" t="str">
        <x:v>Sábado</x:v>
      </x:c>
      <x:c r="I329" s="11" t="b">
        <x:v>0</x:v>
      </x:c>
    </x:row>
    <x:row r="330" ht="18" customHeight="1">
      <x:c r="A330" s="16" t="n">
        <x:v>45620</x:v>
      </x:c>
      <x:c r="B330" s="10" t="n">
        <x:v>2024</x:v>
      </x:c>
      <x:c r="C330" s="10" t="n">
        <x:v>4</x:v>
      </x:c>
      <x:c r="D330" s="10" t="n">
        <x:v>11</x:v>
      </x:c>
      <x:c r="E330" s="10" t="str">
        <x:v>Novembro</x:v>
      </x:c>
      <x:c r="F330" s="10" t="str">
        <x:v>2024-11</x:v>
      </x:c>
      <x:c r="G330" s="10" t="n">
        <x:v>24</x:v>
      </x:c>
      <x:c r="H330" s="10" t="str">
        <x:v>Domingo</x:v>
      </x:c>
      <x:c r="I330" s="11" t="b">
        <x:v>0</x:v>
      </x:c>
    </x:row>
    <x:row r="331" ht="18" customHeight="1">
      <x:c r="A331" s="16" t="n">
        <x:v>45621</x:v>
      </x:c>
      <x:c r="B331" s="10" t="n">
        <x:v>2024</x:v>
      </x:c>
      <x:c r="C331" s="10" t="n">
        <x:v>4</x:v>
      </x:c>
      <x:c r="D331" s="10" t="n">
        <x:v>11</x:v>
      </x:c>
      <x:c r="E331" s="10" t="str">
        <x:v>Novembro</x:v>
      </x:c>
      <x:c r="F331" s="10" t="str">
        <x:v>2024-11</x:v>
      </x:c>
      <x:c r="G331" s="10" t="n">
        <x:v>25</x:v>
      </x:c>
      <x:c r="H331" s="10" t="str">
        <x:v>Segunda-feira</x:v>
      </x:c>
      <x:c r="I331" s="11" t="b">
        <x:v>1</x:v>
      </x:c>
    </x:row>
    <x:row r="332" ht="18" customHeight="1">
      <x:c r="A332" s="16" t="n">
        <x:v>45622</x:v>
      </x:c>
      <x:c r="B332" s="10" t="n">
        <x:v>2024</x:v>
      </x:c>
      <x:c r="C332" s="10" t="n">
        <x:v>4</x:v>
      </x:c>
      <x:c r="D332" s="10" t="n">
        <x:v>11</x:v>
      </x:c>
      <x:c r="E332" s="10" t="str">
        <x:v>Novembro</x:v>
      </x:c>
      <x:c r="F332" s="10" t="str">
        <x:v>2024-11</x:v>
      </x:c>
      <x:c r="G332" s="10" t="n">
        <x:v>26</x:v>
      </x:c>
      <x:c r="H332" s="10" t="str">
        <x:v>Terça-feira</x:v>
      </x:c>
      <x:c r="I332" s="11" t="b">
        <x:v>1</x:v>
      </x:c>
    </x:row>
    <x:row r="333" ht="18" customHeight="1">
      <x:c r="A333" s="16" t="n">
        <x:v>45623</x:v>
      </x:c>
      <x:c r="B333" s="10" t="n">
        <x:v>2024</x:v>
      </x:c>
      <x:c r="C333" s="10" t="n">
        <x:v>4</x:v>
      </x:c>
      <x:c r="D333" s="10" t="n">
        <x:v>11</x:v>
      </x:c>
      <x:c r="E333" s="10" t="str">
        <x:v>Novembro</x:v>
      </x:c>
      <x:c r="F333" s="10" t="str">
        <x:v>2024-11</x:v>
      </x:c>
      <x:c r="G333" s="10" t="n">
        <x:v>27</x:v>
      </x:c>
      <x:c r="H333" s="10" t="str">
        <x:v>Quarta-feira</x:v>
      </x:c>
      <x:c r="I333" s="11" t="b">
        <x:v>1</x:v>
      </x:c>
    </x:row>
    <x:row r="334" ht="18" customHeight="1">
      <x:c r="A334" s="16" t="n">
        <x:v>45624</x:v>
      </x:c>
      <x:c r="B334" s="10" t="n">
        <x:v>2024</x:v>
      </x:c>
      <x:c r="C334" s="10" t="n">
        <x:v>4</x:v>
      </x:c>
      <x:c r="D334" s="10" t="n">
        <x:v>11</x:v>
      </x:c>
      <x:c r="E334" s="10" t="str">
        <x:v>Novembro</x:v>
      </x:c>
      <x:c r="F334" s="10" t="str">
        <x:v>2024-11</x:v>
      </x:c>
      <x:c r="G334" s="10" t="n">
        <x:v>28</x:v>
      </x:c>
      <x:c r="H334" s="10" t="str">
        <x:v>Quinta-feira</x:v>
      </x:c>
      <x:c r="I334" s="11" t="b">
        <x:v>1</x:v>
      </x:c>
    </x:row>
    <x:row r="335" ht="18" customHeight="1">
      <x:c r="A335" s="16" t="n">
        <x:v>45625</x:v>
      </x:c>
      <x:c r="B335" s="10" t="n">
        <x:v>2024</x:v>
      </x:c>
      <x:c r="C335" s="10" t="n">
        <x:v>4</x:v>
      </x:c>
      <x:c r="D335" s="10" t="n">
        <x:v>11</x:v>
      </x:c>
      <x:c r="E335" s="10" t="str">
        <x:v>Novembro</x:v>
      </x:c>
      <x:c r="F335" s="10" t="str">
        <x:v>2024-11</x:v>
      </x:c>
      <x:c r="G335" s="10" t="n">
        <x:v>29</x:v>
      </x:c>
      <x:c r="H335" s="10" t="str">
        <x:v>Sexta-feira</x:v>
      </x:c>
      <x:c r="I335" s="11" t="b">
        <x:v>1</x:v>
      </x:c>
    </x:row>
    <x:row r="336" ht="18" customHeight="1">
      <x:c r="A336" s="16" t="n">
        <x:v>45626</x:v>
      </x:c>
      <x:c r="B336" s="10" t="n">
        <x:v>2024</x:v>
      </x:c>
      <x:c r="C336" s="10" t="n">
        <x:v>4</x:v>
      </x:c>
      <x:c r="D336" s="10" t="n">
        <x:v>11</x:v>
      </x:c>
      <x:c r="E336" s="10" t="str">
        <x:v>Novembro</x:v>
      </x:c>
      <x:c r="F336" s="10" t="str">
        <x:v>2024-11</x:v>
      </x:c>
      <x:c r="G336" s="10" t="n">
        <x:v>30</x:v>
      </x:c>
      <x:c r="H336" s="10" t="str">
        <x:v>Sábado</x:v>
      </x:c>
      <x:c r="I336" s="11" t="b">
        <x:v>0</x:v>
      </x:c>
    </x:row>
    <x:row r="337" ht="18" customHeight="1">
      <x:c r="A337" s="16" t="n">
        <x:v>45627</x:v>
      </x:c>
      <x:c r="B337" s="10" t="n">
        <x:v>2024</x:v>
      </x:c>
      <x:c r="C337" s="10" t="n">
        <x:v>4</x:v>
      </x:c>
      <x:c r="D337" s="10" t="n">
        <x:v>12</x:v>
      </x:c>
      <x:c r="E337" s="10" t="str">
        <x:v>Dezembro</x:v>
      </x:c>
      <x:c r="F337" s="10" t="str">
        <x:v>2024-12</x:v>
      </x:c>
      <x:c r="G337" s="10" t="n">
        <x:v>1</x:v>
      </x:c>
      <x:c r="H337" s="10" t="str">
        <x:v>Domingo</x:v>
      </x:c>
      <x:c r="I337" s="11" t="b">
        <x:v>0</x:v>
      </x:c>
    </x:row>
    <x:row r="338" ht="18" customHeight="1">
      <x:c r="A338" s="16" t="n">
        <x:v>45628</x:v>
      </x:c>
      <x:c r="B338" s="10" t="n">
        <x:v>2024</x:v>
      </x:c>
      <x:c r="C338" s="10" t="n">
        <x:v>4</x:v>
      </x:c>
      <x:c r="D338" s="10" t="n">
        <x:v>12</x:v>
      </x:c>
      <x:c r="E338" s="10" t="str">
        <x:v>Dezembro</x:v>
      </x:c>
      <x:c r="F338" s="10" t="str">
        <x:v>2024-12</x:v>
      </x:c>
      <x:c r="G338" s="10" t="n">
        <x:v>2</x:v>
      </x:c>
      <x:c r="H338" s="10" t="str">
        <x:v>Segunda-feira</x:v>
      </x:c>
      <x:c r="I338" s="11" t="b">
        <x:v>1</x:v>
      </x:c>
    </x:row>
    <x:row r="339" ht="18" customHeight="1">
      <x:c r="A339" s="16" t="n">
        <x:v>45629</x:v>
      </x:c>
      <x:c r="B339" s="10" t="n">
        <x:v>2024</x:v>
      </x:c>
      <x:c r="C339" s="10" t="n">
        <x:v>4</x:v>
      </x:c>
      <x:c r="D339" s="10" t="n">
        <x:v>12</x:v>
      </x:c>
      <x:c r="E339" s="10" t="str">
        <x:v>Dezembro</x:v>
      </x:c>
      <x:c r="F339" s="10" t="str">
        <x:v>2024-12</x:v>
      </x:c>
      <x:c r="G339" s="10" t="n">
        <x:v>3</x:v>
      </x:c>
      <x:c r="H339" s="10" t="str">
        <x:v>Terça-feira</x:v>
      </x:c>
      <x:c r="I339" s="11" t="b">
        <x:v>1</x:v>
      </x:c>
    </x:row>
    <x:row r="340" ht="18" customHeight="1">
      <x:c r="A340" s="16" t="n">
        <x:v>45630</x:v>
      </x:c>
      <x:c r="B340" s="10" t="n">
        <x:v>2024</x:v>
      </x:c>
      <x:c r="C340" s="10" t="n">
        <x:v>4</x:v>
      </x:c>
      <x:c r="D340" s="10" t="n">
        <x:v>12</x:v>
      </x:c>
      <x:c r="E340" s="10" t="str">
        <x:v>Dezembro</x:v>
      </x:c>
      <x:c r="F340" s="10" t="str">
        <x:v>2024-12</x:v>
      </x:c>
      <x:c r="G340" s="10" t="n">
        <x:v>4</x:v>
      </x:c>
      <x:c r="H340" s="10" t="str">
        <x:v>Quarta-feira</x:v>
      </x:c>
      <x:c r="I340" s="11" t="b">
        <x:v>1</x:v>
      </x:c>
    </x:row>
    <x:row r="341" ht="18" customHeight="1">
      <x:c r="A341" s="16" t="n">
        <x:v>45631</x:v>
      </x:c>
      <x:c r="B341" s="10" t="n">
        <x:v>2024</x:v>
      </x:c>
      <x:c r="C341" s="10" t="n">
        <x:v>4</x:v>
      </x:c>
      <x:c r="D341" s="10" t="n">
        <x:v>12</x:v>
      </x:c>
      <x:c r="E341" s="10" t="str">
        <x:v>Dezembro</x:v>
      </x:c>
      <x:c r="F341" s="10" t="str">
        <x:v>2024-12</x:v>
      </x:c>
      <x:c r="G341" s="10" t="n">
        <x:v>5</x:v>
      </x:c>
      <x:c r="H341" s="10" t="str">
        <x:v>Quinta-feira</x:v>
      </x:c>
      <x:c r="I341" s="11" t="b">
        <x:v>1</x:v>
      </x:c>
    </x:row>
    <x:row r="342" ht="18" customHeight="1">
      <x:c r="A342" s="16" t="n">
        <x:v>45632</x:v>
      </x:c>
      <x:c r="B342" s="10" t="n">
        <x:v>2024</x:v>
      </x:c>
      <x:c r="C342" s="10" t="n">
        <x:v>4</x:v>
      </x:c>
      <x:c r="D342" s="10" t="n">
        <x:v>12</x:v>
      </x:c>
      <x:c r="E342" s="10" t="str">
        <x:v>Dezembro</x:v>
      </x:c>
      <x:c r="F342" s="10" t="str">
        <x:v>2024-12</x:v>
      </x:c>
      <x:c r="G342" s="10" t="n">
        <x:v>6</x:v>
      </x:c>
      <x:c r="H342" s="10" t="str">
        <x:v>Sexta-feira</x:v>
      </x:c>
      <x:c r="I342" s="11" t="b">
        <x:v>1</x:v>
      </x:c>
    </x:row>
    <x:row r="343" ht="18" customHeight="1">
      <x:c r="A343" s="16" t="n">
        <x:v>45633</x:v>
      </x:c>
      <x:c r="B343" s="10" t="n">
        <x:v>2024</x:v>
      </x:c>
      <x:c r="C343" s="10" t="n">
        <x:v>4</x:v>
      </x:c>
      <x:c r="D343" s="10" t="n">
        <x:v>12</x:v>
      </x:c>
      <x:c r="E343" s="10" t="str">
        <x:v>Dezembro</x:v>
      </x:c>
      <x:c r="F343" s="10" t="str">
        <x:v>2024-12</x:v>
      </x:c>
      <x:c r="G343" s="10" t="n">
        <x:v>7</x:v>
      </x:c>
      <x:c r="H343" s="10" t="str">
        <x:v>Sábado</x:v>
      </x:c>
      <x:c r="I343" s="11" t="b">
        <x:v>0</x:v>
      </x:c>
    </x:row>
    <x:row r="344" ht="18" customHeight="1">
      <x:c r="A344" s="16" t="n">
        <x:v>45634</x:v>
      </x:c>
      <x:c r="B344" s="10" t="n">
        <x:v>2024</x:v>
      </x:c>
      <x:c r="C344" s="10" t="n">
        <x:v>4</x:v>
      </x:c>
      <x:c r="D344" s="10" t="n">
        <x:v>12</x:v>
      </x:c>
      <x:c r="E344" s="10" t="str">
        <x:v>Dezembro</x:v>
      </x:c>
      <x:c r="F344" s="10" t="str">
        <x:v>2024-12</x:v>
      </x:c>
      <x:c r="G344" s="10" t="n">
        <x:v>8</x:v>
      </x:c>
      <x:c r="H344" s="10" t="str">
        <x:v>Domingo</x:v>
      </x:c>
      <x:c r="I344" s="11" t="b">
        <x:v>0</x:v>
      </x:c>
    </x:row>
    <x:row r="345" ht="18" customHeight="1">
      <x:c r="A345" s="16" t="n">
        <x:v>45635</x:v>
      </x:c>
      <x:c r="B345" s="10" t="n">
        <x:v>2024</x:v>
      </x:c>
      <x:c r="C345" s="10" t="n">
        <x:v>4</x:v>
      </x:c>
      <x:c r="D345" s="10" t="n">
        <x:v>12</x:v>
      </x:c>
      <x:c r="E345" s="10" t="str">
        <x:v>Dezembro</x:v>
      </x:c>
      <x:c r="F345" s="10" t="str">
        <x:v>2024-12</x:v>
      </x:c>
      <x:c r="G345" s="10" t="n">
        <x:v>9</x:v>
      </x:c>
      <x:c r="H345" s="10" t="str">
        <x:v>Segunda-feira</x:v>
      </x:c>
      <x:c r="I345" s="11" t="b">
        <x:v>1</x:v>
      </x:c>
    </x:row>
    <x:row r="346" ht="18" customHeight="1">
      <x:c r="A346" s="16" t="n">
        <x:v>45636</x:v>
      </x:c>
      <x:c r="B346" s="10" t="n">
        <x:v>2024</x:v>
      </x:c>
      <x:c r="C346" s="10" t="n">
        <x:v>4</x:v>
      </x:c>
      <x:c r="D346" s="10" t="n">
        <x:v>12</x:v>
      </x:c>
      <x:c r="E346" s="10" t="str">
        <x:v>Dezembro</x:v>
      </x:c>
      <x:c r="F346" s="10" t="str">
        <x:v>2024-12</x:v>
      </x:c>
      <x:c r="G346" s="10" t="n">
        <x:v>10</x:v>
      </x:c>
      <x:c r="H346" s="10" t="str">
        <x:v>Terça-feira</x:v>
      </x:c>
      <x:c r="I346" s="11" t="b">
        <x:v>1</x:v>
      </x:c>
    </x:row>
    <x:row r="347" ht="18" customHeight="1">
      <x:c r="A347" s="16" t="n">
        <x:v>45637</x:v>
      </x:c>
      <x:c r="B347" s="10" t="n">
        <x:v>2024</x:v>
      </x:c>
      <x:c r="C347" s="10" t="n">
        <x:v>4</x:v>
      </x:c>
      <x:c r="D347" s="10" t="n">
        <x:v>12</x:v>
      </x:c>
      <x:c r="E347" s="10" t="str">
        <x:v>Dezembro</x:v>
      </x:c>
      <x:c r="F347" s="10" t="str">
        <x:v>2024-12</x:v>
      </x:c>
      <x:c r="G347" s="10" t="n">
        <x:v>11</x:v>
      </x:c>
      <x:c r="H347" s="10" t="str">
        <x:v>Quarta-feira</x:v>
      </x:c>
      <x:c r="I347" s="11" t="b">
        <x:v>1</x:v>
      </x:c>
    </x:row>
    <x:row r="348" ht="18" customHeight="1">
      <x:c r="A348" s="16" t="n">
        <x:v>45638</x:v>
      </x:c>
      <x:c r="B348" s="10" t="n">
        <x:v>2024</x:v>
      </x:c>
      <x:c r="C348" s="10" t="n">
        <x:v>4</x:v>
      </x:c>
      <x:c r="D348" s="10" t="n">
        <x:v>12</x:v>
      </x:c>
      <x:c r="E348" s="10" t="str">
        <x:v>Dezembro</x:v>
      </x:c>
      <x:c r="F348" s="10" t="str">
        <x:v>2024-12</x:v>
      </x:c>
      <x:c r="G348" s="10" t="n">
        <x:v>12</x:v>
      </x:c>
      <x:c r="H348" s="10" t="str">
        <x:v>Quinta-feira</x:v>
      </x:c>
      <x:c r="I348" s="11" t="b">
        <x:v>1</x:v>
      </x:c>
    </x:row>
    <x:row r="349" ht="18" customHeight="1">
      <x:c r="A349" s="16" t="n">
        <x:v>45639</x:v>
      </x:c>
      <x:c r="B349" s="10" t="n">
        <x:v>2024</x:v>
      </x:c>
      <x:c r="C349" s="10" t="n">
        <x:v>4</x:v>
      </x:c>
      <x:c r="D349" s="10" t="n">
        <x:v>12</x:v>
      </x:c>
      <x:c r="E349" s="10" t="str">
        <x:v>Dezembro</x:v>
      </x:c>
      <x:c r="F349" s="10" t="str">
        <x:v>2024-12</x:v>
      </x:c>
      <x:c r="G349" s="10" t="n">
        <x:v>13</x:v>
      </x:c>
      <x:c r="H349" s="10" t="str">
        <x:v>Sexta-feira</x:v>
      </x:c>
      <x:c r="I349" s="11" t="b">
        <x:v>1</x:v>
      </x:c>
    </x:row>
    <x:row r="350" ht="18" customHeight="1">
      <x:c r="A350" s="16" t="n">
        <x:v>45640</x:v>
      </x:c>
      <x:c r="B350" s="10" t="n">
        <x:v>2024</x:v>
      </x:c>
      <x:c r="C350" s="10" t="n">
        <x:v>4</x:v>
      </x:c>
      <x:c r="D350" s="10" t="n">
        <x:v>12</x:v>
      </x:c>
      <x:c r="E350" s="10" t="str">
        <x:v>Dezembro</x:v>
      </x:c>
      <x:c r="F350" s="10" t="str">
        <x:v>2024-12</x:v>
      </x:c>
      <x:c r="G350" s="10" t="n">
        <x:v>14</x:v>
      </x:c>
      <x:c r="H350" s="10" t="str">
        <x:v>Sábado</x:v>
      </x:c>
      <x:c r="I350" s="11" t="b">
        <x:v>0</x:v>
      </x:c>
    </x:row>
    <x:row r="351" ht="18" customHeight="1">
      <x:c r="A351" s="16" t="n">
        <x:v>45641</x:v>
      </x:c>
      <x:c r="B351" s="10" t="n">
        <x:v>2024</x:v>
      </x:c>
      <x:c r="C351" s="10" t="n">
        <x:v>4</x:v>
      </x:c>
      <x:c r="D351" s="10" t="n">
        <x:v>12</x:v>
      </x:c>
      <x:c r="E351" s="10" t="str">
        <x:v>Dezembro</x:v>
      </x:c>
      <x:c r="F351" s="10" t="str">
        <x:v>2024-12</x:v>
      </x:c>
      <x:c r="G351" s="10" t="n">
        <x:v>15</x:v>
      </x:c>
      <x:c r="H351" s="10" t="str">
        <x:v>Domingo</x:v>
      </x:c>
      <x:c r="I351" s="11" t="b">
        <x:v>0</x:v>
      </x:c>
    </x:row>
    <x:row r="352" ht="18" customHeight="1">
      <x:c r="A352" s="16" t="n">
        <x:v>45642</x:v>
      </x:c>
      <x:c r="B352" s="10" t="n">
        <x:v>2024</x:v>
      </x:c>
      <x:c r="C352" s="10" t="n">
        <x:v>4</x:v>
      </x:c>
      <x:c r="D352" s="10" t="n">
        <x:v>12</x:v>
      </x:c>
      <x:c r="E352" s="10" t="str">
        <x:v>Dezembro</x:v>
      </x:c>
      <x:c r="F352" s="10" t="str">
        <x:v>2024-12</x:v>
      </x:c>
      <x:c r="G352" s="10" t="n">
        <x:v>16</x:v>
      </x:c>
      <x:c r="H352" s="10" t="str">
        <x:v>Segunda-feira</x:v>
      </x:c>
      <x:c r="I352" s="11" t="b">
        <x:v>1</x:v>
      </x:c>
    </x:row>
    <x:row r="353" ht="18" customHeight="1">
      <x:c r="A353" s="16" t="n">
        <x:v>45643</x:v>
      </x:c>
      <x:c r="B353" s="10" t="n">
        <x:v>2024</x:v>
      </x:c>
      <x:c r="C353" s="10" t="n">
        <x:v>4</x:v>
      </x:c>
      <x:c r="D353" s="10" t="n">
        <x:v>12</x:v>
      </x:c>
      <x:c r="E353" s="10" t="str">
        <x:v>Dezembro</x:v>
      </x:c>
      <x:c r="F353" s="10" t="str">
        <x:v>2024-12</x:v>
      </x:c>
      <x:c r="G353" s="10" t="n">
        <x:v>17</x:v>
      </x:c>
      <x:c r="H353" s="10" t="str">
        <x:v>Terça-feira</x:v>
      </x:c>
      <x:c r="I353" s="11" t="b">
        <x:v>1</x:v>
      </x:c>
    </x:row>
    <x:row r="354" ht="18" customHeight="1">
      <x:c r="A354" s="16" t="n">
        <x:v>45644</x:v>
      </x:c>
      <x:c r="B354" s="10" t="n">
        <x:v>2024</x:v>
      </x:c>
      <x:c r="C354" s="10" t="n">
        <x:v>4</x:v>
      </x:c>
      <x:c r="D354" s="10" t="n">
        <x:v>12</x:v>
      </x:c>
      <x:c r="E354" s="10" t="str">
        <x:v>Dezembro</x:v>
      </x:c>
      <x:c r="F354" s="10" t="str">
        <x:v>2024-12</x:v>
      </x:c>
      <x:c r="G354" s="10" t="n">
        <x:v>18</x:v>
      </x:c>
      <x:c r="H354" s="10" t="str">
        <x:v>Quarta-feira</x:v>
      </x:c>
      <x:c r="I354" s="11" t="b">
        <x:v>1</x:v>
      </x:c>
    </x:row>
    <x:row r="355" ht="18" customHeight="1">
      <x:c r="A355" s="16" t="n">
        <x:v>45645</x:v>
      </x:c>
      <x:c r="B355" s="10" t="n">
        <x:v>2024</x:v>
      </x:c>
      <x:c r="C355" s="10" t="n">
        <x:v>4</x:v>
      </x:c>
      <x:c r="D355" s="10" t="n">
        <x:v>12</x:v>
      </x:c>
      <x:c r="E355" s="10" t="str">
        <x:v>Dezembro</x:v>
      </x:c>
      <x:c r="F355" s="10" t="str">
        <x:v>2024-12</x:v>
      </x:c>
      <x:c r="G355" s="10" t="n">
        <x:v>19</x:v>
      </x:c>
      <x:c r="H355" s="10" t="str">
        <x:v>Quinta-feira</x:v>
      </x:c>
      <x:c r="I355" s="11" t="b">
        <x:v>1</x:v>
      </x:c>
    </x:row>
    <x:row r="356" ht="18" customHeight="1">
      <x:c r="A356" s="16" t="n">
        <x:v>45646</x:v>
      </x:c>
      <x:c r="B356" s="10" t="n">
        <x:v>2024</x:v>
      </x:c>
      <x:c r="C356" s="10" t="n">
        <x:v>4</x:v>
      </x:c>
      <x:c r="D356" s="10" t="n">
        <x:v>12</x:v>
      </x:c>
      <x:c r="E356" s="10" t="str">
        <x:v>Dezembro</x:v>
      </x:c>
      <x:c r="F356" s="10" t="str">
        <x:v>2024-12</x:v>
      </x:c>
      <x:c r="G356" s="10" t="n">
        <x:v>20</x:v>
      </x:c>
      <x:c r="H356" s="10" t="str">
        <x:v>Sexta-feira</x:v>
      </x:c>
      <x:c r="I356" s="11" t="b">
        <x:v>1</x:v>
      </x:c>
    </x:row>
    <x:row r="357" ht="18" customHeight="1">
      <x:c r="A357" s="16" t="n">
        <x:v>45647</x:v>
      </x:c>
      <x:c r="B357" s="10" t="n">
        <x:v>2024</x:v>
      </x:c>
      <x:c r="C357" s="10" t="n">
        <x:v>4</x:v>
      </x:c>
      <x:c r="D357" s="10" t="n">
        <x:v>12</x:v>
      </x:c>
      <x:c r="E357" s="10" t="str">
        <x:v>Dezembro</x:v>
      </x:c>
      <x:c r="F357" s="10" t="str">
        <x:v>2024-12</x:v>
      </x:c>
      <x:c r="G357" s="10" t="n">
        <x:v>21</x:v>
      </x:c>
      <x:c r="H357" s="10" t="str">
        <x:v>Sábado</x:v>
      </x:c>
      <x:c r="I357" s="11" t="b">
        <x:v>0</x:v>
      </x:c>
    </x:row>
    <x:row r="358" ht="18" customHeight="1">
      <x:c r="A358" s="16" t="n">
        <x:v>45648</x:v>
      </x:c>
      <x:c r="B358" s="10" t="n">
        <x:v>2024</x:v>
      </x:c>
      <x:c r="C358" s="10" t="n">
        <x:v>4</x:v>
      </x:c>
      <x:c r="D358" s="10" t="n">
        <x:v>12</x:v>
      </x:c>
      <x:c r="E358" s="10" t="str">
        <x:v>Dezembro</x:v>
      </x:c>
      <x:c r="F358" s="10" t="str">
        <x:v>2024-12</x:v>
      </x:c>
      <x:c r="G358" s="10" t="n">
        <x:v>22</x:v>
      </x:c>
      <x:c r="H358" s="10" t="str">
        <x:v>Domingo</x:v>
      </x:c>
      <x:c r="I358" s="11" t="b">
        <x:v>0</x:v>
      </x:c>
    </x:row>
    <x:row r="359" ht="18" customHeight="1">
      <x:c r="A359" s="16" t="n">
        <x:v>45649</x:v>
      </x:c>
      <x:c r="B359" s="10" t="n">
        <x:v>2024</x:v>
      </x:c>
      <x:c r="C359" s="10" t="n">
        <x:v>4</x:v>
      </x:c>
      <x:c r="D359" s="10" t="n">
        <x:v>12</x:v>
      </x:c>
      <x:c r="E359" s="10" t="str">
        <x:v>Dezembro</x:v>
      </x:c>
      <x:c r="F359" s="10" t="str">
        <x:v>2024-12</x:v>
      </x:c>
      <x:c r="G359" s="10" t="n">
        <x:v>23</x:v>
      </x:c>
      <x:c r="H359" s="10" t="str">
        <x:v>Segunda-feira</x:v>
      </x:c>
      <x:c r="I359" s="11" t="b">
        <x:v>1</x:v>
      </x:c>
    </x:row>
    <x:row r="360" ht="18" customHeight="1">
      <x:c r="A360" s="16" t="n">
        <x:v>45650</x:v>
      </x:c>
      <x:c r="B360" s="10" t="n">
        <x:v>2024</x:v>
      </x:c>
      <x:c r="C360" s="10" t="n">
        <x:v>4</x:v>
      </x:c>
      <x:c r="D360" s="10" t="n">
        <x:v>12</x:v>
      </x:c>
      <x:c r="E360" s="10" t="str">
        <x:v>Dezembro</x:v>
      </x:c>
      <x:c r="F360" s="10" t="str">
        <x:v>2024-12</x:v>
      </x:c>
      <x:c r="G360" s="10" t="n">
        <x:v>24</x:v>
      </x:c>
      <x:c r="H360" s="10" t="str">
        <x:v>Terça-feira</x:v>
      </x:c>
      <x:c r="I360" s="11" t="b">
        <x:v>1</x:v>
      </x:c>
    </x:row>
    <x:row r="361" ht="18" customHeight="1">
      <x:c r="A361" s="16" t="n">
        <x:v>45651</x:v>
      </x:c>
      <x:c r="B361" s="10" t="n">
        <x:v>2024</x:v>
      </x:c>
      <x:c r="C361" s="10" t="n">
        <x:v>4</x:v>
      </x:c>
      <x:c r="D361" s="10" t="n">
        <x:v>12</x:v>
      </x:c>
      <x:c r="E361" s="10" t="str">
        <x:v>Dezembro</x:v>
      </x:c>
      <x:c r="F361" s="10" t="str">
        <x:v>2024-12</x:v>
      </x:c>
      <x:c r="G361" s="10" t="n">
        <x:v>25</x:v>
      </x:c>
      <x:c r="H361" s="10" t="str">
        <x:v>Quarta-feira</x:v>
      </x:c>
      <x:c r="I361" s="11" t="b">
        <x:v>1</x:v>
      </x:c>
    </x:row>
    <x:row r="362" ht="18" customHeight="1">
      <x:c r="A362" s="16" t="n">
        <x:v>45652</x:v>
      </x:c>
      <x:c r="B362" s="10" t="n">
        <x:v>2024</x:v>
      </x:c>
      <x:c r="C362" s="10" t="n">
        <x:v>4</x:v>
      </x:c>
      <x:c r="D362" s="10" t="n">
        <x:v>12</x:v>
      </x:c>
      <x:c r="E362" s="10" t="str">
        <x:v>Dezembro</x:v>
      </x:c>
      <x:c r="F362" s="10" t="str">
        <x:v>2024-12</x:v>
      </x:c>
      <x:c r="G362" s="10" t="n">
        <x:v>26</x:v>
      </x:c>
      <x:c r="H362" s="10" t="str">
        <x:v>Quinta-feira</x:v>
      </x:c>
      <x:c r="I362" s="11" t="b">
        <x:v>1</x:v>
      </x:c>
    </x:row>
    <x:row r="363" ht="18" customHeight="1">
      <x:c r="A363" s="16" t="n">
        <x:v>45653</x:v>
      </x:c>
      <x:c r="B363" s="10" t="n">
        <x:v>2024</x:v>
      </x:c>
      <x:c r="C363" s="10" t="n">
        <x:v>4</x:v>
      </x:c>
      <x:c r="D363" s="10" t="n">
        <x:v>12</x:v>
      </x:c>
      <x:c r="E363" s="10" t="str">
        <x:v>Dezembro</x:v>
      </x:c>
      <x:c r="F363" s="10" t="str">
        <x:v>2024-12</x:v>
      </x:c>
      <x:c r="G363" s="10" t="n">
        <x:v>27</x:v>
      </x:c>
      <x:c r="H363" s="10" t="str">
        <x:v>Sexta-feira</x:v>
      </x:c>
      <x:c r="I363" s="11" t="b">
        <x:v>1</x:v>
      </x:c>
    </x:row>
    <x:row r="364" ht="18" customHeight="1">
      <x:c r="A364" s="16" t="n">
        <x:v>45654</x:v>
      </x:c>
      <x:c r="B364" s="10" t="n">
        <x:v>2024</x:v>
      </x:c>
      <x:c r="C364" s="10" t="n">
        <x:v>4</x:v>
      </x:c>
      <x:c r="D364" s="10" t="n">
        <x:v>12</x:v>
      </x:c>
      <x:c r="E364" s="10" t="str">
        <x:v>Dezembro</x:v>
      </x:c>
      <x:c r="F364" s="10" t="str">
        <x:v>2024-12</x:v>
      </x:c>
      <x:c r="G364" s="10" t="n">
        <x:v>28</x:v>
      </x:c>
      <x:c r="H364" s="10" t="str">
        <x:v>Sábado</x:v>
      </x:c>
      <x:c r="I364" s="11" t="b">
        <x:v>0</x:v>
      </x:c>
    </x:row>
    <x:row r="365" ht="18" customHeight="1">
      <x:c r="A365" s="16" t="n">
        <x:v>45655</x:v>
      </x:c>
      <x:c r="B365" s="10" t="n">
        <x:v>2024</x:v>
      </x:c>
      <x:c r="C365" s="10" t="n">
        <x:v>4</x:v>
      </x:c>
      <x:c r="D365" s="10" t="n">
        <x:v>12</x:v>
      </x:c>
      <x:c r="E365" s="10" t="str">
        <x:v>Dezembro</x:v>
      </x:c>
      <x:c r="F365" s="10" t="str">
        <x:v>2024-12</x:v>
      </x:c>
      <x:c r="G365" s="10" t="n">
        <x:v>29</x:v>
      </x:c>
      <x:c r="H365" s="10" t="str">
        <x:v>Domingo</x:v>
      </x:c>
      <x:c r="I365" s="11" t="b">
        <x:v>0</x:v>
      </x:c>
    </x:row>
    <x:row r="366" ht="18" customHeight="1">
      <x:c r="A366" s="16" t="n">
        <x:v>45656</x:v>
      </x:c>
      <x:c r="B366" s="10" t="n">
        <x:v>2024</x:v>
      </x:c>
      <x:c r="C366" s="10" t="n">
        <x:v>4</x:v>
      </x:c>
      <x:c r="D366" s="10" t="n">
        <x:v>12</x:v>
      </x:c>
      <x:c r="E366" s="10" t="str">
        <x:v>Dezembro</x:v>
      </x:c>
      <x:c r="F366" s="10" t="str">
        <x:v>2024-12</x:v>
      </x:c>
      <x:c r="G366" s="10" t="n">
        <x:v>30</x:v>
      </x:c>
      <x:c r="H366" s="10" t="str">
        <x:v>Segunda-feira</x:v>
      </x:c>
      <x:c r="I366" s="11" t="b">
        <x:v>1</x:v>
      </x:c>
    </x:row>
    <x:row r="367" ht="18" customHeight="1">
      <x:c r="A367" s="16" t="n">
        <x:v>45657</x:v>
      </x:c>
      <x:c r="B367" s="10" t="n">
        <x:v>2024</x:v>
      </x:c>
      <x:c r="C367" s="10" t="n">
        <x:v>4</x:v>
      </x:c>
      <x:c r="D367" s="10" t="n">
        <x:v>12</x:v>
      </x:c>
      <x:c r="E367" s="10" t="str">
        <x:v>Dezembro</x:v>
      </x:c>
      <x:c r="F367" s="10" t="str">
        <x:v>2024-12</x:v>
      </x:c>
      <x:c r="G367" s="10" t="n">
        <x:v>31</x:v>
      </x:c>
      <x:c r="H367" s="10" t="str">
        <x:v>Terça-feira</x:v>
      </x:c>
      <x:c r="I367" s="11" t="b">
        <x:v>1</x:v>
      </x:c>
    </x:row>
    <x:row r="368" ht="18" customHeight="1">
      <x:c r="A368" s="16" t="n">
        <x:v>45658</x:v>
      </x:c>
      <x:c r="B368" s="10" t="n">
        <x:v>2025</x:v>
      </x:c>
      <x:c r="C368" s="10" t="n">
        <x:v>1</x:v>
      </x:c>
      <x:c r="D368" s="10" t="n">
        <x:v>1</x:v>
      </x:c>
      <x:c r="E368" s="10" t="str">
        <x:v>Janeiro</x:v>
      </x:c>
      <x:c r="F368" s="10" t="str">
        <x:v>2025-01</x:v>
      </x:c>
      <x:c r="G368" s="10" t="n">
        <x:v>1</x:v>
      </x:c>
      <x:c r="H368" s="10" t="str">
        <x:v>Quarta-feira</x:v>
      </x:c>
      <x:c r="I368" s="11" t="b">
        <x:v>1</x:v>
      </x:c>
    </x:row>
    <x:row r="369" ht="18" customHeight="1">
      <x:c r="A369" s="16" t="n">
        <x:v>45659</x:v>
      </x:c>
      <x:c r="B369" s="10" t="n">
        <x:v>2025</x:v>
      </x:c>
      <x:c r="C369" s="10" t="n">
        <x:v>1</x:v>
      </x:c>
      <x:c r="D369" s="10" t="n">
        <x:v>1</x:v>
      </x:c>
      <x:c r="E369" s="10" t="str">
        <x:v>Janeiro</x:v>
      </x:c>
      <x:c r="F369" s="10" t="str">
        <x:v>2025-01</x:v>
      </x:c>
      <x:c r="G369" s="10" t="n">
        <x:v>2</x:v>
      </x:c>
      <x:c r="H369" s="10" t="str">
        <x:v>Quinta-feira</x:v>
      </x:c>
      <x:c r="I369" s="11" t="b">
        <x:v>1</x:v>
      </x:c>
    </x:row>
    <x:row r="370" ht="18" customHeight="1">
      <x:c r="A370" s="16" t="n">
        <x:v>45660</x:v>
      </x:c>
      <x:c r="B370" s="10" t="n">
        <x:v>2025</x:v>
      </x:c>
      <x:c r="C370" s="10" t="n">
        <x:v>1</x:v>
      </x:c>
      <x:c r="D370" s="10" t="n">
        <x:v>1</x:v>
      </x:c>
      <x:c r="E370" s="10" t="str">
        <x:v>Janeiro</x:v>
      </x:c>
      <x:c r="F370" s="10" t="str">
        <x:v>2025-01</x:v>
      </x:c>
      <x:c r="G370" s="10" t="n">
        <x:v>3</x:v>
      </x:c>
      <x:c r="H370" s="10" t="str">
        <x:v>Sexta-feira</x:v>
      </x:c>
      <x:c r="I370" s="11" t="b">
        <x:v>1</x:v>
      </x:c>
    </x:row>
    <x:row r="371" ht="18" customHeight="1">
      <x:c r="A371" s="16" t="n">
        <x:v>45661</x:v>
      </x:c>
      <x:c r="B371" s="10" t="n">
        <x:v>2025</x:v>
      </x:c>
      <x:c r="C371" s="10" t="n">
        <x:v>1</x:v>
      </x:c>
      <x:c r="D371" s="10" t="n">
        <x:v>1</x:v>
      </x:c>
      <x:c r="E371" s="10" t="str">
        <x:v>Janeiro</x:v>
      </x:c>
      <x:c r="F371" s="10" t="str">
        <x:v>2025-01</x:v>
      </x:c>
      <x:c r="G371" s="10" t="n">
        <x:v>4</x:v>
      </x:c>
      <x:c r="H371" s="10" t="str">
        <x:v>Sábado</x:v>
      </x:c>
      <x:c r="I371" s="11" t="b">
        <x:v>0</x:v>
      </x:c>
    </x:row>
    <x:row r="372" ht="18" customHeight="1">
      <x:c r="A372" s="16" t="n">
        <x:v>45662</x:v>
      </x:c>
      <x:c r="B372" s="10" t="n">
        <x:v>2025</x:v>
      </x:c>
      <x:c r="C372" s="10" t="n">
        <x:v>1</x:v>
      </x:c>
      <x:c r="D372" s="10" t="n">
        <x:v>1</x:v>
      </x:c>
      <x:c r="E372" s="10" t="str">
        <x:v>Janeiro</x:v>
      </x:c>
      <x:c r="F372" s="10" t="str">
        <x:v>2025-01</x:v>
      </x:c>
      <x:c r="G372" s="10" t="n">
        <x:v>5</x:v>
      </x:c>
      <x:c r="H372" s="10" t="str">
        <x:v>Domingo</x:v>
      </x:c>
      <x:c r="I372" s="11" t="b">
        <x:v>0</x:v>
      </x:c>
    </x:row>
    <x:row r="373" ht="18" customHeight="1">
      <x:c r="A373" s="16" t="n">
        <x:v>45663</x:v>
      </x:c>
      <x:c r="B373" s="10" t="n">
        <x:v>2025</x:v>
      </x:c>
      <x:c r="C373" s="10" t="n">
        <x:v>1</x:v>
      </x:c>
      <x:c r="D373" s="10" t="n">
        <x:v>1</x:v>
      </x:c>
      <x:c r="E373" s="10" t="str">
        <x:v>Janeiro</x:v>
      </x:c>
      <x:c r="F373" s="10" t="str">
        <x:v>2025-01</x:v>
      </x:c>
      <x:c r="G373" s="10" t="n">
        <x:v>6</x:v>
      </x:c>
      <x:c r="H373" s="10" t="str">
        <x:v>Segunda-feira</x:v>
      </x:c>
      <x:c r="I373" s="11" t="b">
        <x:v>1</x:v>
      </x:c>
    </x:row>
    <x:row r="374" ht="18" customHeight="1">
      <x:c r="A374" s="16" t="n">
        <x:v>45664</x:v>
      </x:c>
      <x:c r="B374" s="10" t="n">
        <x:v>2025</x:v>
      </x:c>
      <x:c r="C374" s="10" t="n">
        <x:v>1</x:v>
      </x:c>
      <x:c r="D374" s="10" t="n">
        <x:v>1</x:v>
      </x:c>
      <x:c r="E374" s="10" t="str">
        <x:v>Janeiro</x:v>
      </x:c>
      <x:c r="F374" s="10" t="str">
        <x:v>2025-01</x:v>
      </x:c>
      <x:c r="G374" s="10" t="n">
        <x:v>7</x:v>
      </x:c>
      <x:c r="H374" s="10" t="str">
        <x:v>Terça-feira</x:v>
      </x:c>
      <x:c r="I374" s="11" t="b">
        <x:v>1</x:v>
      </x:c>
    </x:row>
    <x:row r="375" ht="18" customHeight="1">
      <x:c r="A375" s="16" t="n">
        <x:v>45665</x:v>
      </x:c>
      <x:c r="B375" s="10" t="n">
        <x:v>2025</x:v>
      </x:c>
      <x:c r="C375" s="10" t="n">
        <x:v>1</x:v>
      </x:c>
      <x:c r="D375" s="10" t="n">
        <x:v>1</x:v>
      </x:c>
      <x:c r="E375" s="10" t="str">
        <x:v>Janeiro</x:v>
      </x:c>
      <x:c r="F375" s="10" t="str">
        <x:v>2025-01</x:v>
      </x:c>
      <x:c r="G375" s="10" t="n">
        <x:v>8</x:v>
      </x:c>
      <x:c r="H375" s="10" t="str">
        <x:v>Quarta-feira</x:v>
      </x:c>
      <x:c r="I375" s="11" t="b">
        <x:v>1</x:v>
      </x:c>
    </x:row>
    <x:row r="376" ht="18" customHeight="1">
      <x:c r="A376" s="16" t="n">
        <x:v>45666</x:v>
      </x:c>
      <x:c r="B376" s="10" t="n">
        <x:v>2025</x:v>
      </x:c>
      <x:c r="C376" s="10" t="n">
        <x:v>1</x:v>
      </x:c>
      <x:c r="D376" s="10" t="n">
        <x:v>1</x:v>
      </x:c>
      <x:c r="E376" s="10" t="str">
        <x:v>Janeiro</x:v>
      </x:c>
      <x:c r="F376" s="10" t="str">
        <x:v>2025-01</x:v>
      </x:c>
      <x:c r="G376" s="10" t="n">
        <x:v>9</x:v>
      </x:c>
      <x:c r="H376" s="10" t="str">
        <x:v>Quinta-feira</x:v>
      </x:c>
      <x:c r="I376" s="11" t="b">
        <x:v>1</x:v>
      </x:c>
    </x:row>
    <x:row r="377" ht="18" customHeight="1">
      <x:c r="A377" s="16" t="n">
        <x:v>45667</x:v>
      </x:c>
      <x:c r="B377" s="10" t="n">
        <x:v>2025</x:v>
      </x:c>
      <x:c r="C377" s="10" t="n">
        <x:v>1</x:v>
      </x:c>
      <x:c r="D377" s="10" t="n">
        <x:v>1</x:v>
      </x:c>
      <x:c r="E377" s="10" t="str">
        <x:v>Janeiro</x:v>
      </x:c>
      <x:c r="F377" s="10" t="str">
        <x:v>2025-01</x:v>
      </x:c>
      <x:c r="G377" s="10" t="n">
        <x:v>10</x:v>
      </x:c>
      <x:c r="H377" s="10" t="str">
        <x:v>Sexta-feira</x:v>
      </x:c>
      <x:c r="I377" s="11" t="b">
        <x:v>1</x:v>
      </x:c>
    </x:row>
    <x:row r="378" ht="18" customHeight="1">
      <x:c r="A378" s="16" t="n">
        <x:v>45668</x:v>
      </x:c>
      <x:c r="B378" s="10" t="n">
        <x:v>2025</x:v>
      </x:c>
      <x:c r="C378" s="10" t="n">
        <x:v>1</x:v>
      </x:c>
      <x:c r="D378" s="10" t="n">
        <x:v>1</x:v>
      </x:c>
      <x:c r="E378" s="10" t="str">
        <x:v>Janeiro</x:v>
      </x:c>
      <x:c r="F378" s="10" t="str">
        <x:v>2025-01</x:v>
      </x:c>
      <x:c r="G378" s="10" t="n">
        <x:v>11</x:v>
      </x:c>
      <x:c r="H378" s="10" t="str">
        <x:v>Sábado</x:v>
      </x:c>
      <x:c r="I378" s="11" t="b">
        <x:v>0</x:v>
      </x:c>
    </x:row>
    <x:row r="379" ht="18" customHeight="1">
      <x:c r="A379" s="16" t="n">
        <x:v>45669</x:v>
      </x:c>
      <x:c r="B379" s="10" t="n">
        <x:v>2025</x:v>
      </x:c>
      <x:c r="C379" s="10" t="n">
        <x:v>1</x:v>
      </x:c>
      <x:c r="D379" s="10" t="n">
        <x:v>1</x:v>
      </x:c>
      <x:c r="E379" s="10" t="str">
        <x:v>Janeiro</x:v>
      </x:c>
      <x:c r="F379" s="10" t="str">
        <x:v>2025-01</x:v>
      </x:c>
      <x:c r="G379" s="10" t="n">
        <x:v>12</x:v>
      </x:c>
      <x:c r="H379" s="10" t="str">
        <x:v>Domingo</x:v>
      </x:c>
      <x:c r="I379" s="11" t="b">
        <x:v>0</x:v>
      </x:c>
    </x:row>
    <x:row r="380" ht="18" customHeight="1">
      <x:c r="A380" s="16" t="n">
        <x:v>45670</x:v>
      </x:c>
      <x:c r="B380" s="10" t="n">
        <x:v>2025</x:v>
      </x:c>
      <x:c r="C380" s="10" t="n">
        <x:v>1</x:v>
      </x:c>
      <x:c r="D380" s="10" t="n">
        <x:v>1</x:v>
      </x:c>
      <x:c r="E380" s="10" t="str">
        <x:v>Janeiro</x:v>
      </x:c>
      <x:c r="F380" s="10" t="str">
        <x:v>2025-01</x:v>
      </x:c>
      <x:c r="G380" s="10" t="n">
        <x:v>13</x:v>
      </x:c>
      <x:c r="H380" s="10" t="str">
        <x:v>Segunda-feira</x:v>
      </x:c>
      <x:c r="I380" s="11" t="b">
        <x:v>1</x:v>
      </x:c>
    </x:row>
    <x:row r="381" ht="18" customHeight="1">
      <x:c r="A381" s="16" t="n">
        <x:v>45671</x:v>
      </x:c>
      <x:c r="B381" s="10" t="n">
        <x:v>2025</x:v>
      </x:c>
      <x:c r="C381" s="10" t="n">
        <x:v>1</x:v>
      </x:c>
      <x:c r="D381" s="10" t="n">
        <x:v>1</x:v>
      </x:c>
      <x:c r="E381" s="10" t="str">
        <x:v>Janeiro</x:v>
      </x:c>
      <x:c r="F381" s="10" t="str">
        <x:v>2025-01</x:v>
      </x:c>
      <x:c r="G381" s="10" t="n">
        <x:v>14</x:v>
      </x:c>
      <x:c r="H381" s="10" t="str">
        <x:v>Terça-feira</x:v>
      </x:c>
      <x:c r="I381" s="11" t="b">
        <x:v>1</x:v>
      </x:c>
    </x:row>
    <x:row r="382" ht="18" customHeight="1">
      <x:c r="A382" s="16" t="n">
        <x:v>45672</x:v>
      </x:c>
      <x:c r="B382" s="10" t="n">
        <x:v>2025</x:v>
      </x:c>
      <x:c r="C382" s="10" t="n">
        <x:v>1</x:v>
      </x:c>
      <x:c r="D382" s="10" t="n">
        <x:v>1</x:v>
      </x:c>
      <x:c r="E382" s="10" t="str">
        <x:v>Janeiro</x:v>
      </x:c>
      <x:c r="F382" s="10" t="str">
        <x:v>2025-01</x:v>
      </x:c>
      <x:c r="G382" s="10" t="n">
        <x:v>15</x:v>
      </x:c>
      <x:c r="H382" s="10" t="str">
        <x:v>Quarta-feira</x:v>
      </x:c>
      <x:c r="I382" s="11" t="b">
        <x:v>1</x:v>
      </x:c>
    </x:row>
    <x:row r="383" ht="18" customHeight="1">
      <x:c r="A383" s="16" t="n">
        <x:v>45673</x:v>
      </x:c>
      <x:c r="B383" s="10" t="n">
        <x:v>2025</x:v>
      </x:c>
      <x:c r="C383" s="10" t="n">
        <x:v>1</x:v>
      </x:c>
      <x:c r="D383" s="10" t="n">
        <x:v>1</x:v>
      </x:c>
      <x:c r="E383" s="10" t="str">
        <x:v>Janeiro</x:v>
      </x:c>
      <x:c r="F383" s="10" t="str">
        <x:v>2025-01</x:v>
      </x:c>
      <x:c r="G383" s="10" t="n">
        <x:v>16</x:v>
      </x:c>
      <x:c r="H383" s="10" t="str">
        <x:v>Quinta-feira</x:v>
      </x:c>
      <x:c r="I383" s="11" t="b">
        <x:v>1</x:v>
      </x:c>
    </x:row>
    <x:row r="384" ht="18" customHeight="1">
      <x:c r="A384" s="16" t="n">
        <x:v>45674</x:v>
      </x:c>
      <x:c r="B384" s="10" t="n">
        <x:v>2025</x:v>
      </x:c>
      <x:c r="C384" s="10" t="n">
        <x:v>1</x:v>
      </x:c>
      <x:c r="D384" s="10" t="n">
        <x:v>1</x:v>
      </x:c>
      <x:c r="E384" s="10" t="str">
        <x:v>Janeiro</x:v>
      </x:c>
      <x:c r="F384" s="10" t="str">
        <x:v>2025-01</x:v>
      </x:c>
      <x:c r="G384" s="10" t="n">
        <x:v>17</x:v>
      </x:c>
      <x:c r="H384" s="10" t="str">
        <x:v>Sexta-feira</x:v>
      </x:c>
      <x:c r="I384" s="11" t="b">
        <x:v>1</x:v>
      </x:c>
    </x:row>
    <x:row r="385" ht="18" customHeight="1">
      <x:c r="A385" s="16" t="n">
        <x:v>45675</x:v>
      </x:c>
      <x:c r="B385" s="10" t="n">
        <x:v>2025</x:v>
      </x:c>
      <x:c r="C385" s="10" t="n">
        <x:v>1</x:v>
      </x:c>
      <x:c r="D385" s="10" t="n">
        <x:v>1</x:v>
      </x:c>
      <x:c r="E385" s="10" t="str">
        <x:v>Janeiro</x:v>
      </x:c>
      <x:c r="F385" s="10" t="str">
        <x:v>2025-01</x:v>
      </x:c>
      <x:c r="G385" s="10" t="n">
        <x:v>18</x:v>
      </x:c>
      <x:c r="H385" s="10" t="str">
        <x:v>Sábado</x:v>
      </x:c>
      <x:c r="I385" s="11" t="b">
        <x:v>0</x:v>
      </x:c>
    </x:row>
    <x:row r="386" ht="18" customHeight="1">
      <x:c r="A386" s="16" t="n">
        <x:v>45676</x:v>
      </x:c>
      <x:c r="B386" s="10" t="n">
        <x:v>2025</x:v>
      </x:c>
      <x:c r="C386" s="10" t="n">
        <x:v>1</x:v>
      </x:c>
      <x:c r="D386" s="10" t="n">
        <x:v>1</x:v>
      </x:c>
      <x:c r="E386" s="10" t="str">
        <x:v>Janeiro</x:v>
      </x:c>
      <x:c r="F386" s="10" t="str">
        <x:v>2025-01</x:v>
      </x:c>
      <x:c r="G386" s="10" t="n">
        <x:v>19</x:v>
      </x:c>
      <x:c r="H386" s="10" t="str">
        <x:v>Domingo</x:v>
      </x:c>
      <x:c r="I386" s="11" t="b">
        <x:v>0</x:v>
      </x:c>
    </x:row>
    <x:row r="387" ht="18" customHeight="1">
      <x:c r="A387" s="16" t="n">
        <x:v>45677</x:v>
      </x:c>
      <x:c r="B387" s="10" t="n">
        <x:v>2025</x:v>
      </x:c>
      <x:c r="C387" s="10" t="n">
        <x:v>1</x:v>
      </x:c>
      <x:c r="D387" s="10" t="n">
        <x:v>1</x:v>
      </x:c>
      <x:c r="E387" s="10" t="str">
        <x:v>Janeiro</x:v>
      </x:c>
      <x:c r="F387" s="10" t="str">
        <x:v>2025-01</x:v>
      </x:c>
      <x:c r="G387" s="10" t="n">
        <x:v>20</x:v>
      </x:c>
      <x:c r="H387" s="10" t="str">
        <x:v>Segunda-feira</x:v>
      </x:c>
      <x:c r="I387" s="11" t="b">
        <x:v>1</x:v>
      </x:c>
    </x:row>
    <x:row r="388" ht="18" customHeight="1">
      <x:c r="A388" s="16" t="n">
        <x:v>45678</x:v>
      </x:c>
      <x:c r="B388" s="10" t="n">
        <x:v>2025</x:v>
      </x:c>
      <x:c r="C388" s="10" t="n">
        <x:v>1</x:v>
      </x:c>
      <x:c r="D388" s="10" t="n">
        <x:v>1</x:v>
      </x:c>
      <x:c r="E388" s="10" t="str">
        <x:v>Janeiro</x:v>
      </x:c>
      <x:c r="F388" s="10" t="str">
        <x:v>2025-01</x:v>
      </x:c>
      <x:c r="G388" s="10" t="n">
        <x:v>21</x:v>
      </x:c>
      <x:c r="H388" s="10" t="str">
        <x:v>Terça-feira</x:v>
      </x:c>
      <x:c r="I388" s="11" t="b">
        <x:v>1</x:v>
      </x:c>
    </x:row>
    <x:row r="389" ht="18" customHeight="1">
      <x:c r="A389" s="16" t="n">
        <x:v>45679</x:v>
      </x:c>
      <x:c r="B389" s="10" t="n">
        <x:v>2025</x:v>
      </x:c>
      <x:c r="C389" s="10" t="n">
        <x:v>1</x:v>
      </x:c>
      <x:c r="D389" s="10" t="n">
        <x:v>1</x:v>
      </x:c>
      <x:c r="E389" s="10" t="str">
        <x:v>Janeiro</x:v>
      </x:c>
      <x:c r="F389" s="10" t="str">
        <x:v>2025-01</x:v>
      </x:c>
      <x:c r="G389" s="10" t="n">
        <x:v>22</x:v>
      </x:c>
      <x:c r="H389" s="10" t="str">
        <x:v>Quarta-feira</x:v>
      </x:c>
      <x:c r="I389" s="11" t="b">
        <x:v>1</x:v>
      </x:c>
    </x:row>
    <x:row r="390" ht="18" customHeight="1">
      <x:c r="A390" s="16" t="n">
        <x:v>45680</x:v>
      </x:c>
      <x:c r="B390" s="10" t="n">
        <x:v>2025</x:v>
      </x:c>
      <x:c r="C390" s="10" t="n">
        <x:v>1</x:v>
      </x:c>
      <x:c r="D390" s="10" t="n">
        <x:v>1</x:v>
      </x:c>
      <x:c r="E390" s="10" t="str">
        <x:v>Janeiro</x:v>
      </x:c>
      <x:c r="F390" s="10" t="str">
        <x:v>2025-01</x:v>
      </x:c>
      <x:c r="G390" s="10" t="n">
        <x:v>23</x:v>
      </x:c>
      <x:c r="H390" s="10" t="str">
        <x:v>Quinta-feira</x:v>
      </x:c>
      <x:c r="I390" s="11" t="b">
        <x:v>1</x:v>
      </x:c>
    </x:row>
    <x:row r="391" ht="18" customHeight="1">
      <x:c r="A391" s="16" t="n">
        <x:v>45681</x:v>
      </x:c>
      <x:c r="B391" s="10" t="n">
        <x:v>2025</x:v>
      </x:c>
      <x:c r="C391" s="10" t="n">
        <x:v>1</x:v>
      </x:c>
      <x:c r="D391" s="10" t="n">
        <x:v>1</x:v>
      </x:c>
      <x:c r="E391" s="10" t="str">
        <x:v>Janeiro</x:v>
      </x:c>
      <x:c r="F391" s="10" t="str">
        <x:v>2025-01</x:v>
      </x:c>
      <x:c r="G391" s="10" t="n">
        <x:v>24</x:v>
      </x:c>
      <x:c r="H391" s="10" t="str">
        <x:v>Sexta-feira</x:v>
      </x:c>
      <x:c r="I391" s="11" t="b">
        <x:v>1</x:v>
      </x:c>
    </x:row>
    <x:row r="392" ht="18" customHeight="1">
      <x:c r="A392" s="16" t="n">
        <x:v>45682</x:v>
      </x:c>
      <x:c r="B392" s="10" t="n">
        <x:v>2025</x:v>
      </x:c>
      <x:c r="C392" s="10" t="n">
        <x:v>1</x:v>
      </x:c>
      <x:c r="D392" s="10" t="n">
        <x:v>1</x:v>
      </x:c>
      <x:c r="E392" s="10" t="str">
        <x:v>Janeiro</x:v>
      </x:c>
      <x:c r="F392" s="10" t="str">
        <x:v>2025-01</x:v>
      </x:c>
      <x:c r="G392" s="10" t="n">
        <x:v>25</x:v>
      </x:c>
      <x:c r="H392" s="10" t="str">
        <x:v>Sábado</x:v>
      </x:c>
      <x:c r="I392" s="11" t="b">
        <x:v>0</x:v>
      </x:c>
    </x:row>
    <x:row r="393" ht="18" customHeight="1">
      <x:c r="A393" s="16" t="n">
        <x:v>45683</x:v>
      </x:c>
      <x:c r="B393" s="10" t="n">
        <x:v>2025</x:v>
      </x:c>
      <x:c r="C393" s="10" t="n">
        <x:v>1</x:v>
      </x:c>
      <x:c r="D393" s="10" t="n">
        <x:v>1</x:v>
      </x:c>
      <x:c r="E393" s="10" t="str">
        <x:v>Janeiro</x:v>
      </x:c>
      <x:c r="F393" s="10" t="str">
        <x:v>2025-01</x:v>
      </x:c>
      <x:c r="G393" s="10" t="n">
        <x:v>26</x:v>
      </x:c>
      <x:c r="H393" s="10" t="str">
        <x:v>Domingo</x:v>
      </x:c>
      <x:c r="I393" s="11" t="b">
        <x:v>0</x:v>
      </x:c>
    </x:row>
    <x:row r="394" ht="18" customHeight="1">
      <x:c r="A394" s="16" t="n">
        <x:v>45684</x:v>
      </x:c>
      <x:c r="B394" s="10" t="n">
        <x:v>2025</x:v>
      </x:c>
      <x:c r="C394" s="10" t="n">
        <x:v>1</x:v>
      </x:c>
      <x:c r="D394" s="10" t="n">
        <x:v>1</x:v>
      </x:c>
      <x:c r="E394" s="10" t="str">
        <x:v>Janeiro</x:v>
      </x:c>
      <x:c r="F394" s="10" t="str">
        <x:v>2025-01</x:v>
      </x:c>
      <x:c r="G394" s="10" t="n">
        <x:v>27</x:v>
      </x:c>
      <x:c r="H394" s="10" t="str">
        <x:v>Segunda-feira</x:v>
      </x:c>
      <x:c r="I394" s="11" t="b">
        <x:v>1</x:v>
      </x:c>
    </x:row>
    <x:row r="395" ht="18" customHeight="1">
      <x:c r="A395" s="16" t="n">
        <x:v>45685</x:v>
      </x:c>
      <x:c r="B395" s="10" t="n">
        <x:v>2025</x:v>
      </x:c>
      <x:c r="C395" s="10" t="n">
        <x:v>1</x:v>
      </x:c>
      <x:c r="D395" s="10" t="n">
        <x:v>1</x:v>
      </x:c>
      <x:c r="E395" s="10" t="str">
        <x:v>Janeiro</x:v>
      </x:c>
      <x:c r="F395" s="10" t="str">
        <x:v>2025-01</x:v>
      </x:c>
      <x:c r="G395" s="10" t="n">
        <x:v>28</x:v>
      </x:c>
      <x:c r="H395" s="10" t="str">
        <x:v>Terça-feira</x:v>
      </x:c>
      <x:c r="I395" s="11" t="b">
        <x:v>1</x:v>
      </x:c>
    </x:row>
    <x:row r="396" ht="18" customHeight="1">
      <x:c r="A396" s="16" t="n">
        <x:v>45686</x:v>
      </x:c>
      <x:c r="B396" s="10" t="n">
        <x:v>2025</x:v>
      </x:c>
      <x:c r="C396" s="10" t="n">
        <x:v>1</x:v>
      </x:c>
      <x:c r="D396" s="10" t="n">
        <x:v>1</x:v>
      </x:c>
      <x:c r="E396" s="10" t="str">
        <x:v>Janeiro</x:v>
      </x:c>
      <x:c r="F396" s="10" t="str">
        <x:v>2025-01</x:v>
      </x:c>
      <x:c r="G396" s="10" t="n">
        <x:v>29</x:v>
      </x:c>
      <x:c r="H396" s="10" t="str">
        <x:v>Quarta-feira</x:v>
      </x:c>
      <x:c r="I396" s="11" t="b">
        <x:v>1</x:v>
      </x:c>
    </x:row>
    <x:row r="397" ht="18" customHeight="1">
      <x:c r="A397" s="16" t="n">
        <x:v>45687</x:v>
      </x:c>
      <x:c r="B397" s="10" t="n">
        <x:v>2025</x:v>
      </x:c>
      <x:c r="C397" s="10" t="n">
        <x:v>1</x:v>
      </x:c>
      <x:c r="D397" s="10" t="n">
        <x:v>1</x:v>
      </x:c>
      <x:c r="E397" s="10" t="str">
        <x:v>Janeiro</x:v>
      </x:c>
      <x:c r="F397" s="10" t="str">
        <x:v>2025-01</x:v>
      </x:c>
      <x:c r="G397" s="10" t="n">
        <x:v>30</x:v>
      </x:c>
      <x:c r="H397" s="10" t="str">
        <x:v>Quinta-feira</x:v>
      </x:c>
      <x:c r="I397" s="11" t="b">
        <x:v>1</x:v>
      </x:c>
    </x:row>
    <x:row r="398" ht="18" customHeight="1">
      <x:c r="A398" s="16" t="n">
        <x:v>45688</x:v>
      </x:c>
      <x:c r="B398" s="10" t="n">
        <x:v>2025</x:v>
      </x:c>
      <x:c r="C398" s="10" t="n">
        <x:v>1</x:v>
      </x:c>
      <x:c r="D398" s="10" t="n">
        <x:v>1</x:v>
      </x:c>
      <x:c r="E398" s="10" t="str">
        <x:v>Janeiro</x:v>
      </x:c>
      <x:c r="F398" s="10" t="str">
        <x:v>2025-01</x:v>
      </x:c>
      <x:c r="G398" s="10" t="n">
        <x:v>31</x:v>
      </x:c>
      <x:c r="H398" s="10" t="str">
        <x:v>Sexta-feira</x:v>
      </x:c>
      <x:c r="I398" s="11" t="b">
        <x:v>1</x:v>
      </x:c>
    </x:row>
    <x:row r="399" ht="18" customHeight="1">
      <x:c r="A399" s="16" t="n">
        <x:v>45689</x:v>
      </x:c>
      <x:c r="B399" s="10" t="n">
        <x:v>2025</x:v>
      </x:c>
      <x:c r="C399" s="10" t="n">
        <x:v>1</x:v>
      </x:c>
      <x:c r="D399" s="10" t="n">
        <x:v>2</x:v>
      </x:c>
      <x:c r="E399" s="10" t="str">
        <x:v>Fevereiro</x:v>
      </x:c>
      <x:c r="F399" s="10" t="str">
        <x:v>2025-02</x:v>
      </x:c>
      <x:c r="G399" s="10" t="n">
        <x:v>1</x:v>
      </x:c>
      <x:c r="H399" s="10" t="str">
        <x:v>Sábado</x:v>
      </x:c>
      <x:c r="I399" s="11" t="b">
        <x:v>0</x:v>
      </x:c>
    </x:row>
    <x:row r="400" ht="18" customHeight="1">
      <x:c r="A400" s="16" t="n">
        <x:v>45690</x:v>
      </x:c>
      <x:c r="B400" s="10" t="n">
        <x:v>2025</x:v>
      </x:c>
      <x:c r="C400" s="10" t="n">
        <x:v>1</x:v>
      </x:c>
      <x:c r="D400" s="10" t="n">
        <x:v>2</x:v>
      </x:c>
      <x:c r="E400" s="10" t="str">
        <x:v>Fevereiro</x:v>
      </x:c>
      <x:c r="F400" s="10" t="str">
        <x:v>2025-02</x:v>
      </x:c>
      <x:c r="G400" s="10" t="n">
        <x:v>2</x:v>
      </x:c>
      <x:c r="H400" s="10" t="str">
        <x:v>Domingo</x:v>
      </x:c>
      <x:c r="I400" s="11" t="b">
        <x:v>0</x:v>
      </x:c>
    </x:row>
    <x:row r="401" ht="18" customHeight="1">
      <x:c r="A401" s="16" t="n">
        <x:v>45691</x:v>
      </x:c>
      <x:c r="B401" s="10" t="n">
        <x:v>2025</x:v>
      </x:c>
      <x:c r="C401" s="10" t="n">
        <x:v>1</x:v>
      </x:c>
      <x:c r="D401" s="10" t="n">
        <x:v>2</x:v>
      </x:c>
      <x:c r="E401" s="10" t="str">
        <x:v>Fevereiro</x:v>
      </x:c>
      <x:c r="F401" s="10" t="str">
        <x:v>2025-02</x:v>
      </x:c>
      <x:c r="G401" s="10" t="n">
        <x:v>3</x:v>
      </x:c>
      <x:c r="H401" s="10" t="str">
        <x:v>Segunda-feira</x:v>
      </x:c>
      <x:c r="I401" s="11" t="b">
        <x:v>1</x:v>
      </x:c>
    </x:row>
    <x:row r="402" ht="18" customHeight="1">
      <x:c r="A402" s="16" t="n">
        <x:v>45692</x:v>
      </x:c>
      <x:c r="B402" s="10" t="n">
        <x:v>2025</x:v>
      </x:c>
      <x:c r="C402" s="10" t="n">
        <x:v>1</x:v>
      </x:c>
      <x:c r="D402" s="10" t="n">
        <x:v>2</x:v>
      </x:c>
      <x:c r="E402" s="10" t="str">
        <x:v>Fevereiro</x:v>
      </x:c>
      <x:c r="F402" s="10" t="str">
        <x:v>2025-02</x:v>
      </x:c>
      <x:c r="G402" s="10" t="n">
        <x:v>4</x:v>
      </x:c>
      <x:c r="H402" s="10" t="str">
        <x:v>Terça-feira</x:v>
      </x:c>
      <x:c r="I402" s="11" t="b">
        <x:v>1</x:v>
      </x:c>
    </x:row>
    <x:row r="403" ht="18" customHeight="1">
      <x:c r="A403" s="16" t="n">
        <x:v>45693</x:v>
      </x:c>
      <x:c r="B403" s="10" t="n">
        <x:v>2025</x:v>
      </x:c>
      <x:c r="C403" s="10" t="n">
        <x:v>1</x:v>
      </x:c>
      <x:c r="D403" s="10" t="n">
        <x:v>2</x:v>
      </x:c>
      <x:c r="E403" s="10" t="str">
        <x:v>Fevereiro</x:v>
      </x:c>
      <x:c r="F403" s="10" t="str">
        <x:v>2025-02</x:v>
      </x:c>
      <x:c r="G403" s="10" t="n">
        <x:v>5</x:v>
      </x:c>
      <x:c r="H403" s="10" t="str">
        <x:v>Quarta-feira</x:v>
      </x:c>
      <x:c r="I403" s="11" t="b">
        <x:v>1</x:v>
      </x:c>
    </x:row>
    <x:row r="404" ht="18" customHeight="1">
      <x:c r="A404" s="16" t="n">
        <x:v>45694</x:v>
      </x:c>
      <x:c r="B404" s="10" t="n">
        <x:v>2025</x:v>
      </x:c>
      <x:c r="C404" s="10" t="n">
        <x:v>1</x:v>
      </x:c>
      <x:c r="D404" s="10" t="n">
        <x:v>2</x:v>
      </x:c>
      <x:c r="E404" s="10" t="str">
        <x:v>Fevereiro</x:v>
      </x:c>
      <x:c r="F404" s="10" t="str">
        <x:v>2025-02</x:v>
      </x:c>
      <x:c r="G404" s="10" t="n">
        <x:v>6</x:v>
      </x:c>
      <x:c r="H404" s="10" t="str">
        <x:v>Quinta-feira</x:v>
      </x:c>
      <x:c r="I404" s="11" t="b">
        <x:v>1</x:v>
      </x:c>
    </x:row>
    <x:row r="405" ht="18" customHeight="1">
      <x:c r="A405" s="16" t="n">
        <x:v>45695</x:v>
      </x:c>
      <x:c r="B405" s="10" t="n">
        <x:v>2025</x:v>
      </x:c>
      <x:c r="C405" s="10" t="n">
        <x:v>1</x:v>
      </x:c>
      <x:c r="D405" s="10" t="n">
        <x:v>2</x:v>
      </x:c>
      <x:c r="E405" s="10" t="str">
        <x:v>Fevereiro</x:v>
      </x:c>
      <x:c r="F405" s="10" t="str">
        <x:v>2025-02</x:v>
      </x:c>
      <x:c r="G405" s="10" t="n">
        <x:v>7</x:v>
      </x:c>
      <x:c r="H405" s="10" t="str">
        <x:v>Sexta-feira</x:v>
      </x:c>
      <x:c r="I405" s="11" t="b">
        <x:v>1</x:v>
      </x:c>
    </x:row>
    <x:row r="406" ht="18" customHeight="1">
      <x:c r="A406" s="16" t="n">
        <x:v>45696</x:v>
      </x:c>
      <x:c r="B406" s="10" t="n">
        <x:v>2025</x:v>
      </x:c>
      <x:c r="C406" s="10" t="n">
        <x:v>1</x:v>
      </x:c>
      <x:c r="D406" s="10" t="n">
        <x:v>2</x:v>
      </x:c>
      <x:c r="E406" s="10" t="str">
        <x:v>Fevereiro</x:v>
      </x:c>
      <x:c r="F406" s="10" t="str">
        <x:v>2025-02</x:v>
      </x:c>
      <x:c r="G406" s="10" t="n">
        <x:v>8</x:v>
      </x:c>
      <x:c r="H406" s="10" t="str">
        <x:v>Sábado</x:v>
      </x:c>
      <x:c r="I406" s="11" t="b">
        <x:v>0</x:v>
      </x:c>
    </x:row>
    <x:row r="407" ht="18" customHeight="1">
      <x:c r="A407" s="16" t="n">
        <x:v>45697</x:v>
      </x:c>
      <x:c r="B407" s="10" t="n">
        <x:v>2025</x:v>
      </x:c>
      <x:c r="C407" s="10" t="n">
        <x:v>1</x:v>
      </x:c>
      <x:c r="D407" s="10" t="n">
        <x:v>2</x:v>
      </x:c>
      <x:c r="E407" s="10" t="str">
        <x:v>Fevereiro</x:v>
      </x:c>
      <x:c r="F407" s="10" t="str">
        <x:v>2025-02</x:v>
      </x:c>
      <x:c r="G407" s="10" t="n">
        <x:v>9</x:v>
      </x:c>
      <x:c r="H407" s="10" t="str">
        <x:v>Domingo</x:v>
      </x:c>
      <x:c r="I407" s="11" t="b">
        <x:v>0</x:v>
      </x:c>
    </x:row>
    <x:row r="408" ht="18" customHeight="1">
      <x:c r="A408" s="16" t="n">
        <x:v>45698</x:v>
      </x:c>
      <x:c r="B408" s="10" t="n">
        <x:v>2025</x:v>
      </x:c>
      <x:c r="C408" s="10" t="n">
        <x:v>1</x:v>
      </x:c>
      <x:c r="D408" s="10" t="n">
        <x:v>2</x:v>
      </x:c>
      <x:c r="E408" s="10" t="str">
        <x:v>Fevereiro</x:v>
      </x:c>
      <x:c r="F408" s="10" t="str">
        <x:v>2025-02</x:v>
      </x:c>
      <x:c r="G408" s="10" t="n">
        <x:v>10</x:v>
      </x:c>
      <x:c r="H408" s="10" t="str">
        <x:v>Segunda-feira</x:v>
      </x:c>
      <x:c r="I408" s="11" t="b">
        <x:v>1</x:v>
      </x:c>
    </x:row>
    <x:row r="409" ht="18" customHeight="1">
      <x:c r="A409" s="16" t="n">
        <x:v>45699</x:v>
      </x:c>
      <x:c r="B409" s="10" t="n">
        <x:v>2025</x:v>
      </x:c>
      <x:c r="C409" s="10" t="n">
        <x:v>1</x:v>
      </x:c>
      <x:c r="D409" s="10" t="n">
        <x:v>2</x:v>
      </x:c>
      <x:c r="E409" s="10" t="str">
        <x:v>Fevereiro</x:v>
      </x:c>
      <x:c r="F409" s="10" t="str">
        <x:v>2025-02</x:v>
      </x:c>
      <x:c r="G409" s="10" t="n">
        <x:v>11</x:v>
      </x:c>
      <x:c r="H409" s="10" t="str">
        <x:v>Terça-feira</x:v>
      </x:c>
      <x:c r="I409" s="11" t="b">
        <x:v>1</x:v>
      </x:c>
    </x:row>
    <x:row r="410" ht="18" customHeight="1">
      <x:c r="A410" s="16" t="n">
        <x:v>45700</x:v>
      </x:c>
      <x:c r="B410" s="10" t="n">
        <x:v>2025</x:v>
      </x:c>
      <x:c r="C410" s="10" t="n">
        <x:v>1</x:v>
      </x:c>
      <x:c r="D410" s="10" t="n">
        <x:v>2</x:v>
      </x:c>
      <x:c r="E410" s="10" t="str">
        <x:v>Fevereiro</x:v>
      </x:c>
      <x:c r="F410" s="10" t="str">
        <x:v>2025-02</x:v>
      </x:c>
      <x:c r="G410" s="10" t="n">
        <x:v>12</x:v>
      </x:c>
      <x:c r="H410" s="10" t="str">
        <x:v>Quarta-feira</x:v>
      </x:c>
      <x:c r="I410" s="11" t="b">
        <x:v>1</x:v>
      </x:c>
    </x:row>
    <x:row r="411" ht="18" customHeight="1">
      <x:c r="A411" s="16" t="n">
        <x:v>45701</x:v>
      </x:c>
      <x:c r="B411" s="10" t="n">
        <x:v>2025</x:v>
      </x:c>
      <x:c r="C411" s="10" t="n">
        <x:v>1</x:v>
      </x:c>
      <x:c r="D411" s="10" t="n">
        <x:v>2</x:v>
      </x:c>
      <x:c r="E411" s="10" t="str">
        <x:v>Fevereiro</x:v>
      </x:c>
      <x:c r="F411" s="10" t="str">
        <x:v>2025-02</x:v>
      </x:c>
      <x:c r="G411" s="10" t="n">
        <x:v>13</x:v>
      </x:c>
      <x:c r="H411" s="10" t="str">
        <x:v>Quinta-feira</x:v>
      </x:c>
      <x:c r="I411" s="11" t="b">
        <x:v>1</x:v>
      </x:c>
    </x:row>
    <x:row r="412" ht="18" customHeight="1">
      <x:c r="A412" s="16" t="n">
        <x:v>45702</x:v>
      </x:c>
      <x:c r="B412" s="10" t="n">
        <x:v>2025</x:v>
      </x:c>
      <x:c r="C412" s="10" t="n">
        <x:v>1</x:v>
      </x:c>
      <x:c r="D412" s="10" t="n">
        <x:v>2</x:v>
      </x:c>
      <x:c r="E412" s="10" t="str">
        <x:v>Fevereiro</x:v>
      </x:c>
      <x:c r="F412" s="10" t="str">
        <x:v>2025-02</x:v>
      </x:c>
      <x:c r="G412" s="10" t="n">
        <x:v>14</x:v>
      </x:c>
      <x:c r="H412" s="10" t="str">
        <x:v>Sexta-feira</x:v>
      </x:c>
      <x:c r="I412" s="11" t="b">
        <x:v>1</x:v>
      </x:c>
    </x:row>
    <x:row r="413" ht="18" customHeight="1">
      <x:c r="A413" s="16" t="n">
        <x:v>45703</x:v>
      </x:c>
      <x:c r="B413" s="10" t="n">
        <x:v>2025</x:v>
      </x:c>
      <x:c r="C413" s="10" t="n">
        <x:v>1</x:v>
      </x:c>
      <x:c r="D413" s="10" t="n">
        <x:v>2</x:v>
      </x:c>
      <x:c r="E413" s="10" t="str">
        <x:v>Fevereiro</x:v>
      </x:c>
      <x:c r="F413" s="10" t="str">
        <x:v>2025-02</x:v>
      </x:c>
      <x:c r="G413" s="10" t="n">
        <x:v>15</x:v>
      </x:c>
      <x:c r="H413" s="10" t="str">
        <x:v>Sábado</x:v>
      </x:c>
      <x:c r="I413" s="11" t="b">
        <x:v>0</x:v>
      </x:c>
    </x:row>
    <x:row r="414" ht="18" customHeight="1">
      <x:c r="A414" s="16" t="n">
        <x:v>45704</x:v>
      </x:c>
      <x:c r="B414" s="10" t="n">
        <x:v>2025</x:v>
      </x:c>
      <x:c r="C414" s="10" t="n">
        <x:v>1</x:v>
      </x:c>
      <x:c r="D414" s="10" t="n">
        <x:v>2</x:v>
      </x:c>
      <x:c r="E414" s="10" t="str">
        <x:v>Fevereiro</x:v>
      </x:c>
      <x:c r="F414" s="10" t="str">
        <x:v>2025-02</x:v>
      </x:c>
      <x:c r="G414" s="10" t="n">
        <x:v>16</x:v>
      </x:c>
      <x:c r="H414" s="10" t="str">
        <x:v>Domingo</x:v>
      </x:c>
      <x:c r="I414" s="11" t="b">
        <x:v>0</x:v>
      </x:c>
    </x:row>
    <x:row r="415" ht="18" customHeight="1">
      <x:c r="A415" s="16" t="n">
        <x:v>45705</x:v>
      </x:c>
      <x:c r="B415" s="10" t="n">
        <x:v>2025</x:v>
      </x:c>
      <x:c r="C415" s="10" t="n">
        <x:v>1</x:v>
      </x:c>
      <x:c r="D415" s="10" t="n">
        <x:v>2</x:v>
      </x:c>
      <x:c r="E415" s="10" t="str">
        <x:v>Fevereiro</x:v>
      </x:c>
      <x:c r="F415" s="10" t="str">
        <x:v>2025-02</x:v>
      </x:c>
      <x:c r="G415" s="10" t="n">
        <x:v>17</x:v>
      </x:c>
      <x:c r="H415" s="10" t="str">
        <x:v>Segunda-feira</x:v>
      </x:c>
      <x:c r="I415" s="11" t="b">
        <x:v>1</x:v>
      </x:c>
    </x:row>
    <x:row r="416" ht="18" customHeight="1">
      <x:c r="A416" s="16" t="n">
        <x:v>45706</x:v>
      </x:c>
      <x:c r="B416" s="10" t="n">
        <x:v>2025</x:v>
      </x:c>
      <x:c r="C416" s="10" t="n">
        <x:v>1</x:v>
      </x:c>
      <x:c r="D416" s="10" t="n">
        <x:v>2</x:v>
      </x:c>
      <x:c r="E416" s="10" t="str">
        <x:v>Fevereiro</x:v>
      </x:c>
      <x:c r="F416" s="10" t="str">
        <x:v>2025-02</x:v>
      </x:c>
      <x:c r="G416" s="10" t="n">
        <x:v>18</x:v>
      </x:c>
      <x:c r="H416" s="10" t="str">
        <x:v>Terça-feira</x:v>
      </x:c>
      <x:c r="I416" s="11" t="b">
        <x:v>1</x:v>
      </x:c>
    </x:row>
    <x:row r="417" ht="18" customHeight="1">
      <x:c r="A417" s="16" t="n">
        <x:v>45707</x:v>
      </x:c>
      <x:c r="B417" s="10" t="n">
        <x:v>2025</x:v>
      </x:c>
      <x:c r="C417" s="10" t="n">
        <x:v>1</x:v>
      </x:c>
      <x:c r="D417" s="10" t="n">
        <x:v>2</x:v>
      </x:c>
      <x:c r="E417" s="10" t="str">
        <x:v>Fevereiro</x:v>
      </x:c>
      <x:c r="F417" s="10" t="str">
        <x:v>2025-02</x:v>
      </x:c>
      <x:c r="G417" s="10" t="n">
        <x:v>19</x:v>
      </x:c>
      <x:c r="H417" s="10" t="str">
        <x:v>Quarta-feira</x:v>
      </x:c>
      <x:c r="I417" s="11" t="b">
        <x:v>1</x:v>
      </x:c>
    </x:row>
    <x:row r="418" ht="18" customHeight="1">
      <x:c r="A418" s="16" t="n">
        <x:v>45708</x:v>
      </x:c>
      <x:c r="B418" s="10" t="n">
        <x:v>2025</x:v>
      </x:c>
      <x:c r="C418" s="10" t="n">
        <x:v>1</x:v>
      </x:c>
      <x:c r="D418" s="10" t="n">
        <x:v>2</x:v>
      </x:c>
      <x:c r="E418" s="10" t="str">
        <x:v>Fevereiro</x:v>
      </x:c>
      <x:c r="F418" s="10" t="str">
        <x:v>2025-02</x:v>
      </x:c>
      <x:c r="G418" s="10" t="n">
        <x:v>20</x:v>
      </x:c>
      <x:c r="H418" s="10" t="str">
        <x:v>Quinta-feira</x:v>
      </x:c>
      <x:c r="I418" s="11" t="b">
        <x:v>1</x:v>
      </x:c>
    </x:row>
    <x:row r="419" ht="18" customHeight="1">
      <x:c r="A419" s="16" t="n">
        <x:v>45709</x:v>
      </x:c>
      <x:c r="B419" s="10" t="n">
        <x:v>2025</x:v>
      </x:c>
      <x:c r="C419" s="10" t="n">
        <x:v>1</x:v>
      </x:c>
      <x:c r="D419" s="10" t="n">
        <x:v>2</x:v>
      </x:c>
      <x:c r="E419" s="10" t="str">
        <x:v>Fevereiro</x:v>
      </x:c>
      <x:c r="F419" s="10" t="str">
        <x:v>2025-02</x:v>
      </x:c>
      <x:c r="G419" s="10" t="n">
        <x:v>21</x:v>
      </x:c>
      <x:c r="H419" s="10" t="str">
        <x:v>Sexta-feira</x:v>
      </x:c>
      <x:c r="I419" s="11" t="b">
        <x:v>1</x:v>
      </x:c>
    </x:row>
    <x:row r="420" ht="18" customHeight="1">
      <x:c r="A420" s="16" t="n">
        <x:v>45710</x:v>
      </x:c>
      <x:c r="B420" s="10" t="n">
        <x:v>2025</x:v>
      </x:c>
      <x:c r="C420" s="10" t="n">
        <x:v>1</x:v>
      </x:c>
      <x:c r="D420" s="10" t="n">
        <x:v>2</x:v>
      </x:c>
      <x:c r="E420" s="10" t="str">
        <x:v>Fevereiro</x:v>
      </x:c>
      <x:c r="F420" s="10" t="str">
        <x:v>2025-02</x:v>
      </x:c>
      <x:c r="G420" s="10" t="n">
        <x:v>22</x:v>
      </x:c>
      <x:c r="H420" s="10" t="str">
        <x:v>Sábado</x:v>
      </x:c>
      <x:c r="I420" s="11" t="b">
        <x:v>0</x:v>
      </x:c>
    </x:row>
    <x:row r="421" ht="18" customHeight="1">
      <x:c r="A421" s="16" t="n">
        <x:v>45711</x:v>
      </x:c>
      <x:c r="B421" s="10" t="n">
        <x:v>2025</x:v>
      </x:c>
      <x:c r="C421" s="10" t="n">
        <x:v>1</x:v>
      </x:c>
      <x:c r="D421" s="10" t="n">
        <x:v>2</x:v>
      </x:c>
      <x:c r="E421" s="10" t="str">
        <x:v>Fevereiro</x:v>
      </x:c>
      <x:c r="F421" s="10" t="str">
        <x:v>2025-02</x:v>
      </x:c>
      <x:c r="G421" s="10" t="n">
        <x:v>23</x:v>
      </x:c>
      <x:c r="H421" s="10" t="str">
        <x:v>Domingo</x:v>
      </x:c>
      <x:c r="I421" s="11" t="b">
        <x:v>0</x:v>
      </x:c>
    </x:row>
    <x:row r="422" ht="18" customHeight="1">
      <x:c r="A422" s="16" t="n">
        <x:v>45712</x:v>
      </x:c>
      <x:c r="B422" s="10" t="n">
        <x:v>2025</x:v>
      </x:c>
      <x:c r="C422" s="10" t="n">
        <x:v>1</x:v>
      </x:c>
      <x:c r="D422" s="10" t="n">
        <x:v>2</x:v>
      </x:c>
      <x:c r="E422" s="10" t="str">
        <x:v>Fevereiro</x:v>
      </x:c>
      <x:c r="F422" s="10" t="str">
        <x:v>2025-02</x:v>
      </x:c>
      <x:c r="G422" s="10" t="n">
        <x:v>24</x:v>
      </x:c>
      <x:c r="H422" s="10" t="str">
        <x:v>Segunda-feira</x:v>
      </x:c>
      <x:c r="I422" s="11" t="b">
        <x:v>1</x:v>
      </x:c>
    </x:row>
    <x:row r="423" ht="18" customHeight="1">
      <x:c r="A423" s="16" t="n">
        <x:v>45713</x:v>
      </x:c>
      <x:c r="B423" s="10" t="n">
        <x:v>2025</x:v>
      </x:c>
      <x:c r="C423" s="10" t="n">
        <x:v>1</x:v>
      </x:c>
      <x:c r="D423" s="10" t="n">
        <x:v>2</x:v>
      </x:c>
      <x:c r="E423" s="10" t="str">
        <x:v>Fevereiro</x:v>
      </x:c>
      <x:c r="F423" s="10" t="str">
        <x:v>2025-02</x:v>
      </x:c>
      <x:c r="G423" s="10" t="n">
        <x:v>25</x:v>
      </x:c>
      <x:c r="H423" s="10" t="str">
        <x:v>Terça-feira</x:v>
      </x:c>
      <x:c r="I423" s="11" t="b">
        <x:v>1</x:v>
      </x:c>
    </x:row>
    <x:row r="424" ht="18" customHeight="1">
      <x:c r="A424" s="16" t="n">
        <x:v>45714</x:v>
      </x:c>
      <x:c r="B424" s="10" t="n">
        <x:v>2025</x:v>
      </x:c>
      <x:c r="C424" s="10" t="n">
        <x:v>1</x:v>
      </x:c>
      <x:c r="D424" s="10" t="n">
        <x:v>2</x:v>
      </x:c>
      <x:c r="E424" s="10" t="str">
        <x:v>Fevereiro</x:v>
      </x:c>
      <x:c r="F424" s="10" t="str">
        <x:v>2025-02</x:v>
      </x:c>
      <x:c r="G424" s="10" t="n">
        <x:v>26</x:v>
      </x:c>
      <x:c r="H424" s="10" t="str">
        <x:v>Quarta-feira</x:v>
      </x:c>
      <x:c r="I424" s="11" t="b">
        <x:v>1</x:v>
      </x:c>
    </x:row>
    <x:row r="425" ht="18" customHeight="1">
      <x:c r="A425" s="16" t="n">
        <x:v>45715</x:v>
      </x:c>
      <x:c r="B425" s="10" t="n">
        <x:v>2025</x:v>
      </x:c>
      <x:c r="C425" s="10" t="n">
        <x:v>1</x:v>
      </x:c>
      <x:c r="D425" s="10" t="n">
        <x:v>2</x:v>
      </x:c>
      <x:c r="E425" s="10" t="str">
        <x:v>Fevereiro</x:v>
      </x:c>
      <x:c r="F425" s="10" t="str">
        <x:v>2025-02</x:v>
      </x:c>
      <x:c r="G425" s="10" t="n">
        <x:v>27</x:v>
      </x:c>
      <x:c r="H425" s="10" t="str">
        <x:v>Quinta-feira</x:v>
      </x:c>
      <x:c r="I425" s="11" t="b">
        <x:v>1</x:v>
      </x:c>
    </x:row>
    <x:row r="426" ht="18" customHeight="1">
      <x:c r="A426" s="16" t="n">
        <x:v>45716</x:v>
      </x:c>
      <x:c r="B426" s="10" t="n">
        <x:v>2025</x:v>
      </x:c>
      <x:c r="C426" s="10" t="n">
        <x:v>1</x:v>
      </x:c>
      <x:c r="D426" s="10" t="n">
        <x:v>2</x:v>
      </x:c>
      <x:c r="E426" s="10" t="str">
        <x:v>Fevereiro</x:v>
      </x:c>
      <x:c r="F426" s="10" t="str">
        <x:v>2025-02</x:v>
      </x:c>
      <x:c r="G426" s="10" t="n">
        <x:v>28</x:v>
      </x:c>
      <x:c r="H426" s="10" t="str">
        <x:v>Sexta-feira</x:v>
      </x:c>
      <x:c r="I426" s="11" t="b">
        <x:v>1</x:v>
      </x:c>
    </x:row>
    <x:row r="427" ht="18" customHeight="1">
      <x:c r="A427" s="16" t="n">
        <x:v>45717</x:v>
      </x:c>
      <x:c r="B427" s="10" t="n">
        <x:v>2025</x:v>
      </x:c>
      <x:c r="C427" s="10" t="n">
        <x:v>1</x:v>
      </x:c>
      <x:c r="D427" s="10" t="n">
        <x:v>3</x:v>
      </x:c>
      <x:c r="E427" s="10" t="str">
        <x:v>Março</x:v>
      </x:c>
      <x:c r="F427" s="10" t="str">
        <x:v>2025-03</x:v>
      </x:c>
      <x:c r="G427" s="10" t="n">
        <x:v>1</x:v>
      </x:c>
      <x:c r="H427" s="10" t="str">
        <x:v>Sábado</x:v>
      </x:c>
      <x:c r="I427" s="11" t="b">
        <x:v>0</x:v>
      </x:c>
    </x:row>
    <x:row r="428" ht="18" customHeight="1">
      <x:c r="A428" s="16" t="n">
        <x:v>45718</x:v>
      </x:c>
      <x:c r="B428" s="10" t="n">
        <x:v>2025</x:v>
      </x:c>
      <x:c r="C428" s="10" t="n">
        <x:v>1</x:v>
      </x:c>
      <x:c r="D428" s="10" t="n">
        <x:v>3</x:v>
      </x:c>
      <x:c r="E428" s="10" t="str">
        <x:v>Março</x:v>
      </x:c>
      <x:c r="F428" s="10" t="str">
        <x:v>2025-03</x:v>
      </x:c>
      <x:c r="G428" s="10" t="n">
        <x:v>2</x:v>
      </x:c>
      <x:c r="H428" s="10" t="str">
        <x:v>Domingo</x:v>
      </x:c>
      <x:c r="I428" s="11" t="b">
        <x:v>0</x:v>
      </x:c>
    </x:row>
    <x:row r="429" ht="18" customHeight="1">
      <x:c r="A429" s="16" t="n">
        <x:v>45719</x:v>
      </x:c>
      <x:c r="B429" s="10" t="n">
        <x:v>2025</x:v>
      </x:c>
      <x:c r="C429" s="10" t="n">
        <x:v>1</x:v>
      </x:c>
      <x:c r="D429" s="10" t="n">
        <x:v>3</x:v>
      </x:c>
      <x:c r="E429" s="10" t="str">
        <x:v>Março</x:v>
      </x:c>
      <x:c r="F429" s="10" t="str">
        <x:v>2025-03</x:v>
      </x:c>
      <x:c r="G429" s="10" t="n">
        <x:v>3</x:v>
      </x:c>
      <x:c r="H429" s="10" t="str">
        <x:v>Segunda-feira</x:v>
      </x:c>
      <x:c r="I429" s="11" t="b">
        <x:v>1</x:v>
      </x:c>
    </x:row>
    <x:row r="430" ht="18" customHeight="1">
      <x:c r="A430" s="16" t="n">
        <x:v>45720</x:v>
      </x:c>
      <x:c r="B430" s="10" t="n">
        <x:v>2025</x:v>
      </x:c>
      <x:c r="C430" s="10" t="n">
        <x:v>1</x:v>
      </x:c>
      <x:c r="D430" s="10" t="n">
        <x:v>3</x:v>
      </x:c>
      <x:c r="E430" s="10" t="str">
        <x:v>Março</x:v>
      </x:c>
      <x:c r="F430" s="10" t="str">
        <x:v>2025-03</x:v>
      </x:c>
      <x:c r="G430" s="10" t="n">
        <x:v>4</x:v>
      </x:c>
      <x:c r="H430" s="10" t="str">
        <x:v>Terça-feira</x:v>
      </x:c>
      <x:c r="I430" s="11" t="b">
        <x:v>1</x:v>
      </x:c>
    </x:row>
    <x:row r="431" ht="18" customHeight="1">
      <x:c r="A431" s="16" t="n">
        <x:v>45721</x:v>
      </x:c>
      <x:c r="B431" s="10" t="n">
        <x:v>2025</x:v>
      </x:c>
      <x:c r="C431" s="10" t="n">
        <x:v>1</x:v>
      </x:c>
      <x:c r="D431" s="10" t="n">
        <x:v>3</x:v>
      </x:c>
      <x:c r="E431" s="10" t="str">
        <x:v>Março</x:v>
      </x:c>
      <x:c r="F431" s="10" t="str">
        <x:v>2025-03</x:v>
      </x:c>
      <x:c r="G431" s="10" t="n">
        <x:v>5</x:v>
      </x:c>
      <x:c r="H431" s="10" t="str">
        <x:v>Quarta-feira</x:v>
      </x:c>
      <x:c r="I431" s="11" t="b">
        <x:v>1</x:v>
      </x:c>
    </x:row>
    <x:row r="432" ht="18" customHeight="1">
      <x:c r="A432" s="16" t="n">
        <x:v>45722</x:v>
      </x:c>
      <x:c r="B432" s="10" t="n">
        <x:v>2025</x:v>
      </x:c>
      <x:c r="C432" s="10" t="n">
        <x:v>1</x:v>
      </x:c>
      <x:c r="D432" s="10" t="n">
        <x:v>3</x:v>
      </x:c>
      <x:c r="E432" s="10" t="str">
        <x:v>Março</x:v>
      </x:c>
      <x:c r="F432" s="10" t="str">
        <x:v>2025-03</x:v>
      </x:c>
      <x:c r="G432" s="10" t="n">
        <x:v>6</x:v>
      </x:c>
      <x:c r="H432" s="10" t="str">
        <x:v>Quinta-feira</x:v>
      </x:c>
      <x:c r="I432" s="11" t="b">
        <x:v>1</x:v>
      </x:c>
    </x:row>
    <x:row r="433" ht="18" customHeight="1">
      <x:c r="A433" s="16" t="n">
        <x:v>45723</x:v>
      </x:c>
      <x:c r="B433" s="10" t="n">
        <x:v>2025</x:v>
      </x:c>
      <x:c r="C433" s="10" t="n">
        <x:v>1</x:v>
      </x:c>
      <x:c r="D433" s="10" t="n">
        <x:v>3</x:v>
      </x:c>
      <x:c r="E433" s="10" t="str">
        <x:v>Março</x:v>
      </x:c>
      <x:c r="F433" s="10" t="str">
        <x:v>2025-03</x:v>
      </x:c>
      <x:c r="G433" s="10" t="n">
        <x:v>7</x:v>
      </x:c>
      <x:c r="H433" s="10" t="str">
        <x:v>Sexta-feira</x:v>
      </x:c>
      <x:c r="I433" s="11" t="b">
        <x:v>1</x:v>
      </x:c>
    </x:row>
    <x:row r="434" ht="18" customHeight="1">
      <x:c r="A434" s="16" t="n">
        <x:v>45724</x:v>
      </x:c>
      <x:c r="B434" s="10" t="n">
        <x:v>2025</x:v>
      </x:c>
      <x:c r="C434" s="10" t="n">
        <x:v>1</x:v>
      </x:c>
      <x:c r="D434" s="10" t="n">
        <x:v>3</x:v>
      </x:c>
      <x:c r="E434" s="10" t="str">
        <x:v>Março</x:v>
      </x:c>
      <x:c r="F434" s="10" t="str">
        <x:v>2025-03</x:v>
      </x:c>
      <x:c r="G434" s="10" t="n">
        <x:v>8</x:v>
      </x:c>
      <x:c r="H434" s="10" t="str">
        <x:v>Sábado</x:v>
      </x:c>
      <x:c r="I434" s="11" t="b">
        <x:v>0</x:v>
      </x:c>
    </x:row>
    <x:row r="435" ht="18" customHeight="1">
      <x:c r="A435" s="16" t="n">
        <x:v>45725</x:v>
      </x:c>
      <x:c r="B435" s="10" t="n">
        <x:v>2025</x:v>
      </x:c>
      <x:c r="C435" s="10" t="n">
        <x:v>1</x:v>
      </x:c>
      <x:c r="D435" s="10" t="n">
        <x:v>3</x:v>
      </x:c>
      <x:c r="E435" s="10" t="str">
        <x:v>Março</x:v>
      </x:c>
      <x:c r="F435" s="10" t="str">
        <x:v>2025-03</x:v>
      </x:c>
      <x:c r="G435" s="10" t="n">
        <x:v>9</x:v>
      </x:c>
      <x:c r="H435" s="10" t="str">
        <x:v>Domingo</x:v>
      </x:c>
      <x:c r="I435" s="11" t="b">
        <x:v>0</x:v>
      </x:c>
    </x:row>
    <x:row r="436" ht="18" customHeight="1">
      <x:c r="A436" s="16" t="n">
        <x:v>45726</x:v>
      </x:c>
      <x:c r="B436" s="10" t="n">
        <x:v>2025</x:v>
      </x:c>
      <x:c r="C436" s="10" t="n">
        <x:v>1</x:v>
      </x:c>
      <x:c r="D436" s="10" t="n">
        <x:v>3</x:v>
      </x:c>
      <x:c r="E436" s="10" t="str">
        <x:v>Março</x:v>
      </x:c>
      <x:c r="F436" s="10" t="str">
        <x:v>2025-03</x:v>
      </x:c>
      <x:c r="G436" s="10" t="n">
        <x:v>10</x:v>
      </x:c>
      <x:c r="H436" s="10" t="str">
        <x:v>Segunda-feira</x:v>
      </x:c>
      <x:c r="I436" s="11" t="b">
        <x:v>1</x:v>
      </x:c>
    </x:row>
    <x:row r="437" ht="18" customHeight="1">
      <x:c r="A437" s="16" t="n">
        <x:v>45727</x:v>
      </x:c>
      <x:c r="B437" s="10" t="n">
        <x:v>2025</x:v>
      </x:c>
      <x:c r="C437" s="10" t="n">
        <x:v>1</x:v>
      </x:c>
      <x:c r="D437" s="10" t="n">
        <x:v>3</x:v>
      </x:c>
      <x:c r="E437" s="10" t="str">
        <x:v>Março</x:v>
      </x:c>
      <x:c r="F437" s="10" t="str">
        <x:v>2025-03</x:v>
      </x:c>
      <x:c r="G437" s="10" t="n">
        <x:v>11</x:v>
      </x:c>
      <x:c r="H437" s="10" t="str">
        <x:v>Terça-feira</x:v>
      </x:c>
      <x:c r="I437" s="11" t="b">
        <x:v>1</x:v>
      </x:c>
    </x:row>
    <x:row r="438" ht="18" customHeight="1">
      <x:c r="A438" s="16" t="n">
        <x:v>45728</x:v>
      </x:c>
      <x:c r="B438" s="10" t="n">
        <x:v>2025</x:v>
      </x:c>
      <x:c r="C438" s="10" t="n">
        <x:v>1</x:v>
      </x:c>
      <x:c r="D438" s="10" t="n">
        <x:v>3</x:v>
      </x:c>
      <x:c r="E438" s="10" t="str">
        <x:v>Março</x:v>
      </x:c>
      <x:c r="F438" s="10" t="str">
        <x:v>2025-03</x:v>
      </x:c>
      <x:c r="G438" s="10" t="n">
        <x:v>12</x:v>
      </x:c>
      <x:c r="H438" s="10" t="str">
        <x:v>Quarta-feira</x:v>
      </x:c>
      <x:c r="I438" s="11" t="b">
        <x:v>1</x:v>
      </x:c>
    </x:row>
    <x:row r="439" ht="18" customHeight="1">
      <x:c r="A439" s="16" t="n">
        <x:v>45729</x:v>
      </x:c>
      <x:c r="B439" s="10" t="n">
        <x:v>2025</x:v>
      </x:c>
      <x:c r="C439" s="10" t="n">
        <x:v>1</x:v>
      </x:c>
      <x:c r="D439" s="10" t="n">
        <x:v>3</x:v>
      </x:c>
      <x:c r="E439" s="10" t="str">
        <x:v>Março</x:v>
      </x:c>
      <x:c r="F439" s="10" t="str">
        <x:v>2025-03</x:v>
      </x:c>
      <x:c r="G439" s="10" t="n">
        <x:v>13</x:v>
      </x:c>
      <x:c r="H439" s="10" t="str">
        <x:v>Quinta-feira</x:v>
      </x:c>
      <x:c r="I439" s="11" t="b">
        <x:v>1</x:v>
      </x:c>
    </x:row>
    <x:row r="440" ht="18" customHeight="1">
      <x:c r="A440" s="16" t="n">
        <x:v>45730</x:v>
      </x:c>
      <x:c r="B440" s="10" t="n">
        <x:v>2025</x:v>
      </x:c>
      <x:c r="C440" s="10" t="n">
        <x:v>1</x:v>
      </x:c>
      <x:c r="D440" s="10" t="n">
        <x:v>3</x:v>
      </x:c>
      <x:c r="E440" s="10" t="str">
        <x:v>Março</x:v>
      </x:c>
      <x:c r="F440" s="10" t="str">
        <x:v>2025-03</x:v>
      </x:c>
      <x:c r="G440" s="10" t="n">
        <x:v>14</x:v>
      </x:c>
      <x:c r="H440" s="10" t="str">
        <x:v>Sexta-feira</x:v>
      </x:c>
      <x:c r="I440" s="11" t="b">
        <x:v>1</x:v>
      </x:c>
    </x:row>
    <x:row r="441" ht="18" customHeight="1">
      <x:c r="A441" s="16" t="n">
        <x:v>45731</x:v>
      </x:c>
      <x:c r="B441" s="10" t="n">
        <x:v>2025</x:v>
      </x:c>
      <x:c r="C441" s="10" t="n">
        <x:v>1</x:v>
      </x:c>
      <x:c r="D441" s="10" t="n">
        <x:v>3</x:v>
      </x:c>
      <x:c r="E441" s="10" t="str">
        <x:v>Março</x:v>
      </x:c>
      <x:c r="F441" s="10" t="str">
        <x:v>2025-03</x:v>
      </x:c>
      <x:c r="G441" s="10" t="n">
        <x:v>15</x:v>
      </x:c>
      <x:c r="H441" s="10" t="str">
        <x:v>Sábado</x:v>
      </x:c>
      <x:c r="I441" s="11" t="b">
        <x:v>0</x:v>
      </x:c>
    </x:row>
    <x:row r="442" ht="18" customHeight="1">
      <x:c r="A442" s="16" t="n">
        <x:v>45732</x:v>
      </x:c>
      <x:c r="B442" s="10" t="n">
        <x:v>2025</x:v>
      </x:c>
      <x:c r="C442" s="10" t="n">
        <x:v>1</x:v>
      </x:c>
      <x:c r="D442" s="10" t="n">
        <x:v>3</x:v>
      </x:c>
      <x:c r="E442" s="10" t="str">
        <x:v>Março</x:v>
      </x:c>
      <x:c r="F442" s="10" t="str">
        <x:v>2025-03</x:v>
      </x:c>
      <x:c r="G442" s="10" t="n">
        <x:v>16</x:v>
      </x:c>
      <x:c r="H442" s="10" t="str">
        <x:v>Domingo</x:v>
      </x:c>
      <x:c r="I442" s="11" t="b">
        <x:v>0</x:v>
      </x:c>
    </x:row>
    <x:row r="443" ht="18" customHeight="1">
      <x:c r="A443" s="16" t="n">
        <x:v>45733</x:v>
      </x:c>
      <x:c r="B443" s="10" t="n">
        <x:v>2025</x:v>
      </x:c>
      <x:c r="C443" s="10" t="n">
        <x:v>1</x:v>
      </x:c>
      <x:c r="D443" s="10" t="n">
        <x:v>3</x:v>
      </x:c>
      <x:c r="E443" s="10" t="str">
        <x:v>Março</x:v>
      </x:c>
      <x:c r="F443" s="10" t="str">
        <x:v>2025-03</x:v>
      </x:c>
      <x:c r="G443" s="10" t="n">
        <x:v>17</x:v>
      </x:c>
      <x:c r="H443" s="10" t="str">
        <x:v>Segunda-feira</x:v>
      </x:c>
      <x:c r="I443" s="11" t="b">
        <x:v>1</x:v>
      </x:c>
    </x:row>
    <x:row r="444" ht="18" customHeight="1">
      <x:c r="A444" s="16" t="n">
        <x:v>45734</x:v>
      </x:c>
      <x:c r="B444" s="10" t="n">
        <x:v>2025</x:v>
      </x:c>
      <x:c r="C444" s="10" t="n">
        <x:v>1</x:v>
      </x:c>
      <x:c r="D444" s="10" t="n">
        <x:v>3</x:v>
      </x:c>
      <x:c r="E444" s="10" t="str">
        <x:v>Março</x:v>
      </x:c>
      <x:c r="F444" s="10" t="str">
        <x:v>2025-03</x:v>
      </x:c>
      <x:c r="G444" s="10" t="n">
        <x:v>18</x:v>
      </x:c>
      <x:c r="H444" s="10" t="str">
        <x:v>Terça-feira</x:v>
      </x:c>
      <x:c r="I444" s="11" t="b">
        <x:v>1</x:v>
      </x:c>
    </x:row>
    <x:row r="445" ht="18" customHeight="1">
      <x:c r="A445" s="16" t="n">
        <x:v>45735</x:v>
      </x:c>
      <x:c r="B445" s="10" t="n">
        <x:v>2025</x:v>
      </x:c>
      <x:c r="C445" s="10" t="n">
        <x:v>1</x:v>
      </x:c>
      <x:c r="D445" s="10" t="n">
        <x:v>3</x:v>
      </x:c>
      <x:c r="E445" s="10" t="str">
        <x:v>Março</x:v>
      </x:c>
      <x:c r="F445" s="10" t="str">
        <x:v>2025-03</x:v>
      </x:c>
      <x:c r="G445" s="10" t="n">
        <x:v>19</x:v>
      </x:c>
      <x:c r="H445" s="10" t="str">
        <x:v>Quarta-feira</x:v>
      </x:c>
      <x:c r="I445" s="11" t="b">
        <x:v>1</x:v>
      </x:c>
    </x:row>
    <x:row r="446" ht="18" customHeight="1">
      <x:c r="A446" s="16" t="n">
        <x:v>45736</x:v>
      </x:c>
      <x:c r="B446" s="10" t="n">
        <x:v>2025</x:v>
      </x:c>
      <x:c r="C446" s="10" t="n">
        <x:v>1</x:v>
      </x:c>
      <x:c r="D446" s="10" t="n">
        <x:v>3</x:v>
      </x:c>
      <x:c r="E446" s="10" t="str">
        <x:v>Março</x:v>
      </x:c>
      <x:c r="F446" s="10" t="str">
        <x:v>2025-03</x:v>
      </x:c>
      <x:c r="G446" s="10" t="n">
        <x:v>20</x:v>
      </x:c>
      <x:c r="H446" s="10" t="str">
        <x:v>Quinta-feira</x:v>
      </x:c>
      <x:c r="I446" s="11" t="b">
        <x:v>1</x:v>
      </x:c>
    </x:row>
    <x:row r="447" ht="18" customHeight="1">
      <x:c r="A447" s="16" t="n">
        <x:v>45737</x:v>
      </x:c>
      <x:c r="B447" s="10" t="n">
        <x:v>2025</x:v>
      </x:c>
      <x:c r="C447" s="10" t="n">
        <x:v>1</x:v>
      </x:c>
      <x:c r="D447" s="10" t="n">
        <x:v>3</x:v>
      </x:c>
      <x:c r="E447" s="10" t="str">
        <x:v>Março</x:v>
      </x:c>
      <x:c r="F447" s="10" t="str">
        <x:v>2025-03</x:v>
      </x:c>
      <x:c r="G447" s="10" t="n">
        <x:v>21</x:v>
      </x:c>
      <x:c r="H447" s="10" t="str">
        <x:v>Sexta-feira</x:v>
      </x:c>
      <x:c r="I447" s="11" t="b">
        <x:v>1</x:v>
      </x:c>
    </x:row>
    <x:row r="448" ht="18" customHeight="1">
      <x:c r="A448" s="16" t="n">
        <x:v>45738</x:v>
      </x:c>
      <x:c r="B448" s="10" t="n">
        <x:v>2025</x:v>
      </x:c>
      <x:c r="C448" s="10" t="n">
        <x:v>1</x:v>
      </x:c>
      <x:c r="D448" s="10" t="n">
        <x:v>3</x:v>
      </x:c>
      <x:c r="E448" s="10" t="str">
        <x:v>Março</x:v>
      </x:c>
      <x:c r="F448" s="10" t="str">
        <x:v>2025-03</x:v>
      </x:c>
      <x:c r="G448" s="10" t="n">
        <x:v>22</x:v>
      </x:c>
      <x:c r="H448" s="10" t="str">
        <x:v>Sábado</x:v>
      </x:c>
      <x:c r="I448" s="11" t="b">
        <x:v>0</x:v>
      </x:c>
    </x:row>
    <x:row r="449" ht="18" customHeight="1">
      <x:c r="A449" s="16" t="n">
        <x:v>45739</x:v>
      </x:c>
      <x:c r="B449" s="10" t="n">
        <x:v>2025</x:v>
      </x:c>
      <x:c r="C449" s="10" t="n">
        <x:v>1</x:v>
      </x:c>
      <x:c r="D449" s="10" t="n">
        <x:v>3</x:v>
      </x:c>
      <x:c r="E449" s="10" t="str">
        <x:v>Março</x:v>
      </x:c>
      <x:c r="F449" s="10" t="str">
        <x:v>2025-03</x:v>
      </x:c>
      <x:c r="G449" s="10" t="n">
        <x:v>23</x:v>
      </x:c>
      <x:c r="H449" s="10" t="str">
        <x:v>Domingo</x:v>
      </x:c>
      <x:c r="I449" s="11" t="b">
        <x:v>0</x:v>
      </x:c>
    </x:row>
    <x:row r="450" ht="18" customHeight="1">
      <x:c r="A450" s="16" t="n">
        <x:v>45740</x:v>
      </x:c>
      <x:c r="B450" s="10" t="n">
        <x:v>2025</x:v>
      </x:c>
      <x:c r="C450" s="10" t="n">
        <x:v>1</x:v>
      </x:c>
      <x:c r="D450" s="10" t="n">
        <x:v>3</x:v>
      </x:c>
      <x:c r="E450" s="10" t="str">
        <x:v>Março</x:v>
      </x:c>
      <x:c r="F450" s="10" t="str">
        <x:v>2025-03</x:v>
      </x:c>
      <x:c r="G450" s="10" t="n">
        <x:v>24</x:v>
      </x:c>
      <x:c r="H450" s="10" t="str">
        <x:v>Segunda-feira</x:v>
      </x:c>
      <x:c r="I450" s="11" t="b">
        <x:v>1</x:v>
      </x:c>
    </x:row>
    <x:row r="451" ht="18" customHeight="1">
      <x:c r="A451" s="16" t="n">
        <x:v>45741</x:v>
      </x:c>
      <x:c r="B451" s="10" t="n">
        <x:v>2025</x:v>
      </x:c>
      <x:c r="C451" s="10" t="n">
        <x:v>1</x:v>
      </x:c>
      <x:c r="D451" s="10" t="n">
        <x:v>3</x:v>
      </x:c>
      <x:c r="E451" s="10" t="str">
        <x:v>Março</x:v>
      </x:c>
      <x:c r="F451" s="10" t="str">
        <x:v>2025-03</x:v>
      </x:c>
      <x:c r="G451" s="10" t="n">
        <x:v>25</x:v>
      </x:c>
      <x:c r="H451" s="10" t="str">
        <x:v>Terça-feira</x:v>
      </x:c>
      <x:c r="I451" s="11" t="b">
        <x:v>1</x:v>
      </x:c>
    </x:row>
    <x:row r="452" ht="18" customHeight="1">
      <x:c r="A452" s="16" t="n">
        <x:v>45742</x:v>
      </x:c>
      <x:c r="B452" s="10" t="n">
        <x:v>2025</x:v>
      </x:c>
      <x:c r="C452" s="10" t="n">
        <x:v>1</x:v>
      </x:c>
      <x:c r="D452" s="10" t="n">
        <x:v>3</x:v>
      </x:c>
      <x:c r="E452" s="10" t="str">
        <x:v>Março</x:v>
      </x:c>
      <x:c r="F452" s="10" t="str">
        <x:v>2025-03</x:v>
      </x:c>
      <x:c r="G452" s="10" t="n">
        <x:v>26</x:v>
      </x:c>
      <x:c r="H452" s="10" t="str">
        <x:v>Quarta-feira</x:v>
      </x:c>
      <x:c r="I452" s="11" t="b">
        <x:v>1</x:v>
      </x:c>
    </x:row>
    <x:row r="453" ht="18" customHeight="1">
      <x:c r="A453" s="16" t="n">
        <x:v>45743</x:v>
      </x:c>
      <x:c r="B453" s="10" t="n">
        <x:v>2025</x:v>
      </x:c>
      <x:c r="C453" s="10" t="n">
        <x:v>1</x:v>
      </x:c>
      <x:c r="D453" s="10" t="n">
        <x:v>3</x:v>
      </x:c>
      <x:c r="E453" s="10" t="str">
        <x:v>Março</x:v>
      </x:c>
      <x:c r="F453" s="10" t="str">
        <x:v>2025-03</x:v>
      </x:c>
      <x:c r="G453" s="10" t="n">
        <x:v>27</x:v>
      </x:c>
      <x:c r="H453" s="10" t="str">
        <x:v>Quinta-feira</x:v>
      </x:c>
      <x:c r="I453" s="11" t="b">
        <x:v>1</x:v>
      </x:c>
    </x:row>
    <x:row r="454" ht="18" customHeight="1">
      <x:c r="A454" s="16" t="n">
        <x:v>45744</x:v>
      </x:c>
      <x:c r="B454" s="10" t="n">
        <x:v>2025</x:v>
      </x:c>
      <x:c r="C454" s="10" t="n">
        <x:v>1</x:v>
      </x:c>
      <x:c r="D454" s="10" t="n">
        <x:v>3</x:v>
      </x:c>
      <x:c r="E454" s="10" t="str">
        <x:v>Março</x:v>
      </x:c>
      <x:c r="F454" s="10" t="str">
        <x:v>2025-03</x:v>
      </x:c>
      <x:c r="G454" s="10" t="n">
        <x:v>28</x:v>
      </x:c>
      <x:c r="H454" s="10" t="str">
        <x:v>Sexta-feira</x:v>
      </x:c>
      <x:c r="I454" s="11" t="b">
        <x:v>1</x:v>
      </x:c>
    </x:row>
    <x:row r="455" ht="18" customHeight="1">
      <x:c r="A455" s="16" t="n">
        <x:v>45745</x:v>
      </x:c>
      <x:c r="B455" s="10" t="n">
        <x:v>2025</x:v>
      </x:c>
      <x:c r="C455" s="10" t="n">
        <x:v>1</x:v>
      </x:c>
      <x:c r="D455" s="10" t="n">
        <x:v>3</x:v>
      </x:c>
      <x:c r="E455" s="10" t="str">
        <x:v>Março</x:v>
      </x:c>
      <x:c r="F455" s="10" t="str">
        <x:v>2025-03</x:v>
      </x:c>
      <x:c r="G455" s="10" t="n">
        <x:v>29</x:v>
      </x:c>
      <x:c r="H455" s="10" t="str">
        <x:v>Sábado</x:v>
      </x:c>
      <x:c r="I455" s="11" t="b">
        <x:v>0</x:v>
      </x:c>
    </x:row>
    <x:row r="456" ht="18" customHeight="1">
      <x:c r="A456" s="16" t="n">
        <x:v>45746</x:v>
      </x:c>
      <x:c r="B456" s="10" t="n">
        <x:v>2025</x:v>
      </x:c>
      <x:c r="C456" s="10" t="n">
        <x:v>1</x:v>
      </x:c>
      <x:c r="D456" s="10" t="n">
        <x:v>3</x:v>
      </x:c>
      <x:c r="E456" s="10" t="str">
        <x:v>Março</x:v>
      </x:c>
      <x:c r="F456" s="10" t="str">
        <x:v>2025-03</x:v>
      </x:c>
      <x:c r="G456" s="10" t="n">
        <x:v>30</x:v>
      </x:c>
      <x:c r="H456" s="10" t="str">
        <x:v>Domingo</x:v>
      </x:c>
      <x:c r="I456" s="11" t="b">
        <x:v>0</x:v>
      </x:c>
    </x:row>
    <x:row r="457" ht="18" customHeight="1">
      <x:c r="A457" s="16" t="n">
        <x:v>45747</x:v>
      </x:c>
      <x:c r="B457" s="10" t="n">
        <x:v>2025</x:v>
      </x:c>
      <x:c r="C457" s="10" t="n">
        <x:v>1</x:v>
      </x:c>
      <x:c r="D457" s="10" t="n">
        <x:v>3</x:v>
      </x:c>
      <x:c r="E457" s="10" t="str">
        <x:v>Março</x:v>
      </x:c>
      <x:c r="F457" s="10" t="str">
        <x:v>2025-03</x:v>
      </x:c>
      <x:c r="G457" s="10" t="n">
        <x:v>31</x:v>
      </x:c>
      <x:c r="H457" s="10" t="str">
        <x:v>Segunda-feira</x:v>
      </x:c>
      <x:c r="I457" s="11" t="b">
        <x:v>1</x:v>
      </x:c>
    </x:row>
    <x:row r="458" ht="18" customHeight="1">
      <x:c r="A458" s="16" t="n">
        <x:v>45748</x:v>
      </x:c>
      <x:c r="B458" s="10" t="n">
        <x:v>2025</x:v>
      </x:c>
      <x:c r="C458" s="10" t="n">
        <x:v>2</x:v>
      </x:c>
      <x:c r="D458" s="10" t="n">
        <x:v>4</x:v>
      </x:c>
      <x:c r="E458" s="10" t="str">
        <x:v>Abril</x:v>
      </x:c>
      <x:c r="F458" s="10" t="str">
        <x:v>2025-04</x:v>
      </x:c>
      <x:c r="G458" s="10" t="n">
        <x:v>1</x:v>
      </x:c>
      <x:c r="H458" s="10" t="str">
        <x:v>Terça-feira</x:v>
      </x:c>
      <x:c r="I458" s="11" t="b">
        <x:v>1</x:v>
      </x:c>
    </x:row>
    <x:row r="459" ht="18" customHeight="1">
      <x:c r="A459" s="16" t="n">
        <x:v>45749</x:v>
      </x:c>
      <x:c r="B459" s="10" t="n">
        <x:v>2025</x:v>
      </x:c>
      <x:c r="C459" s="10" t="n">
        <x:v>2</x:v>
      </x:c>
      <x:c r="D459" s="10" t="n">
        <x:v>4</x:v>
      </x:c>
      <x:c r="E459" s="10" t="str">
        <x:v>Abril</x:v>
      </x:c>
      <x:c r="F459" s="10" t="str">
        <x:v>2025-04</x:v>
      </x:c>
      <x:c r="G459" s="10" t="n">
        <x:v>2</x:v>
      </x:c>
      <x:c r="H459" s="10" t="str">
        <x:v>Quarta-feira</x:v>
      </x:c>
      <x:c r="I459" s="11" t="b">
        <x:v>1</x:v>
      </x:c>
    </x:row>
    <x:row r="460" ht="18" customHeight="1">
      <x:c r="A460" s="16" t="n">
        <x:v>45750</x:v>
      </x:c>
      <x:c r="B460" s="10" t="n">
        <x:v>2025</x:v>
      </x:c>
      <x:c r="C460" s="10" t="n">
        <x:v>2</x:v>
      </x:c>
      <x:c r="D460" s="10" t="n">
        <x:v>4</x:v>
      </x:c>
      <x:c r="E460" s="10" t="str">
        <x:v>Abril</x:v>
      </x:c>
      <x:c r="F460" s="10" t="str">
        <x:v>2025-04</x:v>
      </x:c>
      <x:c r="G460" s="10" t="n">
        <x:v>3</x:v>
      </x:c>
      <x:c r="H460" s="10" t="str">
        <x:v>Quinta-feira</x:v>
      </x:c>
      <x:c r="I460" s="11" t="b">
        <x:v>1</x:v>
      </x:c>
    </x:row>
    <x:row r="461" ht="18" customHeight="1">
      <x:c r="A461" s="16" t="n">
        <x:v>45751</x:v>
      </x:c>
      <x:c r="B461" s="10" t="n">
        <x:v>2025</x:v>
      </x:c>
      <x:c r="C461" s="10" t="n">
        <x:v>2</x:v>
      </x:c>
      <x:c r="D461" s="10" t="n">
        <x:v>4</x:v>
      </x:c>
      <x:c r="E461" s="10" t="str">
        <x:v>Abril</x:v>
      </x:c>
      <x:c r="F461" s="10" t="str">
        <x:v>2025-04</x:v>
      </x:c>
      <x:c r="G461" s="10" t="n">
        <x:v>4</x:v>
      </x:c>
      <x:c r="H461" s="10" t="str">
        <x:v>Sexta-feira</x:v>
      </x:c>
      <x:c r="I461" s="11" t="b">
        <x:v>1</x:v>
      </x:c>
    </x:row>
    <x:row r="462" ht="18" customHeight="1">
      <x:c r="A462" s="16" t="n">
        <x:v>45752</x:v>
      </x:c>
      <x:c r="B462" s="10" t="n">
        <x:v>2025</x:v>
      </x:c>
      <x:c r="C462" s="10" t="n">
        <x:v>2</x:v>
      </x:c>
      <x:c r="D462" s="10" t="n">
        <x:v>4</x:v>
      </x:c>
      <x:c r="E462" s="10" t="str">
        <x:v>Abril</x:v>
      </x:c>
      <x:c r="F462" s="10" t="str">
        <x:v>2025-04</x:v>
      </x:c>
      <x:c r="G462" s="10" t="n">
        <x:v>5</x:v>
      </x:c>
      <x:c r="H462" s="10" t="str">
        <x:v>Sábado</x:v>
      </x:c>
      <x:c r="I462" s="11" t="b">
        <x:v>0</x:v>
      </x:c>
    </x:row>
    <x:row r="463" ht="18" customHeight="1">
      <x:c r="A463" s="16" t="n">
        <x:v>45753</x:v>
      </x:c>
      <x:c r="B463" s="10" t="n">
        <x:v>2025</x:v>
      </x:c>
      <x:c r="C463" s="10" t="n">
        <x:v>2</x:v>
      </x:c>
      <x:c r="D463" s="10" t="n">
        <x:v>4</x:v>
      </x:c>
      <x:c r="E463" s="10" t="str">
        <x:v>Abril</x:v>
      </x:c>
      <x:c r="F463" s="10" t="str">
        <x:v>2025-04</x:v>
      </x:c>
      <x:c r="G463" s="10" t="n">
        <x:v>6</x:v>
      </x:c>
      <x:c r="H463" s="10" t="str">
        <x:v>Domingo</x:v>
      </x:c>
      <x:c r="I463" s="11" t="b">
        <x:v>0</x:v>
      </x:c>
    </x:row>
    <x:row r="464" ht="18" customHeight="1">
      <x:c r="A464" s="16" t="n">
        <x:v>45754</x:v>
      </x:c>
      <x:c r="B464" s="10" t="n">
        <x:v>2025</x:v>
      </x:c>
      <x:c r="C464" s="10" t="n">
        <x:v>2</x:v>
      </x:c>
      <x:c r="D464" s="10" t="n">
        <x:v>4</x:v>
      </x:c>
      <x:c r="E464" s="10" t="str">
        <x:v>Abril</x:v>
      </x:c>
      <x:c r="F464" s="10" t="str">
        <x:v>2025-04</x:v>
      </x:c>
      <x:c r="G464" s="10" t="n">
        <x:v>7</x:v>
      </x:c>
      <x:c r="H464" s="10" t="str">
        <x:v>Segunda-feira</x:v>
      </x:c>
      <x:c r="I464" s="11" t="b">
        <x:v>1</x:v>
      </x:c>
    </x:row>
    <x:row r="465" ht="18" customHeight="1">
      <x:c r="A465" s="16" t="n">
        <x:v>45755</x:v>
      </x:c>
      <x:c r="B465" s="10" t="n">
        <x:v>2025</x:v>
      </x:c>
      <x:c r="C465" s="10" t="n">
        <x:v>2</x:v>
      </x:c>
      <x:c r="D465" s="10" t="n">
        <x:v>4</x:v>
      </x:c>
      <x:c r="E465" s="10" t="str">
        <x:v>Abril</x:v>
      </x:c>
      <x:c r="F465" s="10" t="str">
        <x:v>2025-04</x:v>
      </x:c>
      <x:c r="G465" s="10" t="n">
        <x:v>8</x:v>
      </x:c>
      <x:c r="H465" s="10" t="str">
        <x:v>Terça-feira</x:v>
      </x:c>
      <x:c r="I465" s="11" t="b">
        <x:v>1</x:v>
      </x:c>
    </x:row>
    <x:row r="466" ht="18" customHeight="1">
      <x:c r="A466" s="16" t="n">
        <x:v>45756</x:v>
      </x:c>
      <x:c r="B466" s="10" t="n">
        <x:v>2025</x:v>
      </x:c>
      <x:c r="C466" s="10" t="n">
        <x:v>2</x:v>
      </x:c>
      <x:c r="D466" s="10" t="n">
        <x:v>4</x:v>
      </x:c>
      <x:c r="E466" s="10" t="str">
        <x:v>Abril</x:v>
      </x:c>
      <x:c r="F466" s="10" t="str">
        <x:v>2025-04</x:v>
      </x:c>
      <x:c r="G466" s="10" t="n">
        <x:v>9</x:v>
      </x:c>
      <x:c r="H466" s="10" t="str">
        <x:v>Quarta-feira</x:v>
      </x:c>
      <x:c r="I466" s="11" t="b">
        <x:v>1</x:v>
      </x:c>
    </x:row>
    <x:row r="467" ht="18" customHeight="1">
      <x:c r="A467" s="16" t="n">
        <x:v>45757</x:v>
      </x:c>
      <x:c r="B467" s="10" t="n">
        <x:v>2025</x:v>
      </x:c>
      <x:c r="C467" s="10" t="n">
        <x:v>2</x:v>
      </x:c>
      <x:c r="D467" s="10" t="n">
        <x:v>4</x:v>
      </x:c>
      <x:c r="E467" s="10" t="str">
        <x:v>Abril</x:v>
      </x:c>
      <x:c r="F467" s="10" t="str">
        <x:v>2025-04</x:v>
      </x:c>
      <x:c r="G467" s="10" t="n">
        <x:v>10</x:v>
      </x:c>
      <x:c r="H467" s="10" t="str">
        <x:v>Quinta-feira</x:v>
      </x:c>
      <x:c r="I467" s="11" t="b">
        <x:v>1</x:v>
      </x:c>
    </x:row>
    <x:row r="468" ht="18" customHeight="1">
      <x:c r="A468" s="16" t="n">
        <x:v>45758</x:v>
      </x:c>
      <x:c r="B468" s="10" t="n">
        <x:v>2025</x:v>
      </x:c>
      <x:c r="C468" s="10" t="n">
        <x:v>2</x:v>
      </x:c>
      <x:c r="D468" s="10" t="n">
        <x:v>4</x:v>
      </x:c>
      <x:c r="E468" s="10" t="str">
        <x:v>Abril</x:v>
      </x:c>
      <x:c r="F468" s="10" t="str">
        <x:v>2025-04</x:v>
      </x:c>
      <x:c r="G468" s="10" t="n">
        <x:v>11</x:v>
      </x:c>
      <x:c r="H468" s="10" t="str">
        <x:v>Sexta-feira</x:v>
      </x:c>
      <x:c r="I468" s="11" t="b">
        <x:v>1</x:v>
      </x:c>
    </x:row>
    <x:row r="469" ht="18" customHeight="1">
      <x:c r="A469" s="16" t="n">
        <x:v>45759</x:v>
      </x:c>
      <x:c r="B469" s="10" t="n">
        <x:v>2025</x:v>
      </x:c>
      <x:c r="C469" s="10" t="n">
        <x:v>2</x:v>
      </x:c>
      <x:c r="D469" s="10" t="n">
        <x:v>4</x:v>
      </x:c>
      <x:c r="E469" s="10" t="str">
        <x:v>Abril</x:v>
      </x:c>
      <x:c r="F469" s="10" t="str">
        <x:v>2025-04</x:v>
      </x:c>
      <x:c r="G469" s="10" t="n">
        <x:v>12</x:v>
      </x:c>
      <x:c r="H469" s="10" t="str">
        <x:v>Sábado</x:v>
      </x:c>
      <x:c r="I469" s="11" t="b">
        <x:v>0</x:v>
      </x:c>
    </x:row>
    <x:row r="470" ht="18" customHeight="1">
      <x:c r="A470" s="16" t="n">
        <x:v>45760</x:v>
      </x:c>
      <x:c r="B470" s="10" t="n">
        <x:v>2025</x:v>
      </x:c>
      <x:c r="C470" s="10" t="n">
        <x:v>2</x:v>
      </x:c>
      <x:c r="D470" s="10" t="n">
        <x:v>4</x:v>
      </x:c>
      <x:c r="E470" s="10" t="str">
        <x:v>Abril</x:v>
      </x:c>
      <x:c r="F470" s="10" t="str">
        <x:v>2025-04</x:v>
      </x:c>
      <x:c r="G470" s="10" t="n">
        <x:v>13</x:v>
      </x:c>
      <x:c r="H470" s="10" t="str">
        <x:v>Domingo</x:v>
      </x:c>
      <x:c r="I470" s="11" t="b">
        <x:v>0</x:v>
      </x:c>
    </x:row>
    <x:row r="471" ht="18" customHeight="1">
      <x:c r="A471" s="16" t="n">
        <x:v>45761</x:v>
      </x:c>
      <x:c r="B471" s="10" t="n">
        <x:v>2025</x:v>
      </x:c>
      <x:c r="C471" s="10" t="n">
        <x:v>2</x:v>
      </x:c>
      <x:c r="D471" s="10" t="n">
        <x:v>4</x:v>
      </x:c>
      <x:c r="E471" s="10" t="str">
        <x:v>Abril</x:v>
      </x:c>
      <x:c r="F471" s="10" t="str">
        <x:v>2025-04</x:v>
      </x:c>
      <x:c r="G471" s="10" t="n">
        <x:v>14</x:v>
      </x:c>
      <x:c r="H471" s="10" t="str">
        <x:v>Segunda-feira</x:v>
      </x:c>
      <x:c r="I471" s="11" t="b">
        <x:v>1</x:v>
      </x:c>
    </x:row>
    <x:row r="472" ht="18" customHeight="1">
      <x:c r="A472" s="16" t="n">
        <x:v>45762</x:v>
      </x:c>
      <x:c r="B472" s="10" t="n">
        <x:v>2025</x:v>
      </x:c>
      <x:c r="C472" s="10" t="n">
        <x:v>2</x:v>
      </x:c>
      <x:c r="D472" s="10" t="n">
        <x:v>4</x:v>
      </x:c>
      <x:c r="E472" s="10" t="str">
        <x:v>Abril</x:v>
      </x:c>
      <x:c r="F472" s="10" t="str">
        <x:v>2025-04</x:v>
      </x:c>
      <x:c r="G472" s="10" t="n">
        <x:v>15</x:v>
      </x:c>
      <x:c r="H472" s="10" t="str">
        <x:v>Terça-feira</x:v>
      </x:c>
      <x:c r="I472" s="11" t="b">
        <x:v>1</x:v>
      </x:c>
    </x:row>
    <x:row r="473" ht="18" customHeight="1">
      <x:c r="A473" s="16" t="n">
        <x:v>45763</x:v>
      </x:c>
      <x:c r="B473" s="10" t="n">
        <x:v>2025</x:v>
      </x:c>
      <x:c r="C473" s="10" t="n">
        <x:v>2</x:v>
      </x:c>
      <x:c r="D473" s="10" t="n">
        <x:v>4</x:v>
      </x:c>
      <x:c r="E473" s="10" t="str">
        <x:v>Abril</x:v>
      </x:c>
      <x:c r="F473" s="10" t="str">
        <x:v>2025-04</x:v>
      </x:c>
      <x:c r="G473" s="10" t="n">
        <x:v>16</x:v>
      </x:c>
      <x:c r="H473" s="10" t="str">
        <x:v>Quarta-feira</x:v>
      </x:c>
      <x:c r="I473" s="11" t="b">
        <x:v>1</x:v>
      </x:c>
    </x:row>
    <x:row r="474" ht="18" customHeight="1">
      <x:c r="A474" s="16" t="n">
        <x:v>45764</x:v>
      </x:c>
      <x:c r="B474" s="10" t="n">
        <x:v>2025</x:v>
      </x:c>
      <x:c r="C474" s="10" t="n">
        <x:v>2</x:v>
      </x:c>
      <x:c r="D474" s="10" t="n">
        <x:v>4</x:v>
      </x:c>
      <x:c r="E474" s="10" t="str">
        <x:v>Abril</x:v>
      </x:c>
      <x:c r="F474" s="10" t="str">
        <x:v>2025-04</x:v>
      </x:c>
      <x:c r="G474" s="10" t="n">
        <x:v>17</x:v>
      </x:c>
      <x:c r="H474" s="10" t="str">
        <x:v>Quinta-feira</x:v>
      </x:c>
      <x:c r="I474" s="11" t="b">
        <x:v>1</x:v>
      </x:c>
    </x:row>
    <x:row r="475" ht="18" customHeight="1">
      <x:c r="A475" s="16" t="n">
        <x:v>45765</x:v>
      </x:c>
      <x:c r="B475" s="10" t="n">
        <x:v>2025</x:v>
      </x:c>
      <x:c r="C475" s="10" t="n">
        <x:v>2</x:v>
      </x:c>
      <x:c r="D475" s="10" t="n">
        <x:v>4</x:v>
      </x:c>
      <x:c r="E475" s="10" t="str">
        <x:v>Abril</x:v>
      </x:c>
      <x:c r="F475" s="10" t="str">
        <x:v>2025-04</x:v>
      </x:c>
      <x:c r="G475" s="10" t="n">
        <x:v>18</x:v>
      </x:c>
      <x:c r="H475" s="10" t="str">
        <x:v>Sexta-feira</x:v>
      </x:c>
      <x:c r="I475" s="11" t="b">
        <x:v>1</x:v>
      </x:c>
    </x:row>
    <x:row r="476" ht="18" customHeight="1">
      <x:c r="A476" s="16" t="n">
        <x:v>45766</x:v>
      </x:c>
      <x:c r="B476" s="10" t="n">
        <x:v>2025</x:v>
      </x:c>
      <x:c r="C476" s="10" t="n">
        <x:v>2</x:v>
      </x:c>
      <x:c r="D476" s="10" t="n">
        <x:v>4</x:v>
      </x:c>
      <x:c r="E476" s="10" t="str">
        <x:v>Abril</x:v>
      </x:c>
      <x:c r="F476" s="10" t="str">
        <x:v>2025-04</x:v>
      </x:c>
      <x:c r="G476" s="10" t="n">
        <x:v>19</x:v>
      </x:c>
      <x:c r="H476" s="10" t="str">
        <x:v>Sábado</x:v>
      </x:c>
      <x:c r="I476" s="11" t="b">
        <x:v>0</x:v>
      </x:c>
    </x:row>
    <x:row r="477" ht="18" customHeight="1">
      <x:c r="A477" s="16" t="n">
        <x:v>45767</x:v>
      </x:c>
      <x:c r="B477" s="10" t="n">
        <x:v>2025</x:v>
      </x:c>
      <x:c r="C477" s="10" t="n">
        <x:v>2</x:v>
      </x:c>
      <x:c r="D477" s="10" t="n">
        <x:v>4</x:v>
      </x:c>
      <x:c r="E477" s="10" t="str">
        <x:v>Abril</x:v>
      </x:c>
      <x:c r="F477" s="10" t="str">
        <x:v>2025-04</x:v>
      </x:c>
      <x:c r="G477" s="10" t="n">
        <x:v>20</x:v>
      </x:c>
      <x:c r="H477" s="10" t="str">
        <x:v>Domingo</x:v>
      </x:c>
      <x:c r="I477" s="11" t="b">
        <x:v>0</x:v>
      </x:c>
    </x:row>
    <x:row r="478" ht="18" customHeight="1">
      <x:c r="A478" s="16" t="n">
        <x:v>45768</x:v>
      </x:c>
      <x:c r="B478" s="10" t="n">
        <x:v>2025</x:v>
      </x:c>
      <x:c r="C478" s="10" t="n">
        <x:v>2</x:v>
      </x:c>
      <x:c r="D478" s="10" t="n">
        <x:v>4</x:v>
      </x:c>
      <x:c r="E478" s="10" t="str">
        <x:v>Abril</x:v>
      </x:c>
      <x:c r="F478" s="10" t="str">
        <x:v>2025-04</x:v>
      </x:c>
      <x:c r="G478" s="10" t="n">
        <x:v>21</x:v>
      </x:c>
      <x:c r="H478" s="10" t="str">
        <x:v>Segunda-feira</x:v>
      </x:c>
      <x:c r="I478" s="11" t="b">
        <x:v>1</x:v>
      </x:c>
    </x:row>
    <x:row r="479" ht="18" customHeight="1">
      <x:c r="A479" s="16" t="n">
        <x:v>45769</x:v>
      </x:c>
      <x:c r="B479" s="10" t="n">
        <x:v>2025</x:v>
      </x:c>
      <x:c r="C479" s="10" t="n">
        <x:v>2</x:v>
      </x:c>
      <x:c r="D479" s="10" t="n">
        <x:v>4</x:v>
      </x:c>
      <x:c r="E479" s="10" t="str">
        <x:v>Abril</x:v>
      </x:c>
      <x:c r="F479" s="10" t="str">
        <x:v>2025-04</x:v>
      </x:c>
      <x:c r="G479" s="10" t="n">
        <x:v>22</x:v>
      </x:c>
      <x:c r="H479" s="10" t="str">
        <x:v>Terça-feira</x:v>
      </x:c>
      <x:c r="I479" s="11" t="b">
        <x:v>1</x:v>
      </x:c>
    </x:row>
    <x:row r="480" ht="18" customHeight="1">
      <x:c r="A480" s="16" t="n">
        <x:v>45770</x:v>
      </x:c>
      <x:c r="B480" s="10" t="n">
        <x:v>2025</x:v>
      </x:c>
      <x:c r="C480" s="10" t="n">
        <x:v>2</x:v>
      </x:c>
      <x:c r="D480" s="10" t="n">
        <x:v>4</x:v>
      </x:c>
      <x:c r="E480" s="10" t="str">
        <x:v>Abril</x:v>
      </x:c>
      <x:c r="F480" s="10" t="str">
        <x:v>2025-04</x:v>
      </x:c>
      <x:c r="G480" s="10" t="n">
        <x:v>23</x:v>
      </x:c>
      <x:c r="H480" s="10" t="str">
        <x:v>Quarta-feira</x:v>
      </x:c>
      <x:c r="I480" s="11" t="b">
        <x:v>1</x:v>
      </x:c>
    </x:row>
    <x:row r="481" ht="18" customHeight="1">
      <x:c r="A481" s="16" t="n">
        <x:v>45771</x:v>
      </x:c>
      <x:c r="B481" s="10" t="n">
        <x:v>2025</x:v>
      </x:c>
      <x:c r="C481" s="10" t="n">
        <x:v>2</x:v>
      </x:c>
      <x:c r="D481" s="10" t="n">
        <x:v>4</x:v>
      </x:c>
      <x:c r="E481" s="10" t="str">
        <x:v>Abril</x:v>
      </x:c>
      <x:c r="F481" s="10" t="str">
        <x:v>2025-04</x:v>
      </x:c>
      <x:c r="G481" s="10" t="n">
        <x:v>24</x:v>
      </x:c>
      <x:c r="H481" s="10" t="str">
        <x:v>Quinta-feira</x:v>
      </x:c>
      <x:c r="I481" s="11" t="b">
        <x:v>1</x:v>
      </x:c>
    </x:row>
    <x:row r="482" ht="18" customHeight="1">
      <x:c r="A482" s="16" t="n">
        <x:v>45772</x:v>
      </x:c>
      <x:c r="B482" s="10" t="n">
        <x:v>2025</x:v>
      </x:c>
      <x:c r="C482" s="10" t="n">
        <x:v>2</x:v>
      </x:c>
      <x:c r="D482" s="10" t="n">
        <x:v>4</x:v>
      </x:c>
      <x:c r="E482" s="10" t="str">
        <x:v>Abril</x:v>
      </x:c>
      <x:c r="F482" s="10" t="str">
        <x:v>2025-04</x:v>
      </x:c>
      <x:c r="G482" s="10" t="n">
        <x:v>25</x:v>
      </x:c>
      <x:c r="H482" s="10" t="str">
        <x:v>Sexta-feira</x:v>
      </x:c>
      <x:c r="I482" s="11" t="b">
        <x:v>1</x:v>
      </x:c>
    </x:row>
    <x:row r="483" ht="18" customHeight="1">
      <x:c r="A483" s="16" t="n">
        <x:v>45773</x:v>
      </x:c>
      <x:c r="B483" s="10" t="n">
        <x:v>2025</x:v>
      </x:c>
      <x:c r="C483" s="10" t="n">
        <x:v>2</x:v>
      </x:c>
      <x:c r="D483" s="10" t="n">
        <x:v>4</x:v>
      </x:c>
      <x:c r="E483" s="10" t="str">
        <x:v>Abril</x:v>
      </x:c>
      <x:c r="F483" s="10" t="str">
        <x:v>2025-04</x:v>
      </x:c>
      <x:c r="G483" s="10" t="n">
        <x:v>26</x:v>
      </x:c>
      <x:c r="H483" s="10" t="str">
        <x:v>Sábado</x:v>
      </x:c>
      <x:c r="I483" s="11" t="b">
        <x:v>0</x:v>
      </x:c>
    </x:row>
    <x:row r="484" ht="18" customHeight="1">
      <x:c r="A484" s="16" t="n">
        <x:v>45774</x:v>
      </x:c>
      <x:c r="B484" s="10" t="n">
        <x:v>2025</x:v>
      </x:c>
      <x:c r="C484" s="10" t="n">
        <x:v>2</x:v>
      </x:c>
      <x:c r="D484" s="10" t="n">
        <x:v>4</x:v>
      </x:c>
      <x:c r="E484" s="10" t="str">
        <x:v>Abril</x:v>
      </x:c>
      <x:c r="F484" s="10" t="str">
        <x:v>2025-04</x:v>
      </x:c>
      <x:c r="G484" s="10" t="n">
        <x:v>27</x:v>
      </x:c>
      <x:c r="H484" s="10" t="str">
        <x:v>Domingo</x:v>
      </x:c>
      <x:c r="I484" s="11" t="b">
        <x:v>0</x:v>
      </x:c>
    </x:row>
    <x:row r="485" ht="18" customHeight="1">
      <x:c r="A485" s="16" t="n">
        <x:v>45775</x:v>
      </x:c>
      <x:c r="B485" s="10" t="n">
        <x:v>2025</x:v>
      </x:c>
      <x:c r="C485" s="10" t="n">
        <x:v>2</x:v>
      </x:c>
      <x:c r="D485" s="10" t="n">
        <x:v>4</x:v>
      </x:c>
      <x:c r="E485" s="10" t="str">
        <x:v>Abril</x:v>
      </x:c>
      <x:c r="F485" s="10" t="str">
        <x:v>2025-04</x:v>
      </x:c>
      <x:c r="G485" s="10" t="n">
        <x:v>28</x:v>
      </x:c>
      <x:c r="H485" s="10" t="str">
        <x:v>Segunda-feira</x:v>
      </x:c>
      <x:c r="I485" s="11" t="b">
        <x:v>1</x:v>
      </x:c>
    </x:row>
    <x:row r="486" ht="18" customHeight="1">
      <x:c r="A486" s="16" t="n">
        <x:v>45776</x:v>
      </x:c>
      <x:c r="B486" s="10" t="n">
        <x:v>2025</x:v>
      </x:c>
      <x:c r="C486" s="10" t="n">
        <x:v>2</x:v>
      </x:c>
      <x:c r="D486" s="10" t="n">
        <x:v>4</x:v>
      </x:c>
      <x:c r="E486" s="10" t="str">
        <x:v>Abril</x:v>
      </x:c>
      <x:c r="F486" s="10" t="str">
        <x:v>2025-04</x:v>
      </x:c>
      <x:c r="G486" s="10" t="n">
        <x:v>29</x:v>
      </x:c>
      <x:c r="H486" s="10" t="str">
        <x:v>Terça-feira</x:v>
      </x:c>
      <x:c r="I486" s="11" t="b">
        <x:v>1</x:v>
      </x:c>
    </x:row>
    <x:row r="487" ht="18" customHeight="1">
      <x:c r="A487" s="16" t="n">
        <x:v>45777</x:v>
      </x:c>
      <x:c r="B487" s="10" t="n">
        <x:v>2025</x:v>
      </x:c>
      <x:c r="C487" s="10" t="n">
        <x:v>2</x:v>
      </x:c>
      <x:c r="D487" s="10" t="n">
        <x:v>4</x:v>
      </x:c>
      <x:c r="E487" s="10" t="str">
        <x:v>Abril</x:v>
      </x:c>
      <x:c r="F487" s="10" t="str">
        <x:v>2025-04</x:v>
      </x:c>
      <x:c r="G487" s="10" t="n">
        <x:v>30</x:v>
      </x:c>
      <x:c r="H487" s="10" t="str">
        <x:v>Quarta-feira</x:v>
      </x:c>
      <x:c r="I487" s="11" t="b">
        <x:v>1</x:v>
      </x:c>
    </x:row>
    <x:row r="488" ht="18" customHeight="1">
      <x:c r="A488" s="16" t="n">
        <x:v>45778</x:v>
      </x:c>
      <x:c r="B488" s="10" t="n">
        <x:v>2025</x:v>
      </x:c>
      <x:c r="C488" s="10" t="n">
        <x:v>2</x:v>
      </x:c>
      <x:c r="D488" s="10" t="n">
        <x:v>5</x:v>
      </x:c>
      <x:c r="E488" s="10" t="str">
        <x:v>Maio</x:v>
      </x:c>
      <x:c r="F488" s="10" t="str">
        <x:v>2025-05</x:v>
      </x:c>
      <x:c r="G488" s="10" t="n">
        <x:v>1</x:v>
      </x:c>
      <x:c r="H488" s="10" t="str">
        <x:v>Quinta-feira</x:v>
      </x:c>
      <x:c r="I488" s="11" t="b">
        <x:v>1</x:v>
      </x:c>
    </x:row>
    <x:row r="489" ht="18" customHeight="1">
      <x:c r="A489" s="16" t="n">
        <x:v>45779</x:v>
      </x:c>
      <x:c r="B489" s="10" t="n">
        <x:v>2025</x:v>
      </x:c>
      <x:c r="C489" s="10" t="n">
        <x:v>2</x:v>
      </x:c>
      <x:c r="D489" s="10" t="n">
        <x:v>5</x:v>
      </x:c>
      <x:c r="E489" s="10" t="str">
        <x:v>Maio</x:v>
      </x:c>
      <x:c r="F489" s="10" t="str">
        <x:v>2025-05</x:v>
      </x:c>
      <x:c r="G489" s="10" t="n">
        <x:v>2</x:v>
      </x:c>
      <x:c r="H489" s="10" t="str">
        <x:v>Sexta-feira</x:v>
      </x:c>
      <x:c r="I489" s="11" t="b">
        <x:v>1</x:v>
      </x:c>
    </x:row>
    <x:row r="490" ht="18" customHeight="1">
      <x:c r="A490" s="16" t="n">
        <x:v>45780</x:v>
      </x:c>
      <x:c r="B490" s="10" t="n">
        <x:v>2025</x:v>
      </x:c>
      <x:c r="C490" s="10" t="n">
        <x:v>2</x:v>
      </x:c>
      <x:c r="D490" s="10" t="n">
        <x:v>5</x:v>
      </x:c>
      <x:c r="E490" s="10" t="str">
        <x:v>Maio</x:v>
      </x:c>
      <x:c r="F490" s="10" t="str">
        <x:v>2025-05</x:v>
      </x:c>
      <x:c r="G490" s="10" t="n">
        <x:v>3</x:v>
      </x:c>
      <x:c r="H490" s="10" t="str">
        <x:v>Sábado</x:v>
      </x:c>
      <x:c r="I490" s="11" t="b">
        <x:v>0</x:v>
      </x:c>
    </x:row>
    <x:row r="491" ht="18" customHeight="1">
      <x:c r="A491" s="16" t="n">
        <x:v>45781</x:v>
      </x:c>
      <x:c r="B491" s="10" t="n">
        <x:v>2025</x:v>
      </x:c>
      <x:c r="C491" s="10" t="n">
        <x:v>2</x:v>
      </x:c>
      <x:c r="D491" s="10" t="n">
        <x:v>5</x:v>
      </x:c>
      <x:c r="E491" s="10" t="str">
        <x:v>Maio</x:v>
      </x:c>
      <x:c r="F491" s="10" t="str">
        <x:v>2025-05</x:v>
      </x:c>
      <x:c r="G491" s="10" t="n">
        <x:v>4</x:v>
      </x:c>
      <x:c r="H491" s="10" t="str">
        <x:v>Domingo</x:v>
      </x:c>
      <x:c r="I491" s="11" t="b">
        <x:v>0</x:v>
      </x:c>
    </x:row>
    <x:row r="492" ht="18" customHeight="1">
      <x:c r="A492" s="16" t="n">
        <x:v>45782</x:v>
      </x:c>
      <x:c r="B492" s="10" t="n">
        <x:v>2025</x:v>
      </x:c>
      <x:c r="C492" s="10" t="n">
        <x:v>2</x:v>
      </x:c>
      <x:c r="D492" s="10" t="n">
        <x:v>5</x:v>
      </x:c>
      <x:c r="E492" s="10" t="str">
        <x:v>Maio</x:v>
      </x:c>
      <x:c r="F492" s="10" t="str">
        <x:v>2025-05</x:v>
      </x:c>
      <x:c r="G492" s="10" t="n">
        <x:v>5</x:v>
      </x:c>
      <x:c r="H492" s="10" t="str">
        <x:v>Segunda-feira</x:v>
      </x:c>
      <x:c r="I492" s="11" t="b">
        <x:v>1</x:v>
      </x:c>
    </x:row>
    <x:row r="493" ht="18" customHeight="1">
      <x:c r="A493" s="16" t="n">
        <x:v>45783</x:v>
      </x:c>
      <x:c r="B493" s="10" t="n">
        <x:v>2025</x:v>
      </x:c>
      <x:c r="C493" s="10" t="n">
        <x:v>2</x:v>
      </x:c>
      <x:c r="D493" s="10" t="n">
        <x:v>5</x:v>
      </x:c>
      <x:c r="E493" s="10" t="str">
        <x:v>Maio</x:v>
      </x:c>
      <x:c r="F493" s="10" t="str">
        <x:v>2025-05</x:v>
      </x:c>
      <x:c r="G493" s="10" t="n">
        <x:v>6</x:v>
      </x:c>
      <x:c r="H493" s="10" t="str">
        <x:v>Terça-feira</x:v>
      </x:c>
      <x:c r="I493" s="11" t="b">
        <x:v>1</x:v>
      </x:c>
    </x:row>
    <x:row r="494" ht="18" customHeight="1">
      <x:c r="A494" s="16" t="n">
        <x:v>45784</x:v>
      </x:c>
      <x:c r="B494" s="10" t="n">
        <x:v>2025</x:v>
      </x:c>
      <x:c r="C494" s="10" t="n">
        <x:v>2</x:v>
      </x:c>
      <x:c r="D494" s="10" t="n">
        <x:v>5</x:v>
      </x:c>
      <x:c r="E494" s="10" t="str">
        <x:v>Maio</x:v>
      </x:c>
      <x:c r="F494" s="10" t="str">
        <x:v>2025-05</x:v>
      </x:c>
      <x:c r="G494" s="10" t="n">
        <x:v>7</x:v>
      </x:c>
      <x:c r="H494" s="10" t="str">
        <x:v>Quarta-feira</x:v>
      </x:c>
      <x:c r="I494" s="11" t="b">
        <x:v>1</x:v>
      </x:c>
    </x:row>
    <x:row r="495" ht="18" customHeight="1">
      <x:c r="A495" s="16" t="n">
        <x:v>45785</x:v>
      </x:c>
      <x:c r="B495" s="10" t="n">
        <x:v>2025</x:v>
      </x:c>
      <x:c r="C495" s="10" t="n">
        <x:v>2</x:v>
      </x:c>
      <x:c r="D495" s="10" t="n">
        <x:v>5</x:v>
      </x:c>
      <x:c r="E495" s="10" t="str">
        <x:v>Maio</x:v>
      </x:c>
      <x:c r="F495" s="10" t="str">
        <x:v>2025-05</x:v>
      </x:c>
      <x:c r="G495" s="10" t="n">
        <x:v>8</x:v>
      </x:c>
      <x:c r="H495" s="10" t="str">
        <x:v>Quinta-feira</x:v>
      </x:c>
      <x:c r="I495" s="11" t="b">
        <x:v>1</x:v>
      </x:c>
    </x:row>
    <x:row r="496" ht="18" customHeight="1">
      <x:c r="A496" s="16" t="n">
        <x:v>45786</x:v>
      </x:c>
      <x:c r="B496" s="10" t="n">
        <x:v>2025</x:v>
      </x:c>
      <x:c r="C496" s="10" t="n">
        <x:v>2</x:v>
      </x:c>
      <x:c r="D496" s="10" t="n">
        <x:v>5</x:v>
      </x:c>
      <x:c r="E496" s="10" t="str">
        <x:v>Maio</x:v>
      </x:c>
      <x:c r="F496" s="10" t="str">
        <x:v>2025-05</x:v>
      </x:c>
      <x:c r="G496" s="10" t="n">
        <x:v>9</x:v>
      </x:c>
      <x:c r="H496" s="10" t="str">
        <x:v>Sexta-feira</x:v>
      </x:c>
      <x:c r="I496" s="11" t="b">
        <x:v>1</x:v>
      </x:c>
    </x:row>
    <x:row r="497" ht="18" customHeight="1">
      <x:c r="A497" s="16" t="n">
        <x:v>45787</x:v>
      </x:c>
      <x:c r="B497" s="10" t="n">
        <x:v>2025</x:v>
      </x:c>
      <x:c r="C497" s="10" t="n">
        <x:v>2</x:v>
      </x:c>
      <x:c r="D497" s="10" t="n">
        <x:v>5</x:v>
      </x:c>
      <x:c r="E497" s="10" t="str">
        <x:v>Maio</x:v>
      </x:c>
      <x:c r="F497" s="10" t="str">
        <x:v>2025-05</x:v>
      </x:c>
      <x:c r="G497" s="10" t="n">
        <x:v>10</x:v>
      </x:c>
      <x:c r="H497" s="10" t="str">
        <x:v>Sábado</x:v>
      </x:c>
      <x:c r="I497" s="11" t="b">
        <x:v>0</x:v>
      </x:c>
    </x:row>
    <x:row r="498" ht="18" customHeight="1">
      <x:c r="A498" s="16" t="n">
        <x:v>45788</x:v>
      </x:c>
      <x:c r="B498" s="10" t="n">
        <x:v>2025</x:v>
      </x:c>
      <x:c r="C498" s="10" t="n">
        <x:v>2</x:v>
      </x:c>
      <x:c r="D498" s="10" t="n">
        <x:v>5</x:v>
      </x:c>
      <x:c r="E498" s="10" t="str">
        <x:v>Maio</x:v>
      </x:c>
      <x:c r="F498" s="10" t="str">
        <x:v>2025-05</x:v>
      </x:c>
      <x:c r="G498" s="10" t="n">
        <x:v>11</x:v>
      </x:c>
      <x:c r="H498" s="10" t="str">
        <x:v>Domingo</x:v>
      </x:c>
      <x:c r="I498" s="11" t="b">
        <x:v>0</x:v>
      </x:c>
    </x:row>
    <x:row r="499" ht="18" customHeight="1">
      <x:c r="A499" s="16" t="n">
        <x:v>45789</x:v>
      </x:c>
      <x:c r="B499" s="10" t="n">
        <x:v>2025</x:v>
      </x:c>
      <x:c r="C499" s="10" t="n">
        <x:v>2</x:v>
      </x:c>
      <x:c r="D499" s="10" t="n">
        <x:v>5</x:v>
      </x:c>
      <x:c r="E499" s="10" t="str">
        <x:v>Maio</x:v>
      </x:c>
      <x:c r="F499" s="10" t="str">
        <x:v>2025-05</x:v>
      </x:c>
      <x:c r="G499" s="10" t="n">
        <x:v>12</x:v>
      </x:c>
      <x:c r="H499" s="10" t="str">
        <x:v>Segunda-feira</x:v>
      </x:c>
      <x:c r="I499" s="11" t="b">
        <x:v>1</x:v>
      </x:c>
    </x:row>
    <x:row r="500" ht="18" customHeight="1">
      <x:c r="A500" s="16" t="n">
        <x:v>45790</x:v>
      </x:c>
      <x:c r="B500" s="10" t="n">
        <x:v>2025</x:v>
      </x:c>
      <x:c r="C500" s="10" t="n">
        <x:v>2</x:v>
      </x:c>
      <x:c r="D500" s="10" t="n">
        <x:v>5</x:v>
      </x:c>
      <x:c r="E500" s="10" t="str">
        <x:v>Maio</x:v>
      </x:c>
      <x:c r="F500" s="10" t="str">
        <x:v>2025-05</x:v>
      </x:c>
      <x:c r="G500" s="10" t="n">
        <x:v>13</x:v>
      </x:c>
      <x:c r="H500" s="10" t="str">
        <x:v>Terça-feira</x:v>
      </x:c>
      <x:c r="I500" s="11" t="b">
        <x:v>1</x:v>
      </x:c>
    </x:row>
    <x:row r="501" ht="18" customHeight="1">
      <x:c r="A501" s="16" t="n">
        <x:v>45791</x:v>
      </x:c>
      <x:c r="B501" s="10" t="n">
        <x:v>2025</x:v>
      </x:c>
      <x:c r="C501" s="10" t="n">
        <x:v>2</x:v>
      </x:c>
      <x:c r="D501" s="10" t="n">
        <x:v>5</x:v>
      </x:c>
      <x:c r="E501" s="10" t="str">
        <x:v>Maio</x:v>
      </x:c>
      <x:c r="F501" s="10" t="str">
        <x:v>2025-05</x:v>
      </x:c>
      <x:c r="G501" s="10" t="n">
        <x:v>14</x:v>
      </x:c>
      <x:c r="H501" s="10" t="str">
        <x:v>Quarta-feira</x:v>
      </x:c>
      <x:c r="I501" s="11" t="b">
        <x:v>1</x:v>
      </x:c>
    </x:row>
    <x:row r="502" ht="18" customHeight="1">
      <x:c r="A502" s="16" t="n">
        <x:v>45792</x:v>
      </x:c>
      <x:c r="B502" s="10" t="n">
        <x:v>2025</x:v>
      </x:c>
      <x:c r="C502" s="10" t="n">
        <x:v>2</x:v>
      </x:c>
      <x:c r="D502" s="10" t="n">
        <x:v>5</x:v>
      </x:c>
      <x:c r="E502" s="10" t="str">
        <x:v>Maio</x:v>
      </x:c>
      <x:c r="F502" s="10" t="str">
        <x:v>2025-05</x:v>
      </x:c>
      <x:c r="G502" s="10" t="n">
        <x:v>15</x:v>
      </x:c>
      <x:c r="H502" s="10" t="str">
        <x:v>Quinta-feira</x:v>
      </x:c>
      <x:c r="I502" s="11" t="b">
        <x:v>1</x:v>
      </x:c>
    </x:row>
    <x:row r="503" ht="18" customHeight="1">
      <x:c r="A503" s="16" t="n">
        <x:v>45793</x:v>
      </x:c>
      <x:c r="B503" s="10" t="n">
        <x:v>2025</x:v>
      </x:c>
      <x:c r="C503" s="10" t="n">
        <x:v>2</x:v>
      </x:c>
      <x:c r="D503" s="10" t="n">
        <x:v>5</x:v>
      </x:c>
      <x:c r="E503" s="10" t="str">
        <x:v>Maio</x:v>
      </x:c>
      <x:c r="F503" s="10" t="str">
        <x:v>2025-05</x:v>
      </x:c>
      <x:c r="G503" s="10" t="n">
        <x:v>16</x:v>
      </x:c>
      <x:c r="H503" s="10" t="str">
        <x:v>Sexta-feira</x:v>
      </x:c>
      <x:c r="I503" s="11" t="b">
        <x:v>1</x:v>
      </x:c>
    </x:row>
    <x:row r="504" ht="18" customHeight="1">
      <x:c r="A504" s="16" t="n">
        <x:v>45794</x:v>
      </x:c>
      <x:c r="B504" s="10" t="n">
        <x:v>2025</x:v>
      </x:c>
      <x:c r="C504" s="10" t="n">
        <x:v>2</x:v>
      </x:c>
      <x:c r="D504" s="10" t="n">
        <x:v>5</x:v>
      </x:c>
      <x:c r="E504" s="10" t="str">
        <x:v>Maio</x:v>
      </x:c>
      <x:c r="F504" s="10" t="str">
        <x:v>2025-05</x:v>
      </x:c>
      <x:c r="G504" s="10" t="n">
        <x:v>17</x:v>
      </x:c>
      <x:c r="H504" s="10" t="str">
        <x:v>Sábado</x:v>
      </x:c>
      <x:c r="I504" s="11" t="b">
        <x:v>0</x:v>
      </x:c>
    </x:row>
    <x:row r="505" ht="18" customHeight="1">
      <x:c r="A505" s="16" t="n">
        <x:v>45795</x:v>
      </x:c>
      <x:c r="B505" s="10" t="n">
        <x:v>2025</x:v>
      </x:c>
      <x:c r="C505" s="10" t="n">
        <x:v>2</x:v>
      </x:c>
      <x:c r="D505" s="10" t="n">
        <x:v>5</x:v>
      </x:c>
      <x:c r="E505" s="10" t="str">
        <x:v>Maio</x:v>
      </x:c>
      <x:c r="F505" s="10" t="str">
        <x:v>2025-05</x:v>
      </x:c>
      <x:c r="G505" s="10" t="n">
        <x:v>18</x:v>
      </x:c>
      <x:c r="H505" s="10" t="str">
        <x:v>Domingo</x:v>
      </x:c>
      <x:c r="I505" s="11" t="b">
        <x:v>0</x:v>
      </x:c>
    </x:row>
    <x:row r="506" ht="18" customHeight="1">
      <x:c r="A506" s="16" t="n">
        <x:v>45796</x:v>
      </x:c>
      <x:c r="B506" s="10" t="n">
        <x:v>2025</x:v>
      </x:c>
      <x:c r="C506" s="10" t="n">
        <x:v>2</x:v>
      </x:c>
      <x:c r="D506" s="10" t="n">
        <x:v>5</x:v>
      </x:c>
      <x:c r="E506" s="10" t="str">
        <x:v>Maio</x:v>
      </x:c>
      <x:c r="F506" s="10" t="str">
        <x:v>2025-05</x:v>
      </x:c>
      <x:c r="G506" s="10" t="n">
        <x:v>19</x:v>
      </x:c>
      <x:c r="H506" s="10" t="str">
        <x:v>Segunda-feira</x:v>
      </x:c>
      <x:c r="I506" s="11" t="b">
        <x:v>1</x:v>
      </x:c>
    </x:row>
    <x:row r="507" ht="18" customHeight="1">
      <x:c r="A507" s="16" t="n">
        <x:v>45797</x:v>
      </x:c>
      <x:c r="B507" s="10" t="n">
        <x:v>2025</x:v>
      </x:c>
      <x:c r="C507" s="10" t="n">
        <x:v>2</x:v>
      </x:c>
      <x:c r="D507" s="10" t="n">
        <x:v>5</x:v>
      </x:c>
      <x:c r="E507" s="10" t="str">
        <x:v>Maio</x:v>
      </x:c>
      <x:c r="F507" s="10" t="str">
        <x:v>2025-05</x:v>
      </x:c>
      <x:c r="G507" s="10" t="n">
        <x:v>20</x:v>
      </x:c>
      <x:c r="H507" s="10" t="str">
        <x:v>Terça-feira</x:v>
      </x:c>
      <x:c r="I507" s="11" t="b">
        <x:v>1</x:v>
      </x:c>
    </x:row>
    <x:row r="508" ht="18" customHeight="1">
      <x:c r="A508" s="16" t="n">
        <x:v>45798</x:v>
      </x:c>
      <x:c r="B508" s="10" t="n">
        <x:v>2025</x:v>
      </x:c>
      <x:c r="C508" s="10" t="n">
        <x:v>2</x:v>
      </x:c>
      <x:c r="D508" s="10" t="n">
        <x:v>5</x:v>
      </x:c>
      <x:c r="E508" s="10" t="str">
        <x:v>Maio</x:v>
      </x:c>
      <x:c r="F508" s="10" t="str">
        <x:v>2025-05</x:v>
      </x:c>
      <x:c r="G508" s="10" t="n">
        <x:v>21</x:v>
      </x:c>
      <x:c r="H508" s="10" t="str">
        <x:v>Quarta-feira</x:v>
      </x:c>
      <x:c r="I508" s="11" t="b">
        <x:v>1</x:v>
      </x:c>
    </x:row>
    <x:row r="509" ht="18" customHeight="1">
      <x:c r="A509" s="16" t="n">
        <x:v>45799</x:v>
      </x:c>
      <x:c r="B509" s="10" t="n">
        <x:v>2025</x:v>
      </x:c>
      <x:c r="C509" s="10" t="n">
        <x:v>2</x:v>
      </x:c>
      <x:c r="D509" s="10" t="n">
        <x:v>5</x:v>
      </x:c>
      <x:c r="E509" s="10" t="str">
        <x:v>Maio</x:v>
      </x:c>
      <x:c r="F509" s="10" t="str">
        <x:v>2025-05</x:v>
      </x:c>
      <x:c r="G509" s="10" t="n">
        <x:v>22</x:v>
      </x:c>
      <x:c r="H509" s="10" t="str">
        <x:v>Quinta-feira</x:v>
      </x:c>
      <x:c r="I509" s="11" t="b">
        <x:v>1</x:v>
      </x:c>
    </x:row>
    <x:row r="510" ht="18" customHeight="1">
      <x:c r="A510" s="16" t="n">
        <x:v>45800</x:v>
      </x:c>
      <x:c r="B510" s="10" t="n">
        <x:v>2025</x:v>
      </x:c>
      <x:c r="C510" s="10" t="n">
        <x:v>2</x:v>
      </x:c>
      <x:c r="D510" s="10" t="n">
        <x:v>5</x:v>
      </x:c>
      <x:c r="E510" s="10" t="str">
        <x:v>Maio</x:v>
      </x:c>
      <x:c r="F510" s="10" t="str">
        <x:v>2025-05</x:v>
      </x:c>
      <x:c r="G510" s="10" t="n">
        <x:v>23</x:v>
      </x:c>
      <x:c r="H510" s="10" t="str">
        <x:v>Sexta-feira</x:v>
      </x:c>
      <x:c r="I510" s="11" t="b">
        <x:v>1</x:v>
      </x:c>
    </x:row>
    <x:row r="511" ht="18" customHeight="1">
      <x:c r="A511" s="16" t="n">
        <x:v>45801</x:v>
      </x:c>
      <x:c r="B511" s="10" t="n">
        <x:v>2025</x:v>
      </x:c>
      <x:c r="C511" s="10" t="n">
        <x:v>2</x:v>
      </x:c>
      <x:c r="D511" s="10" t="n">
        <x:v>5</x:v>
      </x:c>
      <x:c r="E511" s="10" t="str">
        <x:v>Maio</x:v>
      </x:c>
      <x:c r="F511" s="10" t="str">
        <x:v>2025-05</x:v>
      </x:c>
      <x:c r="G511" s="10" t="n">
        <x:v>24</x:v>
      </x:c>
      <x:c r="H511" s="10" t="str">
        <x:v>Sábado</x:v>
      </x:c>
      <x:c r="I511" s="11" t="b">
        <x:v>0</x:v>
      </x:c>
    </x:row>
    <x:row r="512" ht="18" customHeight="1">
      <x:c r="A512" s="16" t="n">
        <x:v>45802</x:v>
      </x:c>
      <x:c r="B512" s="10" t="n">
        <x:v>2025</x:v>
      </x:c>
      <x:c r="C512" s="10" t="n">
        <x:v>2</x:v>
      </x:c>
      <x:c r="D512" s="10" t="n">
        <x:v>5</x:v>
      </x:c>
      <x:c r="E512" s="10" t="str">
        <x:v>Maio</x:v>
      </x:c>
      <x:c r="F512" s="10" t="str">
        <x:v>2025-05</x:v>
      </x:c>
      <x:c r="G512" s="10" t="n">
        <x:v>25</x:v>
      </x:c>
      <x:c r="H512" s="10" t="str">
        <x:v>Domingo</x:v>
      </x:c>
      <x:c r="I512" s="11" t="b">
        <x:v>0</x:v>
      </x:c>
    </x:row>
    <x:row r="513" ht="18" customHeight="1">
      <x:c r="A513" s="16" t="n">
        <x:v>45803</x:v>
      </x:c>
      <x:c r="B513" s="10" t="n">
        <x:v>2025</x:v>
      </x:c>
      <x:c r="C513" s="10" t="n">
        <x:v>2</x:v>
      </x:c>
      <x:c r="D513" s="10" t="n">
        <x:v>5</x:v>
      </x:c>
      <x:c r="E513" s="10" t="str">
        <x:v>Maio</x:v>
      </x:c>
      <x:c r="F513" s="10" t="str">
        <x:v>2025-05</x:v>
      </x:c>
      <x:c r="G513" s="10" t="n">
        <x:v>26</x:v>
      </x:c>
      <x:c r="H513" s="10" t="str">
        <x:v>Segunda-feira</x:v>
      </x:c>
      <x:c r="I513" s="11" t="b">
        <x:v>1</x:v>
      </x:c>
    </x:row>
    <x:row r="514" ht="18" customHeight="1">
      <x:c r="A514" s="16" t="n">
        <x:v>45804</x:v>
      </x:c>
      <x:c r="B514" s="10" t="n">
        <x:v>2025</x:v>
      </x:c>
      <x:c r="C514" s="10" t="n">
        <x:v>2</x:v>
      </x:c>
      <x:c r="D514" s="10" t="n">
        <x:v>5</x:v>
      </x:c>
      <x:c r="E514" s="10" t="str">
        <x:v>Maio</x:v>
      </x:c>
      <x:c r="F514" s="10" t="str">
        <x:v>2025-05</x:v>
      </x:c>
      <x:c r="G514" s="10" t="n">
        <x:v>27</x:v>
      </x:c>
      <x:c r="H514" s="10" t="str">
        <x:v>Terça-feira</x:v>
      </x:c>
      <x:c r="I514" s="11" t="b">
        <x:v>1</x:v>
      </x:c>
    </x:row>
    <x:row r="515" ht="18" customHeight="1">
      <x:c r="A515" s="16" t="n">
        <x:v>45805</x:v>
      </x:c>
      <x:c r="B515" s="10" t="n">
        <x:v>2025</x:v>
      </x:c>
      <x:c r="C515" s="10" t="n">
        <x:v>2</x:v>
      </x:c>
      <x:c r="D515" s="10" t="n">
        <x:v>5</x:v>
      </x:c>
      <x:c r="E515" s="10" t="str">
        <x:v>Maio</x:v>
      </x:c>
      <x:c r="F515" s="10" t="str">
        <x:v>2025-05</x:v>
      </x:c>
      <x:c r="G515" s="10" t="n">
        <x:v>28</x:v>
      </x:c>
      <x:c r="H515" s="10" t="str">
        <x:v>Quarta-feira</x:v>
      </x:c>
      <x:c r="I515" s="11" t="b">
        <x:v>1</x:v>
      </x:c>
    </x:row>
    <x:row r="516" ht="18" customHeight="1">
      <x:c r="A516" s="16" t="n">
        <x:v>45806</x:v>
      </x:c>
      <x:c r="B516" s="10" t="n">
        <x:v>2025</x:v>
      </x:c>
      <x:c r="C516" s="10" t="n">
        <x:v>2</x:v>
      </x:c>
      <x:c r="D516" s="10" t="n">
        <x:v>5</x:v>
      </x:c>
      <x:c r="E516" s="10" t="str">
        <x:v>Maio</x:v>
      </x:c>
      <x:c r="F516" s="10" t="str">
        <x:v>2025-05</x:v>
      </x:c>
      <x:c r="G516" s="10" t="n">
        <x:v>29</x:v>
      </x:c>
      <x:c r="H516" s="10" t="str">
        <x:v>Quinta-feira</x:v>
      </x:c>
      <x:c r="I516" s="11" t="b">
        <x:v>1</x:v>
      </x:c>
    </x:row>
    <x:row r="517" ht="18" customHeight="1">
      <x:c r="A517" s="16" t="n">
        <x:v>45807</x:v>
      </x:c>
      <x:c r="B517" s="10" t="n">
        <x:v>2025</x:v>
      </x:c>
      <x:c r="C517" s="10" t="n">
        <x:v>2</x:v>
      </x:c>
      <x:c r="D517" s="10" t="n">
        <x:v>5</x:v>
      </x:c>
      <x:c r="E517" s="10" t="str">
        <x:v>Maio</x:v>
      </x:c>
      <x:c r="F517" s="10" t="str">
        <x:v>2025-05</x:v>
      </x:c>
      <x:c r="G517" s="10" t="n">
        <x:v>30</x:v>
      </x:c>
      <x:c r="H517" s="10" t="str">
        <x:v>Sexta-feira</x:v>
      </x:c>
      <x:c r="I517" s="11" t="b">
        <x:v>1</x:v>
      </x:c>
    </x:row>
    <x:row r="518" ht="18" customHeight="1">
      <x:c r="A518" s="16" t="n">
        <x:v>45808</x:v>
      </x:c>
      <x:c r="B518" s="10" t="n">
        <x:v>2025</x:v>
      </x:c>
      <x:c r="C518" s="10" t="n">
        <x:v>2</x:v>
      </x:c>
      <x:c r="D518" s="10" t="n">
        <x:v>5</x:v>
      </x:c>
      <x:c r="E518" s="10" t="str">
        <x:v>Maio</x:v>
      </x:c>
      <x:c r="F518" s="10" t="str">
        <x:v>2025-05</x:v>
      </x:c>
      <x:c r="G518" s="10" t="n">
        <x:v>31</x:v>
      </x:c>
      <x:c r="H518" s="10" t="str">
        <x:v>Sábado</x:v>
      </x:c>
      <x:c r="I518" s="11" t="b">
        <x:v>0</x:v>
      </x:c>
    </x:row>
    <x:row r="519" ht="18" customHeight="1">
      <x:c r="A519" s="16" t="n">
        <x:v>45809</x:v>
      </x:c>
      <x:c r="B519" s="10" t="n">
        <x:v>2025</x:v>
      </x:c>
      <x:c r="C519" s="10" t="n">
        <x:v>2</x:v>
      </x:c>
      <x:c r="D519" s="10" t="n">
        <x:v>6</x:v>
      </x:c>
      <x:c r="E519" s="10" t="str">
        <x:v>Junho</x:v>
      </x:c>
      <x:c r="F519" s="10" t="str">
        <x:v>2025-06</x:v>
      </x:c>
      <x:c r="G519" s="10" t="n">
        <x:v>1</x:v>
      </x:c>
      <x:c r="H519" s="10" t="str">
        <x:v>Domingo</x:v>
      </x:c>
      <x:c r="I519" s="11" t="b">
        <x:v>0</x:v>
      </x:c>
    </x:row>
    <x:row r="520" ht="18" customHeight="1">
      <x:c r="A520" s="16" t="n">
        <x:v>45810</x:v>
      </x:c>
      <x:c r="B520" s="10" t="n">
        <x:v>2025</x:v>
      </x:c>
      <x:c r="C520" s="10" t="n">
        <x:v>2</x:v>
      </x:c>
      <x:c r="D520" s="10" t="n">
        <x:v>6</x:v>
      </x:c>
      <x:c r="E520" s="10" t="str">
        <x:v>Junho</x:v>
      </x:c>
      <x:c r="F520" s="10" t="str">
        <x:v>2025-06</x:v>
      </x:c>
      <x:c r="G520" s="10" t="n">
        <x:v>2</x:v>
      </x:c>
      <x:c r="H520" s="10" t="str">
        <x:v>Segunda-feira</x:v>
      </x:c>
      <x:c r="I520" s="11" t="b">
        <x:v>1</x:v>
      </x:c>
    </x:row>
    <x:row r="521" ht="18" customHeight="1">
      <x:c r="A521" s="16" t="n">
        <x:v>45811</x:v>
      </x:c>
      <x:c r="B521" s="10" t="n">
        <x:v>2025</x:v>
      </x:c>
      <x:c r="C521" s="10" t="n">
        <x:v>2</x:v>
      </x:c>
      <x:c r="D521" s="10" t="n">
        <x:v>6</x:v>
      </x:c>
      <x:c r="E521" s="10" t="str">
        <x:v>Junho</x:v>
      </x:c>
      <x:c r="F521" s="10" t="str">
        <x:v>2025-06</x:v>
      </x:c>
      <x:c r="G521" s="10" t="n">
        <x:v>3</x:v>
      </x:c>
      <x:c r="H521" s="10" t="str">
        <x:v>Terça-feira</x:v>
      </x:c>
      <x:c r="I521" s="11" t="b">
        <x:v>1</x:v>
      </x:c>
    </x:row>
    <x:row r="522" ht="18" customHeight="1">
      <x:c r="A522" s="16" t="n">
        <x:v>45812</x:v>
      </x:c>
      <x:c r="B522" s="10" t="n">
        <x:v>2025</x:v>
      </x:c>
      <x:c r="C522" s="10" t="n">
        <x:v>2</x:v>
      </x:c>
      <x:c r="D522" s="10" t="n">
        <x:v>6</x:v>
      </x:c>
      <x:c r="E522" s="10" t="str">
        <x:v>Junho</x:v>
      </x:c>
      <x:c r="F522" s="10" t="str">
        <x:v>2025-06</x:v>
      </x:c>
      <x:c r="G522" s="10" t="n">
        <x:v>4</x:v>
      </x:c>
      <x:c r="H522" s="10" t="str">
        <x:v>Quarta-feira</x:v>
      </x:c>
      <x:c r="I522" s="11" t="b">
        <x:v>1</x:v>
      </x:c>
    </x:row>
    <x:row r="523" ht="18" customHeight="1">
      <x:c r="A523" s="16" t="n">
        <x:v>45813</x:v>
      </x:c>
      <x:c r="B523" s="10" t="n">
        <x:v>2025</x:v>
      </x:c>
      <x:c r="C523" s="10" t="n">
        <x:v>2</x:v>
      </x:c>
      <x:c r="D523" s="10" t="n">
        <x:v>6</x:v>
      </x:c>
      <x:c r="E523" s="10" t="str">
        <x:v>Junho</x:v>
      </x:c>
      <x:c r="F523" s="10" t="str">
        <x:v>2025-06</x:v>
      </x:c>
      <x:c r="G523" s="10" t="n">
        <x:v>5</x:v>
      </x:c>
      <x:c r="H523" s="10" t="str">
        <x:v>Quinta-feira</x:v>
      </x:c>
      <x:c r="I523" s="11" t="b">
        <x:v>1</x:v>
      </x:c>
    </x:row>
    <x:row r="524" ht="18" customHeight="1">
      <x:c r="A524" s="16" t="n">
        <x:v>45814</x:v>
      </x:c>
      <x:c r="B524" s="10" t="n">
        <x:v>2025</x:v>
      </x:c>
      <x:c r="C524" s="10" t="n">
        <x:v>2</x:v>
      </x:c>
      <x:c r="D524" s="10" t="n">
        <x:v>6</x:v>
      </x:c>
      <x:c r="E524" s="10" t="str">
        <x:v>Junho</x:v>
      </x:c>
      <x:c r="F524" s="10" t="str">
        <x:v>2025-06</x:v>
      </x:c>
      <x:c r="G524" s="10" t="n">
        <x:v>6</x:v>
      </x:c>
      <x:c r="H524" s="10" t="str">
        <x:v>Sexta-feira</x:v>
      </x:c>
      <x:c r="I524" s="11" t="b">
        <x:v>1</x:v>
      </x:c>
    </x:row>
    <x:row r="525" ht="18" customHeight="1">
      <x:c r="A525" s="16" t="n">
        <x:v>45815</x:v>
      </x:c>
      <x:c r="B525" s="10" t="n">
        <x:v>2025</x:v>
      </x:c>
      <x:c r="C525" s="10" t="n">
        <x:v>2</x:v>
      </x:c>
      <x:c r="D525" s="10" t="n">
        <x:v>6</x:v>
      </x:c>
      <x:c r="E525" s="10" t="str">
        <x:v>Junho</x:v>
      </x:c>
      <x:c r="F525" s="10" t="str">
        <x:v>2025-06</x:v>
      </x:c>
      <x:c r="G525" s="10" t="n">
        <x:v>7</x:v>
      </x:c>
      <x:c r="H525" s="10" t="str">
        <x:v>Sábado</x:v>
      </x:c>
      <x:c r="I525" s="11" t="b">
        <x:v>0</x:v>
      </x:c>
    </x:row>
    <x:row r="526" ht="18" customHeight="1">
      <x:c r="A526" s="16" t="n">
        <x:v>45816</x:v>
      </x:c>
      <x:c r="B526" s="10" t="n">
        <x:v>2025</x:v>
      </x:c>
      <x:c r="C526" s="10" t="n">
        <x:v>2</x:v>
      </x:c>
      <x:c r="D526" s="10" t="n">
        <x:v>6</x:v>
      </x:c>
      <x:c r="E526" s="10" t="str">
        <x:v>Junho</x:v>
      </x:c>
      <x:c r="F526" s="10" t="str">
        <x:v>2025-06</x:v>
      </x:c>
      <x:c r="G526" s="10" t="n">
        <x:v>8</x:v>
      </x:c>
      <x:c r="H526" s="10" t="str">
        <x:v>Domingo</x:v>
      </x:c>
      <x:c r="I526" s="11" t="b">
        <x:v>0</x:v>
      </x:c>
    </x:row>
    <x:row r="527" ht="18" customHeight="1">
      <x:c r="A527" s="16" t="n">
        <x:v>45817</x:v>
      </x:c>
      <x:c r="B527" s="10" t="n">
        <x:v>2025</x:v>
      </x:c>
      <x:c r="C527" s="10" t="n">
        <x:v>2</x:v>
      </x:c>
      <x:c r="D527" s="10" t="n">
        <x:v>6</x:v>
      </x:c>
      <x:c r="E527" s="10" t="str">
        <x:v>Junho</x:v>
      </x:c>
      <x:c r="F527" s="10" t="str">
        <x:v>2025-06</x:v>
      </x:c>
      <x:c r="G527" s="10" t="n">
        <x:v>9</x:v>
      </x:c>
      <x:c r="H527" s="10" t="str">
        <x:v>Segunda-feira</x:v>
      </x:c>
      <x:c r="I527" s="11" t="b">
        <x:v>1</x:v>
      </x:c>
    </x:row>
    <x:row r="528" ht="18" customHeight="1">
      <x:c r="A528" s="16" t="n">
        <x:v>45818</x:v>
      </x:c>
      <x:c r="B528" s="10" t="n">
        <x:v>2025</x:v>
      </x:c>
      <x:c r="C528" s="10" t="n">
        <x:v>2</x:v>
      </x:c>
      <x:c r="D528" s="10" t="n">
        <x:v>6</x:v>
      </x:c>
      <x:c r="E528" s="10" t="str">
        <x:v>Junho</x:v>
      </x:c>
      <x:c r="F528" s="10" t="str">
        <x:v>2025-06</x:v>
      </x:c>
      <x:c r="G528" s="10" t="n">
        <x:v>10</x:v>
      </x:c>
      <x:c r="H528" s="10" t="str">
        <x:v>Terça-feira</x:v>
      </x:c>
      <x:c r="I528" s="11" t="b">
        <x:v>1</x:v>
      </x:c>
    </x:row>
    <x:row r="529" ht="18" customHeight="1">
      <x:c r="A529" s="16" t="n">
        <x:v>45819</x:v>
      </x:c>
      <x:c r="B529" s="10" t="n">
        <x:v>2025</x:v>
      </x:c>
      <x:c r="C529" s="10" t="n">
        <x:v>2</x:v>
      </x:c>
      <x:c r="D529" s="10" t="n">
        <x:v>6</x:v>
      </x:c>
      <x:c r="E529" s="10" t="str">
        <x:v>Junho</x:v>
      </x:c>
      <x:c r="F529" s="10" t="str">
        <x:v>2025-06</x:v>
      </x:c>
      <x:c r="G529" s="10" t="n">
        <x:v>11</x:v>
      </x:c>
      <x:c r="H529" s="10" t="str">
        <x:v>Quarta-feira</x:v>
      </x:c>
      <x:c r="I529" s="11" t="b">
        <x:v>1</x:v>
      </x:c>
    </x:row>
    <x:row r="530" ht="18" customHeight="1">
      <x:c r="A530" s="16" t="n">
        <x:v>45820</x:v>
      </x:c>
      <x:c r="B530" s="10" t="n">
        <x:v>2025</x:v>
      </x:c>
      <x:c r="C530" s="10" t="n">
        <x:v>2</x:v>
      </x:c>
      <x:c r="D530" s="10" t="n">
        <x:v>6</x:v>
      </x:c>
      <x:c r="E530" s="10" t="str">
        <x:v>Junho</x:v>
      </x:c>
      <x:c r="F530" s="10" t="str">
        <x:v>2025-06</x:v>
      </x:c>
      <x:c r="G530" s="10" t="n">
        <x:v>12</x:v>
      </x:c>
      <x:c r="H530" s="10" t="str">
        <x:v>Quinta-feira</x:v>
      </x:c>
      <x:c r="I530" s="11" t="b">
        <x:v>1</x:v>
      </x:c>
    </x:row>
    <x:row r="531" ht="18" customHeight="1">
      <x:c r="A531" s="16" t="n">
        <x:v>45821</x:v>
      </x:c>
      <x:c r="B531" s="10" t="n">
        <x:v>2025</x:v>
      </x:c>
      <x:c r="C531" s="10" t="n">
        <x:v>2</x:v>
      </x:c>
      <x:c r="D531" s="10" t="n">
        <x:v>6</x:v>
      </x:c>
      <x:c r="E531" s="10" t="str">
        <x:v>Junho</x:v>
      </x:c>
      <x:c r="F531" s="10" t="str">
        <x:v>2025-06</x:v>
      </x:c>
      <x:c r="G531" s="10" t="n">
        <x:v>13</x:v>
      </x:c>
      <x:c r="H531" s="10" t="str">
        <x:v>Sexta-feira</x:v>
      </x:c>
      <x:c r="I531" s="11" t="b">
        <x:v>1</x:v>
      </x:c>
    </x:row>
    <x:row r="532" ht="18" customHeight="1">
      <x:c r="A532" s="16" t="n">
        <x:v>45822</x:v>
      </x:c>
      <x:c r="B532" s="10" t="n">
        <x:v>2025</x:v>
      </x:c>
      <x:c r="C532" s="10" t="n">
        <x:v>2</x:v>
      </x:c>
      <x:c r="D532" s="10" t="n">
        <x:v>6</x:v>
      </x:c>
      <x:c r="E532" s="10" t="str">
        <x:v>Junho</x:v>
      </x:c>
      <x:c r="F532" s="10" t="str">
        <x:v>2025-06</x:v>
      </x:c>
      <x:c r="G532" s="10" t="n">
        <x:v>14</x:v>
      </x:c>
      <x:c r="H532" s="10" t="str">
        <x:v>Sábado</x:v>
      </x:c>
      <x:c r="I532" s="11" t="b">
        <x:v>0</x:v>
      </x:c>
    </x:row>
    <x:row r="533" ht="18" customHeight="1">
      <x:c r="A533" s="16" t="n">
        <x:v>45823</x:v>
      </x:c>
      <x:c r="B533" s="10" t="n">
        <x:v>2025</x:v>
      </x:c>
      <x:c r="C533" s="10" t="n">
        <x:v>2</x:v>
      </x:c>
      <x:c r="D533" s="10" t="n">
        <x:v>6</x:v>
      </x:c>
      <x:c r="E533" s="10" t="str">
        <x:v>Junho</x:v>
      </x:c>
      <x:c r="F533" s="10" t="str">
        <x:v>2025-06</x:v>
      </x:c>
      <x:c r="G533" s="10" t="n">
        <x:v>15</x:v>
      </x:c>
      <x:c r="H533" s="10" t="str">
        <x:v>Domingo</x:v>
      </x:c>
      <x:c r="I533" s="11" t="b">
        <x:v>0</x:v>
      </x:c>
    </x:row>
    <x:row r="534" ht="18" customHeight="1">
      <x:c r="A534" s="16" t="n">
        <x:v>45824</x:v>
      </x:c>
      <x:c r="B534" s="10" t="n">
        <x:v>2025</x:v>
      </x:c>
      <x:c r="C534" s="10" t="n">
        <x:v>2</x:v>
      </x:c>
      <x:c r="D534" s="10" t="n">
        <x:v>6</x:v>
      </x:c>
      <x:c r="E534" s="10" t="str">
        <x:v>Junho</x:v>
      </x:c>
      <x:c r="F534" s="10" t="str">
        <x:v>2025-06</x:v>
      </x:c>
      <x:c r="G534" s="10" t="n">
        <x:v>16</x:v>
      </x:c>
      <x:c r="H534" s="10" t="str">
        <x:v>Segunda-feira</x:v>
      </x:c>
      <x:c r="I534" s="11" t="b">
        <x:v>1</x:v>
      </x:c>
    </x:row>
    <x:row r="535" ht="18" customHeight="1">
      <x:c r="A535" s="16" t="n">
        <x:v>45825</x:v>
      </x:c>
      <x:c r="B535" s="10" t="n">
        <x:v>2025</x:v>
      </x:c>
      <x:c r="C535" s="10" t="n">
        <x:v>2</x:v>
      </x:c>
      <x:c r="D535" s="10" t="n">
        <x:v>6</x:v>
      </x:c>
      <x:c r="E535" s="10" t="str">
        <x:v>Junho</x:v>
      </x:c>
      <x:c r="F535" s="10" t="str">
        <x:v>2025-06</x:v>
      </x:c>
      <x:c r="G535" s="10" t="n">
        <x:v>17</x:v>
      </x:c>
      <x:c r="H535" s="10" t="str">
        <x:v>Terça-feira</x:v>
      </x:c>
      <x:c r="I535" s="11" t="b">
        <x:v>1</x:v>
      </x:c>
    </x:row>
    <x:row r="536" ht="18" customHeight="1">
      <x:c r="A536" s="16" t="n">
        <x:v>45826</x:v>
      </x:c>
      <x:c r="B536" s="10" t="n">
        <x:v>2025</x:v>
      </x:c>
      <x:c r="C536" s="10" t="n">
        <x:v>2</x:v>
      </x:c>
      <x:c r="D536" s="10" t="n">
        <x:v>6</x:v>
      </x:c>
      <x:c r="E536" s="10" t="str">
        <x:v>Junho</x:v>
      </x:c>
      <x:c r="F536" s="10" t="str">
        <x:v>2025-06</x:v>
      </x:c>
      <x:c r="G536" s="10" t="n">
        <x:v>18</x:v>
      </x:c>
      <x:c r="H536" s="10" t="str">
        <x:v>Quarta-feira</x:v>
      </x:c>
      <x:c r="I536" s="11" t="b">
        <x:v>1</x:v>
      </x:c>
    </x:row>
    <x:row r="537" ht="18" customHeight="1">
      <x:c r="A537" s="16" t="n">
        <x:v>45827</x:v>
      </x:c>
      <x:c r="B537" s="10" t="n">
        <x:v>2025</x:v>
      </x:c>
      <x:c r="C537" s="10" t="n">
        <x:v>2</x:v>
      </x:c>
      <x:c r="D537" s="10" t="n">
        <x:v>6</x:v>
      </x:c>
      <x:c r="E537" s="10" t="str">
        <x:v>Junho</x:v>
      </x:c>
      <x:c r="F537" s="10" t="str">
        <x:v>2025-06</x:v>
      </x:c>
      <x:c r="G537" s="10" t="n">
        <x:v>19</x:v>
      </x:c>
      <x:c r="H537" s="10" t="str">
        <x:v>Quinta-feira</x:v>
      </x:c>
      <x:c r="I537" s="11" t="b">
        <x:v>1</x:v>
      </x:c>
    </x:row>
    <x:row r="538" ht="18" customHeight="1">
      <x:c r="A538" s="16" t="n">
        <x:v>45828</x:v>
      </x:c>
      <x:c r="B538" s="10" t="n">
        <x:v>2025</x:v>
      </x:c>
      <x:c r="C538" s="10" t="n">
        <x:v>2</x:v>
      </x:c>
      <x:c r="D538" s="10" t="n">
        <x:v>6</x:v>
      </x:c>
      <x:c r="E538" s="10" t="str">
        <x:v>Junho</x:v>
      </x:c>
      <x:c r="F538" s="10" t="str">
        <x:v>2025-06</x:v>
      </x:c>
      <x:c r="G538" s="10" t="n">
        <x:v>20</x:v>
      </x:c>
      <x:c r="H538" s="10" t="str">
        <x:v>Sexta-feira</x:v>
      </x:c>
      <x:c r="I538" s="11" t="b">
        <x:v>1</x:v>
      </x:c>
    </x:row>
    <x:row r="539" ht="18" customHeight="1">
      <x:c r="A539" s="16" t="n">
        <x:v>45829</x:v>
      </x:c>
      <x:c r="B539" s="10" t="n">
        <x:v>2025</x:v>
      </x:c>
      <x:c r="C539" s="10" t="n">
        <x:v>2</x:v>
      </x:c>
      <x:c r="D539" s="10" t="n">
        <x:v>6</x:v>
      </x:c>
      <x:c r="E539" s="10" t="str">
        <x:v>Junho</x:v>
      </x:c>
      <x:c r="F539" s="10" t="str">
        <x:v>2025-06</x:v>
      </x:c>
      <x:c r="G539" s="10" t="n">
        <x:v>21</x:v>
      </x:c>
      <x:c r="H539" s="10" t="str">
        <x:v>Sábado</x:v>
      </x:c>
      <x:c r="I539" s="11" t="b">
        <x:v>0</x:v>
      </x:c>
    </x:row>
    <x:row r="540" ht="18" customHeight="1">
      <x:c r="A540" s="16" t="n">
        <x:v>45830</x:v>
      </x:c>
      <x:c r="B540" s="10" t="n">
        <x:v>2025</x:v>
      </x:c>
      <x:c r="C540" s="10" t="n">
        <x:v>2</x:v>
      </x:c>
      <x:c r="D540" s="10" t="n">
        <x:v>6</x:v>
      </x:c>
      <x:c r="E540" s="10" t="str">
        <x:v>Junho</x:v>
      </x:c>
      <x:c r="F540" s="10" t="str">
        <x:v>2025-06</x:v>
      </x:c>
      <x:c r="G540" s="10" t="n">
        <x:v>22</x:v>
      </x:c>
      <x:c r="H540" s="10" t="str">
        <x:v>Domingo</x:v>
      </x:c>
      <x:c r="I540" s="11" t="b">
        <x:v>0</x:v>
      </x:c>
    </x:row>
    <x:row r="541" ht="18" customHeight="1">
      <x:c r="A541" s="16" t="n">
        <x:v>45831</x:v>
      </x:c>
      <x:c r="B541" s="10" t="n">
        <x:v>2025</x:v>
      </x:c>
      <x:c r="C541" s="10" t="n">
        <x:v>2</x:v>
      </x:c>
      <x:c r="D541" s="10" t="n">
        <x:v>6</x:v>
      </x:c>
      <x:c r="E541" s="10" t="str">
        <x:v>Junho</x:v>
      </x:c>
      <x:c r="F541" s="10" t="str">
        <x:v>2025-06</x:v>
      </x:c>
      <x:c r="G541" s="10" t="n">
        <x:v>23</x:v>
      </x:c>
      <x:c r="H541" s="10" t="str">
        <x:v>Segunda-feira</x:v>
      </x:c>
      <x:c r="I541" s="11" t="b">
        <x:v>1</x:v>
      </x:c>
    </x:row>
    <x:row r="542" ht="18" customHeight="1">
      <x:c r="A542" s="16" t="n">
        <x:v>45832</x:v>
      </x:c>
      <x:c r="B542" s="10" t="n">
        <x:v>2025</x:v>
      </x:c>
      <x:c r="C542" s="10" t="n">
        <x:v>2</x:v>
      </x:c>
      <x:c r="D542" s="10" t="n">
        <x:v>6</x:v>
      </x:c>
      <x:c r="E542" s="10" t="str">
        <x:v>Junho</x:v>
      </x:c>
      <x:c r="F542" s="10" t="str">
        <x:v>2025-06</x:v>
      </x:c>
      <x:c r="G542" s="10" t="n">
        <x:v>24</x:v>
      </x:c>
      <x:c r="H542" s="10" t="str">
        <x:v>Terça-feira</x:v>
      </x:c>
      <x:c r="I542" s="11" t="b">
        <x:v>1</x:v>
      </x:c>
    </x:row>
    <x:row r="543" ht="18" customHeight="1">
      <x:c r="A543" s="16" t="n">
        <x:v>45833</x:v>
      </x:c>
      <x:c r="B543" s="10" t="n">
        <x:v>2025</x:v>
      </x:c>
      <x:c r="C543" s="10" t="n">
        <x:v>2</x:v>
      </x:c>
      <x:c r="D543" s="10" t="n">
        <x:v>6</x:v>
      </x:c>
      <x:c r="E543" s="10" t="str">
        <x:v>Junho</x:v>
      </x:c>
      <x:c r="F543" s="10" t="str">
        <x:v>2025-06</x:v>
      </x:c>
      <x:c r="G543" s="10" t="n">
        <x:v>25</x:v>
      </x:c>
      <x:c r="H543" s="10" t="str">
        <x:v>Quarta-feira</x:v>
      </x:c>
      <x:c r="I543" s="11" t="b">
        <x:v>1</x:v>
      </x:c>
    </x:row>
    <x:row r="544" ht="18" customHeight="1">
      <x:c r="A544" s="16" t="n">
        <x:v>45834</x:v>
      </x:c>
      <x:c r="B544" s="10" t="n">
        <x:v>2025</x:v>
      </x:c>
      <x:c r="C544" s="10" t="n">
        <x:v>2</x:v>
      </x:c>
      <x:c r="D544" s="10" t="n">
        <x:v>6</x:v>
      </x:c>
      <x:c r="E544" s="10" t="str">
        <x:v>Junho</x:v>
      </x:c>
      <x:c r="F544" s="10" t="str">
        <x:v>2025-06</x:v>
      </x:c>
      <x:c r="G544" s="10" t="n">
        <x:v>26</x:v>
      </x:c>
      <x:c r="H544" s="10" t="str">
        <x:v>Quinta-feira</x:v>
      </x:c>
      <x:c r="I544" s="11" t="b">
        <x:v>1</x:v>
      </x:c>
    </x:row>
    <x:row r="545" ht="18" customHeight="1">
      <x:c r="A545" s="16" t="n">
        <x:v>45835</x:v>
      </x:c>
      <x:c r="B545" s="10" t="n">
        <x:v>2025</x:v>
      </x:c>
      <x:c r="C545" s="10" t="n">
        <x:v>2</x:v>
      </x:c>
      <x:c r="D545" s="10" t="n">
        <x:v>6</x:v>
      </x:c>
      <x:c r="E545" s="10" t="str">
        <x:v>Junho</x:v>
      </x:c>
      <x:c r="F545" s="10" t="str">
        <x:v>2025-06</x:v>
      </x:c>
      <x:c r="G545" s="10" t="n">
        <x:v>27</x:v>
      </x:c>
      <x:c r="H545" s="10" t="str">
        <x:v>Sexta-feira</x:v>
      </x:c>
      <x:c r="I545" s="11" t="b">
        <x:v>1</x:v>
      </x:c>
    </x:row>
    <x:row r="546" ht="18" customHeight="1">
      <x:c r="A546" s="16" t="n">
        <x:v>45836</x:v>
      </x:c>
      <x:c r="B546" s="10" t="n">
        <x:v>2025</x:v>
      </x:c>
      <x:c r="C546" s="10" t="n">
        <x:v>2</x:v>
      </x:c>
      <x:c r="D546" s="10" t="n">
        <x:v>6</x:v>
      </x:c>
      <x:c r="E546" s="10" t="str">
        <x:v>Junho</x:v>
      </x:c>
      <x:c r="F546" s="10" t="str">
        <x:v>2025-06</x:v>
      </x:c>
      <x:c r="G546" s="10" t="n">
        <x:v>28</x:v>
      </x:c>
      <x:c r="H546" s="10" t="str">
        <x:v>Sábado</x:v>
      </x:c>
      <x:c r="I546" s="11" t="b">
        <x:v>0</x:v>
      </x:c>
    </x:row>
    <x:row r="547" ht="18" customHeight="1">
      <x:c r="A547" s="16" t="n">
        <x:v>45837</x:v>
      </x:c>
      <x:c r="B547" s="10" t="n">
        <x:v>2025</x:v>
      </x:c>
      <x:c r="C547" s="10" t="n">
        <x:v>2</x:v>
      </x:c>
      <x:c r="D547" s="10" t="n">
        <x:v>6</x:v>
      </x:c>
      <x:c r="E547" s="10" t="str">
        <x:v>Junho</x:v>
      </x:c>
      <x:c r="F547" s="10" t="str">
        <x:v>2025-06</x:v>
      </x:c>
      <x:c r="G547" s="10" t="n">
        <x:v>29</x:v>
      </x:c>
      <x:c r="H547" s="10" t="str">
        <x:v>Domingo</x:v>
      </x:c>
      <x:c r="I547" s="11" t="b">
        <x:v>0</x:v>
      </x:c>
    </x:row>
    <x:row r="548" ht="18" customHeight="1">
      <x:c r="A548" s="16" t="n">
        <x:v>45838</x:v>
      </x:c>
      <x:c r="B548" s="10" t="n">
        <x:v>2025</x:v>
      </x:c>
      <x:c r="C548" s="10" t="n">
        <x:v>2</x:v>
      </x:c>
      <x:c r="D548" s="10" t="n">
        <x:v>6</x:v>
      </x:c>
      <x:c r="E548" s="10" t="str">
        <x:v>Junho</x:v>
      </x:c>
      <x:c r="F548" s="10" t="str">
        <x:v>2025-06</x:v>
      </x:c>
      <x:c r="G548" s="10" t="n">
        <x:v>30</x:v>
      </x:c>
      <x:c r="H548" s="10" t="str">
        <x:v>Segunda-feira</x:v>
      </x:c>
      <x:c r="I548" s="11" t="b">
        <x:v>1</x:v>
      </x:c>
    </x:row>
    <x:row r="549" ht="18" customHeight="1">
      <x:c r="A549" s="16" t="n">
        <x:v>45839</x:v>
      </x:c>
      <x:c r="B549" s="10" t="n">
        <x:v>2025</x:v>
      </x:c>
      <x:c r="C549" s="10" t="n">
        <x:v>3</x:v>
      </x:c>
      <x:c r="D549" s="10" t="n">
        <x:v>7</x:v>
      </x:c>
      <x:c r="E549" s="10" t="str">
        <x:v>Julho</x:v>
      </x:c>
      <x:c r="F549" s="10" t="str">
        <x:v>2025-07</x:v>
      </x:c>
      <x:c r="G549" s="10" t="n">
        <x:v>1</x:v>
      </x:c>
      <x:c r="H549" s="10" t="str">
        <x:v>Terça-feira</x:v>
      </x:c>
      <x:c r="I549" s="11" t="b">
        <x:v>1</x:v>
      </x:c>
    </x:row>
    <x:row r="550" ht="18" customHeight="1">
      <x:c r="A550" s="16" t="n">
        <x:v>45840</x:v>
      </x:c>
      <x:c r="B550" s="10" t="n">
        <x:v>2025</x:v>
      </x:c>
      <x:c r="C550" s="10" t="n">
        <x:v>3</x:v>
      </x:c>
      <x:c r="D550" s="10" t="n">
        <x:v>7</x:v>
      </x:c>
      <x:c r="E550" s="10" t="str">
        <x:v>Julho</x:v>
      </x:c>
      <x:c r="F550" s="10" t="str">
        <x:v>2025-07</x:v>
      </x:c>
      <x:c r="G550" s="10" t="n">
        <x:v>2</x:v>
      </x:c>
      <x:c r="H550" s="10" t="str">
        <x:v>Quarta-feira</x:v>
      </x:c>
      <x:c r="I550" s="11" t="b">
        <x:v>1</x:v>
      </x:c>
    </x:row>
    <x:row r="551" ht="18" customHeight="1">
      <x:c r="A551" s="16" t="n">
        <x:v>45841</x:v>
      </x:c>
      <x:c r="B551" s="10" t="n">
        <x:v>2025</x:v>
      </x:c>
      <x:c r="C551" s="10" t="n">
        <x:v>3</x:v>
      </x:c>
      <x:c r="D551" s="10" t="n">
        <x:v>7</x:v>
      </x:c>
      <x:c r="E551" s="10" t="str">
        <x:v>Julho</x:v>
      </x:c>
      <x:c r="F551" s="10" t="str">
        <x:v>2025-07</x:v>
      </x:c>
      <x:c r="G551" s="10" t="n">
        <x:v>3</x:v>
      </x:c>
      <x:c r="H551" s="10" t="str">
        <x:v>Quinta-feira</x:v>
      </x:c>
      <x:c r="I551" s="11" t="b">
        <x:v>1</x:v>
      </x:c>
    </x:row>
    <x:row r="552" ht="18" customHeight="1">
      <x:c r="A552" s="16" t="n">
        <x:v>45842</x:v>
      </x:c>
      <x:c r="B552" s="10" t="n">
        <x:v>2025</x:v>
      </x:c>
      <x:c r="C552" s="10" t="n">
        <x:v>3</x:v>
      </x:c>
      <x:c r="D552" s="10" t="n">
        <x:v>7</x:v>
      </x:c>
      <x:c r="E552" s="10" t="str">
        <x:v>Julho</x:v>
      </x:c>
      <x:c r="F552" s="10" t="str">
        <x:v>2025-07</x:v>
      </x:c>
      <x:c r="G552" s="10" t="n">
        <x:v>4</x:v>
      </x:c>
      <x:c r="H552" s="10" t="str">
        <x:v>Sexta-feira</x:v>
      </x:c>
      <x:c r="I552" s="11" t="b">
        <x:v>1</x:v>
      </x:c>
    </x:row>
    <x:row r="553" ht="18" customHeight="1">
      <x:c r="A553" s="16" t="n">
        <x:v>45843</x:v>
      </x:c>
      <x:c r="B553" s="10" t="n">
        <x:v>2025</x:v>
      </x:c>
      <x:c r="C553" s="10" t="n">
        <x:v>3</x:v>
      </x:c>
      <x:c r="D553" s="10" t="n">
        <x:v>7</x:v>
      </x:c>
      <x:c r="E553" s="10" t="str">
        <x:v>Julho</x:v>
      </x:c>
      <x:c r="F553" s="10" t="str">
        <x:v>2025-07</x:v>
      </x:c>
      <x:c r="G553" s="10" t="n">
        <x:v>5</x:v>
      </x:c>
      <x:c r="H553" s="10" t="str">
        <x:v>Sábado</x:v>
      </x:c>
      <x:c r="I553" s="11" t="b">
        <x:v>0</x:v>
      </x:c>
    </x:row>
    <x:row r="554" ht="18" customHeight="1">
      <x:c r="A554" s="16" t="n">
        <x:v>45844</x:v>
      </x:c>
      <x:c r="B554" s="10" t="n">
        <x:v>2025</x:v>
      </x:c>
      <x:c r="C554" s="10" t="n">
        <x:v>3</x:v>
      </x:c>
      <x:c r="D554" s="10" t="n">
        <x:v>7</x:v>
      </x:c>
      <x:c r="E554" s="10" t="str">
        <x:v>Julho</x:v>
      </x:c>
      <x:c r="F554" s="10" t="str">
        <x:v>2025-07</x:v>
      </x:c>
      <x:c r="G554" s="10" t="n">
        <x:v>6</x:v>
      </x:c>
      <x:c r="H554" s="10" t="str">
        <x:v>Domingo</x:v>
      </x:c>
      <x:c r="I554" s="11" t="b">
        <x:v>0</x:v>
      </x:c>
    </x:row>
    <x:row r="555" ht="18" customHeight="1">
      <x:c r="A555" s="16" t="n">
        <x:v>45845</x:v>
      </x:c>
      <x:c r="B555" s="10" t="n">
        <x:v>2025</x:v>
      </x:c>
      <x:c r="C555" s="10" t="n">
        <x:v>3</x:v>
      </x:c>
      <x:c r="D555" s="10" t="n">
        <x:v>7</x:v>
      </x:c>
      <x:c r="E555" s="10" t="str">
        <x:v>Julho</x:v>
      </x:c>
      <x:c r="F555" s="10" t="str">
        <x:v>2025-07</x:v>
      </x:c>
      <x:c r="G555" s="10" t="n">
        <x:v>7</x:v>
      </x:c>
      <x:c r="H555" s="10" t="str">
        <x:v>Segunda-feira</x:v>
      </x:c>
      <x:c r="I555" s="11" t="b">
        <x:v>1</x:v>
      </x:c>
    </x:row>
    <x:row r="556" ht="18" customHeight="1">
      <x:c r="A556" s="16" t="n">
        <x:v>45846</x:v>
      </x:c>
      <x:c r="B556" s="10" t="n">
        <x:v>2025</x:v>
      </x:c>
      <x:c r="C556" s="10" t="n">
        <x:v>3</x:v>
      </x:c>
      <x:c r="D556" s="10" t="n">
        <x:v>7</x:v>
      </x:c>
      <x:c r="E556" s="10" t="str">
        <x:v>Julho</x:v>
      </x:c>
      <x:c r="F556" s="10" t="str">
        <x:v>2025-07</x:v>
      </x:c>
      <x:c r="G556" s="10" t="n">
        <x:v>8</x:v>
      </x:c>
      <x:c r="H556" s="10" t="str">
        <x:v>Terça-feira</x:v>
      </x:c>
      <x:c r="I556" s="11" t="b">
        <x:v>1</x:v>
      </x:c>
    </x:row>
    <x:row r="557" ht="18" customHeight="1">
      <x:c r="A557" s="16" t="n">
        <x:v>45847</x:v>
      </x:c>
      <x:c r="B557" s="10" t="n">
        <x:v>2025</x:v>
      </x:c>
      <x:c r="C557" s="10" t="n">
        <x:v>3</x:v>
      </x:c>
      <x:c r="D557" s="10" t="n">
        <x:v>7</x:v>
      </x:c>
      <x:c r="E557" s="10" t="str">
        <x:v>Julho</x:v>
      </x:c>
      <x:c r="F557" s="10" t="str">
        <x:v>2025-07</x:v>
      </x:c>
      <x:c r="G557" s="10" t="n">
        <x:v>9</x:v>
      </x:c>
      <x:c r="H557" s="10" t="str">
        <x:v>Quarta-feira</x:v>
      </x:c>
      <x:c r="I557" s="11" t="b">
        <x:v>1</x:v>
      </x:c>
    </x:row>
    <x:row r="558" ht="18" customHeight="1">
      <x:c r="A558" s="16" t="n">
        <x:v>45848</x:v>
      </x:c>
      <x:c r="B558" s="10" t="n">
        <x:v>2025</x:v>
      </x:c>
      <x:c r="C558" s="10" t="n">
        <x:v>3</x:v>
      </x:c>
      <x:c r="D558" s="10" t="n">
        <x:v>7</x:v>
      </x:c>
      <x:c r="E558" s="10" t="str">
        <x:v>Julho</x:v>
      </x:c>
      <x:c r="F558" s="10" t="str">
        <x:v>2025-07</x:v>
      </x:c>
      <x:c r="G558" s="10" t="n">
        <x:v>10</x:v>
      </x:c>
      <x:c r="H558" s="10" t="str">
        <x:v>Quinta-feira</x:v>
      </x:c>
      <x:c r="I558" s="11" t="b">
        <x:v>1</x:v>
      </x:c>
    </x:row>
    <x:row r="559" ht="18" customHeight="1">
      <x:c r="A559" s="16" t="n">
        <x:v>45849</x:v>
      </x:c>
      <x:c r="B559" s="10" t="n">
        <x:v>2025</x:v>
      </x:c>
      <x:c r="C559" s="10" t="n">
        <x:v>3</x:v>
      </x:c>
      <x:c r="D559" s="10" t="n">
        <x:v>7</x:v>
      </x:c>
      <x:c r="E559" s="10" t="str">
        <x:v>Julho</x:v>
      </x:c>
      <x:c r="F559" s="10" t="str">
        <x:v>2025-07</x:v>
      </x:c>
      <x:c r="G559" s="10" t="n">
        <x:v>11</x:v>
      </x:c>
      <x:c r="H559" s="10" t="str">
        <x:v>Sexta-feira</x:v>
      </x:c>
      <x:c r="I559" s="11" t="b">
        <x:v>1</x:v>
      </x:c>
    </x:row>
    <x:row r="560" ht="18" customHeight="1">
      <x:c r="A560" s="16" t="n">
        <x:v>45850</x:v>
      </x:c>
      <x:c r="B560" s="10" t="n">
        <x:v>2025</x:v>
      </x:c>
      <x:c r="C560" s="10" t="n">
        <x:v>3</x:v>
      </x:c>
      <x:c r="D560" s="10" t="n">
        <x:v>7</x:v>
      </x:c>
      <x:c r="E560" s="10" t="str">
        <x:v>Julho</x:v>
      </x:c>
      <x:c r="F560" s="10" t="str">
        <x:v>2025-07</x:v>
      </x:c>
      <x:c r="G560" s="10" t="n">
        <x:v>12</x:v>
      </x:c>
      <x:c r="H560" s="10" t="str">
        <x:v>Sábado</x:v>
      </x:c>
      <x:c r="I560" s="11" t="b">
        <x:v>0</x:v>
      </x:c>
    </x:row>
    <x:row r="561" ht="18" customHeight="1">
      <x:c r="A561" s="16" t="n">
        <x:v>45851</x:v>
      </x:c>
      <x:c r="B561" s="10" t="n">
        <x:v>2025</x:v>
      </x:c>
      <x:c r="C561" s="10" t="n">
        <x:v>3</x:v>
      </x:c>
      <x:c r="D561" s="10" t="n">
        <x:v>7</x:v>
      </x:c>
      <x:c r="E561" s="10" t="str">
        <x:v>Julho</x:v>
      </x:c>
      <x:c r="F561" s="10" t="str">
        <x:v>2025-07</x:v>
      </x:c>
      <x:c r="G561" s="10" t="n">
        <x:v>13</x:v>
      </x:c>
      <x:c r="H561" s="10" t="str">
        <x:v>Domingo</x:v>
      </x:c>
      <x:c r="I561" s="11" t="b">
        <x:v>0</x:v>
      </x:c>
    </x:row>
    <x:row r="562" ht="18" customHeight="1">
      <x:c r="A562" s="16" t="n">
        <x:v>45852</x:v>
      </x:c>
      <x:c r="B562" s="10" t="n">
        <x:v>2025</x:v>
      </x:c>
      <x:c r="C562" s="10" t="n">
        <x:v>3</x:v>
      </x:c>
      <x:c r="D562" s="10" t="n">
        <x:v>7</x:v>
      </x:c>
      <x:c r="E562" s="10" t="str">
        <x:v>Julho</x:v>
      </x:c>
      <x:c r="F562" s="10" t="str">
        <x:v>2025-07</x:v>
      </x:c>
      <x:c r="G562" s="10" t="n">
        <x:v>14</x:v>
      </x:c>
      <x:c r="H562" s="10" t="str">
        <x:v>Segunda-feira</x:v>
      </x:c>
      <x:c r="I562" s="11" t="b">
        <x:v>1</x:v>
      </x:c>
    </x:row>
    <x:row r="563" ht="18" customHeight="1">
      <x:c r="A563" s="16" t="n">
        <x:v>45853</x:v>
      </x:c>
      <x:c r="B563" s="10" t="n">
        <x:v>2025</x:v>
      </x:c>
      <x:c r="C563" s="10" t="n">
        <x:v>3</x:v>
      </x:c>
      <x:c r="D563" s="10" t="n">
        <x:v>7</x:v>
      </x:c>
      <x:c r="E563" s="10" t="str">
        <x:v>Julho</x:v>
      </x:c>
      <x:c r="F563" s="10" t="str">
        <x:v>2025-07</x:v>
      </x:c>
      <x:c r="G563" s="10" t="n">
        <x:v>15</x:v>
      </x:c>
      <x:c r="H563" s="10" t="str">
        <x:v>Terça-feira</x:v>
      </x:c>
      <x:c r="I563" s="11" t="b">
        <x:v>1</x:v>
      </x:c>
    </x:row>
    <x:row r="564" ht="18" customHeight="1">
      <x:c r="A564" s="16" t="n">
        <x:v>45854</x:v>
      </x:c>
      <x:c r="B564" s="10" t="n">
        <x:v>2025</x:v>
      </x:c>
      <x:c r="C564" s="10" t="n">
        <x:v>3</x:v>
      </x:c>
      <x:c r="D564" s="10" t="n">
        <x:v>7</x:v>
      </x:c>
      <x:c r="E564" s="10" t="str">
        <x:v>Julho</x:v>
      </x:c>
      <x:c r="F564" s="10" t="str">
        <x:v>2025-07</x:v>
      </x:c>
      <x:c r="G564" s="10" t="n">
        <x:v>16</x:v>
      </x:c>
      <x:c r="H564" s="10" t="str">
        <x:v>Quarta-feira</x:v>
      </x:c>
      <x:c r="I564" s="11" t="b">
        <x:v>1</x:v>
      </x:c>
    </x:row>
    <x:row r="565" ht="18" customHeight="1">
      <x:c r="A565" s="16" t="n">
        <x:v>45855</x:v>
      </x:c>
      <x:c r="B565" s="10" t="n">
        <x:v>2025</x:v>
      </x:c>
      <x:c r="C565" s="10" t="n">
        <x:v>3</x:v>
      </x:c>
      <x:c r="D565" s="10" t="n">
        <x:v>7</x:v>
      </x:c>
      <x:c r="E565" s="10" t="str">
        <x:v>Julho</x:v>
      </x:c>
      <x:c r="F565" s="10" t="str">
        <x:v>2025-07</x:v>
      </x:c>
      <x:c r="G565" s="10" t="n">
        <x:v>17</x:v>
      </x:c>
      <x:c r="H565" s="10" t="str">
        <x:v>Quinta-feira</x:v>
      </x:c>
      <x:c r="I565" s="11" t="b">
        <x:v>1</x:v>
      </x:c>
    </x:row>
    <x:row r="566" ht="18" customHeight="1">
      <x:c r="A566" s="16" t="n">
        <x:v>45856</x:v>
      </x:c>
      <x:c r="B566" s="10" t="n">
        <x:v>2025</x:v>
      </x:c>
      <x:c r="C566" s="10" t="n">
        <x:v>3</x:v>
      </x:c>
      <x:c r="D566" s="10" t="n">
        <x:v>7</x:v>
      </x:c>
      <x:c r="E566" s="10" t="str">
        <x:v>Julho</x:v>
      </x:c>
      <x:c r="F566" s="10" t="str">
        <x:v>2025-07</x:v>
      </x:c>
      <x:c r="G566" s="10" t="n">
        <x:v>18</x:v>
      </x:c>
      <x:c r="H566" s="10" t="str">
        <x:v>Sexta-feira</x:v>
      </x:c>
      <x:c r="I566" s="11" t="b">
        <x:v>1</x:v>
      </x:c>
    </x:row>
    <x:row r="567" ht="18" customHeight="1">
      <x:c r="A567" s="16" t="n">
        <x:v>45857</x:v>
      </x:c>
      <x:c r="B567" s="10" t="n">
        <x:v>2025</x:v>
      </x:c>
      <x:c r="C567" s="10" t="n">
        <x:v>3</x:v>
      </x:c>
      <x:c r="D567" s="10" t="n">
        <x:v>7</x:v>
      </x:c>
      <x:c r="E567" s="10" t="str">
        <x:v>Julho</x:v>
      </x:c>
      <x:c r="F567" s="10" t="str">
        <x:v>2025-07</x:v>
      </x:c>
      <x:c r="G567" s="10" t="n">
        <x:v>19</x:v>
      </x:c>
      <x:c r="H567" s="10" t="str">
        <x:v>Sábado</x:v>
      </x:c>
      <x:c r="I567" s="11" t="b">
        <x:v>0</x:v>
      </x:c>
    </x:row>
    <x:row r="568" ht="18" customHeight="1">
      <x:c r="A568" s="16" t="n">
        <x:v>45858</x:v>
      </x:c>
      <x:c r="B568" s="10" t="n">
        <x:v>2025</x:v>
      </x:c>
      <x:c r="C568" s="10" t="n">
        <x:v>3</x:v>
      </x:c>
      <x:c r="D568" s="10" t="n">
        <x:v>7</x:v>
      </x:c>
      <x:c r="E568" s="10" t="str">
        <x:v>Julho</x:v>
      </x:c>
      <x:c r="F568" s="10" t="str">
        <x:v>2025-07</x:v>
      </x:c>
      <x:c r="G568" s="10" t="n">
        <x:v>20</x:v>
      </x:c>
      <x:c r="H568" s="10" t="str">
        <x:v>Domingo</x:v>
      </x:c>
      <x:c r="I568" s="11" t="b">
        <x:v>0</x:v>
      </x:c>
    </x:row>
    <x:row r="569" ht="18" customHeight="1">
      <x:c r="A569" s="16" t="n">
        <x:v>45859</x:v>
      </x:c>
      <x:c r="B569" s="10" t="n">
        <x:v>2025</x:v>
      </x:c>
      <x:c r="C569" s="10" t="n">
        <x:v>3</x:v>
      </x:c>
      <x:c r="D569" s="10" t="n">
        <x:v>7</x:v>
      </x:c>
      <x:c r="E569" s="10" t="str">
        <x:v>Julho</x:v>
      </x:c>
      <x:c r="F569" s="10" t="str">
        <x:v>2025-07</x:v>
      </x:c>
      <x:c r="G569" s="10" t="n">
        <x:v>21</x:v>
      </x:c>
      <x:c r="H569" s="10" t="str">
        <x:v>Segunda-feira</x:v>
      </x:c>
      <x:c r="I569" s="11" t="b">
        <x:v>1</x:v>
      </x:c>
    </x:row>
    <x:row r="570" ht="18" customHeight="1">
      <x:c r="A570" s="16" t="n">
        <x:v>45860</x:v>
      </x:c>
      <x:c r="B570" s="10" t="n">
        <x:v>2025</x:v>
      </x:c>
      <x:c r="C570" s="10" t="n">
        <x:v>3</x:v>
      </x:c>
      <x:c r="D570" s="10" t="n">
        <x:v>7</x:v>
      </x:c>
      <x:c r="E570" s="10" t="str">
        <x:v>Julho</x:v>
      </x:c>
      <x:c r="F570" s="10" t="str">
        <x:v>2025-07</x:v>
      </x:c>
      <x:c r="G570" s="10" t="n">
        <x:v>22</x:v>
      </x:c>
      <x:c r="H570" s="10" t="str">
        <x:v>Terça-feira</x:v>
      </x:c>
      <x:c r="I570" s="11" t="b">
        <x:v>1</x:v>
      </x:c>
    </x:row>
    <x:row r="571" ht="18" customHeight="1">
      <x:c r="A571" s="16" t="n">
        <x:v>45861</x:v>
      </x:c>
      <x:c r="B571" s="10" t="n">
        <x:v>2025</x:v>
      </x:c>
      <x:c r="C571" s="10" t="n">
        <x:v>3</x:v>
      </x:c>
      <x:c r="D571" s="10" t="n">
        <x:v>7</x:v>
      </x:c>
      <x:c r="E571" s="10" t="str">
        <x:v>Julho</x:v>
      </x:c>
      <x:c r="F571" s="10" t="str">
        <x:v>2025-07</x:v>
      </x:c>
      <x:c r="G571" s="10" t="n">
        <x:v>23</x:v>
      </x:c>
      <x:c r="H571" s="10" t="str">
        <x:v>Quarta-feira</x:v>
      </x:c>
      <x:c r="I571" s="11" t="b">
        <x:v>1</x:v>
      </x:c>
    </x:row>
    <x:row r="572" ht="18" customHeight="1">
      <x:c r="A572" s="16" t="n">
        <x:v>45862</x:v>
      </x:c>
      <x:c r="B572" s="10" t="n">
        <x:v>2025</x:v>
      </x:c>
      <x:c r="C572" s="10" t="n">
        <x:v>3</x:v>
      </x:c>
      <x:c r="D572" s="10" t="n">
        <x:v>7</x:v>
      </x:c>
      <x:c r="E572" s="10" t="str">
        <x:v>Julho</x:v>
      </x:c>
      <x:c r="F572" s="10" t="str">
        <x:v>2025-07</x:v>
      </x:c>
      <x:c r="G572" s="10" t="n">
        <x:v>24</x:v>
      </x:c>
      <x:c r="H572" s="10" t="str">
        <x:v>Quinta-feira</x:v>
      </x:c>
      <x:c r="I572" s="11" t="b">
        <x:v>1</x:v>
      </x:c>
    </x:row>
    <x:row r="573" ht="18" customHeight="1">
      <x:c r="A573" s="16" t="n">
        <x:v>45863</x:v>
      </x:c>
      <x:c r="B573" s="10" t="n">
        <x:v>2025</x:v>
      </x:c>
      <x:c r="C573" s="10" t="n">
        <x:v>3</x:v>
      </x:c>
      <x:c r="D573" s="10" t="n">
        <x:v>7</x:v>
      </x:c>
      <x:c r="E573" s="10" t="str">
        <x:v>Julho</x:v>
      </x:c>
      <x:c r="F573" s="10" t="str">
        <x:v>2025-07</x:v>
      </x:c>
      <x:c r="G573" s="10" t="n">
        <x:v>25</x:v>
      </x:c>
      <x:c r="H573" s="10" t="str">
        <x:v>Sexta-feira</x:v>
      </x:c>
      <x:c r="I573" s="11" t="b">
        <x:v>1</x:v>
      </x:c>
    </x:row>
    <x:row r="574" ht="18" customHeight="1">
      <x:c r="A574" s="16" t="n">
        <x:v>45864</x:v>
      </x:c>
      <x:c r="B574" s="10" t="n">
        <x:v>2025</x:v>
      </x:c>
      <x:c r="C574" s="10" t="n">
        <x:v>3</x:v>
      </x:c>
      <x:c r="D574" s="10" t="n">
        <x:v>7</x:v>
      </x:c>
      <x:c r="E574" s="10" t="str">
        <x:v>Julho</x:v>
      </x:c>
      <x:c r="F574" s="10" t="str">
        <x:v>2025-07</x:v>
      </x:c>
      <x:c r="G574" s="10" t="n">
        <x:v>26</x:v>
      </x:c>
      <x:c r="H574" s="10" t="str">
        <x:v>Sábado</x:v>
      </x:c>
      <x:c r="I574" s="11" t="b">
        <x:v>0</x:v>
      </x:c>
    </x:row>
    <x:row r="575" ht="18" customHeight="1">
      <x:c r="A575" s="16" t="n">
        <x:v>45865</x:v>
      </x:c>
      <x:c r="B575" s="10" t="n">
        <x:v>2025</x:v>
      </x:c>
      <x:c r="C575" s="10" t="n">
        <x:v>3</x:v>
      </x:c>
      <x:c r="D575" s="10" t="n">
        <x:v>7</x:v>
      </x:c>
      <x:c r="E575" s="10" t="str">
        <x:v>Julho</x:v>
      </x:c>
      <x:c r="F575" s="10" t="str">
        <x:v>2025-07</x:v>
      </x:c>
      <x:c r="G575" s="10" t="n">
        <x:v>27</x:v>
      </x:c>
      <x:c r="H575" s="10" t="str">
        <x:v>Domingo</x:v>
      </x:c>
      <x:c r="I575" s="11" t="b">
        <x:v>0</x:v>
      </x:c>
    </x:row>
    <x:row r="576" ht="18" customHeight="1">
      <x:c r="A576" s="16" t="n">
        <x:v>45866</x:v>
      </x:c>
      <x:c r="B576" s="10" t="n">
        <x:v>2025</x:v>
      </x:c>
      <x:c r="C576" s="10" t="n">
        <x:v>3</x:v>
      </x:c>
      <x:c r="D576" s="10" t="n">
        <x:v>7</x:v>
      </x:c>
      <x:c r="E576" s="10" t="str">
        <x:v>Julho</x:v>
      </x:c>
      <x:c r="F576" s="10" t="str">
        <x:v>2025-07</x:v>
      </x:c>
      <x:c r="G576" s="10" t="n">
        <x:v>28</x:v>
      </x:c>
      <x:c r="H576" s="10" t="str">
        <x:v>Segunda-feira</x:v>
      </x:c>
      <x:c r="I576" s="11" t="b">
        <x:v>1</x:v>
      </x:c>
    </x:row>
    <x:row r="577" ht="18" customHeight="1">
      <x:c r="A577" s="16" t="n">
        <x:v>45867</x:v>
      </x:c>
      <x:c r="B577" s="10" t="n">
        <x:v>2025</x:v>
      </x:c>
      <x:c r="C577" s="10" t="n">
        <x:v>3</x:v>
      </x:c>
      <x:c r="D577" s="10" t="n">
        <x:v>7</x:v>
      </x:c>
      <x:c r="E577" s="10" t="str">
        <x:v>Julho</x:v>
      </x:c>
      <x:c r="F577" s="10" t="str">
        <x:v>2025-07</x:v>
      </x:c>
      <x:c r="G577" s="10" t="n">
        <x:v>29</x:v>
      </x:c>
      <x:c r="H577" s="10" t="str">
        <x:v>Terça-feira</x:v>
      </x:c>
      <x:c r="I577" s="11" t="b">
        <x:v>1</x:v>
      </x:c>
    </x:row>
    <x:row r="578" ht="18" customHeight="1">
      <x:c r="A578" s="16" t="n">
        <x:v>45868</x:v>
      </x:c>
      <x:c r="B578" s="10" t="n">
        <x:v>2025</x:v>
      </x:c>
      <x:c r="C578" s="10" t="n">
        <x:v>3</x:v>
      </x:c>
      <x:c r="D578" s="10" t="n">
        <x:v>7</x:v>
      </x:c>
      <x:c r="E578" s="10" t="str">
        <x:v>Julho</x:v>
      </x:c>
      <x:c r="F578" s="10" t="str">
        <x:v>2025-07</x:v>
      </x:c>
      <x:c r="G578" s="10" t="n">
        <x:v>30</x:v>
      </x:c>
      <x:c r="H578" s="10" t="str">
        <x:v>Quarta-feira</x:v>
      </x:c>
      <x:c r="I578" s="11" t="b">
        <x:v>1</x:v>
      </x:c>
    </x:row>
    <x:row r="579" ht="18" customHeight="1">
      <x:c r="A579" s="16" t="n">
        <x:v>45869</x:v>
      </x:c>
      <x:c r="B579" s="10" t="n">
        <x:v>2025</x:v>
      </x:c>
      <x:c r="C579" s="10" t="n">
        <x:v>3</x:v>
      </x:c>
      <x:c r="D579" s="10" t="n">
        <x:v>7</x:v>
      </x:c>
      <x:c r="E579" s="10" t="str">
        <x:v>Julho</x:v>
      </x:c>
      <x:c r="F579" s="10" t="str">
        <x:v>2025-07</x:v>
      </x:c>
      <x:c r="G579" s="10" t="n">
        <x:v>31</x:v>
      </x:c>
      <x:c r="H579" s="10" t="str">
        <x:v>Quinta-feira</x:v>
      </x:c>
      <x:c r="I579" s="11" t="b">
        <x:v>1</x:v>
      </x:c>
    </x:row>
    <x:row r="580" ht="18" customHeight="1">
      <x:c r="A580" s="16" t="n">
        <x:v>45870</x:v>
      </x:c>
      <x:c r="B580" s="10" t="n">
        <x:v>2025</x:v>
      </x:c>
      <x:c r="C580" s="10" t="n">
        <x:v>3</x:v>
      </x:c>
      <x:c r="D580" s="10" t="n">
        <x:v>8</x:v>
      </x:c>
      <x:c r="E580" s="10" t="str">
        <x:v>Agosto</x:v>
      </x:c>
      <x:c r="F580" s="10" t="str">
        <x:v>2025-08</x:v>
      </x:c>
      <x:c r="G580" s="10" t="n">
        <x:v>1</x:v>
      </x:c>
      <x:c r="H580" s="10" t="str">
        <x:v>Sexta-feira</x:v>
      </x:c>
      <x:c r="I580" s="11" t="b">
        <x:v>1</x:v>
      </x:c>
    </x:row>
    <x:row r="581" ht="18" customHeight="1">
      <x:c r="A581" s="16" t="n">
        <x:v>45871</x:v>
      </x:c>
      <x:c r="B581" s="10" t="n">
        <x:v>2025</x:v>
      </x:c>
      <x:c r="C581" s="10" t="n">
        <x:v>3</x:v>
      </x:c>
      <x:c r="D581" s="10" t="n">
        <x:v>8</x:v>
      </x:c>
      <x:c r="E581" s="10" t="str">
        <x:v>Agosto</x:v>
      </x:c>
      <x:c r="F581" s="10" t="str">
        <x:v>2025-08</x:v>
      </x:c>
      <x:c r="G581" s="10" t="n">
        <x:v>2</x:v>
      </x:c>
      <x:c r="H581" s="10" t="str">
        <x:v>Sábado</x:v>
      </x:c>
      <x:c r="I581" s="11" t="b">
        <x:v>0</x:v>
      </x:c>
    </x:row>
    <x:row r="582" ht="18" customHeight="1">
      <x:c r="A582" s="16" t="n">
        <x:v>45872</x:v>
      </x:c>
      <x:c r="B582" s="10" t="n">
        <x:v>2025</x:v>
      </x:c>
      <x:c r="C582" s="10" t="n">
        <x:v>3</x:v>
      </x:c>
      <x:c r="D582" s="10" t="n">
        <x:v>8</x:v>
      </x:c>
      <x:c r="E582" s="10" t="str">
        <x:v>Agosto</x:v>
      </x:c>
      <x:c r="F582" s="10" t="str">
        <x:v>2025-08</x:v>
      </x:c>
      <x:c r="G582" s="10" t="n">
        <x:v>3</x:v>
      </x:c>
      <x:c r="H582" s="10" t="str">
        <x:v>Domingo</x:v>
      </x:c>
      <x:c r="I582" s="11" t="b">
        <x:v>0</x:v>
      </x:c>
    </x:row>
    <x:row r="583" ht="18" customHeight="1">
      <x:c r="A583" s="16" t="n">
        <x:v>45873</x:v>
      </x:c>
      <x:c r="B583" s="10" t="n">
        <x:v>2025</x:v>
      </x:c>
      <x:c r="C583" s="10" t="n">
        <x:v>3</x:v>
      </x:c>
      <x:c r="D583" s="10" t="n">
        <x:v>8</x:v>
      </x:c>
      <x:c r="E583" s="10" t="str">
        <x:v>Agosto</x:v>
      </x:c>
      <x:c r="F583" s="10" t="str">
        <x:v>2025-08</x:v>
      </x:c>
      <x:c r="G583" s="10" t="n">
        <x:v>4</x:v>
      </x:c>
      <x:c r="H583" s="10" t="str">
        <x:v>Segunda-feira</x:v>
      </x:c>
      <x:c r="I583" s="11" t="b">
        <x:v>1</x:v>
      </x:c>
    </x:row>
    <x:row r="584" ht="18" customHeight="1">
      <x:c r="A584" s="16" t="n">
        <x:v>45874</x:v>
      </x:c>
      <x:c r="B584" s="10" t="n">
        <x:v>2025</x:v>
      </x:c>
      <x:c r="C584" s="10" t="n">
        <x:v>3</x:v>
      </x:c>
      <x:c r="D584" s="10" t="n">
        <x:v>8</x:v>
      </x:c>
      <x:c r="E584" s="10" t="str">
        <x:v>Agosto</x:v>
      </x:c>
      <x:c r="F584" s="10" t="str">
        <x:v>2025-08</x:v>
      </x:c>
      <x:c r="G584" s="10" t="n">
        <x:v>5</x:v>
      </x:c>
      <x:c r="H584" s="10" t="str">
        <x:v>Terça-feira</x:v>
      </x:c>
      <x:c r="I584" s="11" t="b">
        <x:v>1</x:v>
      </x:c>
    </x:row>
    <x:row r="585" ht="18" customHeight="1">
      <x:c r="A585" s="16" t="n">
        <x:v>45875</x:v>
      </x:c>
      <x:c r="B585" s="10" t="n">
        <x:v>2025</x:v>
      </x:c>
      <x:c r="C585" s="10" t="n">
        <x:v>3</x:v>
      </x:c>
      <x:c r="D585" s="10" t="n">
        <x:v>8</x:v>
      </x:c>
      <x:c r="E585" s="10" t="str">
        <x:v>Agosto</x:v>
      </x:c>
      <x:c r="F585" s="10" t="str">
        <x:v>2025-08</x:v>
      </x:c>
      <x:c r="G585" s="10" t="n">
        <x:v>6</x:v>
      </x:c>
      <x:c r="H585" s="10" t="str">
        <x:v>Quarta-feira</x:v>
      </x:c>
      <x:c r="I585" s="11" t="b">
        <x:v>1</x:v>
      </x:c>
    </x:row>
    <x:row r="586" ht="18" customHeight="1">
      <x:c r="A586" s="16" t="n">
        <x:v>45876</x:v>
      </x:c>
      <x:c r="B586" s="10" t="n">
        <x:v>2025</x:v>
      </x:c>
      <x:c r="C586" s="10" t="n">
        <x:v>3</x:v>
      </x:c>
      <x:c r="D586" s="10" t="n">
        <x:v>8</x:v>
      </x:c>
      <x:c r="E586" s="10" t="str">
        <x:v>Agosto</x:v>
      </x:c>
      <x:c r="F586" s="10" t="str">
        <x:v>2025-08</x:v>
      </x:c>
      <x:c r="G586" s="10" t="n">
        <x:v>7</x:v>
      </x:c>
      <x:c r="H586" s="10" t="str">
        <x:v>Quinta-feira</x:v>
      </x:c>
      <x:c r="I586" s="11" t="b">
        <x:v>1</x:v>
      </x:c>
    </x:row>
    <x:row r="587" ht="18" customHeight="1">
      <x:c r="A587" s="16" t="n">
        <x:v>45877</x:v>
      </x:c>
      <x:c r="B587" s="10" t="n">
        <x:v>2025</x:v>
      </x:c>
      <x:c r="C587" s="10" t="n">
        <x:v>3</x:v>
      </x:c>
      <x:c r="D587" s="10" t="n">
        <x:v>8</x:v>
      </x:c>
      <x:c r="E587" s="10" t="str">
        <x:v>Agosto</x:v>
      </x:c>
      <x:c r="F587" s="10" t="str">
        <x:v>2025-08</x:v>
      </x:c>
      <x:c r="G587" s="10" t="n">
        <x:v>8</x:v>
      </x:c>
      <x:c r="H587" s="10" t="str">
        <x:v>Sexta-feira</x:v>
      </x:c>
      <x:c r="I587" s="11" t="b">
        <x:v>1</x:v>
      </x:c>
    </x:row>
    <x:row r="588" ht="18" customHeight="1">
      <x:c r="A588" s="16" t="n">
        <x:v>45878</x:v>
      </x:c>
      <x:c r="B588" s="10" t="n">
        <x:v>2025</x:v>
      </x:c>
      <x:c r="C588" s="10" t="n">
        <x:v>3</x:v>
      </x:c>
      <x:c r="D588" s="10" t="n">
        <x:v>8</x:v>
      </x:c>
      <x:c r="E588" s="10" t="str">
        <x:v>Agosto</x:v>
      </x:c>
      <x:c r="F588" s="10" t="str">
        <x:v>2025-08</x:v>
      </x:c>
      <x:c r="G588" s="10" t="n">
        <x:v>9</x:v>
      </x:c>
      <x:c r="H588" s="10" t="str">
        <x:v>Sábado</x:v>
      </x:c>
      <x:c r="I588" s="11" t="b">
        <x:v>0</x:v>
      </x:c>
    </x:row>
    <x:row r="589" ht="18" customHeight="1">
      <x:c r="A589" s="16" t="n">
        <x:v>45879</x:v>
      </x:c>
      <x:c r="B589" s="10" t="n">
        <x:v>2025</x:v>
      </x:c>
      <x:c r="C589" s="10" t="n">
        <x:v>3</x:v>
      </x:c>
      <x:c r="D589" s="10" t="n">
        <x:v>8</x:v>
      </x:c>
      <x:c r="E589" s="10" t="str">
        <x:v>Agosto</x:v>
      </x:c>
      <x:c r="F589" s="10" t="str">
        <x:v>2025-08</x:v>
      </x:c>
      <x:c r="G589" s="10" t="n">
        <x:v>10</x:v>
      </x:c>
      <x:c r="H589" s="10" t="str">
        <x:v>Domingo</x:v>
      </x:c>
      <x:c r="I589" s="11" t="b">
        <x:v>0</x:v>
      </x:c>
    </x:row>
    <x:row r="590" ht="18" customHeight="1">
      <x:c r="A590" s="16" t="n">
        <x:v>45880</x:v>
      </x:c>
      <x:c r="B590" s="10" t="n">
        <x:v>2025</x:v>
      </x:c>
      <x:c r="C590" s="10" t="n">
        <x:v>3</x:v>
      </x:c>
      <x:c r="D590" s="10" t="n">
        <x:v>8</x:v>
      </x:c>
      <x:c r="E590" s="10" t="str">
        <x:v>Agosto</x:v>
      </x:c>
      <x:c r="F590" s="10" t="str">
        <x:v>2025-08</x:v>
      </x:c>
      <x:c r="G590" s="10" t="n">
        <x:v>11</x:v>
      </x:c>
      <x:c r="H590" s="10" t="str">
        <x:v>Segunda-feira</x:v>
      </x:c>
      <x:c r="I590" s="11" t="b">
        <x:v>1</x:v>
      </x:c>
    </x:row>
    <x:row r="591" ht="18" customHeight="1">
      <x:c r="A591" s="16" t="n">
        <x:v>45881</x:v>
      </x:c>
      <x:c r="B591" s="10" t="n">
        <x:v>2025</x:v>
      </x:c>
      <x:c r="C591" s="10" t="n">
        <x:v>3</x:v>
      </x:c>
      <x:c r="D591" s="10" t="n">
        <x:v>8</x:v>
      </x:c>
      <x:c r="E591" s="10" t="str">
        <x:v>Agosto</x:v>
      </x:c>
      <x:c r="F591" s="10" t="str">
        <x:v>2025-08</x:v>
      </x:c>
      <x:c r="G591" s="10" t="n">
        <x:v>12</x:v>
      </x:c>
      <x:c r="H591" s="10" t="str">
        <x:v>Terça-feira</x:v>
      </x:c>
      <x:c r="I591" s="11" t="b">
        <x:v>1</x:v>
      </x:c>
    </x:row>
    <x:row r="592" ht="18" customHeight="1">
      <x:c r="A592" s="16" t="n">
        <x:v>45882</x:v>
      </x:c>
      <x:c r="B592" s="10" t="n">
        <x:v>2025</x:v>
      </x:c>
      <x:c r="C592" s="10" t="n">
        <x:v>3</x:v>
      </x:c>
      <x:c r="D592" s="10" t="n">
        <x:v>8</x:v>
      </x:c>
      <x:c r="E592" s="10" t="str">
        <x:v>Agosto</x:v>
      </x:c>
      <x:c r="F592" s="10" t="str">
        <x:v>2025-08</x:v>
      </x:c>
      <x:c r="G592" s="10" t="n">
        <x:v>13</x:v>
      </x:c>
      <x:c r="H592" s="10" t="str">
        <x:v>Quarta-feira</x:v>
      </x:c>
      <x:c r="I592" s="11" t="b">
        <x:v>1</x:v>
      </x:c>
    </x:row>
    <x:row r="593" ht="18" customHeight="1">
      <x:c r="A593" s="16" t="n">
        <x:v>45883</x:v>
      </x:c>
      <x:c r="B593" s="10" t="n">
        <x:v>2025</x:v>
      </x:c>
      <x:c r="C593" s="10" t="n">
        <x:v>3</x:v>
      </x:c>
      <x:c r="D593" s="10" t="n">
        <x:v>8</x:v>
      </x:c>
      <x:c r="E593" s="10" t="str">
        <x:v>Agosto</x:v>
      </x:c>
      <x:c r="F593" s="10" t="str">
        <x:v>2025-08</x:v>
      </x:c>
      <x:c r="G593" s="10" t="n">
        <x:v>14</x:v>
      </x:c>
      <x:c r="H593" s="10" t="str">
        <x:v>Quinta-feira</x:v>
      </x:c>
      <x:c r="I593" s="11" t="b">
        <x:v>1</x:v>
      </x:c>
    </x:row>
    <x:row r="594" ht="18" customHeight="1">
      <x:c r="A594" s="16" t="n">
        <x:v>45884</x:v>
      </x:c>
      <x:c r="B594" s="10" t="n">
        <x:v>2025</x:v>
      </x:c>
      <x:c r="C594" s="10" t="n">
        <x:v>3</x:v>
      </x:c>
      <x:c r="D594" s="10" t="n">
        <x:v>8</x:v>
      </x:c>
      <x:c r="E594" s="10" t="str">
        <x:v>Agosto</x:v>
      </x:c>
      <x:c r="F594" s="10" t="str">
        <x:v>2025-08</x:v>
      </x:c>
      <x:c r="G594" s="10" t="n">
        <x:v>15</x:v>
      </x:c>
      <x:c r="H594" s="10" t="str">
        <x:v>Sexta-feira</x:v>
      </x:c>
      <x:c r="I594" s="11" t="b">
        <x:v>1</x:v>
      </x:c>
    </x:row>
    <x:row r="595" ht="18" customHeight="1">
      <x:c r="A595" s="16" t="n">
        <x:v>45885</x:v>
      </x:c>
      <x:c r="B595" s="10" t="n">
        <x:v>2025</x:v>
      </x:c>
      <x:c r="C595" s="10" t="n">
        <x:v>3</x:v>
      </x:c>
      <x:c r="D595" s="10" t="n">
        <x:v>8</x:v>
      </x:c>
      <x:c r="E595" s="10" t="str">
        <x:v>Agosto</x:v>
      </x:c>
      <x:c r="F595" s="10" t="str">
        <x:v>2025-08</x:v>
      </x:c>
      <x:c r="G595" s="10" t="n">
        <x:v>16</x:v>
      </x:c>
      <x:c r="H595" s="10" t="str">
        <x:v>Sábado</x:v>
      </x:c>
      <x:c r="I595" s="11" t="b">
        <x:v>0</x:v>
      </x:c>
    </x:row>
    <x:row r="596" ht="18" customHeight="1">
      <x:c r="A596" s="16" t="n">
        <x:v>45886</x:v>
      </x:c>
      <x:c r="B596" s="10" t="n">
        <x:v>2025</x:v>
      </x:c>
      <x:c r="C596" s="10" t="n">
        <x:v>3</x:v>
      </x:c>
      <x:c r="D596" s="10" t="n">
        <x:v>8</x:v>
      </x:c>
      <x:c r="E596" s="10" t="str">
        <x:v>Agosto</x:v>
      </x:c>
      <x:c r="F596" s="10" t="str">
        <x:v>2025-08</x:v>
      </x:c>
      <x:c r="G596" s="10" t="n">
        <x:v>17</x:v>
      </x:c>
      <x:c r="H596" s="10" t="str">
        <x:v>Domingo</x:v>
      </x:c>
      <x:c r="I596" s="11" t="b">
        <x:v>0</x:v>
      </x:c>
    </x:row>
    <x:row r="597" ht="18" customHeight="1">
      <x:c r="A597" s="16" t="n">
        <x:v>45887</x:v>
      </x:c>
      <x:c r="B597" s="10" t="n">
        <x:v>2025</x:v>
      </x:c>
      <x:c r="C597" s="10" t="n">
        <x:v>3</x:v>
      </x:c>
      <x:c r="D597" s="10" t="n">
        <x:v>8</x:v>
      </x:c>
      <x:c r="E597" s="10" t="str">
        <x:v>Agosto</x:v>
      </x:c>
      <x:c r="F597" s="10" t="str">
        <x:v>2025-08</x:v>
      </x:c>
      <x:c r="G597" s="10" t="n">
        <x:v>18</x:v>
      </x:c>
      <x:c r="H597" s="10" t="str">
        <x:v>Segunda-feira</x:v>
      </x:c>
      <x:c r="I597" s="11" t="b">
        <x:v>1</x:v>
      </x:c>
    </x:row>
    <x:row r="598" ht="18" customHeight="1">
      <x:c r="A598" s="16" t="n">
        <x:v>45888</x:v>
      </x:c>
      <x:c r="B598" s="10" t="n">
        <x:v>2025</x:v>
      </x:c>
      <x:c r="C598" s="10" t="n">
        <x:v>3</x:v>
      </x:c>
      <x:c r="D598" s="10" t="n">
        <x:v>8</x:v>
      </x:c>
      <x:c r="E598" s="10" t="str">
        <x:v>Agosto</x:v>
      </x:c>
      <x:c r="F598" s="10" t="str">
        <x:v>2025-08</x:v>
      </x:c>
      <x:c r="G598" s="10" t="n">
        <x:v>19</x:v>
      </x:c>
      <x:c r="H598" s="10" t="str">
        <x:v>Terça-feira</x:v>
      </x:c>
      <x:c r="I598" s="11" t="b">
        <x:v>1</x:v>
      </x:c>
    </x:row>
    <x:row r="599" ht="18" customHeight="1">
      <x:c r="A599" s="16" t="n">
        <x:v>45889</x:v>
      </x:c>
      <x:c r="B599" s="10" t="n">
        <x:v>2025</x:v>
      </x:c>
      <x:c r="C599" s="10" t="n">
        <x:v>3</x:v>
      </x:c>
      <x:c r="D599" s="10" t="n">
        <x:v>8</x:v>
      </x:c>
      <x:c r="E599" s="10" t="str">
        <x:v>Agosto</x:v>
      </x:c>
      <x:c r="F599" s="10" t="str">
        <x:v>2025-08</x:v>
      </x:c>
      <x:c r="G599" s="10" t="n">
        <x:v>20</x:v>
      </x:c>
      <x:c r="H599" s="10" t="str">
        <x:v>Quarta-feira</x:v>
      </x:c>
      <x:c r="I599" s="11" t="b">
        <x:v>1</x:v>
      </x:c>
    </x:row>
    <x:row r="600" ht="18" customHeight="1">
      <x:c r="A600" s="16" t="n">
        <x:v>45890</x:v>
      </x:c>
      <x:c r="B600" s="10" t="n">
        <x:v>2025</x:v>
      </x:c>
      <x:c r="C600" s="10" t="n">
        <x:v>3</x:v>
      </x:c>
      <x:c r="D600" s="10" t="n">
        <x:v>8</x:v>
      </x:c>
      <x:c r="E600" s="10" t="str">
        <x:v>Agosto</x:v>
      </x:c>
      <x:c r="F600" s="10" t="str">
        <x:v>2025-08</x:v>
      </x:c>
      <x:c r="G600" s="10" t="n">
        <x:v>21</x:v>
      </x:c>
      <x:c r="H600" s="10" t="str">
        <x:v>Quinta-feira</x:v>
      </x:c>
      <x:c r="I600" s="11" t="b">
        <x:v>1</x:v>
      </x:c>
    </x:row>
    <x:row r="601" ht="18" customHeight="1">
      <x:c r="A601" s="16" t="n">
        <x:v>45891</x:v>
      </x:c>
      <x:c r="B601" s="10" t="n">
        <x:v>2025</x:v>
      </x:c>
      <x:c r="C601" s="10" t="n">
        <x:v>3</x:v>
      </x:c>
      <x:c r="D601" s="10" t="n">
        <x:v>8</x:v>
      </x:c>
      <x:c r="E601" s="10" t="str">
        <x:v>Agosto</x:v>
      </x:c>
      <x:c r="F601" s="10" t="str">
        <x:v>2025-08</x:v>
      </x:c>
      <x:c r="G601" s="10" t="n">
        <x:v>22</x:v>
      </x:c>
      <x:c r="H601" s="10" t="str">
        <x:v>Sexta-feira</x:v>
      </x:c>
      <x:c r="I601" s="11" t="b">
        <x:v>1</x:v>
      </x:c>
    </x:row>
    <x:row r="602" ht="18" customHeight="1">
      <x:c r="A602" s="16" t="n">
        <x:v>45892</x:v>
      </x:c>
      <x:c r="B602" s="10" t="n">
        <x:v>2025</x:v>
      </x:c>
      <x:c r="C602" s="10" t="n">
        <x:v>3</x:v>
      </x:c>
      <x:c r="D602" s="10" t="n">
        <x:v>8</x:v>
      </x:c>
      <x:c r="E602" s="10" t="str">
        <x:v>Agosto</x:v>
      </x:c>
      <x:c r="F602" s="10" t="str">
        <x:v>2025-08</x:v>
      </x:c>
      <x:c r="G602" s="10" t="n">
        <x:v>23</x:v>
      </x:c>
      <x:c r="H602" s="10" t="str">
        <x:v>Sábado</x:v>
      </x:c>
      <x:c r="I602" s="11" t="b">
        <x:v>0</x:v>
      </x:c>
    </x:row>
    <x:row r="603" ht="18" customHeight="1">
      <x:c r="A603" s="16" t="n">
        <x:v>45893</x:v>
      </x:c>
      <x:c r="B603" s="10" t="n">
        <x:v>2025</x:v>
      </x:c>
      <x:c r="C603" s="10" t="n">
        <x:v>3</x:v>
      </x:c>
      <x:c r="D603" s="10" t="n">
        <x:v>8</x:v>
      </x:c>
      <x:c r="E603" s="10" t="str">
        <x:v>Agosto</x:v>
      </x:c>
      <x:c r="F603" s="10" t="str">
        <x:v>2025-08</x:v>
      </x:c>
      <x:c r="G603" s="10" t="n">
        <x:v>24</x:v>
      </x:c>
      <x:c r="H603" s="10" t="str">
        <x:v>Domingo</x:v>
      </x:c>
      <x:c r="I603" s="11" t="b">
        <x:v>0</x:v>
      </x:c>
    </x:row>
    <x:row r="604" ht="18" customHeight="1">
      <x:c r="A604" s="16" t="n">
        <x:v>45894</x:v>
      </x:c>
      <x:c r="B604" s="10" t="n">
        <x:v>2025</x:v>
      </x:c>
      <x:c r="C604" s="10" t="n">
        <x:v>3</x:v>
      </x:c>
      <x:c r="D604" s="10" t="n">
        <x:v>8</x:v>
      </x:c>
      <x:c r="E604" s="10" t="str">
        <x:v>Agosto</x:v>
      </x:c>
      <x:c r="F604" s="10" t="str">
        <x:v>2025-08</x:v>
      </x:c>
      <x:c r="G604" s="10" t="n">
        <x:v>25</x:v>
      </x:c>
      <x:c r="H604" s="10" t="str">
        <x:v>Segunda-feira</x:v>
      </x:c>
      <x:c r="I604" s="11" t="b">
        <x:v>1</x:v>
      </x:c>
    </x:row>
    <x:row r="605" ht="18" customHeight="1">
      <x:c r="A605" s="16" t="n">
        <x:v>45895</x:v>
      </x:c>
      <x:c r="B605" s="10" t="n">
        <x:v>2025</x:v>
      </x:c>
      <x:c r="C605" s="10" t="n">
        <x:v>3</x:v>
      </x:c>
      <x:c r="D605" s="10" t="n">
        <x:v>8</x:v>
      </x:c>
      <x:c r="E605" s="10" t="str">
        <x:v>Agosto</x:v>
      </x:c>
      <x:c r="F605" s="10" t="str">
        <x:v>2025-08</x:v>
      </x:c>
      <x:c r="G605" s="10" t="n">
        <x:v>26</x:v>
      </x:c>
      <x:c r="H605" s="10" t="str">
        <x:v>Terça-feira</x:v>
      </x:c>
      <x:c r="I605" s="11" t="b">
        <x:v>1</x:v>
      </x:c>
    </x:row>
    <x:row r="606" ht="18" customHeight="1">
      <x:c r="A606" s="16" t="n">
        <x:v>45896</x:v>
      </x:c>
      <x:c r="B606" s="10" t="n">
        <x:v>2025</x:v>
      </x:c>
      <x:c r="C606" s="10" t="n">
        <x:v>3</x:v>
      </x:c>
      <x:c r="D606" s="10" t="n">
        <x:v>8</x:v>
      </x:c>
      <x:c r="E606" s="10" t="str">
        <x:v>Agosto</x:v>
      </x:c>
      <x:c r="F606" s="10" t="str">
        <x:v>2025-08</x:v>
      </x:c>
      <x:c r="G606" s="10" t="n">
        <x:v>27</x:v>
      </x:c>
      <x:c r="H606" s="10" t="str">
        <x:v>Quarta-feira</x:v>
      </x:c>
      <x:c r="I606" s="11" t="b">
        <x:v>1</x:v>
      </x:c>
    </x:row>
    <x:row r="607" ht="18" customHeight="1">
      <x:c r="A607" s="16" t="n">
        <x:v>45897</x:v>
      </x:c>
      <x:c r="B607" s="10" t="n">
        <x:v>2025</x:v>
      </x:c>
      <x:c r="C607" s="10" t="n">
        <x:v>3</x:v>
      </x:c>
      <x:c r="D607" s="10" t="n">
        <x:v>8</x:v>
      </x:c>
      <x:c r="E607" s="10" t="str">
        <x:v>Agosto</x:v>
      </x:c>
      <x:c r="F607" s="10" t="str">
        <x:v>2025-08</x:v>
      </x:c>
      <x:c r="G607" s="10" t="n">
        <x:v>28</x:v>
      </x:c>
      <x:c r="H607" s="10" t="str">
        <x:v>Quinta-feira</x:v>
      </x:c>
      <x:c r="I607" s="11" t="b">
        <x:v>1</x:v>
      </x:c>
    </x:row>
    <x:row r="608" ht="18" customHeight="1">
      <x:c r="A608" s="16" t="n">
        <x:v>45898</x:v>
      </x:c>
      <x:c r="B608" s="10" t="n">
        <x:v>2025</x:v>
      </x:c>
      <x:c r="C608" s="10" t="n">
        <x:v>3</x:v>
      </x:c>
      <x:c r="D608" s="10" t="n">
        <x:v>8</x:v>
      </x:c>
      <x:c r="E608" s="10" t="str">
        <x:v>Agosto</x:v>
      </x:c>
      <x:c r="F608" s="10" t="str">
        <x:v>2025-08</x:v>
      </x:c>
      <x:c r="G608" s="10" t="n">
        <x:v>29</x:v>
      </x:c>
      <x:c r="H608" s="10" t="str">
        <x:v>Sexta-feira</x:v>
      </x:c>
      <x:c r="I608" s="11" t="b">
        <x:v>1</x:v>
      </x:c>
    </x:row>
    <x:row r="609" ht="18" customHeight="1">
      <x:c r="A609" s="16" t="n">
        <x:v>45899</x:v>
      </x:c>
      <x:c r="B609" s="10" t="n">
        <x:v>2025</x:v>
      </x:c>
      <x:c r="C609" s="10" t="n">
        <x:v>3</x:v>
      </x:c>
      <x:c r="D609" s="10" t="n">
        <x:v>8</x:v>
      </x:c>
      <x:c r="E609" s="10" t="str">
        <x:v>Agosto</x:v>
      </x:c>
      <x:c r="F609" s="10" t="str">
        <x:v>2025-08</x:v>
      </x:c>
      <x:c r="G609" s="10" t="n">
        <x:v>30</x:v>
      </x:c>
      <x:c r="H609" s="10" t="str">
        <x:v>Sábado</x:v>
      </x:c>
      <x:c r="I609" s="11" t="b">
        <x:v>0</x:v>
      </x:c>
    </x:row>
    <x:row r="610" ht="18" customHeight="1">
      <x:c r="A610" s="16" t="n">
        <x:v>45900</x:v>
      </x:c>
      <x:c r="B610" s="10" t="n">
        <x:v>2025</x:v>
      </x:c>
      <x:c r="C610" s="10" t="n">
        <x:v>3</x:v>
      </x:c>
      <x:c r="D610" s="10" t="n">
        <x:v>8</x:v>
      </x:c>
      <x:c r="E610" s="10" t="str">
        <x:v>Agosto</x:v>
      </x:c>
      <x:c r="F610" s="10" t="str">
        <x:v>2025-08</x:v>
      </x:c>
      <x:c r="G610" s="10" t="n">
        <x:v>31</x:v>
      </x:c>
      <x:c r="H610" s="10" t="str">
        <x:v>Domingo</x:v>
      </x:c>
      <x:c r="I610" s="11" t="b">
        <x:v>0</x:v>
      </x:c>
    </x:row>
    <x:row r="611" ht="18" customHeight="1">
      <x:c r="A611" s="16" t="n">
        <x:v>45901</x:v>
      </x:c>
      <x:c r="B611" s="10" t="n">
        <x:v>2025</x:v>
      </x:c>
      <x:c r="C611" s="10" t="n">
        <x:v>3</x:v>
      </x:c>
      <x:c r="D611" s="10" t="n">
        <x:v>9</x:v>
      </x:c>
      <x:c r="E611" s="10" t="str">
        <x:v>Setembro</x:v>
      </x:c>
      <x:c r="F611" s="10" t="str">
        <x:v>2025-09</x:v>
      </x:c>
      <x:c r="G611" s="10" t="n">
        <x:v>1</x:v>
      </x:c>
      <x:c r="H611" s="10" t="str">
        <x:v>Segunda-feira</x:v>
      </x:c>
      <x:c r="I611" s="11" t="b">
        <x:v>1</x:v>
      </x:c>
    </x:row>
    <x:row r="612" ht="18" customHeight="1">
      <x:c r="A612" s="16" t="n">
        <x:v>45902</x:v>
      </x:c>
      <x:c r="B612" s="10" t="n">
        <x:v>2025</x:v>
      </x:c>
      <x:c r="C612" s="10" t="n">
        <x:v>3</x:v>
      </x:c>
      <x:c r="D612" s="10" t="n">
        <x:v>9</x:v>
      </x:c>
      <x:c r="E612" s="10" t="str">
        <x:v>Setembro</x:v>
      </x:c>
      <x:c r="F612" s="10" t="str">
        <x:v>2025-09</x:v>
      </x:c>
      <x:c r="G612" s="10" t="n">
        <x:v>2</x:v>
      </x:c>
      <x:c r="H612" s="10" t="str">
        <x:v>Terça-feira</x:v>
      </x:c>
      <x:c r="I612" s="11" t="b">
        <x:v>1</x:v>
      </x:c>
    </x:row>
    <x:row r="613" ht="18" customHeight="1">
      <x:c r="A613" s="16" t="n">
        <x:v>45903</x:v>
      </x:c>
      <x:c r="B613" s="10" t="n">
        <x:v>2025</x:v>
      </x:c>
      <x:c r="C613" s="10" t="n">
        <x:v>3</x:v>
      </x:c>
      <x:c r="D613" s="10" t="n">
        <x:v>9</x:v>
      </x:c>
      <x:c r="E613" s="10" t="str">
        <x:v>Setembro</x:v>
      </x:c>
      <x:c r="F613" s="10" t="str">
        <x:v>2025-09</x:v>
      </x:c>
      <x:c r="G613" s="10" t="n">
        <x:v>3</x:v>
      </x:c>
      <x:c r="H613" s="10" t="str">
        <x:v>Quarta-feira</x:v>
      </x:c>
      <x:c r="I613" s="11" t="b">
        <x:v>1</x:v>
      </x:c>
    </x:row>
    <x:row r="614" ht="18" customHeight="1">
      <x:c r="A614" s="16" t="n">
        <x:v>45904</x:v>
      </x:c>
      <x:c r="B614" s="10" t="n">
        <x:v>2025</x:v>
      </x:c>
      <x:c r="C614" s="10" t="n">
        <x:v>3</x:v>
      </x:c>
      <x:c r="D614" s="10" t="n">
        <x:v>9</x:v>
      </x:c>
      <x:c r="E614" s="10" t="str">
        <x:v>Setembro</x:v>
      </x:c>
      <x:c r="F614" s="10" t="str">
        <x:v>2025-09</x:v>
      </x:c>
      <x:c r="G614" s="10" t="n">
        <x:v>4</x:v>
      </x:c>
      <x:c r="H614" s="10" t="str">
        <x:v>Quinta-feira</x:v>
      </x:c>
      <x:c r="I614" s="11" t="b">
        <x:v>1</x:v>
      </x:c>
    </x:row>
    <x:row r="615" ht="18" customHeight="1">
      <x:c r="A615" s="16" t="n">
        <x:v>45905</x:v>
      </x:c>
      <x:c r="B615" s="10" t="n">
        <x:v>2025</x:v>
      </x:c>
      <x:c r="C615" s="10" t="n">
        <x:v>3</x:v>
      </x:c>
      <x:c r="D615" s="10" t="n">
        <x:v>9</x:v>
      </x:c>
      <x:c r="E615" s="10" t="str">
        <x:v>Setembro</x:v>
      </x:c>
      <x:c r="F615" s="10" t="str">
        <x:v>2025-09</x:v>
      </x:c>
      <x:c r="G615" s="10" t="n">
        <x:v>5</x:v>
      </x:c>
      <x:c r="H615" s="10" t="str">
        <x:v>Sexta-feira</x:v>
      </x:c>
      <x:c r="I615" s="11" t="b">
        <x:v>1</x:v>
      </x:c>
    </x:row>
    <x:row r="616" ht="18" customHeight="1">
      <x:c r="A616" s="16" t="n">
        <x:v>45906</x:v>
      </x:c>
      <x:c r="B616" s="10" t="n">
        <x:v>2025</x:v>
      </x:c>
      <x:c r="C616" s="10" t="n">
        <x:v>3</x:v>
      </x:c>
      <x:c r="D616" s="10" t="n">
        <x:v>9</x:v>
      </x:c>
      <x:c r="E616" s="10" t="str">
        <x:v>Setembro</x:v>
      </x:c>
      <x:c r="F616" s="10" t="str">
        <x:v>2025-09</x:v>
      </x:c>
      <x:c r="G616" s="10" t="n">
        <x:v>6</x:v>
      </x:c>
      <x:c r="H616" s="10" t="str">
        <x:v>Sábado</x:v>
      </x:c>
      <x:c r="I616" s="11" t="b">
        <x:v>0</x:v>
      </x:c>
    </x:row>
    <x:row r="617" ht="18" customHeight="1">
      <x:c r="A617" s="16" t="n">
        <x:v>45907</x:v>
      </x:c>
      <x:c r="B617" s="10" t="n">
        <x:v>2025</x:v>
      </x:c>
      <x:c r="C617" s="10" t="n">
        <x:v>3</x:v>
      </x:c>
      <x:c r="D617" s="10" t="n">
        <x:v>9</x:v>
      </x:c>
      <x:c r="E617" s="10" t="str">
        <x:v>Setembro</x:v>
      </x:c>
      <x:c r="F617" s="10" t="str">
        <x:v>2025-09</x:v>
      </x:c>
      <x:c r="G617" s="10" t="n">
        <x:v>7</x:v>
      </x:c>
      <x:c r="H617" s="10" t="str">
        <x:v>Domingo</x:v>
      </x:c>
      <x:c r="I617" s="11" t="b">
        <x:v>0</x:v>
      </x:c>
    </x:row>
    <x:row r="618" ht="18" customHeight="1">
      <x:c r="A618" s="16" t="n">
        <x:v>45908</x:v>
      </x:c>
      <x:c r="B618" s="10" t="n">
        <x:v>2025</x:v>
      </x:c>
      <x:c r="C618" s="10" t="n">
        <x:v>3</x:v>
      </x:c>
      <x:c r="D618" s="10" t="n">
        <x:v>9</x:v>
      </x:c>
      <x:c r="E618" s="10" t="str">
        <x:v>Setembro</x:v>
      </x:c>
      <x:c r="F618" s="10" t="str">
        <x:v>2025-09</x:v>
      </x:c>
      <x:c r="G618" s="10" t="n">
        <x:v>8</x:v>
      </x:c>
      <x:c r="H618" s="10" t="str">
        <x:v>Segunda-feira</x:v>
      </x:c>
      <x:c r="I618" s="11" t="b">
        <x:v>1</x:v>
      </x:c>
    </x:row>
    <x:row r="619" ht="18" customHeight="1">
      <x:c r="A619" s="16" t="n">
        <x:v>45909</x:v>
      </x:c>
      <x:c r="B619" s="10" t="n">
        <x:v>2025</x:v>
      </x:c>
      <x:c r="C619" s="10" t="n">
        <x:v>3</x:v>
      </x:c>
      <x:c r="D619" s="10" t="n">
        <x:v>9</x:v>
      </x:c>
      <x:c r="E619" s="10" t="str">
        <x:v>Setembro</x:v>
      </x:c>
      <x:c r="F619" s="10" t="str">
        <x:v>2025-09</x:v>
      </x:c>
      <x:c r="G619" s="10" t="n">
        <x:v>9</x:v>
      </x:c>
      <x:c r="H619" s="10" t="str">
        <x:v>Terça-feira</x:v>
      </x:c>
      <x:c r="I619" s="11" t="b">
        <x:v>1</x:v>
      </x:c>
    </x:row>
    <x:row r="620" ht="18" customHeight="1">
      <x:c r="A620" s="16" t="n">
        <x:v>45910</x:v>
      </x:c>
      <x:c r="B620" s="10" t="n">
        <x:v>2025</x:v>
      </x:c>
      <x:c r="C620" s="10" t="n">
        <x:v>3</x:v>
      </x:c>
      <x:c r="D620" s="10" t="n">
        <x:v>9</x:v>
      </x:c>
      <x:c r="E620" s="10" t="str">
        <x:v>Setembro</x:v>
      </x:c>
      <x:c r="F620" s="10" t="str">
        <x:v>2025-09</x:v>
      </x:c>
      <x:c r="G620" s="10" t="n">
        <x:v>10</x:v>
      </x:c>
      <x:c r="H620" s="10" t="str">
        <x:v>Quarta-feira</x:v>
      </x:c>
      <x:c r="I620" s="11" t="b">
        <x:v>1</x:v>
      </x:c>
    </x:row>
    <x:row r="621" ht="18" customHeight="1">
      <x:c r="A621" s="16" t="n">
        <x:v>45911</x:v>
      </x:c>
      <x:c r="B621" s="10" t="n">
        <x:v>2025</x:v>
      </x:c>
      <x:c r="C621" s="10" t="n">
        <x:v>3</x:v>
      </x:c>
      <x:c r="D621" s="10" t="n">
        <x:v>9</x:v>
      </x:c>
      <x:c r="E621" s="10" t="str">
        <x:v>Setembro</x:v>
      </x:c>
      <x:c r="F621" s="10" t="str">
        <x:v>2025-09</x:v>
      </x:c>
      <x:c r="G621" s="10" t="n">
        <x:v>11</x:v>
      </x:c>
      <x:c r="H621" s="10" t="str">
        <x:v>Quinta-feira</x:v>
      </x:c>
      <x:c r="I621" s="11" t="b">
        <x:v>1</x:v>
      </x:c>
    </x:row>
    <x:row r="622" ht="18" customHeight="1">
      <x:c r="A622" s="16" t="n">
        <x:v>45912</x:v>
      </x:c>
      <x:c r="B622" s="10" t="n">
        <x:v>2025</x:v>
      </x:c>
      <x:c r="C622" s="10" t="n">
        <x:v>3</x:v>
      </x:c>
      <x:c r="D622" s="10" t="n">
        <x:v>9</x:v>
      </x:c>
      <x:c r="E622" s="10" t="str">
        <x:v>Setembro</x:v>
      </x:c>
      <x:c r="F622" s="10" t="str">
        <x:v>2025-09</x:v>
      </x:c>
      <x:c r="G622" s="10" t="n">
        <x:v>12</x:v>
      </x:c>
      <x:c r="H622" s="10" t="str">
        <x:v>Sexta-feira</x:v>
      </x:c>
      <x:c r="I622" s="11" t="b">
        <x:v>1</x:v>
      </x:c>
    </x:row>
    <x:row r="623" ht="18" customHeight="1">
      <x:c r="A623" s="16" t="n">
        <x:v>45913</x:v>
      </x:c>
      <x:c r="B623" s="10" t="n">
        <x:v>2025</x:v>
      </x:c>
      <x:c r="C623" s="10" t="n">
        <x:v>3</x:v>
      </x:c>
      <x:c r="D623" s="10" t="n">
        <x:v>9</x:v>
      </x:c>
      <x:c r="E623" s="10" t="str">
        <x:v>Setembro</x:v>
      </x:c>
      <x:c r="F623" s="10" t="str">
        <x:v>2025-09</x:v>
      </x:c>
      <x:c r="G623" s="10" t="n">
        <x:v>13</x:v>
      </x:c>
      <x:c r="H623" s="10" t="str">
        <x:v>Sábado</x:v>
      </x:c>
      <x:c r="I623" s="11" t="b">
        <x:v>0</x:v>
      </x:c>
    </x:row>
    <x:row r="624" ht="18" customHeight="1">
      <x:c r="A624" s="16" t="n">
        <x:v>45914</x:v>
      </x:c>
      <x:c r="B624" s="10" t="n">
        <x:v>2025</x:v>
      </x:c>
      <x:c r="C624" s="10" t="n">
        <x:v>3</x:v>
      </x:c>
      <x:c r="D624" s="10" t="n">
        <x:v>9</x:v>
      </x:c>
      <x:c r="E624" s="10" t="str">
        <x:v>Setembro</x:v>
      </x:c>
      <x:c r="F624" s="10" t="str">
        <x:v>2025-09</x:v>
      </x:c>
      <x:c r="G624" s="10" t="n">
        <x:v>14</x:v>
      </x:c>
      <x:c r="H624" s="10" t="str">
        <x:v>Domingo</x:v>
      </x:c>
      <x:c r="I624" s="11" t="b">
        <x:v>0</x:v>
      </x:c>
    </x:row>
    <x:row r="625" ht="18" customHeight="1">
      <x:c r="A625" s="16" t="n">
        <x:v>45915</x:v>
      </x:c>
      <x:c r="B625" s="10" t="n">
        <x:v>2025</x:v>
      </x:c>
      <x:c r="C625" s="10" t="n">
        <x:v>3</x:v>
      </x:c>
      <x:c r="D625" s="10" t="n">
        <x:v>9</x:v>
      </x:c>
      <x:c r="E625" s="10" t="str">
        <x:v>Setembro</x:v>
      </x:c>
      <x:c r="F625" s="10" t="str">
        <x:v>2025-09</x:v>
      </x:c>
      <x:c r="G625" s="10" t="n">
        <x:v>15</x:v>
      </x:c>
      <x:c r="H625" s="10" t="str">
        <x:v>Segunda-feira</x:v>
      </x:c>
      <x:c r="I625" s="11" t="b">
        <x:v>1</x:v>
      </x:c>
    </x:row>
    <x:row r="626" ht="18" customHeight="1">
      <x:c r="A626" s="16" t="n">
        <x:v>45916</x:v>
      </x:c>
      <x:c r="B626" s="10" t="n">
        <x:v>2025</x:v>
      </x:c>
      <x:c r="C626" s="10" t="n">
        <x:v>3</x:v>
      </x:c>
      <x:c r="D626" s="10" t="n">
        <x:v>9</x:v>
      </x:c>
      <x:c r="E626" s="10" t="str">
        <x:v>Setembro</x:v>
      </x:c>
      <x:c r="F626" s="10" t="str">
        <x:v>2025-09</x:v>
      </x:c>
      <x:c r="G626" s="10" t="n">
        <x:v>16</x:v>
      </x:c>
      <x:c r="H626" s="10" t="str">
        <x:v>Terça-feira</x:v>
      </x:c>
      <x:c r="I626" s="11" t="b">
        <x:v>1</x:v>
      </x:c>
    </x:row>
    <x:row r="627" ht="18" customHeight="1">
      <x:c r="A627" s="16" t="n">
        <x:v>45917</x:v>
      </x:c>
      <x:c r="B627" s="10" t="n">
        <x:v>2025</x:v>
      </x:c>
      <x:c r="C627" s="10" t="n">
        <x:v>3</x:v>
      </x:c>
      <x:c r="D627" s="10" t="n">
        <x:v>9</x:v>
      </x:c>
      <x:c r="E627" s="10" t="str">
        <x:v>Setembro</x:v>
      </x:c>
      <x:c r="F627" s="10" t="str">
        <x:v>2025-09</x:v>
      </x:c>
      <x:c r="G627" s="10" t="n">
        <x:v>17</x:v>
      </x:c>
      <x:c r="H627" s="10" t="str">
        <x:v>Quarta-feira</x:v>
      </x:c>
      <x:c r="I627" s="11" t="b">
        <x:v>1</x:v>
      </x:c>
    </x:row>
    <x:row r="628" ht="18" customHeight="1">
      <x:c r="A628" s="16" t="n">
        <x:v>45918</x:v>
      </x:c>
      <x:c r="B628" s="10" t="n">
        <x:v>2025</x:v>
      </x:c>
      <x:c r="C628" s="10" t="n">
        <x:v>3</x:v>
      </x:c>
      <x:c r="D628" s="10" t="n">
        <x:v>9</x:v>
      </x:c>
      <x:c r="E628" s="10" t="str">
        <x:v>Setembro</x:v>
      </x:c>
      <x:c r="F628" s="10" t="str">
        <x:v>2025-09</x:v>
      </x:c>
      <x:c r="G628" s="10" t="n">
        <x:v>18</x:v>
      </x:c>
      <x:c r="H628" s="10" t="str">
        <x:v>Quinta-feira</x:v>
      </x:c>
      <x:c r="I628" s="11" t="b">
        <x:v>1</x:v>
      </x:c>
    </x:row>
    <x:row r="629" ht="18" customHeight="1">
      <x:c r="A629" s="16" t="n">
        <x:v>45919</x:v>
      </x:c>
      <x:c r="B629" s="10" t="n">
        <x:v>2025</x:v>
      </x:c>
      <x:c r="C629" s="10" t="n">
        <x:v>3</x:v>
      </x:c>
      <x:c r="D629" s="10" t="n">
        <x:v>9</x:v>
      </x:c>
      <x:c r="E629" s="10" t="str">
        <x:v>Setembro</x:v>
      </x:c>
      <x:c r="F629" s="10" t="str">
        <x:v>2025-09</x:v>
      </x:c>
      <x:c r="G629" s="10" t="n">
        <x:v>19</x:v>
      </x:c>
      <x:c r="H629" s="10" t="str">
        <x:v>Sexta-feira</x:v>
      </x:c>
      <x:c r="I629" s="11" t="b">
        <x:v>1</x:v>
      </x:c>
    </x:row>
    <x:row r="630" ht="18" customHeight="1">
      <x:c r="A630" s="16" t="n">
        <x:v>45920</x:v>
      </x:c>
      <x:c r="B630" s="10" t="n">
        <x:v>2025</x:v>
      </x:c>
      <x:c r="C630" s="10" t="n">
        <x:v>3</x:v>
      </x:c>
      <x:c r="D630" s="10" t="n">
        <x:v>9</x:v>
      </x:c>
      <x:c r="E630" s="10" t="str">
        <x:v>Setembro</x:v>
      </x:c>
      <x:c r="F630" s="10" t="str">
        <x:v>2025-09</x:v>
      </x:c>
      <x:c r="G630" s="10" t="n">
        <x:v>20</x:v>
      </x:c>
      <x:c r="H630" s="10" t="str">
        <x:v>Sábado</x:v>
      </x:c>
      <x:c r="I630" s="11" t="b">
        <x:v>0</x:v>
      </x:c>
    </x:row>
    <x:row r="631" ht="18" customHeight="1">
      <x:c r="A631" s="16" t="n">
        <x:v>45921</x:v>
      </x:c>
      <x:c r="B631" s="10" t="n">
        <x:v>2025</x:v>
      </x:c>
      <x:c r="C631" s="10" t="n">
        <x:v>3</x:v>
      </x:c>
      <x:c r="D631" s="10" t="n">
        <x:v>9</x:v>
      </x:c>
      <x:c r="E631" s="10" t="str">
        <x:v>Setembro</x:v>
      </x:c>
      <x:c r="F631" s="10" t="str">
        <x:v>2025-09</x:v>
      </x:c>
      <x:c r="G631" s="10" t="n">
        <x:v>21</x:v>
      </x:c>
      <x:c r="H631" s="10" t="str">
        <x:v>Domingo</x:v>
      </x:c>
      <x:c r="I631" s="11" t="b">
        <x:v>0</x:v>
      </x:c>
    </x:row>
    <x:row r="632" ht="18" customHeight="1">
      <x:c r="A632" s="16" t="n">
        <x:v>45922</x:v>
      </x:c>
      <x:c r="B632" s="10" t="n">
        <x:v>2025</x:v>
      </x:c>
      <x:c r="C632" s="10" t="n">
        <x:v>3</x:v>
      </x:c>
      <x:c r="D632" s="10" t="n">
        <x:v>9</x:v>
      </x:c>
      <x:c r="E632" s="10" t="str">
        <x:v>Setembro</x:v>
      </x:c>
      <x:c r="F632" s="10" t="str">
        <x:v>2025-09</x:v>
      </x:c>
      <x:c r="G632" s="10" t="n">
        <x:v>22</x:v>
      </x:c>
      <x:c r="H632" s="10" t="str">
        <x:v>Segunda-feira</x:v>
      </x:c>
      <x:c r="I632" s="11" t="b">
        <x:v>1</x:v>
      </x:c>
    </x:row>
    <x:row r="633" ht="18" customHeight="1">
      <x:c r="A633" s="16" t="n">
        <x:v>45923</x:v>
      </x:c>
      <x:c r="B633" s="10" t="n">
        <x:v>2025</x:v>
      </x:c>
      <x:c r="C633" s="10" t="n">
        <x:v>3</x:v>
      </x:c>
      <x:c r="D633" s="10" t="n">
        <x:v>9</x:v>
      </x:c>
      <x:c r="E633" s="10" t="str">
        <x:v>Setembro</x:v>
      </x:c>
      <x:c r="F633" s="10" t="str">
        <x:v>2025-09</x:v>
      </x:c>
      <x:c r="G633" s="10" t="n">
        <x:v>23</x:v>
      </x:c>
      <x:c r="H633" s="10" t="str">
        <x:v>Terça-feira</x:v>
      </x:c>
      <x:c r="I633" s="11" t="b">
        <x:v>1</x:v>
      </x:c>
    </x:row>
    <x:row r="634" ht="18" customHeight="1">
      <x:c r="A634" s="16" t="n">
        <x:v>45924</x:v>
      </x:c>
      <x:c r="B634" s="10" t="n">
        <x:v>2025</x:v>
      </x:c>
      <x:c r="C634" s="10" t="n">
        <x:v>3</x:v>
      </x:c>
      <x:c r="D634" s="10" t="n">
        <x:v>9</x:v>
      </x:c>
      <x:c r="E634" s="10" t="str">
        <x:v>Setembro</x:v>
      </x:c>
      <x:c r="F634" s="10" t="str">
        <x:v>2025-09</x:v>
      </x:c>
      <x:c r="G634" s="10" t="n">
        <x:v>24</x:v>
      </x:c>
      <x:c r="H634" s="10" t="str">
        <x:v>Quarta-feira</x:v>
      </x:c>
      <x:c r="I634" s="11" t="b">
        <x:v>1</x:v>
      </x:c>
    </x:row>
    <x:row r="635" ht="18" customHeight="1">
      <x:c r="A635" s="16" t="n">
        <x:v>45925</x:v>
      </x:c>
      <x:c r="B635" s="10" t="n">
        <x:v>2025</x:v>
      </x:c>
      <x:c r="C635" s="10" t="n">
        <x:v>3</x:v>
      </x:c>
      <x:c r="D635" s="10" t="n">
        <x:v>9</x:v>
      </x:c>
      <x:c r="E635" s="10" t="str">
        <x:v>Setembro</x:v>
      </x:c>
      <x:c r="F635" s="10" t="str">
        <x:v>2025-09</x:v>
      </x:c>
      <x:c r="G635" s="10" t="n">
        <x:v>25</x:v>
      </x:c>
      <x:c r="H635" s="10" t="str">
        <x:v>Quinta-feira</x:v>
      </x:c>
      <x:c r="I635" s="11" t="b">
        <x:v>1</x:v>
      </x:c>
    </x:row>
    <x:row r="636" ht="18" customHeight="1">
      <x:c r="A636" s="16" t="n">
        <x:v>45926</x:v>
      </x:c>
      <x:c r="B636" s="10" t="n">
        <x:v>2025</x:v>
      </x:c>
      <x:c r="C636" s="10" t="n">
        <x:v>3</x:v>
      </x:c>
      <x:c r="D636" s="10" t="n">
        <x:v>9</x:v>
      </x:c>
      <x:c r="E636" s="10" t="str">
        <x:v>Setembro</x:v>
      </x:c>
      <x:c r="F636" s="10" t="str">
        <x:v>2025-09</x:v>
      </x:c>
      <x:c r="G636" s="10" t="n">
        <x:v>26</x:v>
      </x:c>
      <x:c r="H636" s="10" t="str">
        <x:v>Sexta-feira</x:v>
      </x:c>
      <x:c r="I636" s="11" t="b">
        <x:v>1</x:v>
      </x:c>
    </x:row>
    <x:row r="637" ht="18" customHeight="1">
      <x:c r="A637" s="16" t="n">
        <x:v>45927</x:v>
      </x:c>
      <x:c r="B637" s="10" t="n">
        <x:v>2025</x:v>
      </x:c>
      <x:c r="C637" s="10" t="n">
        <x:v>3</x:v>
      </x:c>
      <x:c r="D637" s="10" t="n">
        <x:v>9</x:v>
      </x:c>
      <x:c r="E637" s="10" t="str">
        <x:v>Setembro</x:v>
      </x:c>
      <x:c r="F637" s="10" t="str">
        <x:v>2025-09</x:v>
      </x:c>
      <x:c r="G637" s="10" t="n">
        <x:v>27</x:v>
      </x:c>
      <x:c r="H637" s="10" t="str">
        <x:v>Sábado</x:v>
      </x:c>
      <x:c r="I637" s="11" t="b">
        <x:v>0</x:v>
      </x:c>
    </x:row>
    <x:row r="638" ht="18" customHeight="1">
      <x:c r="A638" s="16" t="n">
        <x:v>45928</x:v>
      </x:c>
      <x:c r="B638" s="10" t="n">
        <x:v>2025</x:v>
      </x:c>
      <x:c r="C638" s="10" t="n">
        <x:v>3</x:v>
      </x:c>
      <x:c r="D638" s="10" t="n">
        <x:v>9</x:v>
      </x:c>
      <x:c r="E638" s="10" t="str">
        <x:v>Setembro</x:v>
      </x:c>
      <x:c r="F638" s="10" t="str">
        <x:v>2025-09</x:v>
      </x:c>
      <x:c r="G638" s="10" t="n">
        <x:v>28</x:v>
      </x:c>
      <x:c r="H638" s="10" t="str">
        <x:v>Domingo</x:v>
      </x:c>
      <x:c r="I638" s="11" t="b">
        <x:v>0</x:v>
      </x:c>
    </x:row>
    <x:row r="639" ht="18" customHeight="1">
      <x:c r="A639" s="16" t="n">
        <x:v>45929</x:v>
      </x:c>
      <x:c r="B639" s="10" t="n">
        <x:v>2025</x:v>
      </x:c>
      <x:c r="C639" s="10" t="n">
        <x:v>3</x:v>
      </x:c>
      <x:c r="D639" s="10" t="n">
        <x:v>9</x:v>
      </x:c>
      <x:c r="E639" s="10" t="str">
        <x:v>Setembro</x:v>
      </x:c>
      <x:c r="F639" s="10" t="str">
        <x:v>2025-09</x:v>
      </x:c>
      <x:c r="G639" s="10" t="n">
        <x:v>29</x:v>
      </x:c>
      <x:c r="H639" s="10" t="str">
        <x:v>Segunda-feira</x:v>
      </x:c>
      <x:c r="I639" s="11" t="b">
        <x:v>1</x:v>
      </x:c>
    </x:row>
    <x:row r="640" ht="18" customHeight="1">
      <x:c r="A640" s="16" t="n">
        <x:v>45930</x:v>
      </x:c>
      <x:c r="B640" s="10" t="n">
        <x:v>2025</x:v>
      </x:c>
      <x:c r="C640" s="10" t="n">
        <x:v>3</x:v>
      </x:c>
      <x:c r="D640" s="10" t="n">
        <x:v>9</x:v>
      </x:c>
      <x:c r="E640" s="10" t="str">
        <x:v>Setembro</x:v>
      </x:c>
      <x:c r="F640" s="10" t="str">
        <x:v>2025-09</x:v>
      </x:c>
      <x:c r="G640" s="10" t="n">
        <x:v>30</x:v>
      </x:c>
      <x:c r="H640" s="10" t="str">
        <x:v>Terça-feira</x:v>
      </x:c>
      <x:c r="I640" s="11" t="b">
        <x:v>1</x:v>
      </x:c>
    </x:row>
    <x:row r="641" ht="18" customHeight="1">
      <x:c r="A641" s="16" t="n">
        <x:v>45931</x:v>
      </x:c>
      <x:c r="B641" s="10" t="n">
        <x:v>2025</x:v>
      </x:c>
      <x:c r="C641" s="10" t="n">
        <x:v>4</x:v>
      </x:c>
      <x:c r="D641" s="10" t="n">
        <x:v>10</x:v>
      </x:c>
      <x:c r="E641" s="10" t="str">
        <x:v>Outubro</x:v>
      </x:c>
      <x:c r="F641" s="10" t="str">
        <x:v>2025-10</x:v>
      </x:c>
      <x:c r="G641" s="10" t="n">
        <x:v>1</x:v>
      </x:c>
      <x:c r="H641" s="10" t="str">
        <x:v>Quarta-feira</x:v>
      </x:c>
      <x:c r="I641" s="11" t="b">
        <x:v>1</x:v>
      </x:c>
    </x:row>
    <x:row r="642" ht="18" customHeight="1">
      <x:c r="A642" s="16" t="n">
        <x:v>45932</x:v>
      </x:c>
      <x:c r="B642" s="10" t="n">
        <x:v>2025</x:v>
      </x:c>
      <x:c r="C642" s="10" t="n">
        <x:v>4</x:v>
      </x:c>
      <x:c r="D642" s="10" t="n">
        <x:v>10</x:v>
      </x:c>
      <x:c r="E642" s="10" t="str">
        <x:v>Outubro</x:v>
      </x:c>
      <x:c r="F642" s="10" t="str">
        <x:v>2025-10</x:v>
      </x:c>
      <x:c r="G642" s="10" t="n">
        <x:v>2</x:v>
      </x:c>
      <x:c r="H642" s="10" t="str">
        <x:v>Quinta-feira</x:v>
      </x:c>
      <x:c r="I642" s="11" t="b">
        <x:v>1</x:v>
      </x:c>
    </x:row>
    <x:row r="643" ht="18" customHeight="1">
      <x:c r="A643" s="16" t="n">
        <x:v>45933</x:v>
      </x:c>
      <x:c r="B643" s="10" t="n">
        <x:v>2025</x:v>
      </x:c>
      <x:c r="C643" s="10" t="n">
        <x:v>4</x:v>
      </x:c>
      <x:c r="D643" s="10" t="n">
        <x:v>10</x:v>
      </x:c>
      <x:c r="E643" s="10" t="str">
        <x:v>Outubro</x:v>
      </x:c>
      <x:c r="F643" s="10" t="str">
        <x:v>2025-10</x:v>
      </x:c>
      <x:c r="G643" s="10" t="n">
        <x:v>3</x:v>
      </x:c>
      <x:c r="H643" s="10" t="str">
        <x:v>Sexta-feira</x:v>
      </x:c>
      <x:c r="I643" s="11" t="b">
        <x:v>1</x:v>
      </x:c>
    </x:row>
    <x:row r="644" ht="18" customHeight="1">
      <x:c r="A644" s="16" t="n">
        <x:v>45934</x:v>
      </x:c>
      <x:c r="B644" s="10" t="n">
        <x:v>2025</x:v>
      </x:c>
      <x:c r="C644" s="10" t="n">
        <x:v>4</x:v>
      </x:c>
      <x:c r="D644" s="10" t="n">
        <x:v>10</x:v>
      </x:c>
      <x:c r="E644" s="10" t="str">
        <x:v>Outubro</x:v>
      </x:c>
      <x:c r="F644" s="10" t="str">
        <x:v>2025-10</x:v>
      </x:c>
      <x:c r="G644" s="10" t="n">
        <x:v>4</x:v>
      </x:c>
      <x:c r="H644" s="10" t="str">
        <x:v>Sábado</x:v>
      </x:c>
      <x:c r="I644" s="11" t="b">
        <x:v>0</x:v>
      </x:c>
    </x:row>
    <x:row r="645" ht="18" customHeight="1">
      <x:c r="A645" s="16" t="n">
        <x:v>45935</x:v>
      </x:c>
      <x:c r="B645" s="10" t="n">
        <x:v>2025</x:v>
      </x:c>
      <x:c r="C645" s="10" t="n">
        <x:v>4</x:v>
      </x:c>
      <x:c r="D645" s="10" t="n">
        <x:v>10</x:v>
      </x:c>
      <x:c r="E645" s="10" t="str">
        <x:v>Outubro</x:v>
      </x:c>
      <x:c r="F645" s="10" t="str">
        <x:v>2025-10</x:v>
      </x:c>
      <x:c r="G645" s="10" t="n">
        <x:v>5</x:v>
      </x:c>
      <x:c r="H645" s="10" t="str">
        <x:v>Domingo</x:v>
      </x:c>
      <x:c r="I645" s="11" t="b">
        <x:v>0</x:v>
      </x:c>
    </x:row>
    <x:row r="646" ht="18" customHeight="1">
      <x:c r="A646" s="16" t="n">
        <x:v>45936</x:v>
      </x:c>
      <x:c r="B646" s="10" t="n">
        <x:v>2025</x:v>
      </x:c>
      <x:c r="C646" s="10" t="n">
        <x:v>4</x:v>
      </x:c>
      <x:c r="D646" s="10" t="n">
        <x:v>10</x:v>
      </x:c>
      <x:c r="E646" s="10" t="str">
        <x:v>Outubro</x:v>
      </x:c>
      <x:c r="F646" s="10" t="str">
        <x:v>2025-10</x:v>
      </x:c>
      <x:c r="G646" s="10" t="n">
        <x:v>6</x:v>
      </x:c>
      <x:c r="H646" s="10" t="str">
        <x:v>Segunda-feira</x:v>
      </x:c>
      <x:c r="I646" s="11" t="b">
        <x:v>1</x:v>
      </x:c>
    </x:row>
    <x:row r="647" ht="18" customHeight="1">
      <x:c r="A647" s="16" t="n">
        <x:v>45937</x:v>
      </x:c>
      <x:c r="B647" s="10" t="n">
        <x:v>2025</x:v>
      </x:c>
      <x:c r="C647" s="10" t="n">
        <x:v>4</x:v>
      </x:c>
      <x:c r="D647" s="10" t="n">
        <x:v>10</x:v>
      </x:c>
      <x:c r="E647" s="10" t="str">
        <x:v>Outubro</x:v>
      </x:c>
      <x:c r="F647" s="10" t="str">
        <x:v>2025-10</x:v>
      </x:c>
      <x:c r="G647" s="10" t="n">
        <x:v>7</x:v>
      </x:c>
      <x:c r="H647" s="10" t="str">
        <x:v>Terça-feira</x:v>
      </x:c>
      <x:c r="I647" s="11" t="b">
        <x:v>1</x:v>
      </x:c>
    </x:row>
    <x:row r="648" ht="18" customHeight="1">
      <x:c r="A648" s="16" t="n">
        <x:v>45938</x:v>
      </x:c>
      <x:c r="B648" s="10" t="n">
        <x:v>2025</x:v>
      </x:c>
      <x:c r="C648" s="10" t="n">
        <x:v>4</x:v>
      </x:c>
      <x:c r="D648" s="10" t="n">
        <x:v>10</x:v>
      </x:c>
      <x:c r="E648" s="10" t="str">
        <x:v>Outubro</x:v>
      </x:c>
      <x:c r="F648" s="10" t="str">
        <x:v>2025-10</x:v>
      </x:c>
      <x:c r="G648" s="10" t="n">
        <x:v>8</x:v>
      </x:c>
      <x:c r="H648" s="10" t="str">
        <x:v>Quarta-feira</x:v>
      </x:c>
      <x:c r="I648" s="11" t="b">
        <x:v>1</x:v>
      </x:c>
    </x:row>
    <x:row r="649" ht="18" customHeight="1">
      <x:c r="A649" s="16" t="n">
        <x:v>45939</x:v>
      </x:c>
      <x:c r="B649" s="10" t="n">
        <x:v>2025</x:v>
      </x:c>
      <x:c r="C649" s="10" t="n">
        <x:v>4</x:v>
      </x:c>
      <x:c r="D649" s="10" t="n">
        <x:v>10</x:v>
      </x:c>
      <x:c r="E649" s="10" t="str">
        <x:v>Outubro</x:v>
      </x:c>
      <x:c r="F649" s="10" t="str">
        <x:v>2025-10</x:v>
      </x:c>
      <x:c r="G649" s="10" t="n">
        <x:v>9</x:v>
      </x:c>
      <x:c r="H649" s="10" t="str">
        <x:v>Quinta-feira</x:v>
      </x:c>
      <x:c r="I649" s="11" t="b">
        <x:v>1</x:v>
      </x:c>
    </x:row>
    <x:row r="650" ht="18" customHeight="1">
      <x:c r="A650" s="16" t="n">
        <x:v>45940</x:v>
      </x:c>
      <x:c r="B650" s="10" t="n">
        <x:v>2025</x:v>
      </x:c>
      <x:c r="C650" s="10" t="n">
        <x:v>4</x:v>
      </x:c>
      <x:c r="D650" s="10" t="n">
        <x:v>10</x:v>
      </x:c>
      <x:c r="E650" s="10" t="str">
        <x:v>Outubro</x:v>
      </x:c>
      <x:c r="F650" s="10" t="str">
        <x:v>2025-10</x:v>
      </x:c>
      <x:c r="G650" s="10" t="n">
        <x:v>10</x:v>
      </x:c>
      <x:c r="H650" s="10" t="str">
        <x:v>Sexta-feira</x:v>
      </x:c>
      <x:c r="I650" s="11" t="b">
        <x:v>1</x:v>
      </x:c>
    </x:row>
    <x:row r="651" ht="18" customHeight="1">
      <x:c r="A651" s="16" t="n">
        <x:v>45941</x:v>
      </x:c>
      <x:c r="B651" s="10" t="n">
        <x:v>2025</x:v>
      </x:c>
      <x:c r="C651" s="10" t="n">
        <x:v>4</x:v>
      </x:c>
      <x:c r="D651" s="10" t="n">
        <x:v>10</x:v>
      </x:c>
      <x:c r="E651" s="10" t="str">
        <x:v>Outubro</x:v>
      </x:c>
      <x:c r="F651" s="10" t="str">
        <x:v>2025-10</x:v>
      </x:c>
      <x:c r="G651" s="10" t="n">
        <x:v>11</x:v>
      </x:c>
      <x:c r="H651" s="10" t="str">
        <x:v>Sábado</x:v>
      </x:c>
      <x:c r="I651" s="11" t="b">
        <x:v>0</x:v>
      </x:c>
    </x:row>
    <x:row r="652" ht="18" customHeight="1">
      <x:c r="A652" s="16" t="n">
        <x:v>45942</x:v>
      </x:c>
      <x:c r="B652" s="10" t="n">
        <x:v>2025</x:v>
      </x:c>
      <x:c r="C652" s="10" t="n">
        <x:v>4</x:v>
      </x:c>
      <x:c r="D652" s="10" t="n">
        <x:v>10</x:v>
      </x:c>
      <x:c r="E652" s="10" t="str">
        <x:v>Outubro</x:v>
      </x:c>
      <x:c r="F652" s="10" t="str">
        <x:v>2025-10</x:v>
      </x:c>
      <x:c r="G652" s="10" t="n">
        <x:v>12</x:v>
      </x:c>
      <x:c r="H652" s="10" t="str">
        <x:v>Domingo</x:v>
      </x:c>
      <x:c r="I652" s="11" t="b">
        <x:v>0</x:v>
      </x:c>
    </x:row>
    <x:row r="653" ht="18" customHeight="1">
      <x:c r="A653" s="16" t="n">
        <x:v>45943</x:v>
      </x:c>
      <x:c r="B653" s="10" t="n">
        <x:v>2025</x:v>
      </x:c>
      <x:c r="C653" s="10" t="n">
        <x:v>4</x:v>
      </x:c>
      <x:c r="D653" s="10" t="n">
        <x:v>10</x:v>
      </x:c>
      <x:c r="E653" s="10" t="str">
        <x:v>Outubro</x:v>
      </x:c>
      <x:c r="F653" s="10" t="str">
        <x:v>2025-10</x:v>
      </x:c>
      <x:c r="G653" s="10" t="n">
        <x:v>13</x:v>
      </x:c>
      <x:c r="H653" s="10" t="str">
        <x:v>Segunda-feira</x:v>
      </x:c>
      <x:c r="I653" s="11" t="b">
        <x:v>1</x:v>
      </x:c>
    </x:row>
    <x:row r="654" ht="18" customHeight="1">
      <x:c r="A654" s="16" t="n">
        <x:v>45944</x:v>
      </x:c>
      <x:c r="B654" s="10" t="n">
        <x:v>2025</x:v>
      </x:c>
      <x:c r="C654" s="10" t="n">
        <x:v>4</x:v>
      </x:c>
      <x:c r="D654" s="10" t="n">
        <x:v>10</x:v>
      </x:c>
      <x:c r="E654" s="10" t="str">
        <x:v>Outubro</x:v>
      </x:c>
      <x:c r="F654" s="10" t="str">
        <x:v>2025-10</x:v>
      </x:c>
      <x:c r="G654" s="10" t="n">
        <x:v>14</x:v>
      </x:c>
      <x:c r="H654" s="10" t="str">
        <x:v>Terça-feira</x:v>
      </x:c>
      <x:c r="I654" s="11" t="b">
        <x:v>1</x:v>
      </x:c>
    </x:row>
    <x:row r="655" ht="18" customHeight="1">
      <x:c r="A655" s="16" t="n">
        <x:v>45945</x:v>
      </x:c>
      <x:c r="B655" s="10" t="n">
        <x:v>2025</x:v>
      </x:c>
      <x:c r="C655" s="10" t="n">
        <x:v>4</x:v>
      </x:c>
      <x:c r="D655" s="10" t="n">
        <x:v>10</x:v>
      </x:c>
      <x:c r="E655" s="10" t="str">
        <x:v>Outubro</x:v>
      </x:c>
      <x:c r="F655" s="10" t="str">
        <x:v>2025-10</x:v>
      </x:c>
      <x:c r="G655" s="10" t="n">
        <x:v>15</x:v>
      </x:c>
      <x:c r="H655" s="10" t="str">
        <x:v>Quarta-feira</x:v>
      </x:c>
      <x:c r="I655" s="11" t="b">
        <x:v>1</x:v>
      </x:c>
    </x:row>
    <x:row r="656" ht="18" customHeight="1">
      <x:c r="A656" s="16" t="n">
        <x:v>45946</x:v>
      </x:c>
      <x:c r="B656" s="10" t="n">
        <x:v>2025</x:v>
      </x:c>
      <x:c r="C656" s="10" t="n">
        <x:v>4</x:v>
      </x:c>
      <x:c r="D656" s="10" t="n">
        <x:v>10</x:v>
      </x:c>
      <x:c r="E656" s="10" t="str">
        <x:v>Outubro</x:v>
      </x:c>
      <x:c r="F656" s="10" t="str">
        <x:v>2025-10</x:v>
      </x:c>
      <x:c r="G656" s="10" t="n">
        <x:v>16</x:v>
      </x:c>
      <x:c r="H656" s="10" t="str">
        <x:v>Quinta-feira</x:v>
      </x:c>
      <x:c r="I656" s="11" t="b">
        <x:v>1</x:v>
      </x:c>
    </x:row>
    <x:row r="657" ht="18" customHeight="1">
      <x:c r="A657" s="16" t="n">
        <x:v>45947</x:v>
      </x:c>
      <x:c r="B657" s="10" t="n">
        <x:v>2025</x:v>
      </x:c>
      <x:c r="C657" s="10" t="n">
        <x:v>4</x:v>
      </x:c>
      <x:c r="D657" s="10" t="n">
        <x:v>10</x:v>
      </x:c>
      <x:c r="E657" s="10" t="str">
        <x:v>Outubro</x:v>
      </x:c>
      <x:c r="F657" s="10" t="str">
        <x:v>2025-10</x:v>
      </x:c>
      <x:c r="G657" s="10" t="n">
        <x:v>17</x:v>
      </x:c>
      <x:c r="H657" s="10" t="str">
        <x:v>Sexta-feira</x:v>
      </x:c>
      <x:c r="I657" s="11" t="b">
        <x:v>1</x:v>
      </x:c>
    </x:row>
    <x:row r="658" ht="18" customHeight="1">
      <x:c r="A658" s="16" t="n">
        <x:v>45948</x:v>
      </x:c>
      <x:c r="B658" s="10" t="n">
        <x:v>2025</x:v>
      </x:c>
      <x:c r="C658" s="10" t="n">
        <x:v>4</x:v>
      </x:c>
      <x:c r="D658" s="10" t="n">
        <x:v>10</x:v>
      </x:c>
      <x:c r="E658" s="10" t="str">
        <x:v>Outubro</x:v>
      </x:c>
      <x:c r="F658" s="10" t="str">
        <x:v>2025-10</x:v>
      </x:c>
      <x:c r="G658" s="10" t="n">
        <x:v>18</x:v>
      </x:c>
      <x:c r="H658" s="10" t="str">
        <x:v>Sábado</x:v>
      </x:c>
      <x:c r="I658" s="11" t="b">
        <x:v>0</x:v>
      </x:c>
    </x:row>
    <x:row r="659" ht="18" customHeight="1">
      <x:c r="A659" s="16" t="n">
        <x:v>45949</x:v>
      </x:c>
      <x:c r="B659" s="10" t="n">
        <x:v>2025</x:v>
      </x:c>
      <x:c r="C659" s="10" t="n">
        <x:v>4</x:v>
      </x:c>
      <x:c r="D659" s="10" t="n">
        <x:v>10</x:v>
      </x:c>
      <x:c r="E659" s="10" t="str">
        <x:v>Outubro</x:v>
      </x:c>
      <x:c r="F659" s="10" t="str">
        <x:v>2025-10</x:v>
      </x:c>
      <x:c r="G659" s="10" t="n">
        <x:v>19</x:v>
      </x:c>
      <x:c r="H659" s="10" t="str">
        <x:v>Domingo</x:v>
      </x:c>
      <x:c r="I659" s="11" t="b">
        <x:v>0</x:v>
      </x:c>
    </x:row>
    <x:row r="660" ht="18" customHeight="1">
      <x:c r="A660" s="16" t="n">
        <x:v>45950</x:v>
      </x:c>
      <x:c r="B660" s="10" t="n">
        <x:v>2025</x:v>
      </x:c>
      <x:c r="C660" s="10" t="n">
        <x:v>4</x:v>
      </x:c>
      <x:c r="D660" s="10" t="n">
        <x:v>10</x:v>
      </x:c>
      <x:c r="E660" s="10" t="str">
        <x:v>Outubro</x:v>
      </x:c>
      <x:c r="F660" s="10" t="str">
        <x:v>2025-10</x:v>
      </x:c>
      <x:c r="G660" s="10" t="n">
        <x:v>20</x:v>
      </x:c>
      <x:c r="H660" s="10" t="str">
        <x:v>Segunda-feira</x:v>
      </x:c>
      <x:c r="I660" s="11" t="b">
        <x:v>1</x:v>
      </x:c>
    </x:row>
    <x:row r="661" ht="18" customHeight="1">
      <x:c r="A661" s="16" t="n">
        <x:v>45951</x:v>
      </x:c>
      <x:c r="B661" s="10" t="n">
        <x:v>2025</x:v>
      </x:c>
      <x:c r="C661" s="10" t="n">
        <x:v>4</x:v>
      </x:c>
      <x:c r="D661" s="10" t="n">
        <x:v>10</x:v>
      </x:c>
      <x:c r="E661" s="10" t="str">
        <x:v>Outubro</x:v>
      </x:c>
      <x:c r="F661" s="10" t="str">
        <x:v>2025-10</x:v>
      </x:c>
      <x:c r="G661" s="10" t="n">
        <x:v>21</x:v>
      </x:c>
      <x:c r="H661" s="10" t="str">
        <x:v>Terça-feira</x:v>
      </x:c>
      <x:c r="I661" s="11" t="b">
        <x:v>1</x:v>
      </x:c>
    </x:row>
    <x:row r="662" ht="18" customHeight="1">
      <x:c r="A662" s="16" t="n">
        <x:v>45952</x:v>
      </x:c>
      <x:c r="B662" s="10" t="n">
        <x:v>2025</x:v>
      </x:c>
      <x:c r="C662" s="10" t="n">
        <x:v>4</x:v>
      </x:c>
      <x:c r="D662" s="10" t="n">
        <x:v>10</x:v>
      </x:c>
      <x:c r="E662" s="10" t="str">
        <x:v>Outubro</x:v>
      </x:c>
      <x:c r="F662" s="10" t="str">
        <x:v>2025-10</x:v>
      </x:c>
      <x:c r="G662" s="10" t="n">
        <x:v>22</x:v>
      </x:c>
      <x:c r="H662" s="10" t="str">
        <x:v>Quarta-feira</x:v>
      </x:c>
      <x:c r="I662" s="11" t="b">
        <x:v>1</x:v>
      </x:c>
    </x:row>
    <x:row r="663" ht="18" customHeight="1">
      <x:c r="A663" s="16" t="n">
        <x:v>45953</x:v>
      </x:c>
      <x:c r="B663" s="10" t="n">
        <x:v>2025</x:v>
      </x:c>
      <x:c r="C663" s="10" t="n">
        <x:v>4</x:v>
      </x:c>
      <x:c r="D663" s="10" t="n">
        <x:v>10</x:v>
      </x:c>
      <x:c r="E663" s="10" t="str">
        <x:v>Outubro</x:v>
      </x:c>
      <x:c r="F663" s="10" t="str">
        <x:v>2025-10</x:v>
      </x:c>
      <x:c r="G663" s="10" t="n">
        <x:v>23</x:v>
      </x:c>
      <x:c r="H663" s="10" t="str">
        <x:v>Quinta-feira</x:v>
      </x:c>
      <x:c r="I663" s="11" t="b">
        <x:v>1</x:v>
      </x:c>
    </x:row>
    <x:row r="664" ht="18" customHeight="1">
      <x:c r="A664" s="16" t="n">
        <x:v>45954</x:v>
      </x:c>
      <x:c r="B664" s="10" t="n">
        <x:v>2025</x:v>
      </x:c>
      <x:c r="C664" s="10" t="n">
        <x:v>4</x:v>
      </x:c>
      <x:c r="D664" s="10" t="n">
        <x:v>10</x:v>
      </x:c>
      <x:c r="E664" s="10" t="str">
        <x:v>Outubro</x:v>
      </x:c>
      <x:c r="F664" s="10" t="str">
        <x:v>2025-10</x:v>
      </x:c>
      <x:c r="G664" s="10" t="n">
        <x:v>24</x:v>
      </x:c>
      <x:c r="H664" s="10" t="str">
        <x:v>Sexta-feira</x:v>
      </x:c>
      <x:c r="I664" s="11" t="b">
        <x:v>1</x:v>
      </x:c>
    </x:row>
    <x:row r="665" ht="18" customHeight="1">
      <x:c r="A665" s="16" t="n">
        <x:v>45955</x:v>
      </x:c>
      <x:c r="B665" s="10" t="n">
        <x:v>2025</x:v>
      </x:c>
      <x:c r="C665" s="10" t="n">
        <x:v>4</x:v>
      </x:c>
      <x:c r="D665" s="10" t="n">
        <x:v>10</x:v>
      </x:c>
      <x:c r="E665" s="10" t="str">
        <x:v>Outubro</x:v>
      </x:c>
      <x:c r="F665" s="10" t="str">
        <x:v>2025-10</x:v>
      </x:c>
      <x:c r="G665" s="10" t="n">
        <x:v>25</x:v>
      </x:c>
      <x:c r="H665" s="10" t="str">
        <x:v>Sábado</x:v>
      </x:c>
      <x:c r="I665" s="11" t="b">
        <x:v>0</x:v>
      </x:c>
    </x:row>
    <x:row r="666" ht="18" customHeight="1">
      <x:c r="A666" s="16" t="n">
        <x:v>45956</x:v>
      </x:c>
      <x:c r="B666" s="10" t="n">
        <x:v>2025</x:v>
      </x:c>
      <x:c r="C666" s="10" t="n">
        <x:v>4</x:v>
      </x:c>
      <x:c r="D666" s="10" t="n">
        <x:v>10</x:v>
      </x:c>
      <x:c r="E666" s="10" t="str">
        <x:v>Outubro</x:v>
      </x:c>
      <x:c r="F666" s="10" t="str">
        <x:v>2025-10</x:v>
      </x:c>
      <x:c r="G666" s="10" t="n">
        <x:v>26</x:v>
      </x:c>
      <x:c r="H666" s="10" t="str">
        <x:v>Domingo</x:v>
      </x:c>
      <x:c r="I666" s="11" t="b">
        <x:v>0</x:v>
      </x:c>
    </x:row>
    <x:row r="667" ht="18" customHeight="1">
      <x:c r="A667" s="16" t="n">
        <x:v>45957</x:v>
      </x:c>
      <x:c r="B667" s="10" t="n">
        <x:v>2025</x:v>
      </x:c>
      <x:c r="C667" s="10" t="n">
        <x:v>4</x:v>
      </x:c>
      <x:c r="D667" s="10" t="n">
        <x:v>10</x:v>
      </x:c>
      <x:c r="E667" s="10" t="str">
        <x:v>Outubro</x:v>
      </x:c>
      <x:c r="F667" s="10" t="str">
        <x:v>2025-10</x:v>
      </x:c>
      <x:c r="G667" s="10" t="n">
        <x:v>27</x:v>
      </x:c>
      <x:c r="H667" s="10" t="str">
        <x:v>Segunda-feira</x:v>
      </x:c>
      <x:c r="I667" s="11" t="b">
        <x:v>1</x:v>
      </x:c>
    </x:row>
    <x:row r="668" ht="18" customHeight="1">
      <x:c r="A668" s="16" t="n">
        <x:v>45958</x:v>
      </x:c>
      <x:c r="B668" s="10" t="n">
        <x:v>2025</x:v>
      </x:c>
      <x:c r="C668" s="10" t="n">
        <x:v>4</x:v>
      </x:c>
      <x:c r="D668" s="10" t="n">
        <x:v>10</x:v>
      </x:c>
      <x:c r="E668" s="10" t="str">
        <x:v>Outubro</x:v>
      </x:c>
      <x:c r="F668" s="10" t="str">
        <x:v>2025-10</x:v>
      </x:c>
      <x:c r="G668" s="10" t="n">
        <x:v>28</x:v>
      </x:c>
      <x:c r="H668" s="10" t="str">
        <x:v>Terça-feira</x:v>
      </x:c>
      <x:c r="I668" s="11" t="b">
        <x:v>1</x:v>
      </x:c>
    </x:row>
    <x:row r="669" ht="18" customHeight="1">
      <x:c r="A669" s="16" t="n">
        <x:v>45959</x:v>
      </x:c>
      <x:c r="B669" s="10" t="n">
        <x:v>2025</x:v>
      </x:c>
      <x:c r="C669" s="10" t="n">
        <x:v>4</x:v>
      </x:c>
      <x:c r="D669" s="10" t="n">
        <x:v>10</x:v>
      </x:c>
      <x:c r="E669" s="10" t="str">
        <x:v>Outubro</x:v>
      </x:c>
      <x:c r="F669" s="10" t="str">
        <x:v>2025-10</x:v>
      </x:c>
      <x:c r="G669" s="10" t="n">
        <x:v>29</x:v>
      </x:c>
      <x:c r="H669" s="10" t="str">
        <x:v>Quarta-feira</x:v>
      </x:c>
      <x:c r="I669" s="11" t="b">
        <x:v>1</x:v>
      </x:c>
    </x:row>
    <x:row r="670" ht="18" customHeight="1">
      <x:c r="A670" s="16" t="n">
        <x:v>45960</x:v>
      </x:c>
      <x:c r="B670" s="10" t="n">
        <x:v>2025</x:v>
      </x:c>
      <x:c r="C670" s="10" t="n">
        <x:v>4</x:v>
      </x:c>
      <x:c r="D670" s="10" t="n">
        <x:v>10</x:v>
      </x:c>
      <x:c r="E670" s="10" t="str">
        <x:v>Outubro</x:v>
      </x:c>
      <x:c r="F670" s="10" t="str">
        <x:v>2025-10</x:v>
      </x:c>
      <x:c r="G670" s="10" t="n">
        <x:v>30</x:v>
      </x:c>
      <x:c r="H670" s="10" t="str">
        <x:v>Quinta-feira</x:v>
      </x:c>
      <x:c r="I670" s="11" t="b">
        <x:v>1</x:v>
      </x:c>
    </x:row>
    <x:row r="671" ht="18" customHeight="1">
      <x:c r="A671" s="16" t="n">
        <x:v>45961</x:v>
      </x:c>
      <x:c r="B671" s="10" t="n">
        <x:v>2025</x:v>
      </x:c>
      <x:c r="C671" s="10" t="n">
        <x:v>4</x:v>
      </x:c>
      <x:c r="D671" s="10" t="n">
        <x:v>10</x:v>
      </x:c>
      <x:c r="E671" s="10" t="str">
        <x:v>Outubro</x:v>
      </x:c>
      <x:c r="F671" s="10" t="str">
        <x:v>2025-10</x:v>
      </x:c>
      <x:c r="G671" s="10" t="n">
        <x:v>31</x:v>
      </x:c>
      <x:c r="H671" s="10" t="str">
        <x:v>Sexta-feira</x:v>
      </x:c>
      <x:c r="I671" s="11" t="b">
        <x:v>1</x:v>
      </x:c>
    </x:row>
    <x:row r="672" ht="18" customHeight="1">
      <x:c r="A672" s="16" t="n">
        <x:v>45962</x:v>
      </x:c>
      <x:c r="B672" s="10" t="n">
        <x:v>2025</x:v>
      </x:c>
      <x:c r="C672" s="10" t="n">
        <x:v>4</x:v>
      </x:c>
      <x:c r="D672" s="10" t="n">
        <x:v>11</x:v>
      </x:c>
      <x:c r="E672" s="10" t="str">
        <x:v>Novembro</x:v>
      </x:c>
      <x:c r="F672" s="10" t="str">
        <x:v>2025-11</x:v>
      </x:c>
      <x:c r="G672" s="10" t="n">
        <x:v>1</x:v>
      </x:c>
      <x:c r="H672" s="10" t="str">
        <x:v>Sábado</x:v>
      </x:c>
      <x:c r="I672" s="11" t="b">
        <x:v>0</x:v>
      </x:c>
    </x:row>
    <x:row r="673" ht="18" customHeight="1">
      <x:c r="A673" s="16" t="n">
        <x:v>45963</x:v>
      </x:c>
      <x:c r="B673" s="10" t="n">
        <x:v>2025</x:v>
      </x:c>
      <x:c r="C673" s="10" t="n">
        <x:v>4</x:v>
      </x:c>
      <x:c r="D673" s="10" t="n">
        <x:v>11</x:v>
      </x:c>
      <x:c r="E673" s="10" t="str">
        <x:v>Novembro</x:v>
      </x:c>
      <x:c r="F673" s="10" t="str">
        <x:v>2025-11</x:v>
      </x:c>
      <x:c r="G673" s="10" t="n">
        <x:v>2</x:v>
      </x:c>
      <x:c r="H673" s="10" t="str">
        <x:v>Domingo</x:v>
      </x:c>
      <x:c r="I673" s="11" t="b">
        <x:v>0</x:v>
      </x:c>
    </x:row>
    <x:row r="674" ht="18" customHeight="1">
      <x:c r="A674" s="16" t="n">
        <x:v>45964</x:v>
      </x:c>
      <x:c r="B674" s="10" t="n">
        <x:v>2025</x:v>
      </x:c>
      <x:c r="C674" s="10" t="n">
        <x:v>4</x:v>
      </x:c>
      <x:c r="D674" s="10" t="n">
        <x:v>11</x:v>
      </x:c>
      <x:c r="E674" s="10" t="str">
        <x:v>Novembro</x:v>
      </x:c>
      <x:c r="F674" s="10" t="str">
        <x:v>2025-11</x:v>
      </x:c>
      <x:c r="G674" s="10" t="n">
        <x:v>3</x:v>
      </x:c>
      <x:c r="H674" s="10" t="str">
        <x:v>Segunda-feira</x:v>
      </x:c>
      <x:c r="I674" s="11" t="b">
        <x:v>1</x:v>
      </x:c>
    </x:row>
    <x:row r="675" ht="18" customHeight="1">
      <x:c r="A675" s="16" t="n">
        <x:v>45965</x:v>
      </x:c>
      <x:c r="B675" s="10" t="n">
        <x:v>2025</x:v>
      </x:c>
      <x:c r="C675" s="10" t="n">
        <x:v>4</x:v>
      </x:c>
      <x:c r="D675" s="10" t="n">
        <x:v>11</x:v>
      </x:c>
      <x:c r="E675" s="10" t="str">
        <x:v>Novembro</x:v>
      </x:c>
      <x:c r="F675" s="10" t="str">
        <x:v>2025-11</x:v>
      </x:c>
      <x:c r="G675" s="10" t="n">
        <x:v>4</x:v>
      </x:c>
      <x:c r="H675" s="10" t="str">
        <x:v>Terça-feira</x:v>
      </x:c>
      <x:c r="I675" s="11" t="b">
        <x:v>1</x:v>
      </x:c>
    </x:row>
    <x:row r="676" ht="18" customHeight="1">
      <x:c r="A676" s="16" t="n">
        <x:v>45966</x:v>
      </x:c>
      <x:c r="B676" s="10" t="n">
        <x:v>2025</x:v>
      </x:c>
      <x:c r="C676" s="10" t="n">
        <x:v>4</x:v>
      </x:c>
      <x:c r="D676" s="10" t="n">
        <x:v>11</x:v>
      </x:c>
      <x:c r="E676" s="10" t="str">
        <x:v>Novembro</x:v>
      </x:c>
      <x:c r="F676" s="10" t="str">
        <x:v>2025-11</x:v>
      </x:c>
      <x:c r="G676" s="10" t="n">
        <x:v>5</x:v>
      </x:c>
      <x:c r="H676" s="10" t="str">
        <x:v>Quarta-feira</x:v>
      </x:c>
      <x:c r="I676" s="11" t="b">
        <x:v>1</x:v>
      </x:c>
    </x:row>
    <x:row r="677" ht="18" customHeight="1">
      <x:c r="A677" s="16" t="n">
        <x:v>45967</x:v>
      </x:c>
      <x:c r="B677" s="10" t="n">
        <x:v>2025</x:v>
      </x:c>
      <x:c r="C677" s="10" t="n">
        <x:v>4</x:v>
      </x:c>
      <x:c r="D677" s="10" t="n">
        <x:v>11</x:v>
      </x:c>
      <x:c r="E677" s="10" t="str">
        <x:v>Novembro</x:v>
      </x:c>
      <x:c r="F677" s="10" t="str">
        <x:v>2025-11</x:v>
      </x:c>
      <x:c r="G677" s="10" t="n">
        <x:v>6</x:v>
      </x:c>
      <x:c r="H677" s="10" t="str">
        <x:v>Quinta-feira</x:v>
      </x:c>
      <x:c r="I677" s="11" t="b">
        <x:v>1</x:v>
      </x:c>
    </x:row>
    <x:row r="678" ht="18" customHeight="1">
      <x:c r="A678" s="16" t="n">
        <x:v>45968</x:v>
      </x:c>
      <x:c r="B678" s="10" t="n">
        <x:v>2025</x:v>
      </x:c>
      <x:c r="C678" s="10" t="n">
        <x:v>4</x:v>
      </x:c>
      <x:c r="D678" s="10" t="n">
        <x:v>11</x:v>
      </x:c>
      <x:c r="E678" s="10" t="str">
        <x:v>Novembro</x:v>
      </x:c>
      <x:c r="F678" s="10" t="str">
        <x:v>2025-11</x:v>
      </x:c>
      <x:c r="G678" s="10" t="n">
        <x:v>7</x:v>
      </x:c>
      <x:c r="H678" s="10" t="str">
        <x:v>Sexta-feira</x:v>
      </x:c>
      <x:c r="I678" s="11" t="b">
        <x:v>1</x:v>
      </x:c>
    </x:row>
    <x:row r="679" ht="18" customHeight="1">
      <x:c r="A679" s="16" t="n">
        <x:v>45969</x:v>
      </x:c>
      <x:c r="B679" s="10" t="n">
        <x:v>2025</x:v>
      </x:c>
      <x:c r="C679" s="10" t="n">
        <x:v>4</x:v>
      </x:c>
      <x:c r="D679" s="10" t="n">
        <x:v>11</x:v>
      </x:c>
      <x:c r="E679" s="10" t="str">
        <x:v>Novembro</x:v>
      </x:c>
      <x:c r="F679" s="10" t="str">
        <x:v>2025-11</x:v>
      </x:c>
      <x:c r="G679" s="10" t="n">
        <x:v>8</x:v>
      </x:c>
      <x:c r="H679" s="10" t="str">
        <x:v>Sábado</x:v>
      </x:c>
      <x:c r="I679" s="11" t="b">
        <x:v>0</x:v>
      </x:c>
    </x:row>
    <x:row r="680" ht="18" customHeight="1">
      <x:c r="A680" s="16" t="n">
        <x:v>45970</x:v>
      </x:c>
      <x:c r="B680" s="10" t="n">
        <x:v>2025</x:v>
      </x:c>
      <x:c r="C680" s="10" t="n">
        <x:v>4</x:v>
      </x:c>
      <x:c r="D680" s="10" t="n">
        <x:v>11</x:v>
      </x:c>
      <x:c r="E680" s="10" t="str">
        <x:v>Novembro</x:v>
      </x:c>
      <x:c r="F680" s="10" t="str">
        <x:v>2025-11</x:v>
      </x:c>
      <x:c r="G680" s="10" t="n">
        <x:v>9</x:v>
      </x:c>
      <x:c r="H680" s="10" t="str">
        <x:v>Domingo</x:v>
      </x:c>
      <x:c r="I680" s="11" t="b">
        <x:v>0</x:v>
      </x:c>
    </x:row>
    <x:row r="681" ht="18" customHeight="1">
      <x:c r="A681" s="16" t="n">
        <x:v>45971</x:v>
      </x:c>
      <x:c r="B681" s="10" t="n">
        <x:v>2025</x:v>
      </x:c>
      <x:c r="C681" s="10" t="n">
        <x:v>4</x:v>
      </x:c>
      <x:c r="D681" s="10" t="n">
        <x:v>11</x:v>
      </x:c>
      <x:c r="E681" s="10" t="str">
        <x:v>Novembro</x:v>
      </x:c>
      <x:c r="F681" s="10" t="str">
        <x:v>2025-11</x:v>
      </x:c>
      <x:c r="G681" s="10" t="n">
        <x:v>10</x:v>
      </x:c>
      <x:c r="H681" s="10" t="str">
        <x:v>Segunda-feira</x:v>
      </x:c>
      <x:c r="I681" s="11" t="b">
        <x:v>1</x:v>
      </x:c>
    </x:row>
    <x:row r="682" ht="18" customHeight="1">
      <x:c r="A682" s="16" t="n">
        <x:v>45972</x:v>
      </x:c>
      <x:c r="B682" s="10" t="n">
        <x:v>2025</x:v>
      </x:c>
      <x:c r="C682" s="10" t="n">
        <x:v>4</x:v>
      </x:c>
      <x:c r="D682" s="10" t="n">
        <x:v>11</x:v>
      </x:c>
      <x:c r="E682" s="10" t="str">
        <x:v>Novembro</x:v>
      </x:c>
      <x:c r="F682" s="10" t="str">
        <x:v>2025-11</x:v>
      </x:c>
      <x:c r="G682" s="10" t="n">
        <x:v>11</x:v>
      </x:c>
      <x:c r="H682" s="10" t="str">
        <x:v>Terça-feira</x:v>
      </x:c>
      <x:c r="I682" s="11" t="b">
        <x:v>1</x:v>
      </x:c>
    </x:row>
    <x:row r="683" ht="18" customHeight="1">
      <x:c r="A683" s="16" t="n">
        <x:v>45973</x:v>
      </x:c>
      <x:c r="B683" s="10" t="n">
        <x:v>2025</x:v>
      </x:c>
      <x:c r="C683" s="10" t="n">
        <x:v>4</x:v>
      </x:c>
      <x:c r="D683" s="10" t="n">
        <x:v>11</x:v>
      </x:c>
      <x:c r="E683" s="10" t="str">
        <x:v>Novembro</x:v>
      </x:c>
      <x:c r="F683" s="10" t="str">
        <x:v>2025-11</x:v>
      </x:c>
      <x:c r="G683" s="10" t="n">
        <x:v>12</x:v>
      </x:c>
      <x:c r="H683" s="10" t="str">
        <x:v>Quarta-feira</x:v>
      </x:c>
      <x:c r="I683" s="11" t="b">
        <x:v>1</x:v>
      </x:c>
    </x:row>
    <x:row r="684" ht="18" customHeight="1">
      <x:c r="A684" s="16" t="n">
        <x:v>45974</x:v>
      </x:c>
      <x:c r="B684" s="10" t="n">
        <x:v>2025</x:v>
      </x:c>
      <x:c r="C684" s="10" t="n">
        <x:v>4</x:v>
      </x:c>
      <x:c r="D684" s="10" t="n">
        <x:v>11</x:v>
      </x:c>
      <x:c r="E684" s="10" t="str">
        <x:v>Novembro</x:v>
      </x:c>
      <x:c r="F684" s="10" t="str">
        <x:v>2025-11</x:v>
      </x:c>
      <x:c r="G684" s="10" t="n">
        <x:v>13</x:v>
      </x:c>
      <x:c r="H684" s="10" t="str">
        <x:v>Quinta-feira</x:v>
      </x:c>
      <x:c r="I684" s="11" t="b">
        <x:v>1</x:v>
      </x:c>
    </x:row>
    <x:row r="685" ht="18" customHeight="1">
      <x:c r="A685" s="16" t="n">
        <x:v>45975</x:v>
      </x:c>
      <x:c r="B685" s="10" t="n">
        <x:v>2025</x:v>
      </x:c>
      <x:c r="C685" s="10" t="n">
        <x:v>4</x:v>
      </x:c>
      <x:c r="D685" s="10" t="n">
        <x:v>11</x:v>
      </x:c>
      <x:c r="E685" s="10" t="str">
        <x:v>Novembro</x:v>
      </x:c>
      <x:c r="F685" s="10" t="str">
        <x:v>2025-11</x:v>
      </x:c>
      <x:c r="G685" s="10" t="n">
        <x:v>14</x:v>
      </x:c>
      <x:c r="H685" s="10" t="str">
        <x:v>Sexta-feira</x:v>
      </x:c>
      <x:c r="I685" s="11" t="b">
        <x:v>1</x:v>
      </x:c>
    </x:row>
    <x:row r="686" ht="18" customHeight="1">
      <x:c r="A686" s="16" t="n">
        <x:v>45976</x:v>
      </x:c>
      <x:c r="B686" s="10" t="n">
        <x:v>2025</x:v>
      </x:c>
      <x:c r="C686" s="10" t="n">
        <x:v>4</x:v>
      </x:c>
      <x:c r="D686" s="10" t="n">
        <x:v>11</x:v>
      </x:c>
      <x:c r="E686" s="10" t="str">
        <x:v>Novembro</x:v>
      </x:c>
      <x:c r="F686" s="10" t="str">
        <x:v>2025-11</x:v>
      </x:c>
      <x:c r="G686" s="10" t="n">
        <x:v>15</x:v>
      </x:c>
      <x:c r="H686" s="10" t="str">
        <x:v>Sábado</x:v>
      </x:c>
      <x:c r="I686" s="11" t="b">
        <x:v>0</x:v>
      </x:c>
    </x:row>
    <x:row r="687" ht="18" customHeight="1">
      <x:c r="A687" s="16" t="n">
        <x:v>45977</x:v>
      </x:c>
      <x:c r="B687" s="10" t="n">
        <x:v>2025</x:v>
      </x:c>
      <x:c r="C687" s="10" t="n">
        <x:v>4</x:v>
      </x:c>
      <x:c r="D687" s="10" t="n">
        <x:v>11</x:v>
      </x:c>
      <x:c r="E687" s="10" t="str">
        <x:v>Novembro</x:v>
      </x:c>
      <x:c r="F687" s="10" t="str">
        <x:v>2025-11</x:v>
      </x:c>
      <x:c r="G687" s="10" t="n">
        <x:v>16</x:v>
      </x:c>
      <x:c r="H687" s="10" t="str">
        <x:v>Domingo</x:v>
      </x:c>
      <x:c r="I687" s="11" t="b">
        <x:v>0</x:v>
      </x:c>
    </x:row>
    <x:row r="688" ht="18" customHeight="1">
      <x:c r="A688" s="16" t="n">
        <x:v>45978</x:v>
      </x:c>
      <x:c r="B688" s="10" t="n">
        <x:v>2025</x:v>
      </x:c>
      <x:c r="C688" s="10" t="n">
        <x:v>4</x:v>
      </x:c>
      <x:c r="D688" s="10" t="n">
        <x:v>11</x:v>
      </x:c>
      <x:c r="E688" s="10" t="str">
        <x:v>Novembro</x:v>
      </x:c>
      <x:c r="F688" s="10" t="str">
        <x:v>2025-11</x:v>
      </x:c>
      <x:c r="G688" s="10" t="n">
        <x:v>17</x:v>
      </x:c>
      <x:c r="H688" s="10" t="str">
        <x:v>Segunda-feira</x:v>
      </x:c>
      <x:c r="I688" s="11" t="b">
        <x:v>1</x:v>
      </x:c>
    </x:row>
    <x:row r="689" ht="18" customHeight="1">
      <x:c r="A689" s="16" t="n">
        <x:v>45979</x:v>
      </x:c>
      <x:c r="B689" s="10" t="n">
        <x:v>2025</x:v>
      </x:c>
      <x:c r="C689" s="10" t="n">
        <x:v>4</x:v>
      </x:c>
      <x:c r="D689" s="10" t="n">
        <x:v>11</x:v>
      </x:c>
      <x:c r="E689" s="10" t="str">
        <x:v>Novembro</x:v>
      </x:c>
      <x:c r="F689" s="10" t="str">
        <x:v>2025-11</x:v>
      </x:c>
      <x:c r="G689" s="10" t="n">
        <x:v>18</x:v>
      </x:c>
      <x:c r="H689" s="10" t="str">
        <x:v>Terça-feira</x:v>
      </x:c>
      <x:c r="I689" s="11" t="b">
        <x:v>1</x:v>
      </x:c>
    </x:row>
    <x:row r="690" ht="18" customHeight="1">
      <x:c r="A690" s="16" t="n">
        <x:v>45980</x:v>
      </x:c>
      <x:c r="B690" s="10" t="n">
        <x:v>2025</x:v>
      </x:c>
      <x:c r="C690" s="10" t="n">
        <x:v>4</x:v>
      </x:c>
      <x:c r="D690" s="10" t="n">
        <x:v>11</x:v>
      </x:c>
      <x:c r="E690" s="10" t="str">
        <x:v>Novembro</x:v>
      </x:c>
      <x:c r="F690" s="10" t="str">
        <x:v>2025-11</x:v>
      </x:c>
      <x:c r="G690" s="10" t="n">
        <x:v>19</x:v>
      </x:c>
      <x:c r="H690" s="10" t="str">
        <x:v>Quarta-feira</x:v>
      </x:c>
      <x:c r="I690" s="11" t="b">
        <x:v>1</x:v>
      </x:c>
    </x:row>
    <x:row r="691" ht="18" customHeight="1">
      <x:c r="A691" s="16" t="n">
        <x:v>45981</x:v>
      </x:c>
      <x:c r="B691" s="10" t="n">
        <x:v>2025</x:v>
      </x:c>
      <x:c r="C691" s="10" t="n">
        <x:v>4</x:v>
      </x:c>
      <x:c r="D691" s="10" t="n">
        <x:v>11</x:v>
      </x:c>
      <x:c r="E691" s="10" t="str">
        <x:v>Novembro</x:v>
      </x:c>
      <x:c r="F691" s="10" t="str">
        <x:v>2025-11</x:v>
      </x:c>
      <x:c r="G691" s="10" t="n">
        <x:v>20</x:v>
      </x:c>
      <x:c r="H691" s="10" t="str">
        <x:v>Quinta-feira</x:v>
      </x:c>
      <x:c r="I691" s="11" t="b">
        <x:v>1</x:v>
      </x:c>
    </x:row>
    <x:row r="692" ht="18" customHeight="1">
      <x:c r="A692" s="16" t="n">
        <x:v>45982</x:v>
      </x:c>
      <x:c r="B692" s="10" t="n">
        <x:v>2025</x:v>
      </x:c>
      <x:c r="C692" s="10" t="n">
        <x:v>4</x:v>
      </x:c>
      <x:c r="D692" s="10" t="n">
        <x:v>11</x:v>
      </x:c>
      <x:c r="E692" s="10" t="str">
        <x:v>Novembro</x:v>
      </x:c>
      <x:c r="F692" s="10" t="str">
        <x:v>2025-11</x:v>
      </x:c>
      <x:c r="G692" s="10" t="n">
        <x:v>21</x:v>
      </x:c>
      <x:c r="H692" s="10" t="str">
        <x:v>Sexta-feira</x:v>
      </x:c>
      <x:c r="I692" s="11" t="b">
        <x:v>1</x:v>
      </x:c>
    </x:row>
    <x:row r="693" ht="18" customHeight="1">
      <x:c r="A693" s="16" t="n">
        <x:v>45983</x:v>
      </x:c>
      <x:c r="B693" s="10" t="n">
        <x:v>2025</x:v>
      </x:c>
      <x:c r="C693" s="10" t="n">
        <x:v>4</x:v>
      </x:c>
      <x:c r="D693" s="10" t="n">
        <x:v>11</x:v>
      </x:c>
      <x:c r="E693" s="10" t="str">
        <x:v>Novembro</x:v>
      </x:c>
      <x:c r="F693" s="10" t="str">
        <x:v>2025-11</x:v>
      </x:c>
      <x:c r="G693" s="10" t="n">
        <x:v>22</x:v>
      </x:c>
      <x:c r="H693" s="10" t="str">
        <x:v>Sábado</x:v>
      </x:c>
      <x:c r="I693" s="11" t="b">
        <x:v>0</x:v>
      </x:c>
    </x:row>
    <x:row r="694" ht="18" customHeight="1">
      <x:c r="A694" s="16" t="n">
        <x:v>45984</x:v>
      </x:c>
      <x:c r="B694" s="10" t="n">
        <x:v>2025</x:v>
      </x:c>
      <x:c r="C694" s="10" t="n">
        <x:v>4</x:v>
      </x:c>
      <x:c r="D694" s="10" t="n">
        <x:v>11</x:v>
      </x:c>
      <x:c r="E694" s="10" t="str">
        <x:v>Novembro</x:v>
      </x:c>
      <x:c r="F694" s="10" t="str">
        <x:v>2025-11</x:v>
      </x:c>
      <x:c r="G694" s="10" t="n">
        <x:v>23</x:v>
      </x:c>
      <x:c r="H694" s="10" t="str">
        <x:v>Domingo</x:v>
      </x:c>
      <x:c r="I694" s="11" t="b">
        <x:v>0</x:v>
      </x:c>
    </x:row>
    <x:row r="695" ht="18" customHeight="1">
      <x:c r="A695" s="16" t="n">
        <x:v>45985</x:v>
      </x:c>
      <x:c r="B695" s="10" t="n">
        <x:v>2025</x:v>
      </x:c>
      <x:c r="C695" s="10" t="n">
        <x:v>4</x:v>
      </x:c>
      <x:c r="D695" s="10" t="n">
        <x:v>11</x:v>
      </x:c>
      <x:c r="E695" s="10" t="str">
        <x:v>Novembro</x:v>
      </x:c>
      <x:c r="F695" s="10" t="str">
        <x:v>2025-11</x:v>
      </x:c>
      <x:c r="G695" s="10" t="n">
        <x:v>24</x:v>
      </x:c>
      <x:c r="H695" s="10" t="str">
        <x:v>Segunda-feira</x:v>
      </x:c>
      <x:c r="I695" s="11" t="b">
        <x:v>1</x:v>
      </x:c>
    </x:row>
    <x:row r="696" ht="18" customHeight="1">
      <x:c r="A696" s="16" t="n">
        <x:v>45986</x:v>
      </x:c>
      <x:c r="B696" s="10" t="n">
        <x:v>2025</x:v>
      </x:c>
      <x:c r="C696" s="10" t="n">
        <x:v>4</x:v>
      </x:c>
      <x:c r="D696" s="10" t="n">
        <x:v>11</x:v>
      </x:c>
      <x:c r="E696" s="10" t="str">
        <x:v>Novembro</x:v>
      </x:c>
      <x:c r="F696" s="10" t="str">
        <x:v>2025-11</x:v>
      </x:c>
      <x:c r="G696" s="10" t="n">
        <x:v>25</x:v>
      </x:c>
      <x:c r="H696" s="10" t="str">
        <x:v>Terça-feira</x:v>
      </x:c>
      <x:c r="I696" s="11" t="b">
        <x:v>1</x:v>
      </x:c>
    </x:row>
    <x:row r="697" ht="18" customHeight="1">
      <x:c r="A697" s="16" t="n">
        <x:v>45987</x:v>
      </x:c>
      <x:c r="B697" s="10" t="n">
        <x:v>2025</x:v>
      </x:c>
      <x:c r="C697" s="10" t="n">
        <x:v>4</x:v>
      </x:c>
      <x:c r="D697" s="10" t="n">
        <x:v>11</x:v>
      </x:c>
      <x:c r="E697" s="10" t="str">
        <x:v>Novembro</x:v>
      </x:c>
      <x:c r="F697" s="10" t="str">
        <x:v>2025-11</x:v>
      </x:c>
      <x:c r="G697" s="10" t="n">
        <x:v>26</x:v>
      </x:c>
      <x:c r="H697" s="10" t="str">
        <x:v>Quarta-feira</x:v>
      </x:c>
      <x:c r="I697" s="11" t="b">
        <x:v>1</x:v>
      </x:c>
    </x:row>
    <x:row r="698" ht="18" customHeight="1">
      <x:c r="A698" s="16" t="n">
        <x:v>45988</x:v>
      </x:c>
      <x:c r="B698" s="10" t="n">
        <x:v>2025</x:v>
      </x:c>
      <x:c r="C698" s="10" t="n">
        <x:v>4</x:v>
      </x:c>
      <x:c r="D698" s="10" t="n">
        <x:v>11</x:v>
      </x:c>
      <x:c r="E698" s="10" t="str">
        <x:v>Novembro</x:v>
      </x:c>
      <x:c r="F698" s="10" t="str">
        <x:v>2025-11</x:v>
      </x:c>
      <x:c r="G698" s="10" t="n">
        <x:v>27</x:v>
      </x:c>
      <x:c r="H698" s="10" t="str">
        <x:v>Quinta-feira</x:v>
      </x:c>
      <x:c r="I698" s="11" t="b">
        <x:v>1</x:v>
      </x:c>
    </x:row>
    <x:row r="699" ht="18" customHeight="1">
      <x:c r="A699" s="16" t="n">
        <x:v>45989</x:v>
      </x:c>
      <x:c r="B699" s="10" t="n">
        <x:v>2025</x:v>
      </x:c>
      <x:c r="C699" s="10" t="n">
        <x:v>4</x:v>
      </x:c>
      <x:c r="D699" s="10" t="n">
        <x:v>11</x:v>
      </x:c>
      <x:c r="E699" s="10" t="str">
        <x:v>Novembro</x:v>
      </x:c>
      <x:c r="F699" s="10" t="str">
        <x:v>2025-11</x:v>
      </x:c>
      <x:c r="G699" s="10" t="n">
        <x:v>28</x:v>
      </x:c>
      <x:c r="H699" s="10" t="str">
        <x:v>Sexta-feira</x:v>
      </x:c>
      <x:c r="I699" s="11" t="b">
        <x:v>1</x:v>
      </x:c>
    </x:row>
    <x:row r="700" ht="18" customHeight="1">
      <x:c r="A700" s="16" t="n">
        <x:v>45990</x:v>
      </x:c>
      <x:c r="B700" s="10" t="n">
        <x:v>2025</x:v>
      </x:c>
      <x:c r="C700" s="10" t="n">
        <x:v>4</x:v>
      </x:c>
      <x:c r="D700" s="10" t="n">
        <x:v>11</x:v>
      </x:c>
      <x:c r="E700" s="10" t="str">
        <x:v>Novembro</x:v>
      </x:c>
      <x:c r="F700" s="10" t="str">
        <x:v>2025-11</x:v>
      </x:c>
      <x:c r="G700" s="10" t="n">
        <x:v>29</x:v>
      </x:c>
      <x:c r="H700" s="10" t="str">
        <x:v>Sábado</x:v>
      </x:c>
      <x:c r="I700" s="11" t="b">
        <x:v>0</x:v>
      </x:c>
    </x:row>
    <x:row r="701" ht="18" customHeight="1">
      <x:c r="A701" s="16" t="n">
        <x:v>45991</x:v>
      </x:c>
      <x:c r="B701" s="10" t="n">
        <x:v>2025</x:v>
      </x:c>
      <x:c r="C701" s="10" t="n">
        <x:v>4</x:v>
      </x:c>
      <x:c r="D701" s="10" t="n">
        <x:v>11</x:v>
      </x:c>
      <x:c r="E701" s="10" t="str">
        <x:v>Novembro</x:v>
      </x:c>
      <x:c r="F701" s="10" t="str">
        <x:v>2025-11</x:v>
      </x:c>
      <x:c r="G701" s="10" t="n">
        <x:v>30</x:v>
      </x:c>
      <x:c r="H701" s="10" t="str">
        <x:v>Domingo</x:v>
      </x:c>
      <x:c r="I701" s="11" t="b">
        <x:v>0</x:v>
      </x:c>
    </x:row>
    <x:row r="702" ht="18" customHeight="1">
      <x:c r="A702" s="16" t="n">
        <x:v>45992</x:v>
      </x:c>
      <x:c r="B702" s="10" t="n">
        <x:v>2025</x:v>
      </x:c>
      <x:c r="C702" s="10" t="n">
        <x:v>4</x:v>
      </x:c>
      <x:c r="D702" s="10" t="n">
        <x:v>12</x:v>
      </x:c>
      <x:c r="E702" s="10" t="str">
        <x:v>Dezembro</x:v>
      </x:c>
      <x:c r="F702" s="10" t="str">
        <x:v>2025-12</x:v>
      </x:c>
      <x:c r="G702" s="10" t="n">
        <x:v>1</x:v>
      </x:c>
      <x:c r="H702" s="10" t="str">
        <x:v>Segunda-feira</x:v>
      </x:c>
      <x:c r="I702" s="11" t="b">
        <x:v>1</x:v>
      </x:c>
    </x:row>
    <x:row r="703" ht="18" customHeight="1">
      <x:c r="A703" s="16" t="n">
        <x:v>45993</x:v>
      </x:c>
      <x:c r="B703" s="10" t="n">
        <x:v>2025</x:v>
      </x:c>
      <x:c r="C703" s="10" t="n">
        <x:v>4</x:v>
      </x:c>
      <x:c r="D703" s="10" t="n">
        <x:v>12</x:v>
      </x:c>
      <x:c r="E703" s="10" t="str">
        <x:v>Dezembro</x:v>
      </x:c>
      <x:c r="F703" s="10" t="str">
        <x:v>2025-12</x:v>
      </x:c>
      <x:c r="G703" s="10" t="n">
        <x:v>2</x:v>
      </x:c>
      <x:c r="H703" s="10" t="str">
        <x:v>Terça-feira</x:v>
      </x:c>
      <x:c r="I703" s="11" t="b">
        <x:v>1</x:v>
      </x:c>
    </x:row>
    <x:row r="704" ht="18" customHeight="1">
      <x:c r="A704" s="16" t="n">
        <x:v>45994</x:v>
      </x:c>
      <x:c r="B704" s="10" t="n">
        <x:v>2025</x:v>
      </x:c>
      <x:c r="C704" s="10" t="n">
        <x:v>4</x:v>
      </x:c>
      <x:c r="D704" s="10" t="n">
        <x:v>12</x:v>
      </x:c>
      <x:c r="E704" s="10" t="str">
        <x:v>Dezembro</x:v>
      </x:c>
      <x:c r="F704" s="10" t="str">
        <x:v>2025-12</x:v>
      </x:c>
      <x:c r="G704" s="10" t="n">
        <x:v>3</x:v>
      </x:c>
      <x:c r="H704" s="10" t="str">
        <x:v>Quarta-feira</x:v>
      </x:c>
      <x:c r="I704" s="11" t="b">
        <x:v>1</x:v>
      </x:c>
    </x:row>
    <x:row r="705" ht="18" customHeight="1">
      <x:c r="A705" s="16" t="n">
        <x:v>45995</x:v>
      </x:c>
      <x:c r="B705" s="10" t="n">
        <x:v>2025</x:v>
      </x:c>
      <x:c r="C705" s="10" t="n">
        <x:v>4</x:v>
      </x:c>
      <x:c r="D705" s="10" t="n">
        <x:v>12</x:v>
      </x:c>
      <x:c r="E705" s="10" t="str">
        <x:v>Dezembro</x:v>
      </x:c>
      <x:c r="F705" s="10" t="str">
        <x:v>2025-12</x:v>
      </x:c>
      <x:c r="G705" s="10" t="n">
        <x:v>4</x:v>
      </x:c>
      <x:c r="H705" s="10" t="str">
        <x:v>Quinta-feira</x:v>
      </x:c>
      <x:c r="I705" s="11" t="b">
        <x:v>1</x:v>
      </x:c>
    </x:row>
    <x:row r="706" ht="18" customHeight="1">
      <x:c r="A706" s="16" t="n">
        <x:v>45996</x:v>
      </x:c>
      <x:c r="B706" s="10" t="n">
        <x:v>2025</x:v>
      </x:c>
      <x:c r="C706" s="10" t="n">
        <x:v>4</x:v>
      </x:c>
      <x:c r="D706" s="10" t="n">
        <x:v>12</x:v>
      </x:c>
      <x:c r="E706" s="10" t="str">
        <x:v>Dezembro</x:v>
      </x:c>
      <x:c r="F706" s="10" t="str">
        <x:v>2025-12</x:v>
      </x:c>
      <x:c r="G706" s="10" t="n">
        <x:v>5</x:v>
      </x:c>
      <x:c r="H706" s="10" t="str">
        <x:v>Sexta-feira</x:v>
      </x:c>
      <x:c r="I706" s="11" t="b">
        <x:v>1</x:v>
      </x:c>
    </x:row>
    <x:row r="707" ht="18" customHeight="1">
      <x:c r="A707" s="16" t="n">
        <x:v>45997</x:v>
      </x:c>
      <x:c r="B707" s="10" t="n">
        <x:v>2025</x:v>
      </x:c>
      <x:c r="C707" s="10" t="n">
        <x:v>4</x:v>
      </x:c>
      <x:c r="D707" s="10" t="n">
        <x:v>12</x:v>
      </x:c>
      <x:c r="E707" s="10" t="str">
        <x:v>Dezembro</x:v>
      </x:c>
      <x:c r="F707" s="10" t="str">
        <x:v>2025-12</x:v>
      </x:c>
      <x:c r="G707" s="10" t="n">
        <x:v>6</x:v>
      </x:c>
      <x:c r="H707" s="10" t="str">
        <x:v>Sábado</x:v>
      </x:c>
      <x:c r="I707" s="11" t="b">
        <x:v>0</x:v>
      </x:c>
    </x:row>
    <x:row r="708" ht="18" customHeight="1">
      <x:c r="A708" s="16" t="n">
        <x:v>45998</x:v>
      </x:c>
      <x:c r="B708" s="10" t="n">
        <x:v>2025</x:v>
      </x:c>
      <x:c r="C708" s="10" t="n">
        <x:v>4</x:v>
      </x:c>
      <x:c r="D708" s="10" t="n">
        <x:v>12</x:v>
      </x:c>
      <x:c r="E708" s="10" t="str">
        <x:v>Dezembro</x:v>
      </x:c>
      <x:c r="F708" s="10" t="str">
        <x:v>2025-12</x:v>
      </x:c>
      <x:c r="G708" s="10" t="n">
        <x:v>7</x:v>
      </x:c>
      <x:c r="H708" s="10" t="str">
        <x:v>Domingo</x:v>
      </x:c>
      <x:c r="I708" s="11" t="b">
        <x:v>0</x:v>
      </x:c>
    </x:row>
    <x:row r="709" ht="18" customHeight="1">
      <x:c r="A709" s="16" t="n">
        <x:v>45999</x:v>
      </x:c>
      <x:c r="B709" s="10" t="n">
        <x:v>2025</x:v>
      </x:c>
      <x:c r="C709" s="10" t="n">
        <x:v>4</x:v>
      </x:c>
      <x:c r="D709" s="10" t="n">
        <x:v>12</x:v>
      </x:c>
      <x:c r="E709" s="10" t="str">
        <x:v>Dezembro</x:v>
      </x:c>
      <x:c r="F709" s="10" t="str">
        <x:v>2025-12</x:v>
      </x:c>
      <x:c r="G709" s="10" t="n">
        <x:v>8</x:v>
      </x:c>
      <x:c r="H709" s="10" t="str">
        <x:v>Segunda-feira</x:v>
      </x:c>
      <x:c r="I709" s="11" t="b">
        <x:v>1</x:v>
      </x:c>
    </x:row>
    <x:row r="710" ht="18" customHeight="1">
      <x:c r="A710" s="16" t="n">
        <x:v>46000</x:v>
      </x:c>
      <x:c r="B710" s="10" t="n">
        <x:v>2025</x:v>
      </x:c>
      <x:c r="C710" s="10" t="n">
        <x:v>4</x:v>
      </x:c>
      <x:c r="D710" s="10" t="n">
        <x:v>12</x:v>
      </x:c>
      <x:c r="E710" s="10" t="str">
        <x:v>Dezembro</x:v>
      </x:c>
      <x:c r="F710" s="10" t="str">
        <x:v>2025-12</x:v>
      </x:c>
      <x:c r="G710" s="10" t="n">
        <x:v>9</x:v>
      </x:c>
      <x:c r="H710" s="10" t="str">
        <x:v>Terça-feira</x:v>
      </x:c>
      <x:c r="I710" s="11" t="b">
        <x:v>1</x:v>
      </x:c>
    </x:row>
    <x:row r="711" ht="18" customHeight="1">
      <x:c r="A711" s="16" t="n">
        <x:v>46001</x:v>
      </x:c>
      <x:c r="B711" s="10" t="n">
        <x:v>2025</x:v>
      </x:c>
      <x:c r="C711" s="10" t="n">
        <x:v>4</x:v>
      </x:c>
      <x:c r="D711" s="10" t="n">
        <x:v>12</x:v>
      </x:c>
      <x:c r="E711" s="10" t="str">
        <x:v>Dezembro</x:v>
      </x:c>
      <x:c r="F711" s="10" t="str">
        <x:v>2025-12</x:v>
      </x:c>
      <x:c r="G711" s="10" t="n">
        <x:v>10</x:v>
      </x:c>
      <x:c r="H711" s="10" t="str">
        <x:v>Quarta-feira</x:v>
      </x:c>
      <x:c r="I711" s="11" t="b">
        <x:v>1</x:v>
      </x:c>
    </x:row>
    <x:row r="712" ht="18" customHeight="1">
      <x:c r="A712" s="16" t="n">
        <x:v>46002</x:v>
      </x:c>
      <x:c r="B712" s="10" t="n">
        <x:v>2025</x:v>
      </x:c>
      <x:c r="C712" s="10" t="n">
        <x:v>4</x:v>
      </x:c>
      <x:c r="D712" s="10" t="n">
        <x:v>12</x:v>
      </x:c>
      <x:c r="E712" s="10" t="str">
        <x:v>Dezembro</x:v>
      </x:c>
      <x:c r="F712" s="10" t="str">
        <x:v>2025-12</x:v>
      </x:c>
      <x:c r="G712" s="10" t="n">
        <x:v>11</x:v>
      </x:c>
      <x:c r="H712" s="10" t="str">
        <x:v>Quinta-feira</x:v>
      </x:c>
      <x:c r="I712" s="11" t="b">
        <x:v>1</x:v>
      </x:c>
    </x:row>
    <x:row r="713" ht="18" customHeight="1">
      <x:c r="A713" s="16" t="n">
        <x:v>46003</x:v>
      </x:c>
      <x:c r="B713" s="10" t="n">
        <x:v>2025</x:v>
      </x:c>
      <x:c r="C713" s="10" t="n">
        <x:v>4</x:v>
      </x:c>
      <x:c r="D713" s="10" t="n">
        <x:v>12</x:v>
      </x:c>
      <x:c r="E713" s="10" t="str">
        <x:v>Dezembro</x:v>
      </x:c>
      <x:c r="F713" s="10" t="str">
        <x:v>2025-12</x:v>
      </x:c>
      <x:c r="G713" s="10" t="n">
        <x:v>12</x:v>
      </x:c>
      <x:c r="H713" s="10" t="str">
        <x:v>Sexta-feira</x:v>
      </x:c>
      <x:c r="I713" s="11" t="b">
        <x:v>1</x:v>
      </x:c>
    </x:row>
    <x:row r="714" ht="18" customHeight="1">
      <x:c r="A714" s="16" t="n">
        <x:v>46004</x:v>
      </x:c>
      <x:c r="B714" s="10" t="n">
        <x:v>2025</x:v>
      </x:c>
      <x:c r="C714" s="10" t="n">
        <x:v>4</x:v>
      </x:c>
      <x:c r="D714" s="10" t="n">
        <x:v>12</x:v>
      </x:c>
      <x:c r="E714" s="10" t="str">
        <x:v>Dezembro</x:v>
      </x:c>
      <x:c r="F714" s="10" t="str">
        <x:v>2025-12</x:v>
      </x:c>
      <x:c r="G714" s="10" t="n">
        <x:v>13</x:v>
      </x:c>
      <x:c r="H714" s="10" t="str">
        <x:v>Sábado</x:v>
      </x:c>
      <x:c r="I714" s="11" t="b">
        <x:v>0</x:v>
      </x:c>
    </x:row>
    <x:row r="715" ht="18" customHeight="1">
      <x:c r="A715" s="16" t="n">
        <x:v>46005</x:v>
      </x:c>
      <x:c r="B715" s="10" t="n">
        <x:v>2025</x:v>
      </x:c>
      <x:c r="C715" s="10" t="n">
        <x:v>4</x:v>
      </x:c>
      <x:c r="D715" s="10" t="n">
        <x:v>12</x:v>
      </x:c>
      <x:c r="E715" s="10" t="str">
        <x:v>Dezembro</x:v>
      </x:c>
      <x:c r="F715" s="10" t="str">
        <x:v>2025-12</x:v>
      </x:c>
      <x:c r="G715" s="10" t="n">
        <x:v>14</x:v>
      </x:c>
      <x:c r="H715" s="10" t="str">
        <x:v>Domingo</x:v>
      </x:c>
      <x:c r="I715" s="11" t="b">
        <x:v>0</x:v>
      </x:c>
    </x:row>
    <x:row r="716" ht="18" customHeight="1">
      <x:c r="A716" s="16" t="n">
        <x:v>46006</x:v>
      </x:c>
      <x:c r="B716" s="10" t="n">
        <x:v>2025</x:v>
      </x:c>
      <x:c r="C716" s="10" t="n">
        <x:v>4</x:v>
      </x:c>
      <x:c r="D716" s="10" t="n">
        <x:v>12</x:v>
      </x:c>
      <x:c r="E716" s="10" t="str">
        <x:v>Dezembro</x:v>
      </x:c>
      <x:c r="F716" s="10" t="str">
        <x:v>2025-12</x:v>
      </x:c>
      <x:c r="G716" s="10" t="n">
        <x:v>15</x:v>
      </x:c>
      <x:c r="H716" s="10" t="str">
        <x:v>Segunda-feira</x:v>
      </x:c>
      <x:c r="I716" s="11" t="b">
        <x:v>1</x:v>
      </x:c>
    </x:row>
    <x:row r="717" ht="18" customHeight="1">
      <x:c r="A717" s="16" t="n">
        <x:v>46007</x:v>
      </x:c>
      <x:c r="B717" s="10" t="n">
        <x:v>2025</x:v>
      </x:c>
      <x:c r="C717" s="10" t="n">
        <x:v>4</x:v>
      </x:c>
      <x:c r="D717" s="10" t="n">
        <x:v>12</x:v>
      </x:c>
      <x:c r="E717" s="10" t="str">
        <x:v>Dezembro</x:v>
      </x:c>
      <x:c r="F717" s="10" t="str">
        <x:v>2025-12</x:v>
      </x:c>
      <x:c r="G717" s="10" t="n">
        <x:v>16</x:v>
      </x:c>
      <x:c r="H717" s="10" t="str">
        <x:v>Terça-feira</x:v>
      </x:c>
      <x:c r="I717" s="11" t="b">
        <x:v>1</x:v>
      </x:c>
    </x:row>
    <x:row r="718" ht="18" customHeight="1">
      <x:c r="A718" s="16" t="n">
        <x:v>46008</x:v>
      </x:c>
      <x:c r="B718" s="10" t="n">
        <x:v>2025</x:v>
      </x:c>
      <x:c r="C718" s="10" t="n">
        <x:v>4</x:v>
      </x:c>
      <x:c r="D718" s="10" t="n">
        <x:v>12</x:v>
      </x:c>
      <x:c r="E718" s="10" t="str">
        <x:v>Dezembro</x:v>
      </x:c>
      <x:c r="F718" s="10" t="str">
        <x:v>2025-12</x:v>
      </x:c>
      <x:c r="G718" s="10" t="n">
        <x:v>17</x:v>
      </x:c>
      <x:c r="H718" s="10" t="str">
        <x:v>Quarta-feira</x:v>
      </x:c>
      <x:c r="I718" s="11" t="b">
        <x:v>1</x:v>
      </x:c>
    </x:row>
    <x:row r="719" ht="18" customHeight="1">
      <x:c r="A719" s="16" t="n">
        <x:v>46009</x:v>
      </x:c>
      <x:c r="B719" s="10" t="n">
        <x:v>2025</x:v>
      </x:c>
      <x:c r="C719" s="10" t="n">
        <x:v>4</x:v>
      </x:c>
      <x:c r="D719" s="10" t="n">
        <x:v>12</x:v>
      </x:c>
      <x:c r="E719" s="10" t="str">
        <x:v>Dezembro</x:v>
      </x:c>
      <x:c r="F719" s="10" t="str">
        <x:v>2025-12</x:v>
      </x:c>
      <x:c r="G719" s="10" t="n">
        <x:v>18</x:v>
      </x:c>
      <x:c r="H719" s="10" t="str">
        <x:v>Quinta-feira</x:v>
      </x:c>
      <x:c r="I719" s="11" t="b">
        <x:v>1</x:v>
      </x:c>
    </x:row>
    <x:row r="720" ht="18" customHeight="1">
      <x:c r="A720" s="16" t="n">
        <x:v>46010</x:v>
      </x:c>
      <x:c r="B720" s="10" t="n">
        <x:v>2025</x:v>
      </x:c>
      <x:c r="C720" s="10" t="n">
        <x:v>4</x:v>
      </x:c>
      <x:c r="D720" s="10" t="n">
        <x:v>12</x:v>
      </x:c>
      <x:c r="E720" s="10" t="str">
        <x:v>Dezembro</x:v>
      </x:c>
      <x:c r="F720" s="10" t="str">
        <x:v>2025-12</x:v>
      </x:c>
      <x:c r="G720" s="10" t="n">
        <x:v>19</x:v>
      </x:c>
      <x:c r="H720" s="10" t="str">
        <x:v>Sexta-feira</x:v>
      </x:c>
      <x:c r="I720" s="11" t="b">
        <x:v>1</x:v>
      </x:c>
    </x:row>
    <x:row r="721" ht="18" customHeight="1">
      <x:c r="A721" s="16" t="n">
        <x:v>46011</x:v>
      </x:c>
      <x:c r="B721" s="10" t="n">
        <x:v>2025</x:v>
      </x:c>
      <x:c r="C721" s="10" t="n">
        <x:v>4</x:v>
      </x:c>
      <x:c r="D721" s="10" t="n">
        <x:v>12</x:v>
      </x:c>
      <x:c r="E721" s="10" t="str">
        <x:v>Dezembro</x:v>
      </x:c>
      <x:c r="F721" s="10" t="str">
        <x:v>2025-12</x:v>
      </x:c>
      <x:c r="G721" s="10" t="n">
        <x:v>20</x:v>
      </x:c>
      <x:c r="H721" s="10" t="str">
        <x:v>Sábado</x:v>
      </x:c>
      <x:c r="I721" s="11" t="b">
        <x:v>0</x:v>
      </x:c>
    </x:row>
    <x:row r="722" ht="18" customHeight="1">
      <x:c r="A722" s="16" t="n">
        <x:v>46012</x:v>
      </x:c>
      <x:c r="B722" s="10" t="n">
        <x:v>2025</x:v>
      </x:c>
      <x:c r="C722" s="10" t="n">
        <x:v>4</x:v>
      </x:c>
      <x:c r="D722" s="10" t="n">
        <x:v>12</x:v>
      </x:c>
      <x:c r="E722" s="10" t="str">
        <x:v>Dezembro</x:v>
      </x:c>
      <x:c r="F722" s="10" t="str">
        <x:v>2025-12</x:v>
      </x:c>
      <x:c r="G722" s="10" t="n">
        <x:v>21</x:v>
      </x:c>
      <x:c r="H722" s="10" t="str">
        <x:v>Domingo</x:v>
      </x:c>
      <x:c r="I722" s="11" t="b">
        <x:v>0</x:v>
      </x:c>
    </x:row>
    <x:row r="723" ht="18" customHeight="1">
      <x:c r="A723" s="16" t="n">
        <x:v>46013</x:v>
      </x:c>
      <x:c r="B723" s="10" t="n">
        <x:v>2025</x:v>
      </x:c>
      <x:c r="C723" s="10" t="n">
        <x:v>4</x:v>
      </x:c>
      <x:c r="D723" s="10" t="n">
        <x:v>12</x:v>
      </x:c>
      <x:c r="E723" s="10" t="str">
        <x:v>Dezembro</x:v>
      </x:c>
      <x:c r="F723" s="10" t="str">
        <x:v>2025-12</x:v>
      </x:c>
      <x:c r="G723" s="10" t="n">
        <x:v>22</x:v>
      </x:c>
      <x:c r="H723" s="10" t="str">
        <x:v>Segunda-feira</x:v>
      </x:c>
      <x:c r="I723" s="11" t="b">
        <x:v>1</x:v>
      </x:c>
    </x:row>
    <x:row r="724" ht="18" customHeight="1">
      <x:c r="A724" s="16" t="n">
        <x:v>46014</x:v>
      </x:c>
      <x:c r="B724" s="10" t="n">
        <x:v>2025</x:v>
      </x:c>
      <x:c r="C724" s="10" t="n">
        <x:v>4</x:v>
      </x:c>
      <x:c r="D724" s="10" t="n">
        <x:v>12</x:v>
      </x:c>
      <x:c r="E724" s="10" t="str">
        <x:v>Dezembro</x:v>
      </x:c>
      <x:c r="F724" s="10" t="str">
        <x:v>2025-12</x:v>
      </x:c>
      <x:c r="G724" s="10" t="n">
        <x:v>23</x:v>
      </x:c>
      <x:c r="H724" s="10" t="str">
        <x:v>Terça-feira</x:v>
      </x:c>
      <x:c r="I724" s="11" t="b">
        <x:v>1</x:v>
      </x:c>
    </x:row>
    <x:row r="725" ht="18" customHeight="1">
      <x:c r="A725" s="16" t="n">
        <x:v>46015</x:v>
      </x:c>
      <x:c r="B725" s="10" t="n">
        <x:v>2025</x:v>
      </x:c>
      <x:c r="C725" s="10" t="n">
        <x:v>4</x:v>
      </x:c>
      <x:c r="D725" s="10" t="n">
        <x:v>12</x:v>
      </x:c>
      <x:c r="E725" s="10" t="str">
        <x:v>Dezembro</x:v>
      </x:c>
      <x:c r="F725" s="10" t="str">
        <x:v>2025-12</x:v>
      </x:c>
      <x:c r="G725" s="10" t="n">
        <x:v>24</x:v>
      </x:c>
      <x:c r="H725" s="10" t="str">
        <x:v>Quarta-feira</x:v>
      </x:c>
      <x:c r="I725" s="11" t="b">
        <x:v>1</x:v>
      </x:c>
    </x:row>
    <x:row r="726" ht="18" customHeight="1">
      <x:c r="A726" s="16" t="n">
        <x:v>46016</x:v>
      </x:c>
      <x:c r="B726" s="10" t="n">
        <x:v>2025</x:v>
      </x:c>
      <x:c r="C726" s="10" t="n">
        <x:v>4</x:v>
      </x:c>
      <x:c r="D726" s="10" t="n">
        <x:v>12</x:v>
      </x:c>
      <x:c r="E726" s="10" t="str">
        <x:v>Dezembro</x:v>
      </x:c>
      <x:c r="F726" s="10" t="str">
        <x:v>2025-12</x:v>
      </x:c>
      <x:c r="G726" s="10" t="n">
        <x:v>25</x:v>
      </x:c>
      <x:c r="H726" s="10" t="str">
        <x:v>Quinta-feira</x:v>
      </x:c>
      <x:c r="I726" s="11" t="b">
        <x:v>1</x:v>
      </x:c>
    </x:row>
    <x:row r="727" ht="18" customHeight="1">
      <x:c r="A727" s="16" t="n">
        <x:v>46017</x:v>
      </x:c>
      <x:c r="B727" s="10" t="n">
        <x:v>2025</x:v>
      </x:c>
      <x:c r="C727" s="10" t="n">
        <x:v>4</x:v>
      </x:c>
      <x:c r="D727" s="10" t="n">
        <x:v>12</x:v>
      </x:c>
      <x:c r="E727" s="10" t="str">
        <x:v>Dezembro</x:v>
      </x:c>
      <x:c r="F727" s="10" t="str">
        <x:v>2025-12</x:v>
      </x:c>
      <x:c r="G727" s="10" t="n">
        <x:v>26</x:v>
      </x:c>
      <x:c r="H727" s="10" t="str">
        <x:v>Sexta-feira</x:v>
      </x:c>
      <x:c r="I727" s="11" t="b">
        <x:v>1</x:v>
      </x:c>
    </x:row>
    <x:row r="728" ht="18" customHeight="1">
      <x:c r="A728" s="16" t="n">
        <x:v>46018</x:v>
      </x:c>
      <x:c r="B728" s="10" t="n">
        <x:v>2025</x:v>
      </x:c>
      <x:c r="C728" s="10" t="n">
        <x:v>4</x:v>
      </x:c>
      <x:c r="D728" s="10" t="n">
        <x:v>12</x:v>
      </x:c>
      <x:c r="E728" s="10" t="str">
        <x:v>Dezembro</x:v>
      </x:c>
      <x:c r="F728" s="10" t="str">
        <x:v>2025-12</x:v>
      </x:c>
      <x:c r="G728" s="10" t="n">
        <x:v>27</x:v>
      </x:c>
      <x:c r="H728" s="10" t="str">
        <x:v>Sábado</x:v>
      </x:c>
      <x:c r="I728" s="11" t="b">
        <x:v>0</x:v>
      </x:c>
    </x:row>
    <x:row r="729" ht="18" customHeight="1">
      <x:c r="A729" s="16" t="n">
        <x:v>46019</x:v>
      </x:c>
      <x:c r="B729" s="10" t="n">
        <x:v>2025</x:v>
      </x:c>
      <x:c r="C729" s="10" t="n">
        <x:v>4</x:v>
      </x:c>
      <x:c r="D729" s="10" t="n">
        <x:v>12</x:v>
      </x:c>
      <x:c r="E729" s="10" t="str">
        <x:v>Dezembro</x:v>
      </x:c>
      <x:c r="F729" s="10" t="str">
        <x:v>2025-12</x:v>
      </x:c>
      <x:c r="G729" s="10" t="n">
        <x:v>28</x:v>
      </x:c>
      <x:c r="H729" s="10" t="str">
        <x:v>Domingo</x:v>
      </x:c>
      <x:c r="I729" s="11" t="b">
        <x:v>0</x:v>
      </x:c>
    </x:row>
    <x:row r="730" ht="18" customHeight="1">
      <x:c r="A730" s="16" t="n">
        <x:v>46020</x:v>
      </x:c>
      <x:c r="B730" s="10" t="n">
        <x:v>2025</x:v>
      </x:c>
      <x:c r="C730" s="10" t="n">
        <x:v>4</x:v>
      </x:c>
      <x:c r="D730" s="10" t="n">
        <x:v>12</x:v>
      </x:c>
      <x:c r="E730" s="10" t="str">
        <x:v>Dezembro</x:v>
      </x:c>
      <x:c r="F730" s="10" t="str">
        <x:v>2025-12</x:v>
      </x:c>
      <x:c r="G730" s="10" t="n">
        <x:v>29</x:v>
      </x:c>
      <x:c r="H730" s="10" t="str">
        <x:v>Segunda-feira</x:v>
      </x:c>
      <x:c r="I730" s="11" t="b">
        <x:v>1</x:v>
      </x:c>
    </x:row>
    <x:row r="731" ht="18" customHeight="1">
      <x:c r="A731" s="16" t="n">
        <x:v>46021</x:v>
      </x:c>
      <x:c r="B731" s="10" t="n">
        <x:v>2025</x:v>
      </x:c>
      <x:c r="C731" s="10" t="n">
        <x:v>4</x:v>
      </x:c>
      <x:c r="D731" s="10" t="n">
        <x:v>12</x:v>
      </x:c>
      <x:c r="E731" s="10" t="str">
        <x:v>Dezembro</x:v>
      </x:c>
      <x:c r="F731" s="10" t="str">
        <x:v>2025-12</x:v>
      </x:c>
      <x:c r="G731" s="10" t="n">
        <x:v>30</x:v>
      </x:c>
      <x:c r="H731" s="10" t="str">
        <x:v>Terça-feira</x:v>
      </x:c>
      <x:c r="I731" s="11" t="b">
        <x:v>1</x:v>
      </x:c>
    </x:row>
    <x:row r="732" ht="18" customHeight="1">
      <x:c r="A732" s="16" t="n">
        <x:v>46022</x:v>
      </x:c>
      <x:c r="B732" s="10" t="n">
        <x:v>2025</x:v>
      </x:c>
      <x:c r="C732" s="10" t="n">
        <x:v>4</x:v>
      </x:c>
      <x:c r="D732" s="10" t="n">
        <x:v>12</x:v>
      </x:c>
      <x:c r="E732" s="10" t="str">
        <x:v>Dezembro</x:v>
      </x:c>
      <x:c r="F732" s="10" t="str">
        <x:v>2025-12</x:v>
      </x:c>
      <x:c r="G732" s="10" t="n">
        <x:v>31</x:v>
      </x:c>
      <x:c r="H732" s="10" t="str">
        <x:v>Quarta-feira</x:v>
      </x:c>
      <x:c r="I732" s="11" t="b">
        <x:v>1</x:v>
      </x:c>
    </x:row>
    <x:row r="733" ht="18" customHeight="1">
      <x:c r="A733" s="16" t="n">
        <x:v>46023</x:v>
      </x:c>
      <x:c r="B733" s="10" t="n">
        <x:v>2026</x:v>
      </x:c>
      <x:c r="C733" s="10" t="n">
        <x:v>1</x:v>
      </x:c>
      <x:c r="D733" s="10" t="n">
        <x:v>1</x:v>
      </x:c>
      <x:c r="E733" s="10" t="str">
        <x:v>Janeiro</x:v>
      </x:c>
      <x:c r="F733" s="10" t="str">
        <x:v>2026-01</x:v>
      </x:c>
      <x:c r="G733" s="10" t="n">
        <x:v>1</x:v>
      </x:c>
      <x:c r="H733" s="10" t="str">
        <x:v>Quinta-feira</x:v>
      </x:c>
      <x:c r="I733" s="11" t="b">
        <x:v>1</x:v>
      </x:c>
    </x:row>
    <x:row r="734" ht="18" customHeight="1">
      <x:c r="A734" s="16" t="n">
        <x:v>46024</x:v>
      </x:c>
      <x:c r="B734" s="10" t="n">
        <x:v>2026</x:v>
      </x:c>
      <x:c r="C734" s="10" t="n">
        <x:v>1</x:v>
      </x:c>
      <x:c r="D734" s="10" t="n">
        <x:v>1</x:v>
      </x:c>
      <x:c r="E734" s="10" t="str">
        <x:v>Janeiro</x:v>
      </x:c>
      <x:c r="F734" s="10" t="str">
        <x:v>2026-01</x:v>
      </x:c>
      <x:c r="G734" s="10" t="n">
        <x:v>2</x:v>
      </x:c>
      <x:c r="H734" s="10" t="str">
        <x:v>Sexta-feira</x:v>
      </x:c>
      <x:c r="I734" s="11" t="b">
        <x:v>1</x:v>
      </x:c>
    </x:row>
    <x:row r="735" ht="18" customHeight="1">
      <x:c r="A735" s="16" t="n">
        <x:v>46025</x:v>
      </x:c>
      <x:c r="B735" s="10" t="n">
        <x:v>2026</x:v>
      </x:c>
      <x:c r="C735" s="10" t="n">
        <x:v>1</x:v>
      </x:c>
      <x:c r="D735" s="10" t="n">
        <x:v>1</x:v>
      </x:c>
      <x:c r="E735" s="10" t="str">
        <x:v>Janeiro</x:v>
      </x:c>
      <x:c r="F735" s="10" t="str">
        <x:v>2026-01</x:v>
      </x:c>
      <x:c r="G735" s="10" t="n">
        <x:v>3</x:v>
      </x:c>
      <x:c r="H735" s="10" t="str">
        <x:v>Sábado</x:v>
      </x:c>
      <x:c r="I735" s="11" t="b">
        <x:v>0</x:v>
      </x:c>
    </x:row>
    <x:row r="736" ht="18" customHeight="1">
      <x:c r="A736" s="16" t="n">
        <x:v>46026</x:v>
      </x:c>
      <x:c r="B736" s="10" t="n">
        <x:v>2026</x:v>
      </x:c>
      <x:c r="C736" s="10" t="n">
        <x:v>1</x:v>
      </x:c>
      <x:c r="D736" s="10" t="n">
        <x:v>1</x:v>
      </x:c>
      <x:c r="E736" s="10" t="str">
        <x:v>Janeiro</x:v>
      </x:c>
      <x:c r="F736" s="10" t="str">
        <x:v>2026-01</x:v>
      </x:c>
      <x:c r="G736" s="10" t="n">
        <x:v>4</x:v>
      </x:c>
      <x:c r="H736" s="10" t="str">
        <x:v>Domingo</x:v>
      </x:c>
      <x:c r="I736" s="11" t="b">
        <x:v>0</x:v>
      </x:c>
    </x:row>
    <x:row r="737" ht="18" customHeight="1">
      <x:c r="A737" s="16" t="n">
        <x:v>46027</x:v>
      </x:c>
      <x:c r="B737" s="10" t="n">
        <x:v>2026</x:v>
      </x:c>
      <x:c r="C737" s="10" t="n">
        <x:v>1</x:v>
      </x:c>
      <x:c r="D737" s="10" t="n">
        <x:v>1</x:v>
      </x:c>
      <x:c r="E737" s="10" t="str">
        <x:v>Janeiro</x:v>
      </x:c>
      <x:c r="F737" s="10" t="str">
        <x:v>2026-01</x:v>
      </x:c>
      <x:c r="G737" s="10" t="n">
        <x:v>5</x:v>
      </x:c>
      <x:c r="H737" s="10" t="str">
        <x:v>Segunda-feira</x:v>
      </x:c>
      <x:c r="I737" s="11" t="b">
        <x:v>1</x:v>
      </x:c>
    </x:row>
    <x:row r="738" ht="18" customHeight="1">
      <x:c r="A738" s="16" t="n">
        <x:v>46028</x:v>
      </x:c>
      <x:c r="B738" s="10" t="n">
        <x:v>2026</x:v>
      </x:c>
      <x:c r="C738" s="10" t="n">
        <x:v>1</x:v>
      </x:c>
      <x:c r="D738" s="10" t="n">
        <x:v>1</x:v>
      </x:c>
      <x:c r="E738" s="10" t="str">
        <x:v>Janeiro</x:v>
      </x:c>
      <x:c r="F738" s="10" t="str">
        <x:v>2026-01</x:v>
      </x:c>
      <x:c r="G738" s="10" t="n">
        <x:v>6</x:v>
      </x:c>
      <x:c r="H738" s="10" t="str">
        <x:v>Terça-feira</x:v>
      </x:c>
      <x:c r="I738" s="11" t="b">
        <x:v>1</x:v>
      </x:c>
    </x:row>
    <x:row r="739" ht="18" customHeight="1">
      <x:c r="A739" s="16" t="n">
        <x:v>46029</x:v>
      </x:c>
      <x:c r="B739" s="10" t="n">
        <x:v>2026</x:v>
      </x:c>
      <x:c r="C739" s="10" t="n">
        <x:v>1</x:v>
      </x:c>
      <x:c r="D739" s="10" t="n">
        <x:v>1</x:v>
      </x:c>
      <x:c r="E739" s="10" t="str">
        <x:v>Janeiro</x:v>
      </x:c>
      <x:c r="F739" s="10" t="str">
        <x:v>2026-01</x:v>
      </x:c>
      <x:c r="G739" s="10" t="n">
        <x:v>7</x:v>
      </x:c>
      <x:c r="H739" s="10" t="str">
        <x:v>Quarta-feira</x:v>
      </x:c>
      <x:c r="I739" s="11" t="b">
        <x:v>1</x:v>
      </x:c>
    </x:row>
    <x:row r="740" ht="18" customHeight="1">
      <x:c r="A740" s="16" t="n">
        <x:v>46030</x:v>
      </x:c>
      <x:c r="B740" s="10" t="n">
        <x:v>2026</x:v>
      </x:c>
      <x:c r="C740" s="10" t="n">
        <x:v>1</x:v>
      </x:c>
      <x:c r="D740" s="10" t="n">
        <x:v>1</x:v>
      </x:c>
      <x:c r="E740" s="10" t="str">
        <x:v>Janeiro</x:v>
      </x:c>
      <x:c r="F740" s="10" t="str">
        <x:v>2026-01</x:v>
      </x:c>
      <x:c r="G740" s="10" t="n">
        <x:v>8</x:v>
      </x:c>
      <x:c r="H740" s="10" t="str">
        <x:v>Quinta-feira</x:v>
      </x:c>
      <x:c r="I740" s="11" t="b">
        <x:v>1</x:v>
      </x:c>
    </x:row>
    <x:row r="741" ht="18" customHeight="1">
      <x:c r="A741" s="16" t="n">
        <x:v>46031</x:v>
      </x:c>
      <x:c r="B741" s="10" t="n">
        <x:v>2026</x:v>
      </x:c>
      <x:c r="C741" s="10" t="n">
        <x:v>1</x:v>
      </x:c>
      <x:c r="D741" s="10" t="n">
        <x:v>1</x:v>
      </x:c>
      <x:c r="E741" s="10" t="str">
        <x:v>Janeiro</x:v>
      </x:c>
      <x:c r="F741" s="10" t="str">
        <x:v>2026-01</x:v>
      </x:c>
      <x:c r="G741" s="10" t="n">
        <x:v>9</x:v>
      </x:c>
      <x:c r="H741" s="10" t="str">
        <x:v>Sexta-feira</x:v>
      </x:c>
      <x:c r="I741" s="11" t="b">
        <x:v>1</x:v>
      </x:c>
    </x:row>
    <x:row r="742" ht="18" customHeight="1">
      <x:c r="A742" s="16" t="n">
        <x:v>46032</x:v>
      </x:c>
      <x:c r="B742" s="10" t="n">
        <x:v>2026</x:v>
      </x:c>
      <x:c r="C742" s="10" t="n">
        <x:v>1</x:v>
      </x:c>
      <x:c r="D742" s="10" t="n">
        <x:v>1</x:v>
      </x:c>
      <x:c r="E742" s="10" t="str">
        <x:v>Janeiro</x:v>
      </x:c>
      <x:c r="F742" s="10" t="str">
        <x:v>2026-01</x:v>
      </x:c>
      <x:c r="G742" s="10" t="n">
        <x:v>10</x:v>
      </x:c>
      <x:c r="H742" s="10" t="str">
        <x:v>Sábado</x:v>
      </x:c>
      <x:c r="I742" s="11" t="b">
        <x:v>0</x:v>
      </x:c>
    </x:row>
    <x:row r="743" ht="18" customHeight="1">
      <x:c r="A743" s="16" t="n">
        <x:v>46033</x:v>
      </x:c>
      <x:c r="B743" s="10" t="n">
        <x:v>2026</x:v>
      </x:c>
      <x:c r="C743" s="10" t="n">
        <x:v>1</x:v>
      </x:c>
      <x:c r="D743" s="10" t="n">
        <x:v>1</x:v>
      </x:c>
      <x:c r="E743" s="10" t="str">
        <x:v>Janeiro</x:v>
      </x:c>
      <x:c r="F743" s="10" t="str">
        <x:v>2026-01</x:v>
      </x:c>
      <x:c r="G743" s="10" t="n">
        <x:v>11</x:v>
      </x:c>
      <x:c r="H743" s="10" t="str">
        <x:v>Domingo</x:v>
      </x:c>
      <x:c r="I743" s="11" t="b">
        <x:v>0</x:v>
      </x:c>
    </x:row>
    <x:row r="744" ht="18" customHeight="1">
      <x:c r="A744" s="16" t="n">
        <x:v>46034</x:v>
      </x:c>
      <x:c r="B744" s="10" t="n">
        <x:v>2026</x:v>
      </x:c>
      <x:c r="C744" s="10" t="n">
        <x:v>1</x:v>
      </x:c>
      <x:c r="D744" s="10" t="n">
        <x:v>1</x:v>
      </x:c>
      <x:c r="E744" s="10" t="str">
        <x:v>Janeiro</x:v>
      </x:c>
      <x:c r="F744" s="10" t="str">
        <x:v>2026-01</x:v>
      </x:c>
      <x:c r="G744" s="10" t="n">
        <x:v>12</x:v>
      </x:c>
      <x:c r="H744" s="10" t="str">
        <x:v>Segunda-feira</x:v>
      </x:c>
      <x:c r="I744" s="11" t="b">
        <x:v>1</x:v>
      </x:c>
    </x:row>
    <x:row r="745" ht="18" customHeight="1">
      <x:c r="A745" s="16" t="n">
        <x:v>46035</x:v>
      </x:c>
      <x:c r="B745" s="10" t="n">
        <x:v>2026</x:v>
      </x:c>
      <x:c r="C745" s="10" t="n">
        <x:v>1</x:v>
      </x:c>
      <x:c r="D745" s="10" t="n">
        <x:v>1</x:v>
      </x:c>
      <x:c r="E745" s="10" t="str">
        <x:v>Janeiro</x:v>
      </x:c>
      <x:c r="F745" s="10" t="str">
        <x:v>2026-01</x:v>
      </x:c>
      <x:c r="G745" s="10" t="n">
        <x:v>13</x:v>
      </x:c>
      <x:c r="H745" s="10" t="str">
        <x:v>Terça-feira</x:v>
      </x:c>
      <x:c r="I745" s="11" t="b">
        <x:v>1</x:v>
      </x:c>
    </x:row>
    <x:row r="746" ht="18" customHeight="1">
      <x:c r="A746" s="16" t="n">
        <x:v>46036</x:v>
      </x:c>
      <x:c r="B746" s="10" t="n">
        <x:v>2026</x:v>
      </x:c>
      <x:c r="C746" s="10" t="n">
        <x:v>1</x:v>
      </x:c>
      <x:c r="D746" s="10" t="n">
        <x:v>1</x:v>
      </x:c>
      <x:c r="E746" s="10" t="str">
        <x:v>Janeiro</x:v>
      </x:c>
      <x:c r="F746" s="10" t="str">
        <x:v>2026-01</x:v>
      </x:c>
      <x:c r="G746" s="10" t="n">
        <x:v>14</x:v>
      </x:c>
      <x:c r="H746" s="10" t="str">
        <x:v>Quarta-feira</x:v>
      </x:c>
      <x:c r="I746" s="11" t="b">
        <x:v>1</x:v>
      </x:c>
    </x:row>
    <x:row r="747" ht="18" customHeight="1">
      <x:c r="A747" s="16" t="n">
        <x:v>46037</x:v>
      </x:c>
      <x:c r="B747" s="10" t="n">
        <x:v>2026</x:v>
      </x:c>
      <x:c r="C747" s="10" t="n">
        <x:v>1</x:v>
      </x:c>
      <x:c r="D747" s="10" t="n">
        <x:v>1</x:v>
      </x:c>
      <x:c r="E747" s="10" t="str">
        <x:v>Janeiro</x:v>
      </x:c>
      <x:c r="F747" s="10" t="str">
        <x:v>2026-01</x:v>
      </x:c>
      <x:c r="G747" s="10" t="n">
        <x:v>15</x:v>
      </x:c>
      <x:c r="H747" s="10" t="str">
        <x:v>Quinta-feira</x:v>
      </x:c>
      <x:c r="I747" s="11" t="b">
        <x:v>1</x:v>
      </x:c>
    </x:row>
    <x:row r="748" ht="18" customHeight="1">
      <x:c r="A748" s="16" t="n">
        <x:v>46038</x:v>
      </x:c>
      <x:c r="B748" s="10" t="n">
        <x:v>2026</x:v>
      </x:c>
      <x:c r="C748" s="10" t="n">
        <x:v>1</x:v>
      </x:c>
      <x:c r="D748" s="10" t="n">
        <x:v>1</x:v>
      </x:c>
      <x:c r="E748" s="10" t="str">
        <x:v>Janeiro</x:v>
      </x:c>
      <x:c r="F748" s="10" t="str">
        <x:v>2026-01</x:v>
      </x:c>
      <x:c r="G748" s="10" t="n">
        <x:v>16</x:v>
      </x:c>
      <x:c r="H748" s="10" t="str">
        <x:v>Sexta-feira</x:v>
      </x:c>
      <x:c r="I748" s="11" t="b">
        <x:v>1</x:v>
      </x:c>
    </x:row>
    <x:row r="749" ht="18" customHeight="1">
      <x:c r="A749" s="16" t="n">
        <x:v>46039</x:v>
      </x:c>
      <x:c r="B749" s="10" t="n">
        <x:v>2026</x:v>
      </x:c>
      <x:c r="C749" s="10" t="n">
        <x:v>1</x:v>
      </x:c>
      <x:c r="D749" s="10" t="n">
        <x:v>1</x:v>
      </x:c>
      <x:c r="E749" s="10" t="str">
        <x:v>Janeiro</x:v>
      </x:c>
      <x:c r="F749" s="10" t="str">
        <x:v>2026-01</x:v>
      </x:c>
      <x:c r="G749" s="10" t="n">
        <x:v>17</x:v>
      </x:c>
      <x:c r="H749" s="10" t="str">
        <x:v>Sábado</x:v>
      </x:c>
      <x:c r="I749" s="11" t="b">
        <x:v>0</x:v>
      </x:c>
    </x:row>
    <x:row r="750" ht="18" customHeight="1">
      <x:c r="A750" s="16" t="n">
        <x:v>46040</x:v>
      </x:c>
      <x:c r="B750" s="10" t="n">
        <x:v>2026</x:v>
      </x:c>
      <x:c r="C750" s="10" t="n">
        <x:v>1</x:v>
      </x:c>
      <x:c r="D750" s="10" t="n">
        <x:v>1</x:v>
      </x:c>
      <x:c r="E750" s="10" t="str">
        <x:v>Janeiro</x:v>
      </x:c>
      <x:c r="F750" s="10" t="str">
        <x:v>2026-01</x:v>
      </x:c>
      <x:c r="G750" s="10" t="n">
        <x:v>18</x:v>
      </x:c>
      <x:c r="H750" s="10" t="str">
        <x:v>Domingo</x:v>
      </x:c>
      <x:c r="I750" s="11" t="b">
        <x:v>0</x:v>
      </x:c>
    </x:row>
    <x:row r="751" ht="18" customHeight="1">
      <x:c r="A751" s="16" t="n">
        <x:v>46041</x:v>
      </x:c>
      <x:c r="B751" s="10" t="n">
        <x:v>2026</x:v>
      </x:c>
      <x:c r="C751" s="10" t="n">
        <x:v>1</x:v>
      </x:c>
      <x:c r="D751" s="10" t="n">
        <x:v>1</x:v>
      </x:c>
      <x:c r="E751" s="10" t="str">
        <x:v>Janeiro</x:v>
      </x:c>
      <x:c r="F751" s="10" t="str">
        <x:v>2026-01</x:v>
      </x:c>
      <x:c r="G751" s="10" t="n">
        <x:v>19</x:v>
      </x:c>
      <x:c r="H751" s="10" t="str">
        <x:v>Segunda-feira</x:v>
      </x:c>
      <x:c r="I751" s="11" t="b">
        <x:v>1</x:v>
      </x:c>
    </x:row>
    <x:row r="752" ht="18" customHeight="1">
      <x:c r="A752" s="16" t="n">
        <x:v>46042</x:v>
      </x:c>
      <x:c r="B752" s="10" t="n">
        <x:v>2026</x:v>
      </x:c>
      <x:c r="C752" s="10" t="n">
        <x:v>1</x:v>
      </x:c>
      <x:c r="D752" s="10" t="n">
        <x:v>1</x:v>
      </x:c>
      <x:c r="E752" s="10" t="str">
        <x:v>Janeiro</x:v>
      </x:c>
      <x:c r="F752" s="10" t="str">
        <x:v>2026-01</x:v>
      </x:c>
      <x:c r="G752" s="10" t="n">
        <x:v>20</x:v>
      </x:c>
      <x:c r="H752" s="10" t="str">
        <x:v>Terça-feira</x:v>
      </x:c>
      <x:c r="I752" s="11" t="b">
        <x:v>1</x:v>
      </x:c>
    </x:row>
    <x:row r="753" ht="18" customHeight="1">
      <x:c r="A753" s="16" t="n">
        <x:v>46043</x:v>
      </x:c>
      <x:c r="B753" s="10" t="n">
        <x:v>2026</x:v>
      </x:c>
      <x:c r="C753" s="10" t="n">
        <x:v>1</x:v>
      </x:c>
      <x:c r="D753" s="10" t="n">
        <x:v>1</x:v>
      </x:c>
      <x:c r="E753" s="10" t="str">
        <x:v>Janeiro</x:v>
      </x:c>
      <x:c r="F753" s="10" t="str">
        <x:v>2026-01</x:v>
      </x:c>
      <x:c r="G753" s="10" t="n">
        <x:v>21</x:v>
      </x:c>
      <x:c r="H753" s="10" t="str">
        <x:v>Quarta-feira</x:v>
      </x:c>
      <x:c r="I753" s="11" t="b">
        <x:v>1</x:v>
      </x:c>
    </x:row>
    <x:row r="754" ht="18" customHeight="1">
      <x:c r="A754" s="16" t="n">
        <x:v>46044</x:v>
      </x:c>
      <x:c r="B754" s="10" t="n">
        <x:v>2026</x:v>
      </x:c>
      <x:c r="C754" s="10" t="n">
        <x:v>1</x:v>
      </x:c>
      <x:c r="D754" s="10" t="n">
        <x:v>1</x:v>
      </x:c>
      <x:c r="E754" s="10" t="str">
        <x:v>Janeiro</x:v>
      </x:c>
      <x:c r="F754" s="10" t="str">
        <x:v>2026-01</x:v>
      </x:c>
      <x:c r="G754" s="10" t="n">
        <x:v>22</x:v>
      </x:c>
      <x:c r="H754" s="10" t="str">
        <x:v>Quinta-feira</x:v>
      </x:c>
      <x:c r="I754" s="11" t="b">
        <x:v>1</x:v>
      </x:c>
    </x:row>
    <x:row r="755" ht="18" customHeight="1">
      <x:c r="A755" s="16" t="n">
        <x:v>46045</x:v>
      </x:c>
      <x:c r="B755" s="10" t="n">
        <x:v>2026</x:v>
      </x:c>
      <x:c r="C755" s="10" t="n">
        <x:v>1</x:v>
      </x:c>
      <x:c r="D755" s="10" t="n">
        <x:v>1</x:v>
      </x:c>
      <x:c r="E755" s="10" t="str">
        <x:v>Janeiro</x:v>
      </x:c>
      <x:c r="F755" s="10" t="str">
        <x:v>2026-01</x:v>
      </x:c>
      <x:c r="G755" s="10" t="n">
        <x:v>23</x:v>
      </x:c>
      <x:c r="H755" s="10" t="str">
        <x:v>Sexta-feira</x:v>
      </x:c>
      <x:c r="I755" s="11" t="b">
        <x:v>1</x:v>
      </x:c>
    </x:row>
    <x:row r="756" ht="18" customHeight="1">
      <x:c r="A756" s="16" t="n">
        <x:v>46046</x:v>
      </x:c>
      <x:c r="B756" s="10" t="n">
        <x:v>2026</x:v>
      </x:c>
      <x:c r="C756" s="10" t="n">
        <x:v>1</x:v>
      </x:c>
      <x:c r="D756" s="10" t="n">
        <x:v>1</x:v>
      </x:c>
      <x:c r="E756" s="10" t="str">
        <x:v>Janeiro</x:v>
      </x:c>
      <x:c r="F756" s="10" t="str">
        <x:v>2026-01</x:v>
      </x:c>
      <x:c r="G756" s="10" t="n">
        <x:v>24</x:v>
      </x:c>
      <x:c r="H756" s="10" t="str">
        <x:v>Sábado</x:v>
      </x:c>
      <x:c r="I756" s="11" t="b">
        <x:v>0</x:v>
      </x:c>
    </x:row>
    <x:row r="757" ht="18" customHeight="1">
      <x:c r="A757" s="16" t="n">
        <x:v>46047</x:v>
      </x:c>
      <x:c r="B757" s="10" t="n">
        <x:v>2026</x:v>
      </x:c>
      <x:c r="C757" s="10" t="n">
        <x:v>1</x:v>
      </x:c>
      <x:c r="D757" s="10" t="n">
        <x:v>1</x:v>
      </x:c>
      <x:c r="E757" s="10" t="str">
        <x:v>Janeiro</x:v>
      </x:c>
      <x:c r="F757" s="10" t="str">
        <x:v>2026-01</x:v>
      </x:c>
      <x:c r="G757" s="10" t="n">
        <x:v>25</x:v>
      </x:c>
      <x:c r="H757" s="10" t="str">
        <x:v>Domingo</x:v>
      </x:c>
      <x:c r="I757" s="11" t="b">
        <x:v>0</x:v>
      </x:c>
    </x:row>
    <x:row r="758" ht="18" customHeight="1">
      <x:c r="A758" s="16" t="n">
        <x:v>46048</x:v>
      </x:c>
      <x:c r="B758" s="10" t="n">
        <x:v>2026</x:v>
      </x:c>
      <x:c r="C758" s="10" t="n">
        <x:v>1</x:v>
      </x:c>
      <x:c r="D758" s="10" t="n">
        <x:v>1</x:v>
      </x:c>
      <x:c r="E758" s="10" t="str">
        <x:v>Janeiro</x:v>
      </x:c>
      <x:c r="F758" s="10" t="str">
        <x:v>2026-01</x:v>
      </x:c>
      <x:c r="G758" s="10" t="n">
        <x:v>26</x:v>
      </x:c>
      <x:c r="H758" s="10" t="str">
        <x:v>Segunda-feira</x:v>
      </x:c>
      <x:c r="I758" s="11" t="b">
        <x:v>1</x:v>
      </x:c>
    </x:row>
    <x:row r="759" ht="18" customHeight="1">
      <x:c r="A759" s="16" t="n">
        <x:v>46049</x:v>
      </x:c>
      <x:c r="B759" s="10" t="n">
        <x:v>2026</x:v>
      </x:c>
      <x:c r="C759" s="10" t="n">
        <x:v>1</x:v>
      </x:c>
      <x:c r="D759" s="10" t="n">
        <x:v>1</x:v>
      </x:c>
      <x:c r="E759" s="10" t="str">
        <x:v>Janeiro</x:v>
      </x:c>
      <x:c r="F759" s="10" t="str">
        <x:v>2026-01</x:v>
      </x:c>
      <x:c r="G759" s="10" t="n">
        <x:v>27</x:v>
      </x:c>
      <x:c r="H759" s="10" t="str">
        <x:v>Terça-feira</x:v>
      </x:c>
      <x:c r="I759" s="11" t="b">
        <x:v>1</x:v>
      </x:c>
    </x:row>
    <x:row r="760" ht="18" customHeight="1">
      <x:c r="A760" s="16" t="n">
        <x:v>46050</x:v>
      </x:c>
      <x:c r="B760" s="10" t="n">
        <x:v>2026</x:v>
      </x:c>
      <x:c r="C760" s="10" t="n">
        <x:v>1</x:v>
      </x:c>
      <x:c r="D760" s="10" t="n">
        <x:v>1</x:v>
      </x:c>
      <x:c r="E760" s="10" t="str">
        <x:v>Janeiro</x:v>
      </x:c>
      <x:c r="F760" s="10" t="str">
        <x:v>2026-01</x:v>
      </x:c>
      <x:c r="G760" s="10" t="n">
        <x:v>28</x:v>
      </x:c>
      <x:c r="H760" s="10" t="str">
        <x:v>Quarta-feira</x:v>
      </x:c>
      <x:c r="I760" s="11" t="b">
        <x:v>1</x:v>
      </x:c>
    </x:row>
    <x:row r="761" ht="18" customHeight="1">
      <x:c r="A761" s="16" t="n">
        <x:v>46051</x:v>
      </x:c>
      <x:c r="B761" s="10" t="n">
        <x:v>2026</x:v>
      </x:c>
      <x:c r="C761" s="10" t="n">
        <x:v>1</x:v>
      </x:c>
      <x:c r="D761" s="10" t="n">
        <x:v>1</x:v>
      </x:c>
      <x:c r="E761" s="10" t="str">
        <x:v>Janeiro</x:v>
      </x:c>
      <x:c r="F761" s="10" t="str">
        <x:v>2026-01</x:v>
      </x:c>
      <x:c r="G761" s="10" t="n">
        <x:v>29</x:v>
      </x:c>
      <x:c r="H761" s="10" t="str">
        <x:v>Quinta-feira</x:v>
      </x:c>
      <x:c r="I761" s="11" t="b">
        <x:v>1</x:v>
      </x:c>
    </x:row>
    <x:row r="762" ht="18" customHeight="1">
      <x:c r="A762" s="16" t="n">
        <x:v>46052</x:v>
      </x:c>
      <x:c r="B762" s="10" t="n">
        <x:v>2026</x:v>
      </x:c>
      <x:c r="C762" s="10" t="n">
        <x:v>1</x:v>
      </x:c>
      <x:c r="D762" s="10" t="n">
        <x:v>1</x:v>
      </x:c>
      <x:c r="E762" s="10" t="str">
        <x:v>Janeiro</x:v>
      </x:c>
      <x:c r="F762" s="10" t="str">
        <x:v>2026-01</x:v>
      </x:c>
      <x:c r="G762" s="10" t="n">
        <x:v>30</x:v>
      </x:c>
      <x:c r="H762" s="10" t="str">
        <x:v>Sexta-feira</x:v>
      </x:c>
      <x:c r="I762" s="11" t="b">
        <x:v>1</x:v>
      </x:c>
    </x:row>
    <x:row r="763" ht="18" customHeight="1">
      <x:c r="A763" s="16" t="n">
        <x:v>46053</x:v>
      </x:c>
      <x:c r="B763" s="10" t="n">
        <x:v>2026</x:v>
      </x:c>
      <x:c r="C763" s="10" t="n">
        <x:v>1</x:v>
      </x:c>
      <x:c r="D763" s="10" t="n">
        <x:v>1</x:v>
      </x:c>
      <x:c r="E763" s="10" t="str">
        <x:v>Janeiro</x:v>
      </x:c>
      <x:c r="F763" s="10" t="str">
        <x:v>2026-01</x:v>
      </x:c>
      <x:c r="G763" s="10" t="n">
        <x:v>31</x:v>
      </x:c>
      <x:c r="H763" s="10" t="str">
        <x:v>Sábado</x:v>
      </x:c>
      <x:c r="I763" s="11" t="b">
        <x:v>0</x:v>
      </x:c>
    </x:row>
    <x:row r="764" ht="18" customHeight="1">
      <x:c r="A764" s="16" t="n">
        <x:v>46054</x:v>
      </x:c>
      <x:c r="B764" s="10" t="n">
        <x:v>2026</x:v>
      </x:c>
      <x:c r="C764" s="10" t="n">
        <x:v>1</x:v>
      </x:c>
      <x:c r="D764" s="10" t="n">
        <x:v>2</x:v>
      </x:c>
      <x:c r="E764" s="10" t="str">
        <x:v>Fevereiro</x:v>
      </x:c>
      <x:c r="F764" s="10" t="str">
        <x:v>2026-02</x:v>
      </x:c>
      <x:c r="G764" s="10" t="n">
        <x:v>1</x:v>
      </x:c>
      <x:c r="H764" s="10" t="str">
        <x:v>Domingo</x:v>
      </x:c>
      <x:c r="I764" s="11" t="b">
        <x:v>0</x:v>
      </x:c>
    </x:row>
    <x:row r="765" ht="18" customHeight="1">
      <x:c r="A765" s="16" t="n">
        <x:v>46055</x:v>
      </x:c>
      <x:c r="B765" s="10" t="n">
        <x:v>2026</x:v>
      </x:c>
      <x:c r="C765" s="10" t="n">
        <x:v>1</x:v>
      </x:c>
      <x:c r="D765" s="10" t="n">
        <x:v>2</x:v>
      </x:c>
      <x:c r="E765" s="10" t="str">
        <x:v>Fevereiro</x:v>
      </x:c>
      <x:c r="F765" s="10" t="str">
        <x:v>2026-02</x:v>
      </x:c>
      <x:c r="G765" s="10" t="n">
        <x:v>2</x:v>
      </x:c>
      <x:c r="H765" s="10" t="str">
        <x:v>Segunda-feira</x:v>
      </x:c>
      <x:c r="I765" s="11" t="b">
        <x:v>1</x:v>
      </x:c>
    </x:row>
    <x:row r="766" ht="18" customHeight="1">
      <x:c r="A766" s="16" t="n">
        <x:v>46056</x:v>
      </x:c>
      <x:c r="B766" s="10" t="n">
        <x:v>2026</x:v>
      </x:c>
      <x:c r="C766" s="10" t="n">
        <x:v>1</x:v>
      </x:c>
      <x:c r="D766" s="10" t="n">
        <x:v>2</x:v>
      </x:c>
      <x:c r="E766" s="10" t="str">
        <x:v>Fevereiro</x:v>
      </x:c>
      <x:c r="F766" s="10" t="str">
        <x:v>2026-02</x:v>
      </x:c>
      <x:c r="G766" s="10" t="n">
        <x:v>3</x:v>
      </x:c>
      <x:c r="H766" s="10" t="str">
        <x:v>Terça-feira</x:v>
      </x:c>
      <x:c r="I766" s="11" t="b">
        <x:v>1</x:v>
      </x:c>
    </x:row>
    <x:row r="767" ht="18" customHeight="1">
      <x:c r="A767" s="16" t="n">
        <x:v>46057</x:v>
      </x:c>
      <x:c r="B767" s="10" t="n">
        <x:v>2026</x:v>
      </x:c>
      <x:c r="C767" s="10" t="n">
        <x:v>1</x:v>
      </x:c>
      <x:c r="D767" s="10" t="n">
        <x:v>2</x:v>
      </x:c>
      <x:c r="E767" s="10" t="str">
        <x:v>Fevereiro</x:v>
      </x:c>
      <x:c r="F767" s="10" t="str">
        <x:v>2026-02</x:v>
      </x:c>
      <x:c r="G767" s="10" t="n">
        <x:v>4</x:v>
      </x:c>
      <x:c r="H767" s="10" t="str">
        <x:v>Quarta-feira</x:v>
      </x:c>
      <x:c r="I767" s="11" t="b">
        <x:v>1</x:v>
      </x:c>
    </x:row>
    <x:row r="768" ht="18" customHeight="1">
      <x:c r="A768" s="16" t="n">
        <x:v>46058</x:v>
      </x:c>
      <x:c r="B768" s="10" t="n">
        <x:v>2026</x:v>
      </x:c>
      <x:c r="C768" s="10" t="n">
        <x:v>1</x:v>
      </x:c>
      <x:c r="D768" s="10" t="n">
        <x:v>2</x:v>
      </x:c>
      <x:c r="E768" s="10" t="str">
        <x:v>Fevereiro</x:v>
      </x:c>
      <x:c r="F768" s="10" t="str">
        <x:v>2026-02</x:v>
      </x:c>
      <x:c r="G768" s="10" t="n">
        <x:v>5</x:v>
      </x:c>
      <x:c r="H768" s="10" t="str">
        <x:v>Quinta-feira</x:v>
      </x:c>
      <x:c r="I768" s="11" t="b">
        <x:v>1</x:v>
      </x:c>
    </x:row>
    <x:row r="769" ht="18" customHeight="1">
      <x:c r="A769" s="16" t="n">
        <x:v>46059</x:v>
      </x:c>
      <x:c r="B769" s="10" t="n">
        <x:v>2026</x:v>
      </x:c>
      <x:c r="C769" s="10" t="n">
        <x:v>1</x:v>
      </x:c>
      <x:c r="D769" s="10" t="n">
        <x:v>2</x:v>
      </x:c>
      <x:c r="E769" s="10" t="str">
        <x:v>Fevereiro</x:v>
      </x:c>
      <x:c r="F769" s="10" t="str">
        <x:v>2026-02</x:v>
      </x:c>
      <x:c r="G769" s="10" t="n">
        <x:v>6</x:v>
      </x:c>
      <x:c r="H769" s="10" t="str">
        <x:v>Sexta-feira</x:v>
      </x:c>
      <x:c r="I769" s="11" t="b">
        <x:v>1</x:v>
      </x:c>
    </x:row>
    <x:row r="770" ht="18" customHeight="1">
      <x:c r="A770" s="16" t="n">
        <x:v>46060</x:v>
      </x:c>
      <x:c r="B770" s="10" t="n">
        <x:v>2026</x:v>
      </x:c>
      <x:c r="C770" s="10" t="n">
        <x:v>1</x:v>
      </x:c>
      <x:c r="D770" s="10" t="n">
        <x:v>2</x:v>
      </x:c>
      <x:c r="E770" s="10" t="str">
        <x:v>Fevereiro</x:v>
      </x:c>
      <x:c r="F770" s="10" t="str">
        <x:v>2026-02</x:v>
      </x:c>
      <x:c r="G770" s="10" t="n">
        <x:v>7</x:v>
      </x:c>
      <x:c r="H770" s="10" t="str">
        <x:v>Sábado</x:v>
      </x:c>
      <x:c r="I770" s="11" t="b">
        <x:v>0</x:v>
      </x:c>
    </x:row>
    <x:row r="771" ht="18" customHeight="1">
      <x:c r="A771" s="16" t="n">
        <x:v>46061</x:v>
      </x:c>
      <x:c r="B771" s="10" t="n">
        <x:v>2026</x:v>
      </x:c>
      <x:c r="C771" s="10" t="n">
        <x:v>1</x:v>
      </x:c>
      <x:c r="D771" s="10" t="n">
        <x:v>2</x:v>
      </x:c>
      <x:c r="E771" s="10" t="str">
        <x:v>Fevereiro</x:v>
      </x:c>
      <x:c r="F771" s="10" t="str">
        <x:v>2026-02</x:v>
      </x:c>
      <x:c r="G771" s="10" t="n">
        <x:v>8</x:v>
      </x:c>
      <x:c r="H771" s="10" t="str">
        <x:v>Domingo</x:v>
      </x:c>
      <x:c r="I771" s="11" t="b">
        <x:v>0</x:v>
      </x:c>
    </x:row>
    <x:row r="772" ht="18" customHeight="1">
      <x:c r="A772" s="16" t="n">
        <x:v>46062</x:v>
      </x:c>
      <x:c r="B772" s="10" t="n">
        <x:v>2026</x:v>
      </x:c>
      <x:c r="C772" s="10" t="n">
        <x:v>1</x:v>
      </x:c>
      <x:c r="D772" s="10" t="n">
        <x:v>2</x:v>
      </x:c>
      <x:c r="E772" s="10" t="str">
        <x:v>Fevereiro</x:v>
      </x:c>
      <x:c r="F772" s="10" t="str">
        <x:v>2026-02</x:v>
      </x:c>
      <x:c r="G772" s="10" t="n">
        <x:v>9</x:v>
      </x:c>
      <x:c r="H772" s="10" t="str">
        <x:v>Segunda-feira</x:v>
      </x:c>
      <x:c r="I772" s="11" t="b">
        <x:v>1</x:v>
      </x:c>
    </x:row>
    <x:row r="773" ht="18" customHeight="1">
      <x:c r="A773" s="16" t="n">
        <x:v>46063</x:v>
      </x:c>
      <x:c r="B773" s="10" t="n">
        <x:v>2026</x:v>
      </x:c>
      <x:c r="C773" s="10" t="n">
        <x:v>1</x:v>
      </x:c>
      <x:c r="D773" s="10" t="n">
        <x:v>2</x:v>
      </x:c>
      <x:c r="E773" s="10" t="str">
        <x:v>Fevereiro</x:v>
      </x:c>
      <x:c r="F773" s="10" t="str">
        <x:v>2026-02</x:v>
      </x:c>
      <x:c r="G773" s="10" t="n">
        <x:v>10</x:v>
      </x:c>
      <x:c r="H773" s="10" t="str">
        <x:v>Terça-feira</x:v>
      </x:c>
      <x:c r="I773" s="11" t="b">
        <x:v>1</x:v>
      </x:c>
    </x:row>
    <x:row r="774" ht="18" customHeight="1">
      <x:c r="A774" s="16" t="n">
        <x:v>46064</x:v>
      </x:c>
      <x:c r="B774" s="10" t="n">
        <x:v>2026</x:v>
      </x:c>
      <x:c r="C774" s="10" t="n">
        <x:v>1</x:v>
      </x:c>
      <x:c r="D774" s="10" t="n">
        <x:v>2</x:v>
      </x:c>
      <x:c r="E774" s="10" t="str">
        <x:v>Fevereiro</x:v>
      </x:c>
      <x:c r="F774" s="10" t="str">
        <x:v>2026-02</x:v>
      </x:c>
      <x:c r="G774" s="10" t="n">
        <x:v>11</x:v>
      </x:c>
      <x:c r="H774" s="10" t="str">
        <x:v>Quarta-feira</x:v>
      </x:c>
      <x:c r="I774" s="11" t="b">
        <x:v>1</x:v>
      </x:c>
    </x:row>
    <x:row r="775" ht="18" customHeight="1">
      <x:c r="A775" s="16" t="n">
        <x:v>46065</x:v>
      </x:c>
      <x:c r="B775" s="10" t="n">
        <x:v>2026</x:v>
      </x:c>
      <x:c r="C775" s="10" t="n">
        <x:v>1</x:v>
      </x:c>
      <x:c r="D775" s="10" t="n">
        <x:v>2</x:v>
      </x:c>
      <x:c r="E775" s="10" t="str">
        <x:v>Fevereiro</x:v>
      </x:c>
      <x:c r="F775" s="10" t="str">
        <x:v>2026-02</x:v>
      </x:c>
      <x:c r="G775" s="10" t="n">
        <x:v>12</x:v>
      </x:c>
      <x:c r="H775" s="10" t="str">
        <x:v>Quinta-feira</x:v>
      </x:c>
      <x:c r="I775" s="11" t="b">
        <x:v>1</x:v>
      </x:c>
    </x:row>
    <x:row r="776" ht="18" customHeight="1">
      <x:c r="A776" s="16" t="n">
        <x:v>46066</x:v>
      </x:c>
      <x:c r="B776" s="10" t="n">
        <x:v>2026</x:v>
      </x:c>
      <x:c r="C776" s="10" t="n">
        <x:v>1</x:v>
      </x:c>
      <x:c r="D776" s="10" t="n">
        <x:v>2</x:v>
      </x:c>
      <x:c r="E776" s="10" t="str">
        <x:v>Fevereiro</x:v>
      </x:c>
      <x:c r="F776" s="10" t="str">
        <x:v>2026-02</x:v>
      </x:c>
      <x:c r="G776" s="10" t="n">
        <x:v>13</x:v>
      </x:c>
      <x:c r="H776" s="10" t="str">
        <x:v>Sexta-feira</x:v>
      </x:c>
      <x:c r="I776" s="11" t="b">
        <x:v>1</x:v>
      </x:c>
    </x:row>
    <x:row r="777" ht="18" customHeight="1">
      <x:c r="A777" s="16" t="n">
        <x:v>46067</x:v>
      </x:c>
      <x:c r="B777" s="10" t="n">
        <x:v>2026</x:v>
      </x:c>
      <x:c r="C777" s="10" t="n">
        <x:v>1</x:v>
      </x:c>
      <x:c r="D777" s="10" t="n">
        <x:v>2</x:v>
      </x:c>
      <x:c r="E777" s="10" t="str">
        <x:v>Fevereiro</x:v>
      </x:c>
      <x:c r="F777" s="10" t="str">
        <x:v>2026-02</x:v>
      </x:c>
      <x:c r="G777" s="10" t="n">
        <x:v>14</x:v>
      </x:c>
      <x:c r="H777" s="10" t="str">
        <x:v>Sábado</x:v>
      </x:c>
      <x:c r="I777" s="11" t="b">
        <x:v>0</x:v>
      </x:c>
    </x:row>
    <x:row r="778" ht="18" customHeight="1">
      <x:c r="A778" s="16" t="n">
        <x:v>46068</x:v>
      </x:c>
      <x:c r="B778" s="10" t="n">
        <x:v>2026</x:v>
      </x:c>
      <x:c r="C778" s="10" t="n">
        <x:v>1</x:v>
      </x:c>
      <x:c r="D778" s="10" t="n">
        <x:v>2</x:v>
      </x:c>
      <x:c r="E778" s="10" t="str">
        <x:v>Fevereiro</x:v>
      </x:c>
      <x:c r="F778" s="10" t="str">
        <x:v>2026-02</x:v>
      </x:c>
      <x:c r="G778" s="10" t="n">
        <x:v>15</x:v>
      </x:c>
      <x:c r="H778" s="10" t="str">
        <x:v>Domingo</x:v>
      </x:c>
      <x:c r="I778" s="11" t="b">
        <x:v>0</x:v>
      </x:c>
    </x:row>
    <x:row r="779" ht="18" customHeight="1">
      <x:c r="A779" s="16" t="n">
        <x:v>46069</x:v>
      </x:c>
      <x:c r="B779" s="10" t="n">
        <x:v>2026</x:v>
      </x:c>
      <x:c r="C779" s="10" t="n">
        <x:v>1</x:v>
      </x:c>
      <x:c r="D779" s="10" t="n">
        <x:v>2</x:v>
      </x:c>
      <x:c r="E779" s="10" t="str">
        <x:v>Fevereiro</x:v>
      </x:c>
      <x:c r="F779" s="10" t="str">
        <x:v>2026-02</x:v>
      </x:c>
      <x:c r="G779" s="10" t="n">
        <x:v>16</x:v>
      </x:c>
      <x:c r="H779" s="10" t="str">
        <x:v>Segunda-feira</x:v>
      </x:c>
      <x:c r="I779" s="11" t="b">
        <x:v>1</x:v>
      </x:c>
    </x:row>
    <x:row r="780" ht="18" customHeight="1">
      <x:c r="A780" s="16" t="n">
        <x:v>46070</x:v>
      </x:c>
      <x:c r="B780" s="10" t="n">
        <x:v>2026</x:v>
      </x:c>
      <x:c r="C780" s="10" t="n">
        <x:v>1</x:v>
      </x:c>
      <x:c r="D780" s="10" t="n">
        <x:v>2</x:v>
      </x:c>
      <x:c r="E780" s="10" t="str">
        <x:v>Fevereiro</x:v>
      </x:c>
      <x:c r="F780" s="10" t="str">
        <x:v>2026-02</x:v>
      </x:c>
      <x:c r="G780" s="10" t="n">
        <x:v>17</x:v>
      </x:c>
      <x:c r="H780" s="10" t="str">
        <x:v>Terça-feira</x:v>
      </x:c>
      <x:c r="I780" s="11" t="b">
        <x:v>1</x:v>
      </x:c>
    </x:row>
    <x:row r="781" ht="18" customHeight="1">
      <x:c r="A781" s="16" t="n">
        <x:v>46071</x:v>
      </x:c>
      <x:c r="B781" s="10" t="n">
        <x:v>2026</x:v>
      </x:c>
      <x:c r="C781" s="10" t="n">
        <x:v>1</x:v>
      </x:c>
      <x:c r="D781" s="10" t="n">
        <x:v>2</x:v>
      </x:c>
      <x:c r="E781" s="10" t="str">
        <x:v>Fevereiro</x:v>
      </x:c>
      <x:c r="F781" s="10" t="str">
        <x:v>2026-02</x:v>
      </x:c>
      <x:c r="G781" s="10" t="n">
        <x:v>18</x:v>
      </x:c>
      <x:c r="H781" s="10" t="str">
        <x:v>Quarta-feira</x:v>
      </x:c>
      <x:c r="I781" s="11" t="b">
        <x:v>1</x:v>
      </x:c>
    </x:row>
    <x:row r="782" ht="18" customHeight="1">
      <x:c r="A782" s="16" t="n">
        <x:v>46072</x:v>
      </x:c>
      <x:c r="B782" s="10" t="n">
        <x:v>2026</x:v>
      </x:c>
      <x:c r="C782" s="10" t="n">
        <x:v>1</x:v>
      </x:c>
      <x:c r="D782" s="10" t="n">
        <x:v>2</x:v>
      </x:c>
      <x:c r="E782" s="10" t="str">
        <x:v>Fevereiro</x:v>
      </x:c>
      <x:c r="F782" s="10" t="str">
        <x:v>2026-02</x:v>
      </x:c>
      <x:c r="G782" s="10" t="n">
        <x:v>19</x:v>
      </x:c>
      <x:c r="H782" s="10" t="str">
        <x:v>Quinta-feira</x:v>
      </x:c>
      <x:c r="I782" s="11" t="b">
        <x:v>1</x:v>
      </x:c>
    </x:row>
    <x:row r="783" ht="18" customHeight="1">
      <x:c r="A783" s="16" t="n">
        <x:v>46073</x:v>
      </x:c>
      <x:c r="B783" s="10" t="n">
        <x:v>2026</x:v>
      </x:c>
      <x:c r="C783" s="10" t="n">
        <x:v>1</x:v>
      </x:c>
      <x:c r="D783" s="10" t="n">
        <x:v>2</x:v>
      </x:c>
      <x:c r="E783" s="10" t="str">
        <x:v>Fevereiro</x:v>
      </x:c>
      <x:c r="F783" s="10" t="str">
        <x:v>2026-02</x:v>
      </x:c>
      <x:c r="G783" s="10" t="n">
        <x:v>20</x:v>
      </x:c>
      <x:c r="H783" s="10" t="str">
        <x:v>Sexta-feira</x:v>
      </x:c>
      <x:c r="I783" s="11" t="b">
        <x:v>1</x:v>
      </x:c>
    </x:row>
    <x:row r="784" ht="18" customHeight="1">
      <x:c r="A784" s="16" t="n">
        <x:v>46074</x:v>
      </x:c>
      <x:c r="B784" s="10" t="n">
        <x:v>2026</x:v>
      </x:c>
      <x:c r="C784" s="10" t="n">
        <x:v>1</x:v>
      </x:c>
      <x:c r="D784" s="10" t="n">
        <x:v>2</x:v>
      </x:c>
      <x:c r="E784" s="10" t="str">
        <x:v>Fevereiro</x:v>
      </x:c>
      <x:c r="F784" s="10" t="str">
        <x:v>2026-02</x:v>
      </x:c>
      <x:c r="G784" s="10" t="n">
        <x:v>21</x:v>
      </x:c>
      <x:c r="H784" s="10" t="str">
        <x:v>Sábado</x:v>
      </x:c>
      <x:c r="I784" s="11" t="b">
        <x:v>0</x:v>
      </x:c>
    </x:row>
    <x:row r="785" ht="18" customHeight="1">
      <x:c r="A785" s="16" t="n">
        <x:v>46075</x:v>
      </x:c>
      <x:c r="B785" s="10" t="n">
        <x:v>2026</x:v>
      </x:c>
      <x:c r="C785" s="10" t="n">
        <x:v>1</x:v>
      </x:c>
      <x:c r="D785" s="10" t="n">
        <x:v>2</x:v>
      </x:c>
      <x:c r="E785" s="10" t="str">
        <x:v>Fevereiro</x:v>
      </x:c>
      <x:c r="F785" s="10" t="str">
        <x:v>2026-02</x:v>
      </x:c>
      <x:c r="G785" s="10" t="n">
        <x:v>22</x:v>
      </x:c>
      <x:c r="H785" s="10" t="str">
        <x:v>Domingo</x:v>
      </x:c>
      <x:c r="I785" s="11" t="b">
        <x:v>0</x:v>
      </x:c>
    </x:row>
    <x:row r="786" ht="18" customHeight="1">
      <x:c r="A786" s="16" t="n">
        <x:v>46076</x:v>
      </x:c>
      <x:c r="B786" s="10" t="n">
        <x:v>2026</x:v>
      </x:c>
      <x:c r="C786" s="10" t="n">
        <x:v>1</x:v>
      </x:c>
      <x:c r="D786" s="10" t="n">
        <x:v>2</x:v>
      </x:c>
      <x:c r="E786" s="10" t="str">
        <x:v>Fevereiro</x:v>
      </x:c>
      <x:c r="F786" s="10" t="str">
        <x:v>2026-02</x:v>
      </x:c>
      <x:c r="G786" s="10" t="n">
        <x:v>23</x:v>
      </x:c>
      <x:c r="H786" s="10" t="str">
        <x:v>Segunda-feira</x:v>
      </x:c>
      <x:c r="I786" s="11" t="b">
        <x:v>1</x:v>
      </x:c>
    </x:row>
    <x:row r="787" ht="18" customHeight="1">
      <x:c r="A787" s="16" t="n">
        <x:v>46077</x:v>
      </x:c>
      <x:c r="B787" s="10" t="n">
        <x:v>2026</x:v>
      </x:c>
      <x:c r="C787" s="10" t="n">
        <x:v>1</x:v>
      </x:c>
      <x:c r="D787" s="10" t="n">
        <x:v>2</x:v>
      </x:c>
      <x:c r="E787" s="10" t="str">
        <x:v>Fevereiro</x:v>
      </x:c>
      <x:c r="F787" s="10" t="str">
        <x:v>2026-02</x:v>
      </x:c>
      <x:c r="G787" s="10" t="n">
        <x:v>24</x:v>
      </x:c>
      <x:c r="H787" s="10" t="str">
        <x:v>Terça-feira</x:v>
      </x:c>
      <x:c r="I787" s="11" t="b">
        <x:v>1</x:v>
      </x:c>
    </x:row>
    <x:row r="788" ht="18" customHeight="1">
      <x:c r="A788" s="16" t="n">
        <x:v>46078</x:v>
      </x:c>
      <x:c r="B788" s="10" t="n">
        <x:v>2026</x:v>
      </x:c>
      <x:c r="C788" s="10" t="n">
        <x:v>1</x:v>
      </x:c>
      <x:c r="D788" s="10" t="n">
        <x:v>2</x:v>
      </x:c>
      <x:c r="E788" s="10" t="str">
        <x:v>Fevereiro</x:v>
      </x:c>
      <x:c r="F788" s="10" t="str">
        <x:v>2026-02</x:v>
      </x:c>
      <x:c r="G788" s="10" t="n">
        <x:v>25</x:v>
      </x:c>
      <x:c r="H788" s="10" t="str">
        <x:v>Quarta-feira</x:v>
      </x:c>
      <x:c r="I788" s="11" t="b">
        <x:v>1</x:v>
      </x:c>
    </x:row>
    <x:row r="789" ht="18" customHeight="1">
      <x:c r="A789" s="16" t="n">
        <x:v>46079</x:v>
      </x:c>
      <x:c r="B789" s="10" t="n">
        <x:v>2026</x:v>
      </x:c>
      <x:c r="C789" s="10" t="n">
        <x:v>1</x:v>
      </x:c>
      <x:c r="D789" s="10" t="n">
        <x:v>2</x:v>
      </x:c>
      <x:c r="E789" s="10" t="str">
        <x:v>Fevereiro</x:v>
      </x:c>
      <x:c r="F789" s="10" t="str">
        <x:v>2026-02</x:v>
      </x:c>
      <x:c r="G789" s="10" t="n">
        <x:v>26</x:v>
      </x:c>
      <x:c r="H789" s="10" t="str">
        <x:v>Quinta-feira</x:v>
      </x:c>
      <x:c r="I789" s="11" t="b">
        <x:v>1</x:v>
      </x:c>
    </x:row>
    <x:row r="790" ht="18" customHeight="1">
      <x:c r="A790" s="16" t="n">
        <x:v>46080</x:v>
      </x:c>
      <x:c r="B790" s="10" t="n">
        <x:v>2026</x:v>
      </x:c>
      <x:c r="C790" s="10" t="n">
        <x:v>1</x:v>
      </x:c>
      <x:c r="D790" s="10" t="n">
        <x:v>2</x:v>
      </x:c>
      <x:c r="E790" s="10" t="str">
        <x:v>Fevereiro</x:v>
      </x:c>
      <x:c r="F790" s="10" t="str">
        <x:v>2026-02</x:v>
      </x:c>
      <x:c r="G790" s="10" t="n">
        <x:v>27</x:v>
      </x:c>
      <x:c r="H790" s="10" t="str">
        <x:v>Sexta-feira</x:v>
      </x:c>
      <x:c r="I790" s="11" t="b">
        <x:v>1</x:v>
      </x:c>
    </x:row>
    <x:row r="791" ht="18" customHeight="1">
      <x:c r="A791" s="16" t="n">
        <x:v>46081</x:v>
      </x:c>
      <x:c r="B791" s="10" t="n">
        <x:v>2026</x:v>
      </x:c>
      <x:c r="C791" s="10" t="n">
        <x:v>1</x:v>
      </x:c>
      <x:c r="D791" s="10" t="n">
        <x:v>2</x:v>
      </x:c>
      <x:c r="E791" s="10" t="str">
        <x:v>Fevereiro</x:v>
      </x:c>
      <x:c r="F791" s="10" t="str">
        <x:v>2026-02</x:v>
      </x:c>
      <x:c r="G791" s="10" t="n">
        <x:v>28</x:v>
      </x:c>
      <x:c r="H791" s="10" t="str">
        <x:v>Sábado</x:v>
      </x:c>
      <x:c r="I791" s="11" t="b">
        <x:v>0</x:v>
      </x:c>
    </x:row>
    <x:row r="792" ht="18" customHeight="1">
      <x:c r="A792" s="16" t="n">
        <x:v>46082</x:v>
      </x:c>
      <x:c r="B792" s="10" t="n">
        <x:v>2026</x:v>
      </x:c>
      <x:c r="C792" s="10" t="n">
        <x:v>1</x:v>
      </x:c>
      <x:c r="D792" s="10" t="n">
        <x:v>3</x:v>
      </x:c>
      <x:c r="E792" s="10" t="str">
        <x:v>Março</x:v>
      </x:c>
      <x:c r="F792" s="10" t="str">
        <x:v>2026-03</x:v>
      </x:c>
      <x:c r="G792" s="10" t="n">
        <x:v>1</x:v>
      </x:c>
      <x:c r="H792" s="10" t="str">
        <x:v>Domingo</x:v>
      </x:c>
      <x:c r="I792" s="11" t="b">
        <x:v>0</x:v>
      </x:c>
    </x:row>
    <x:row r="793" ht="18" customHeight="1">
      <x:c r="A793" s="16" t="n">
        <x:v>46083</x:v>
      </x:c>
      <x:c r="B793" s="10" t="n">
        <x:v>2026</x:v>
      </x:c>
      <x:c r="C793" s="10" t="n">
        <x:v>1</x:v>
      </x:c>
      <x:c r="D793" s="10" t="n">
        <x:v>3</x:v>
      </x:c>
      <x:c r="E793" s="10" t="str">
        <x:v>Março</x:v>
      </x:c>
      <x:c r="F793" s="10" t="str">
        <x:v>2026-03</x:v>
      </x:c>
      <x:c r="G793" s="10" t="n">
        <x:v>2</x:v>
      </x:c>
      <x:c r="H793" s="10" t="str">
        <x:v>Segunda-feira</x:v>
      </x:c>
      <x:c r="I793" s="11" t="b">
        <x:v>1</x:v>
      </x:c>
    </x:row>
    <x:row r="794" ht="18" customHeight="1">
      <x:c r="A794" s="16" t="n">
        <x:v>46084</x:v>
      </x:c>
      <x:c r="B794" s="10" t="n">
        <x:v>2026</x:v>
      </x:c>
      <x:c r="C794" s="10" t="n">
        <x:v>1</x:v>
      </x:c>
      <x:c r="D794" s="10" t="n">
        <x:v>3</x:v>
      </x:c>
      <x:c r="E794" s="10" t="str">
        <x:v>Março</x:v>
      </x:c>
      <x:c r="F794" s="10" t="str">
        <x:v>2026-03</x:v>
      </x:c>
      <x:c r="G794" s="10" t="n">
        <x:v>3</x:v>
      </x:c>
      <x:c r="H794" s="10" t="str">
        <x:v>Terça-feira</x:v>
      </x:c>
      <x:c r="I794" s="11" t="b">
        <x:v>1</x:v>
      </x:c>
    </x:row>
    <x:row r="795" ht="18" customHeight="1">
      <x:c r="A795" s="16" t="n">
        <x:v>46085</x:v>
      </x:c>
      <x:c r="B795" s="10" t="n">
        <x:v>2026</x:v>
      </x:c>
      <x:c r="C795" s="10" t="n">
        <x:v>1</x:v>
      </x:c>
      <x:c r="D795" s="10" t="n">
        <x:v>3</x:v>
      </x:c>
      <x:c r="E795" s="10" t="str">
        <x:v>Março</x:v>
      </x:c>
      <x:c r="F795" s="10" t="str">
        <x:v>2026-03</x:v>
      </x:c>
      <x:c r="G795" s="10" t="n">
        <x:v>4</x:v>
      </x:c>
      <x:c r="H795" s="10" t="str">
        <x:v>Quarta-feira</x:v>
      </x:c>
      <x:c r="I795" s="11" t="b">
        <x:v>1</x:v>
      </x:c>
    </x:row>
    <x:row r="796" ht="18" customHeight="1">
      <x:c r="A796" s="16" t="n">
        <x:v>46086</x:v>
      </x:c>
      <x:c r="B796" s="10" t="n">
        <x:v>2026</x:v>
      </x:c>
      <x:c r="C796" s="10" t="n">
        <x:v>1</x:v>
      </x:c>
      <x:c r="D796" s="10" t="n">
        <x:v>3</x:v>
      </x:c>
      <x:c r="E796" s="10" t="str">
        <x:v>Março</x:v>
      </x:c>
      <x:c r="F796" s="10" t="str">
        <x:v>2026-03</x:v>
      </x:c>
      <x:c r="G796" s="10" t="n">
        <x:v>5</x:v>
      </x:c>
      <x:c r="H796" s="10" t="str">
        <x:v>Quinta-feira</x:v>
      </x:c>
      <x:c r="I796" s="11" t="b">
        <x:v>1</x:v>
      </x:c>
    </x:row>
    <x:row r="797" ht="18" customHeight="1">
      <x:c r="A797" s="16" t="n">
        <x:v>46087</x:v>
      </x:c>
      <x:c r="B797" s="10" t="n">
        <x:v>2026</x:v>
      </x:c>
      <x:c r="C797" s="10" t="n">
        <x:v>1</x:v>
      </x:c>
      <x:c r="D797" s="10" t="n">
        <x:v>3</x:v>
      </x:c>
      <x:c r="E797" s="10" t="str">
        <x:v>Março</x:v>
      </x:c>
      <x:c r="F797" s="10" t="str">
        <x:v>2026-03</x:v>
      </x:c>
      <x:c r="G797" s="10" t="n">
        <x:v>6</x:v>
      </x:c>
      <x:c r="H797" s="10" t="str">
        <x:v>Sexta-feira</x:v>
      </x:c>
      <x:c r="I797" s="11" t="b">
        <x:v>1</x:v>
      </x:c>
    </x:row>
    <x:row r="798" ht="18" customHeight="1">
      <x:c r="A798" s="16" t="n">
        <x:v>46088</x:v>
      </x:c>
      <x:c r="B798" s="10" t="n">
        <x:v>2026</x:v>
      </x:c>
      <x:c r="C798" s="10" t="n">
        <x:v>1</x:v>
      </x:c>
      <x:c r="D798" s="10" t="n">
        <x:v>3</x:v>
      </x:c>
      <x:c r="E798" s="10" t="str">
        <x:v>Março</x:v>
      </x:c>
      <x:c r="F798" s="10" t="str">
        <x:v>2026-03</x:v>
      </x:c>
      <x:c r="G798" s="10" t="n">
        <x:v>7</x:v>
      </x:c>
      <x:c r="H798" s="10" t="str">
        <x:v>Sábado</x:v>
      </x:c>
      <x:c r="I798" s="11" t="b">
        <x:v>0</x:v>
      </x:c>
    </x:row>
    <x:row r="799" ht="18" customHeight="1">
      <x:c r="A799" s="16" t="n">
        <x:v>46089</x:v>
      </x:c>
      <x:c r="B799" s="10" t="n">
        <x:v>2026</x:v>
      </x:c>
      <x:c r="C799" s="10" t="n">
        <x:v>1</x:v>
      </x:c>
      <x:c r="D799" s="10" t="n">
        <x:v>3</x:v>
      </x:c>
      <x:c r="E799" s="10" t="str">
        <x:v>Março</x:v>
      </x:c>
      <x:c r="F799" s="10" t="str">
        <x:v>2026-03</x:v>
      </x:c>
      <x:c r="G799" s="10" t="n">
        <x:v>8</x:v>
      </x:c>
      <x:c r="H799" s="10" t="str">
        <x:v>Domingo</x:v>
      </x:c>
      <x:c r="I799" s="11" t="b">
        <x:v>0</x:v>
      </x:c>
    </x:row>
    <x:row r="800" ht="18" customHeight="1">
      <x:c r="A800" s="16" t="n">
        <x:v>46090</x:v>
      </x:c>
      <x:c r="B800" s="10" t="n">
        <x:v>2026</x:v>
      </x:c>
      <x:c r="C800" s="10" t="n">
        <x:v>1</x:v>
      </x:c>
      <x:c r="D800" s="10" t="n">
        <x:v>3</x:v>
      </x:c>
      <x:c r="E800" s="10" t="str">
        <x:v>Março</x:v>
      </x:c>
      <x:c r="F800" s="10" t="str">
        <x:v>2026-03</x:v>
      </x:c>
      <x:c r="G800" s="10" t="n">
        <x:v>9</x:v>
      </x:c>
      <x:c r="H800" s="10" t="str">
        <x:v>Segunda-feira</x:v>
      </x:c>
      <x:c r="I800" s="11" t="b">
        <x:v>1</x:v>
      </x:c>
    </x:row>
    <x:row r="801" ht="18" customHeight="1">
      <x:c r="A801" s="16" t="n">
        <x:v>46091</x:v>
      </x:c>
      <x:c r="B801" s="10" t="n">
        <x:v>2026</x:v>
      </x:c>
      <x:c r="C801" s="10" t="n">
        <x:v>1</x:v>
      </x:c>
      <x:c r="D801" s="10" t="n">
        <x:v>3</x:v>
      </x:c>
      <x:c r="E801" s="10" t="str">
        <x:v>Março</x:v>
      </x:c>
      <x:c r="F801" s="10" t="str">
        <x:v>2026-03</x:v>
      </x:c>
      <x:c r="G801" s="10" t="n">
        <x:v>10</x:v>
      </x:c>
      <x:c r="H801" s="10" t="str">
        <x:v>Terça-feira</x:v>
      </x:c>
      <x:c r="I801" s="11" t="b">
        <x:v>1</x:v>
      </x:c>
    </x:row>
    <x:row r="802" ht="18" customHeight="1">
      <x:c r="A802" s="16" t="n">
        <x:v>46092</x:v>
      </x:c>
      <x:c r="B802" s="10" t="n">
        <x:v>2026</x:v>
      </x:c>
      <x:c r="C802" s="10" t="n">
        <x:v>1</x:v>
      </x:c>
      <x:c r="D802" s="10" t="n">
        <x:v>3</x:v>
      </x:c>
      <x:c r="E802" s="10" t="str">
        <x:v>Março</x:v>
      </x:c>
      <x:c r="F802" s="10" t="str">
        <x:v>2026-03</x:v>
      </x:c>
      <x:c r="G802" s="10" t="n">
        <x:v>11</x:v>
      </x:c>
      <x:c r="H802" s="10" t="str">
        <x:v>Quarta-feira</x:v>
      </x:c>
      <x:c r="I802" s="11" t="b">
        <x:v>1</x:v>
      </x:c>
    </x:row>
    <x:row r="803" ht="18" customHeight="1">
      <x:c r="A803" s="16" t="n">
        <x:v>46093</x:v>
      </x:c>
      <x:c r="B803" s="10" t="n">
        <x:v>2026</x:v>
      </x:c>
      <x:c r="C803" s="10" t="n">
        <x:v>1</x:v>
      </x:c>
      <x:c r="D803" s="10" t="n">
        <x:v>3</x:v>
      </x:c>
      <x:c r="E803" s="10" t="str">
        <x:v>Março</x:v>
      </x:c>
      <x:c r="F803" s="10" t="str">
        <x:v>2026-03</x:v>
      </x:c>
      <x:c r="G803" s="10" t="n">
        <x:v>12</x:v>
      </x:c>
      <x:c r="H803" s="10" t="str">
        <x:v>Quinta-feira</x:v>
      </x:c>
      <x:c r="I803" s="11" t="b">
        <x:v>1</x:v>
      </x:c>
    </x:row>
    <x:row r="804" ht="18" customHeight="1">
      <x:c r="A804" s="16" t="n">
        <x:v>46094</x:v>
      </x:c>
      <x:c r="B804" s="10" t="n">
        <x:v>2026</x:v>
      </x:c>
      <x:c r="C804" s="10" t="n">
        <x:v>1</x:v>
      </x:c>
      <x:c r="D804" s="10" t="n">
        <x:v>3</x:v>
      </x:c>
      <x:c r="E804" s="10" t="str">
        <x:v>Março</x:v>
      </x:c>
      <x:c r="F804" s="10" t="str">
        <x:v>2026-03</x:v>
      </x:c>
      <x:c r="G804" s="10" t="n">
        <x:v>13</x:v>
      </x:c>
      <x:c r="H804" s="10" t="str">
        <x:v>Sexta-feira</x:v>
      </x:c>
      <x:c r="I804" s="11" t="b">
        <x:v>1</x:v>
      </x:c>
    </x:row>
    <x:row r="805" ht="18" customHeight="1">
      <x:c r="A805" s="16" t="n">
        <x:v>46095</x:v>
      </x:c>
      <x:c r="B805" s="10" t="n">
        <x:v>2026</x:v>
      </x:c>
      <x:c r="C805" s="10" t="n">
        <x:v>1</x:v>
      </x:c>
      <x:c r="D805" s="10" t="n">
        <x:v>3</x:v>
      </x:c>
      <x:c r="E805" s="10" t="str">
        <x:v>Março</x:v>
      </x:c>
      <x:c r="F805" s="10" t="str">
        <x:v>2026-03</x:v>
      </x:c>
      <x:c r="G805" s="10" t="n">
        <x:v>14</x:v>
      </x:c>
      <x:c r="H805" s="10" t="str">
        <x:v>Sábado</x:v>
      </x:c>
      <x:c r="I805" s="11" t="b">
        <x:v>0</x:v>
      </x:c>
    </x:row>
    <x:row r="806" ht="18" customHeight="1">
      <x:c r="A806" s="16" t="n">
        <x:v>46096</x:v>
      </x:c>
      <x:c r="B806" s="10" t="n">
        <x:v>2026</x:v>
      </x:c>
      <x:c r="C806" s="10" t="n">
        <x:v>1</x:v>
      </x:c>
      <x:c r="D806" s="10" t="n">
        <x:v>3</x:v>
      </x:c>
      <x:c r="E806" s="10" t="str">
        <x:v>Março</x:v>
      </x:c>
      <x:c r="F806" s="10" t="str">
        <x:v>2026-03</x:v>
      </x:c>
      <x:c r="G806" s="10" t="n">
        <x:v>15</x:v>
      </x:c>
      <x:c r="H806" s="10" t="str">
        <x:v>Domingo</x:v>
      </x:c>
      <x:c r="I806" s="11" t="b">
        <x:v>0</x:v>
      </x:c>
    </x:row>
    <x:row r="807" ht="18" customHeight="1">
      <x:c r="A807" s="16" t="n">
        <x:v>46097</x:v>
      </x:c>
      <x:c r="B807" s="10" t="n">
        <x:v>2026</x:v>
      </x:c>
      <x:c r="C807" s="10" t="n">
        <x:v>1</x:v>
      </x:c>
      <x:c r="D807" s="10" t="n">
        <x:v>3</x:v>
      </x:c>
      <x:c r="E807" s="10" t="str">
        <x:v>Março</x:v>
      </x:c>
      <x:c r="F807" s="10" t="str">
        <x:v>2026-03</x:v>
      </x:c>
      <x:c r="G807" s="10" t="n">
        <x:v>16</x:v>
      </x:c>
      <x:c r="H807" s="10" t="str">
        <x:v>Segunda-feira</x:v>
      </x:c>
      <x:c r="I807" s="11" t="b">
        <x:v>1</x:v>
      </x:c>
    </x:row>
    <x:row r="808" ht="18" customHeight="1">
      <x:c r="A808" s="16" t="n">
        <x:v>46098</x:v>
      </x:c>
      <x:c r="B808" s="10" t="n">
        <x:v>2026</x:v>
      </x:c>
      <x:c r="C808" s="10" t="n">
        <x:v>1</x:v>
      </x:c>
      <x:c r="D808" s="10" t="n">
        <x:v>3</x:v>
      </x:c>
      <x:c r="E808" s="10" t="str">
        <x:v>Março</x:v>
      </x:c>
      <x:c r="F808" s="10" t="str">
        <x:v>2026-03</x:v>
      </x:c>
      <x:c r="G808" s="10" t="n">
        <x:v>17</x:v>
      </x:c>
      <x:c r="H808" s="10" t="str">
        <x:v>Terça-feira</x:v>
      </x:c>
      <x:c r="I808" s="11" t="b">
        <x:v>1</x:v>
      </x:c>
    </x:row>
    <x:row r="809" ht="18" customHeight="1">
      <x:c r="A809" s="16" t="n">
        <x:v>46099</x:v>
      </x:c>
      <x:c r="B809" s="10" t="n">
        <x:v>2026</x:v>
      </x:c>
      <x:c r="C809" s="10" t="n">
        <x:v>1</x:v>
      </x:c>
      <x:c r="D809" s="10" t="n">
        <x:v>3</x:v>
      </x:c>
      <x:c r="E809" s="10" t="str">
        <x:v>Março</x:v>
      </x:c>
      <x:c r="F809" s="10" t="str">
        <x:v>2026-03</x:v>
      </x:c>
      <x:c r="G809" s="10" t="n">
        <x:v>18</x:v>
      </x:c>
      <x:c r="H809" s="10" t="str">
        <x:v>Quarta-feira</x:v>
      </x:c>
      <x:c r="I809" s="11" t="b">
        <x:v>1</x:v>
      </x:c>
    </x:row>
    <x:row r="810" ht="18" customHeight="1">
      <x:c r="A810" s="16" t="n">
        <x:v>46100</x:v>
      </x:c>
      <x:c r="B810" s="10" t="n">
        <x:v>2026</x:v>
      </x:c>
      <x:c r="C810" s="10" t="n">
        <x:v>1</x:v>
      </x:c>
      <x:c r="D810" s="10" t="n">
        <x:v>3</x:v>
      </x:c>
      <x:c r="E810" s="10" t="str">
        <x:v>Março</x:v>
      </x:c>
      <x:c r="F810" s="10" t="str">
        <x:v>2026-03</x:v>
      </x:c>
      <x:c r="G810" s="10" t="n">
        <x:v>19</x:v>
      </x:c>
      <x:c r="H810" s="10" t="str">
        <x:v>Quinta-feira</x:v>
      </x:c>
      <x:c r="I810" s="11" t="b">
        <x:v>1</x:v>
      </x:c>
    </x:row>
    <x:row r="811" ht="18" customHeight="1">
      <x:c r="A811" s="16" t="n">
        <x:v>46101</x:v>
      </x:c>
      <x:c r="B811" s="10" t="n">
        <x:v>2026</x:v>
      </x:c>
      <x:c r="C811" s="10" t="n">
        <x:v>1</x:v>
      </x:c>
      <x:c r="D811" s="10" t="n">
        <x:v>3</x:v>
      </x:c>
      <x:c r="E811" s="10" t="str">
        <x:v>Março</x:v>
      </x:c>
      <x:c r="F811" s="10" t="str">
        <x:v>2026-03</x:v>
      </x:c>
      <x:c r="G811" s="10" t="n">
        <x:v>20</x:v>
      </x:c>
      <x:c r="H811" s="10" t="str">
        <x:v>Sexta-feira</x:v>
      </x:c>
      <x:c r="I811" s="11" t="b">
        <x:v>1</x:v>
      </x:c>
    </x:row>
    <x:row r="812" ht="18" customHeight="1">
      <x:c r="A812" s="16" t="n">
        <x:v>46102</x:v>
      </x:c>
      <x:c r="B812" s="10" t="n">
        <x:v>2026</x:v>
      </x:c>
      <x:c r="C812" s="10" t="n">
        <x:v>1</x:v>
      </x:c>
      <x:c r="D812" s="10" t="n">
        <x:v>3</x:v>
      </x:c>
      <x:c r="E812" s="10" t="str">
        <x:v>Março</x:v>
      </x:c>
      <x:c r="F812" s="10" t="str">
        <x:v>2026-03</x:v>
      </x:c>
      <x:c r="G812" s="10" t="n">
        <x:v>21</x:v>
      </x:c>
      <x:c r="H812" s="10" t="str">
        <x:v>Sábado</x:v>
      </x:c>
      <x:c r="I812" s="11" t="b">
        <x:v>0</x:v>
      </x:c>
    </x:row>
    <x:row r="813" ht="18" customHeight="1">
      <x:c r="A813" s="16" t="n">
        <x:v>46103</x:v>
      </x:c>
      <x:c r="B813" s="10" t="n">
        <x:v>2026</x:v>
      </x:c>
      <x:c r="C813" s="10" t="n">
        <x:v>1</x:v>
      </x:c>
      <x:c r="D813" s="10" t="n">
        <x:v>3</x:v>
      </x:c>
      <x:c r="E813" s="10" t="str">
        <x:v>Março</x:v>
      </x:c>
      <x:c r="F813" s="10" t="str">
        <x:v>2026-03</x:v>
      </x:c>
      <x:c r="G813" s="10" t="n">
        <x:v>22</x:v>
      </x:c>
      <x:c r="H813" s="10" t="str">
        <x:v>Domingo</x:v>
      </x:c>
      <x:c r="I813" s="11" t="b">
        <x:v>0</x:v>
      </x:c>
    </x:row>
    <x:row r="814" ht="18" customHeight="1">
      <x:c r="A814" s="16" t="n">
        <x:v>46104</x:v>
      </x:c>
      <x:c r="B814" s="10" t="n">
        <x:v>2026</x:v>
      </x:c>
      <x:c r="C814" s="10" t="n">
        <x:v>1</x:v>
      </x:c>
      <x:c r="D814" s="10" t="n">
        <x:v>3</x:v>
      </x:c>
      <x:c r="E814" s="10" t="str">
        <x:v>Março</x:v>
      </x:c>
      <x:c r="F814" s="10" t="str">
        <x:v>2026-03</x:v>
      </x:c>
      <x:c r="G814" s="10" t="n">
        <x:v>23</x:v>
      </x:c>
      <x:c r="H814" s="10" t="str">
        <x:v>Segunda-feira</x:v>
      </x:c>
      <x:c r="I814" s="11" t="b">
        <x:v>1</x:v>
      </x:c>
    </x:row>
    <x:row r="815" ht="18" customHeight="1">
      <x:c r="A815" s="16" t="n">
        <x:v>46105</x:v>
      </x:c>
      <x:c r="B815" s="10" t="n">
        <x:v>2026</x:v>
      </x:c>
      <x:c r="C815" s="10" t="n">
        <x:v>1</x:v>
      </x:c>
      <x:c r="D815" s="10" t="n">
        <x:v>3</x:v>
      </x:c>
      <x:c r="E815" s="10" t="str">
        <x:v>Março</x:v>
      </x:c>
      <x:c r="F815" s="10" t="str">
        <x:v>2026-03</x:v>
      </x:c>
      <x:c r="G815" s="10" t="n">
        <x:v>24</x:v>
      </x:c>
      <x:c r="H815" s="10" t="str">
        <x:v>Terça-feira</x:v>
      </x:c>
      <x:c r="I815" s="11" t="b">
        <x:v>1</x:v>
      </x:c>
    </x:row>
    <x:row r="816" ht="18" customHeight="1">
      <x:c r="A816" s="16" t="n">
        <x:v>46106</x:v>
      </x:c>
      <x:c r="B816" s="10" t="n">
        <x:v>2026</x:v>
      </x:c>
      <x:c r="C816" s="10" t="n">
        <x:v>1</x:v>
      </x:c>
      <x:c r="D816" s="10" t="n">
        <x:v>3</x:v>
      </x:c>
      <x:c r="E816" s="10" t="str">
        <x:v>Março</x:v>
      </x:c>
      <x:c r="F816" s="10" t="str">
        <x:v>2026-03</x:v>
      </x:c>
      <x:c r="G816" s="10" t="n">
        <x:v>25</x:v>
      </x:c>
      <x:c r="H816" s="10" t="str">
        <x:v>Quarta-feira</x:v>
      </x:c>
      <x:c r="I816" s="11" t="b">
        <x:v>1</x:v>
      </x:c>
    </x:row>
    <x:row r="817" ht="18" customHeight="1">
      <x:c r="A817" s="16" t="n">
        <x:v>46107</x:v>
      </x:c>
      <x:c r="B817" s="10" t="n">
        <x:v>2026</x:v>
      </x:c>
      <x:c r="C817" s="10" t="n">
        <x:v>1</x:v>
      </x:c>
      <x:c r="D817" s="10" t="n">
        <x:v>3</x:v>
      </x:c>
      <x:c r="E817" s="10" t="str">
        <x:v>Março</x:v>
      </x:c>
      <x:c r="F817" s="10" t="str">
        <x:v>2026-03</x:v>
      </x:c>
      <x:c r="G817" s="10" t="n">
        <x:v>26</x:v>
      </x:c>
      <x:c r="H817" s="10" t="str">
        <x:v>Quinta-feira</x:v>
      </x:c>
      <x:c r="I817" s="11" t="b">
        <x:v>1</x:v>
      </x:c>
    </x:row>
    <x:row r="818" ht="18" customHeight="1">
      <x:c r="A818" s="16" t="n">
        <x:v>46108</x:v>
      </x:c>
      <x:c r="B818" s="10" t="n">
        <x:v>2026</x:v>
      </x:c>
      <x:c r="C818" s="10" t="n">
        <x:v>1</x:v>
      </x:c>
      <x:c r="D818" s="10" t="n">
        <x:v>3</x:v>
      </x:c>
      <x:c r="E818" s="10" t="str">
        <x:v>Março</x:v>
      </x:c>
      <x:c r="F818" s="10" t="str">
        <x:v>2026-03</x:v>
      </x:c>
      <x:c r="G818" s="10" t="n">
        <x:v>27</x:v>
      </x:c>
      <x:c r="H818" s="10" t="str">
        <x:v>Sexta-feira</x:v>
      </x:c>
      <x:c r="I818" s="11" t="b">
        <x:v>1</x:v>
      </x:c>
    </x:row>
    <x:row r="819" ht="18" customHeight="1">
      <x:c r="A819" s="16" t="n">
        <x:v>46109</x:v>
      </x:c>
      <x:c r="B819" s="10" t="n">
        <x:v>2026</x:v>
      </x:c>
      <x:c r="C819" s="10" t="n">
        <x:v>1</x:v>
      </x:c>
      <x:c r="D819" s="10" t="n">
        <x:v>3</x:v>
      </x:c>
      <x:c r="E819" s="10" t="str">
        <x:v>Março</x:v>
      </x:c>
      <x:c r="F819" s="10" t="str">
        <x:v>2026-03</x:v>
      </x:c>
      <x:c r="G819" s="10" t="n">
        <x:v>28</x:v>
      </x:c>
      <x:c r="H819" s="10" t="str">
        <x:v>Sábado</x:v>
      </x:c>
      <x:c r="I819" s="11" t="b">
        <x:v>0</x:v>
      </x:c>
    </x:row>
    <x:row r="820" ht="18" customHeight="1">
      <x:c r="A820" s="16" t="n">
        <x:v>46110</x:v>
      </x:c>
      <x:c r="B820" s="10" t="n">
        <x:v>2026</x:v>
      </x:c>
      <x:c r="C820" s="10" t="n">
        <x:v>1</x:v>
      </x:c>
      <x:c r="D820" s="10" t="n">
        <x:v>3</x:v>
      </x:c>
      <x:c r="E820" s="10" t="str">
        <x:v>Março</x:v>
      </x:c>
      <x:c r="F820" s="10" t="str">
        <x:v>2026-03</x:v>
      </x:c>
      <x:c r="G820" s="10" t="n">
        <x:v>29</x:v>
      </x:c>
      <x:c r="H820" s="10" t="str">
        <x:v>Domingo</x:v>
      </x:c>
      <x:c r="I820" s="11" t="b">
        <x:v>0</x:v>
      </x:c>
    </x:row>
    <x:row r="821" ht="18" customHeight="1">
      <x:c r="A821" s="16" t="n">
        <x:v>46111</x:v>
      </x:c>
      <x:c r="B821" s="10" t="n">
        <x:v>2026</x:v>
      </x:c>
      <x:c r="C821" s="10" t="n">
        <x:v>1</x:v>
      </x:c>
      <x:c r="D821" s="10" t="n">
        <x:v>3</x:v>
      </x:c>
      <x:c r="E821" s="10" t="str">
        <x:v>Março</x:v>
      </x:c>
      <x:c r="F821" s="10" t="str">
        <x:v>2026-03</x:v>
      </x:c>
      <x:c r="G821" s="10" t="n">
        <x:v>30</x:v>
      </x:c>
      <x:c r="H821" s="10" t="str">
        <x:v>Segunda-feira</x:v>
      </x:c>
      <x:c r="I821" s="11" t="b">
        <x:v>1</x:v>
      </x:c>
    </x:row>
    <x:row r="822" ht="18" customHeight="1">
      <x:c r="A822" s="17" t="n">
        <x:v>46112</x:v>
      </x:c>
      <x:c r="B822" s="12" t="n">
        <x:v>2026</x:v>
      </x:c>
      <x:c r="C822" s="12" t="n">
        <x:v>1</x:v>
      </x:c>
      <x:c r="D822" s="12" t="n">
        <x:v>3</x:v>
      </x:c>
      <x:c r="E822" s="12" t="str">
        <x:v>Março</x:v>
      </x:c>
      <x:c r="F822" s="12" t="str">
        <x:v>2026-03</x:v>
      </x:c>
      <x:c r="G822" s="12" t="n">
        <x:v>31</x:v>
      </x:c>
      <x:c r="H822" s="12" t="str">
        <x:v>Terça-feira</x:v>
      </x:c>
      <x:c r="I822" s="1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39844b68eb247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28" customHeight="1">
      <x:c r="A1" s="5" t="str">
        <x:v>ID_Empresa</x:v>
      </x:c>
      <x:c r="B1" s="5" t="str">
        <x:v>Empresa</x:v>
      </x:c>
      <x:c r="C1" s="5" t="str">
        <x:v>CNPJ</x:v>
      </x:c>
      <x:c r="D1" s="5" t="str">
        <x:v>Regiao</x:v>
      </x:c>
      <x:c r="E1" s="5" t="str">
        <x:v>Status</x:v>
      </x:c>
    </x:row>
    <x:row r="2" ht="18" customHeight="1">
      <x:c r="A2" s="8" t="str">
        <x:v>EMP001</x:v>
      </x:c>
      <x:c r="B2" s="8" t="str">
        <x:v>Aurora Comércio e Serviços S.A.</x:v>
      </x:c>
      <x:c r="C2" s="8" t="str">
        <x:v>12.345.678/0001-90</x:v>
      </x:c>
      <x:c r="D2" s="8" t="str">
        <x:v>Sudeste</x:v>
      </x:c>
      <x:c r="E2" s="8" t="str">
        <x:v>Ativa</x:v>
      </x:c>
    </x:row>
    <x:row r="3" ht="18" customHeight="1">
      <x:c r="A3" s="10" t="str">
        <x:v>EMP002</x:v>
      </x:c>
      <x:c r="B3" s="10" t="str">
        <x:v>Aurora Logística Ltda.</x:v>
      </x:c>
      <x:c r="C3" s="10" t="str">
        <x:v>23.456.789/0001-01</x:v>
      </x:c>
      <x:c r="D3" s="10" t="str">
        <x:v>Sudeste</x:v>
      </x:c>
      <x:c r="E3" s="10" t="str">
        <x:v>Ativa</x:v>
      </x:c>
    </x:row>
    <x:row r="4" ht="18" customHeight="1">
      <x:c r="A4" s="12" t="str">
        <x:v>EMP003</x:v>
      </x:c>
      <x:c r="B4" s="12" t="str">
        <x:v>Aurora Tecnologia Ltda.</x:v>
      </x:c>
      <x:c r="C4" s="12" t="str">
        <x:v>34.567.890/0001-12</x:v>
      </x:c>
      <x:c r="D4" s="12" t="str">
        <x:v>Sul</x:v>
      </x:c>
      <x:c r="E4" s="12" t="str">
        <x:v>Ativa</x:v>
      </x:c>
    </x:row>
  </x:sheetData>
  <x:pageMargins left="0.7" right="0.7" top="0.75" bottom="0.75" header="0.3" footer="0.3"/>
  <x:tableParts count="1">
    <x:tablePart xmlns:r="http://schemas.openxmlformats.org/officeDocument/2006/relationships" r:id="Recba6d80dc9b47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5" hidden="0" customWidth="1"/>
    <x:col min="2" max="2" width="12.75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28" customHeight="1">
      <x:c r="A1" s="5" t="str">
        <x:v>ID_Unidade</x:v>
      </x:c>
      <x:c r="B1" s="5" t="str">
        <x:v>ID_Empresa</x:v>
      </x:c>
      <x:c r="C1" s="5" t="str">
        <x:v>Unidade</x:v>
      </x:c>
      <x:c r="D1" s="5" t="str">
        <x:v>Cidade</x:v>
      </x:c>
      <x:c r="E1" s="5" t="str">
        <x:v>UF</x:v>
      </x:c>
    </x:row>
    <x:row r="2" ht="18" customHeight="1">
      <x:c r="A2" s="8" t="str">
        <x:v>UND001</x:v>
      </x:c>
      <x:c r="B2" s="8" t="str">
        <x:v>EMP001</x:v>
      </x:c>
      <x:c r="C2" s="8" t="str">
        <x:v>Matriz São Paulo</x:v>
      </x:c>
      <x:c r="D2" s="8" t="str">
        <x:v>São Paulo</x:v>
      </x:c>
      <x:c r="E2" s="8" t="str">
        <x:v>SP</x:v>
      </x:c>
    </x:row>
    <x:row r="3" ht="18" customHeight="1">
      <x:c r="A3" s="10" t="str">
        <x:v>UND002</x:v>
      </x:c>
      <x:c r="B3" s="10" t="str">
        <x:v>EMP001</x:v>
      </x:c>
      <x:c r="C3" s="10" t="str">
        <x:v>Filial Campinas</x:v>
      </x:c>
      <x:c r="D3" s="10" t="str">
        <x:v>Campinas</x:v>
      </x:c>
      <x:c r="E3" s="10" t="str">
        <x:v>SP</x:v>
      </x:c>
    </x:row>
    <x:row r="4" ht="18" customHeight="1">
      <x:c r="A4" s="10" t="str">
        <x:v>UND003</x:v>
      </x:c>
      <x:c r="B4" s="10" t="str">
        <x:v>EMP002</x:v>
      </x:c>
      <x:c r="C4" s="10" t="str">
        <x:v>Centro Logístico Jundiaí</x:v>
      </x:c>
      <x:c r="D4" s="10" t="str">
        <x:v>Jundiaí</x:v>
      </x:c>
      <x:c r="E4" s="10" t="str">
        <x:v>SP</x:v>
      </x:c>
    </x:row>
    <x:row r="5" ht="18" customHeight="1">
      <x:c r="A5" s="12" t="str">
        <x:v>UND004</x:v>
      </x:c>
      <x:c r="B5" s="12" t="str">
        <x:v>EMP003</x:v>
      </x:c>
      <x:c r="C5" s="12" t="str">
        <x:v>Unidade Curitiba</x:v>
      </x:c>
      <x:c r="D5" s="12" t="str">
        <x:v>Curitiba</x:v>
      </x:c>
      <x:c r="E5" s="12" t="str">
        <x:v>PR</x:v>
      </x:c>
    </x:row>
  </x:sheetData>
  <x:pageMargins left="0.7" right="0.7" top="0.75" bottom="0.75" header="0.3" footer="0.3"/>
  <x:tableParts count="1">
    <x:tablePart xmlns:r="http://schemas.openxmlformats.org/officeDocument/2006/relationships" r:id="Rd28dcd7e131f4b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5" hidden="0" customWidth="1"/>
    <x:col min="2" max="2" width="10" hidden="0" customWidth="1"/>
    <x:col min="3" max="3" width="10.75" hidden="0" customWidth="1"/>
    <x:col min="4" max="4" width="10" hidden="0" customWidth="1"/>
    <x:col min="5" max="5" width="15.75" hidden="0" customWidth="1"/>
    <x:col min="6" max="6" width="10" hidden="0" customWidth="1"/>
    <x:col min="7" max="7" width="10" hidden="0" customWidth="1"/>
  </x:cols>
  <x:sheetData>
    <x:row r="1" ht="28" customHeight="1">
      <x:c r="A1" s="5" t="str">
        <x:v>ID_Cliente</x:v>
      </x:c>
      <x:c r="B1" s="5" t="str">
        <x:v>Cliente</x:v>
      </x:c>
      <x:c r="C1" s="5" t="str">
        <x:v>Segmento</x:v>
      </x:c>
      <x:c r="D1" s="5" t="str">
        <x:v>Porte</x:v>
      </x:c>
      <x:c r="E1" s="5" t="str">
        <x:v>Risco_Credito</x:v>
      </x:c>
      <x:c r="F1" s="5" t="str">
        <x:v>UF</x:v>
      </x:c>
      <x:c r="G1" s="5" t="str">
        <x:v>Status</x:v>
      </x:c>
    </x:row>
    <x:row r="2" ht="18" customHeight="1">
      <x:c r="A2" s="8" t="str">
        <x:v>CLI001</x:v>
      </x:c>
      <x:c r="B2" s="8" t="str">
        <x:v>Cliente 01 Serviços</x:v>
      </x:c>
      <x:c r="C2" s="8" t="str">
        <x:v>Serviços</x:v>
      </x:c>
      <x:c r="D2" s="8" t="str">
        <x:v>Médio</x:v>
      </x:c>
      <x:c r="E2" s="8" t="str">
        <x:v>Baixo</x:v>
      </x:c>
      <x:c r="F2" s="8" t="str">
        <x:v>RS</x:v>
      </x:c>
      <x:c r="G2" s="8" t="str">
        <x:v>Inativo</x:v>
      </x:c>
    </x:row>
    <x:row r="3" ht="18" customHeight="1">
      <x:c r="A3" s="10" t="str">
        <x:v>CLI002</x:v>
      </x:c>
      <x:c r="B3" s="10" t="str">
        <x:v>Cliente 02 Serviços</x:v>
      </x:c>
      <x:c r="C3" s="10" t="str">
        <x:v>Serviços</x:v>
      </x:c>
      <x:c r="D3" s="10" t="str">
        <x:v>Grande</x:v>
      </x:c>
      <x:c r="E3" s="10" t="str">
        <x:v>Alto</x:v>
      </x:c>
      <x:c r="F3" s="10" t="str">
        <x:v>RS</x:v>
      </x:c>
      <x:c r="G3" s="10" t="str">
        <x:v>Ativo</x:v>
      </x:c>
    </x:row>
    <x:row r="4" ht="18" customHeight="1">
      <x:c r="A4" s="10" t="str">
        <x:v>CLI003</x:v>
      </x:c>
      <x:c r="B4" s="10" t="str">
        <x:v>Cliente 03 Saúde</x:v>
      </x:c>
      <x:c r="C4" s="10" t="str">
        <x:v>Saúde</x:v>
      </x:c>
      <x:c r="D4" s="10" t="str">
        <x:v>Pequeno</x:v>
      </x:c>
      <x:c r="E4" s="10" t="str">
        <x:v>Médio</x:v>
      </x:c>
      <x:c r="F4" s="10" t="str">
        <x:v>RS</x:v>
      </x:c>
      <x:c r="G4" s="10" t="str">
        <x:v>Ativo</x:v>
      </x:c>
    </x:row>
    <x:row r="5" ht="18" customHeight="1">
      <x:c r="A5" s="10" t="str">
        <x:v>CLI004</x:v>
      </x:c>
      <x:c r="B5" s="10" t="str">
        <x:v>Cliente 04 Varejo</x:v>
      </x:c>
      <x:c r="C5" s="10" t="str">
        <x:v>Varejo</x:v>
      </x:c>
      <x:c r="D5" s="10" t="str">
        <x:v>Pequeno</x:v>
      </x:c>
      <x:c r="E5" s="10" t="str">
        <x:v>Alto</x:v>
      </x:c>
      <x:c r="F5" s="10" t="str">
        <x:v>PR</x:v>
      </x:c>
      <x:c r="G5" s="10" t="str">
        <x:v>Ativo</x:v>
      </x:c>
    </x:row>
    <x:row r="6" ht="18" customHeight="1">
      <x:c r="A6" s="10" t="str">
        <x:v>CLI005</x:v>
      </x:c>
      <x:c r="B6" s="10" t="str">
        <x:v>Cliente 05 Atacado</x:v>
      </x:c>
      <x:c r="C6" s="10" t="str">
        <x:v>Atacado</x:v>
      </x:c>
      <x:c r="D6" s="10" t="str">
        <x:v>Médio</x:v>
      </x:c>
      <x:c r="E6" s="10" t="str">
        <x:v>Baixo</x:v>
      </x:c>
      <x:c r="F6" s="10" t="str">
        <x:v>MG</x:v>
      </x:c>
      <x:c r="G6" s="10" t="str">
        <x:v>Inativo</x:v>
      </x:c>
    </x:row>
    <x:row r="7" ht="18" customHeight="1">
      <x:c r="A7" s="10" t="str">
        <x:v>CLI006</x:v>
      </x:c>
      <x:c r="B7" s="10" t="str">
        <x:v>Cliente 06 Varejo</x:v>
      </x:c>
      <x:c r="C7" s="10" t="str">
        <x:v>Varejo</x:v>
      </x:c>
      <x:c r="D7" s="10" t="str">
        <x:v>Grande</x:v>
      </x:c>
      <x:c r="E7" s="10" t="str">
        <x:v>Baixo</x:v>
      </x:c>
      <x:c r="F7" s="10" t="str">
        <x:v>RJ</x:v>
      </x:c>
      <x:c r="G7" s="10" t="str">
        <x:v>Ativo</x:v>
      </x:c>
    </x:row>
    <x:row r="8" ht="18" customHeight="1">
      <x:c r="A8" s="10" t="str">
        <x:v>CLI007</x:v>
      </x:c>
      <x:c r="B8" s="10" t="str">
        <x:v>Cliente 07 Atacado</x:v>
      </x:c>
      <x:c r="C8" s="10" t="str">
        <x:v>Atacado</x:v>
      </x:c>
      <x:c r="D8" s="10" t="str">
        <x:v>Grande</x:v>
      </x:c>
      <x:c r="E8" s="10" t="str">
        <x:v>Baixo</x:v>
      </x:c>
      <x:c r="F8" s="10" t="str">
        <x:v>RJ</x:v>
      </x:c>
      <x:c r="G8" s="10" t="str">
        <x:v>Ativo</x:v>
      </x:c>
    </x:row>
    <x:row r="9" ht="18" customHeight="1">
      <x:c r="A9" s="10" t="str">
        <x:v>CLI008</x:v>
      </x:c>
      <x:c r="B9" s="10" t="str">
        <x:v>Cliente 08 Saúde</x:v>
      </x:c>
      <x:c r="C9" s="10" t="str">
        <x:v>Saúde</x:v>
      </x:c>
      <x:c r="D9" s="10" t="str">
        <x:v>Pequeno</x:v>
      </x:c>
      <x:c r="E9" s="10" t="str">
        <x:v>Médio</x:v>
      </x:c>
      <x:c r="F9" s="10" t="str">
        <x:v>GO</x:v>
      </x:c>
      <x:c r="G9" s="10" t="str">
        <x:v>Inativo</x:v>
      </x:c>
    </x:row>
    <x:row r="10" ht="18" customHeight="1">
      <x:c r="A10" s="10" t="str">
        <x:v>CLI009</x:v>
      </x:c>
      <x:c r="B10" s="10" t="str">
        <x:v>Cliente 09 Saúde</x:v>
      </x:c>
      <x:c r="C10" s="10" t="str">
        <x:v>Saúde</x:v>
      </x:c>
      <x:c r="D10" s="10" t="str">
        <x:v>Pequeno</x:v>
      </x:c>
      <x:c r="E10" s="10" t="str">
        <x:v>Médio</x:v>
      </x:c>
      <x:c r="F10" s="10" t="str">
        <x:v>RS</x:v>
      </x:c>
      <x:c r="G10" s="10" t="str">
        <x:v>Inativo</x:v>
      </x:c>
    </x:row>
    <x:row r="11" ht="18" customHeight="1">
      <x:c r="A11" s="10" t="str">
        <x:v>CLI010</x:v>
      </x:c>
      <x:c r="B11" s="10" t="str">
        <x:v>Cliente 10 Indústria</x:v>
      </x:c>
      <x:c r="C11" s="10" t="str">
        <x:v>Indústria</x:v>
      </x:c>
      <x:c r="D11" s="10" t="str">
        <x:v>Pequeno</x:v>
      </x:c>
      <x:c r="E11" s="10" t="str">
        <x:v>Baixo</x:v>
      </x:c>
      <x:c r="F11" s="10" t="str">
        <x:v>RJ</x:v>
      </x:c>
      <x:c r="G11" s="10" t="str">
        <x:v>Inativo</x:v>
      </x:c>
    </x:row>
    <x:row r="12" ht="18" customHeight="1">
      <x:c r="A12" s="10" t="str">
        <x:v>CLI011</x:v>
      </x:c>
      <x:c r="B12" s="10" t="str">
        <x:v>Cliente 11 Serviços</x:v>
      </x:c>
      <x:c r="C12" s="10" t="str">
        <x:v>Serviços</x:v>
      </x:c>
      <x:c r="D12" s="10" t="str">
        <x:v>Grande</x:v>
      </x:c>
      <x:c r="E12" s="10" t="str">
        <x:v>Alto</x:v>
      </x:c>
      <x:c r="F12" s="10" t="str">
        <x:v>SP</x:v>
      </x:c>
      <x:c r="G12" s="10" t="str">
        <x:v>Ativo</x:v>
      </x:c>
    </x:row>
    <x:row r="13" ht="18" customHeight="1">
      <x:c r="A13" s="10" t="str">
        <x:v>CLI012</x:v>
      </x:c>
      <x:c r="B13" s="10" t="str">
        <x:v>Cliente 12 Tecnologia</x:v>
      </x:c>
      <x:c r="C13" s="10" t="str">
        <x:v>Tecnologia</x:v>
      </x:c>
      <x:c r="D13" s="10" t="str">
        <x:v>Pequeno</x:v>
      </x:c>
      <x:c r="E13" s="10" t="str">
        <x:v>Baixo</x:v>
      </x:c>
      <x:c r="F13" s="10" t="str">
        <x:v>GO</x:v>
      </x:c>
      <x:c r="G13" s="10" t="str">
        <x:v>Inativo</x:v>
      </x:c>
    </x:row>
    <x:row r="14" ht="18" customHeight="1">
      <x:c r="A14" s="10" t="str">
        <x:v>CLI013</x:v>
      </x:c>
      <x:c r="B14" s="10" t="str">
        <x:v>Cliente 13 Serviços</x:v>
      </x:c>
      <x:c r="C14" s="10" t="str">
        <x:v>Serviços</x:v>
      </x:c>
      <x:c r="D14" s="10" t="str">
        <x:v>Médio</x:v>
      </x:c>
      <x:c r="E14" s="10" t="str">
        <x:v>Baixo</x:v>
      </x:c>
      <x:c r="F14" s="10" t="str">
        <x:v>GO</x:v>
      </x:c>
      <x:c r="G14" s="10" t="str">
        <x:v>Inativo</x:v>
      </x:c>
    </x:row>
    <x:row r="15" ht="18" customHeight="1">
      <x:c r="A15" s="10" t="str">
        <x:v>CLI014</x:v>
      </x:c>
      <x:c r="B15" s="10" t="str">
        <x:v>Cliente 14 Saúde</x:v>
      </x:c>
      <x:c r="C15" s="10" t="str">
        <x:v>Saúde</x:v>
      </x:c>
      <x:c r="D15" s="10" t="str">
        <x:v>Médio</x:v>
      </x:c>
      <x:c r="E15" s="10" t="str">
        <x:v>Médio</x:v>
      </x:c>
      <x:c r="F15" s="10" t="str">
        <x:v>RJ</x:v>
      </x:c>
      <x:c r="G15" s="10" t="str">
        <x:v>Inativo</x:v>
      </x:c>
    </x:row>
    <x:row r="16" ht="18" customHeight="1">
      <x:c r="A16" s="10" t="str">
        <x:v>CLI015</x:v>
      </x:c>
      <x:c r="B16" s="10" t="str">
        <x:v>Cliente 15 Atacado</x:v>
      </x:c>
      <x:c r="C16" s="10" t="str">
        <x:v>Atacado</x:v>
      </x:c>
      <x:c r="D16" s="10" t="str">
        <x:v>Médio</x:v>
      </x:c>
      <x:c r="E16" s="10" t="str">
        <x:v>Baixo</x:v>
      </x:c>
      <x:c r="F16" s="10" t="str">
        <x:v>MG</x:v>
      </x:c>
      <x:c r="G16" s="10" t="str">
        <x:v>Inativo</x:v>
      </x:c>
    </x:row>
    <x:row r="17" ht="18" customHeight="1">
      <x:c r="A17" s="10" t="str">
        <x:v>CLI016</x:v>
      </x:c>
      <x:c r="B17" s="10" t="str">
        <x:v>Cliente 16 Serviços</x:v>
      </x:c>
      <x:c r="C17" s="10" t="str">
        <x:v>Serviços</x:v>
      </x:c>
      <x:c r="D17" s="10" t="str">
        <x:v>Grande</x:v>
      </x:c>
      <x:c r="E17" s="10" t="str">
        <x:v>Baixo</x:v>
      </x:c>
      <x:c r="F17" s="10" t="str">
        <x:v>SP</x:v>
      </x:c>
      <x:c r="G17" s="10" t="str">
        <x:v>Ativo</x:v>
      </x:c>
    </x:row>
    <x:row r="18" ht="18" customHeight="1">
      <x:c r="A18" s="10" t="str">
        <x:v>CLI017</x:v>
      </x:c>
      <x:c r="B18" s="10" t="str">
        <x:v>Cliente 17 Atacado</x:v>
      </x:c>
      <x:c r="C18" s="10" t="str">
        <x:v>Atacado</x:v>
      </x:c>
      <x:c r="D18" s="10" t="str">
        <x:v>Médio</x:v>
      </x:c>
      <x:c r="E18" s="10" t="str">
        <x:v>Médio</x:v>
      </x:c>
      <x:c r="F18" s="10" t="str">
        <x:v>SC</x:v>
      </x:c>
      <x:c r="G18" s="10" t="str">
        <x:v>Ativo</x:v>
      </x:c>
    </x:row>
    <x:row r="19" ht="18" customHeight="1">
      <x:c r="A19" s="10" t="str">
        <x:v>CLI018</x:v>
      </x:c>
      <x:c r="B19" s="10" t="str">
        <x:v>Cliente 18 Indústria</x:v>
      </x:c>
      <x:c r="C19" s="10" t="str">
        <x:v>Indústria</x:v>
      </x:c>
      <x:c r="D19" s="10" t="str">
        <x:v>Pequeno</x:v>
      </x:c>
      <x:c r="E19" s="10" t="str">
        <x:v>Médio</x:v>
      </x:c>
      <x:c r="F19" s="10" t="str">
        <x:v>SC</x:v>
      </x:c>
      <x:c r="G19" s="10" t="str">
        <x:v>Ativo</x:v>
      </x:c>
    </x:row>
    <x:row r="20" ht="18" customHeight="1">
      <x:c r="A20" s="10" t="str">
        <x:v>CLI019</x:v>
      </x:c>
      <x:c r="B20" s="10" t="str">
        <x:v>Cliente 19 Saúde</x:v>
      </x:c>
      <x:c r="C20" s="10" t="str">
        <x:v>Saúde</x:v>
      </x:c>
      <x:c r="D20" s="10" t="str">
        <x:v>Médio</x:v>
      </x:c>
      <x:c r="E20" s="10" t="str">
        <x:v>Alto</x:v>
      </x:c>
      <x:c r="F20" s="10" t="str">
        <x:v>MG</x:v>
      </x:c>
      <x:c r="G20" s="10" t="str">
        <x:v>Inativo</x:v>
      </x:c>
    </x:row>
    <x:row r="21" ht="18" customHeight="1">
      <x:c r="A21" s="10" t="str">
        <x:v>CLI020</x:v>
      </x:c>
      <x:c r="B21" s="10" t="str">
        <x:v>Cliente 20 Atacado</x:v>
      </x:c>
      <x:c r="C21" s="10" t="str">
        <x:v>Atacado</x:v>
      </x:c>
      <x:c r="D21" s="10" t="str">
        <x:v>Médio</x:v>
      </x:c>
      <x:c r="E21" s="10" t="str">
        <x:v>Médio</x:v>
      </x:c>
      <x:c r="F21" s="10" t="str">
        <x:v>RJ</x:v>
      </x:c>
      <x:c r="G21" s="10" t="str">
        <x:v>Ativo</x:v>
      </x:c>
    </x:row>
    <x:row r="22" ht="18" customHeight="1">
      <x:c r="A22" s="10" t="str">
        <x:v>CLI021</x:v>
      </x:c>
      <x:c r="B22" s="10" t="str">
        <x:v>Cliente 21 Indústria</x:v>
      </x:c>
      <x:c r="C22" s="10" t="str">
        <x:v>Indústria</x:v>
      </x:c>
      <x:c r="D22" s="10" t="str">
        <x:v>Pequeno</x:v>
      </x:c>
      <x:c r="E22" s="10" t="str">
        <x:v>Baixo</x:v>
      </x:c>
      <x:c r="F22" s="10" t="str">
        <x:v>GO</x:v>
      </x:c>
      <x:c r="G22" s="10" t="str">
        <x:v>Ativo</x:v>
      </x:c>
    </x:row>
    <x:row r="23" ht="18" customHeight="1">
      <x:c r="A23" s="10" t="str">
        <x:v>CLI022</x:v>
      </x:c>
      <x:c r="B23" s="10" t="str">
        <x:v>Cliente 22 Tecnologia</x:v>
      </x:c>
      <x:c r="C23" s="10" t="str">
        <x:v>Tecnologia</x:v>
      </x:c>
      <x:c r="D23" s="10" t="str">
        <x:v>Médio</x:v>
      </x:c>
      <x:c r="E23" s="10" t="str">
        <x:v>Alto</x:v>
      </x:c>
      <x:c r="F23" s="10" t="str">
        <x:v>BA</x:v>
      </x:c>
      <x:c r="G23" s="10" t="str">
        <x:v>Ativo</x:v>
      </x:c>
    </x:row>
    <x:row r="24" ht="18" customHeight="1">
      <x:c r="A24" s="10" t="str">
        <x:v>CLI023</x:v>
      </x:c>
      <x:c r="B24" s="10" t="str">
        <x:v>Cliente 23 Atacado</x:v>
      </x:c>
      <x:c r="C24" s="10" t="str">
        <x:v>Atacado</x:v>
      </x:c>
      <x:c r="D24" s="10" t="str">
        <x:v>Pequeno</x:v>
      </x:c>
      <x:c r="E24" s="10" t="str">
        <x:v>Médio</x:v>
      </x:c>
      <x:c r="F24" s="10" t="str">
        <x:v>SC</x:v>
      </x:c>
      <x:c r="G24" s="10" t="str">
        <x:v>Ativo</x:v>
      </x:c>
    </x:row>
    <x:row r="25" ht="18" customHeight="1">
      <x:c r="A25" s="10" t="str">
        <x:v>CLI024</x:v>
      </x:c>
      <x:c r="B25" s="10" t="str">
        <x:v>Cliente 24 Saúde</x:v>
      </x:c>
      <x:c r="C25" s="10" t="str">
        <x:v>Saúde</x:v>
      </x:c>
      <x:c r="D25" s="10" t="str">
        <x:v>Médio</x:v>
      </x:c>
      <x:c r="E25" s="10" t="str">
        <x:v>Baixo</x:v>
      </x:c>
      <x:c r="F25" s="10" t="str">
        <x:v>GO</x:v>
      </x:c>
      <x:c r="G25" s="10" t="str">
        <x:v>Ativo</x:v>
      </x:c>
    </x:row>
    <x:row r="26" ht="18" customHeight="1">
      <x:c r="A26" s="10" t="str">
        <x:v>CLI025</x:v>
      </x:c>
      <x:c r="B26" s="10" t="str">
        <x:v>Cliente 25 Indústria</x:v>
      </x:c>
      <x:c r="C26" s="10" t="str">
        <x:v>Indústria</x:v>
      </x:c>
      <x:c r="D26" s="10" t="str">
        <x:v>Grande</x:v>
      </x:c>
      <x:c r="E26" s="10" t="str">
        <x:v>Médio</x:v>
      </x:c>
      <x:c r="F26" s="10" t="str">
        <x:v>BA</x:v>
      </x:c>
      <x:c r="G26" s="10" t="str">
        <x:v>Ativo</x:v>
      </x:c>
    </x:row>
    <x:row r="27" ht="18" customHeight="1">
      <x:c r="A27" s="10" t="str">
        <x:v>CLI026</x:v>
      </x:c>
      <x:c r="B27" s="10" t="str">
        <x:v>Cliente 26 Atacado</x:v>
      </x:c>
      <x:c r="C27" s="10" t="str">
        <x:v>Atacado</x:v>
      </x:c>
      <x:c r="D27" s="10" t="str">
        <x:v>Médio</x:v>
      </x:c>
      <x:c r="E27" s="10" t="str">
        <x:v>Médio</x:v>
      </x:c>
      <x:c r="F27" s="10" t="str">
        <x:v>SC</x:v>
      </x:c>
      <x:c r="G27" s="10" t="str">
        <x:v>Inativo</x:v>
      </x:c>
    </x:row>
    <x:row r="28" ht="18" customHeight="1">
      <x:c r="A28" s="10" t="str">
        <x:v>CLI027</x:v>
      </x:c>
      <x:c r="B28" s="10" t="str">
        <x:v>Cliente 27 Serviços</x:v>
      </x:c>
      <x:c r="C28" s="10" t="str">
        <x:v>Serviços</x:v>
      </x:c>
      <x:c r="D28" s="10" t="str">
        <x:v>Médio</x:v>
      </x:c>
      <x:c r="E28" s="10" t="str">
        <x:v>Alto</x:v>
      </x:c>
      <x:c r="F28" s="10" t="str">
        <x:v>RJ</x:v>
      </x:c>
      <x:c r="G28" s="10" t="str">
        <x:v>Ativo</x:v>
      </x:c>
    </x:row>
    <x:row r="29" ht="18" customHeight="1">
      <x:c r="A29" s="10" t="str">
        <x:v>CLI028</x:v>
      </x:c>
      <x:c r="B29" s="10" t="str">
        <x:v>Cliente 28 Serviços</x:v>
      </x:c>
      <x:c r="C29" s="10" t="str">
        <x:v>Serviços</x:v>
      </x:c>
      <x:c r="D29" s="10" t="str">
        <x:v>Médio</x:v>
      </x:c>
      <x:c r="E29" s="10" t="str">
        <x:v>Baixo</x:v>
      </x:c>
      <x:c r="F29" s="10" t="str">
        <x:v>BA</x:v>
      </x:c>
      <x:c r="G29" s="10" t="str">
        <x:v>Ativo</x:v>
      </x:c>
    </x:row>
    <x:row r="30" ht="18" customHeight="1">
      <x:c r="A30" s="10" t="str">
        <x:v>CLI029</x:v>
      </x:c>
      <x:c r="B30" s="10" t="str">
        <x:v>Cliente 29 Tecnologia</x:v>
      </x:c>
      <x:c r="C30" s="10" t="str">
        <x:v>Tecnologia</x:v>
      </x:c>
      <x:c r="D30" s="10" t="str">
        <x:v>Médio</x:v>
      </x:c>
      <x:c r="E30" s="10" t="str">
        <x:v>Baixo</x:v>
      </x:c>
      <x:c r="F30" s="10" t="str">
        <x:v>MG</x:v>
      </x:c>
      <x:c r="G30" s="10" t="str">
        <x:v>Ativo</x:v>
      </x:c>
    </x:row>
    <x:row r="31" ht="18" customHeight="1">
      <x:c r="A31" s="10" t="str">
        <x:v>CLI030</x:v>
      </x:c>
      <x:c r="B31" s="10" t="str">
        <x:v>Cliente 30 Tecnologia</x:v>
      </x:c>
      <x:c r="C31" s="10" t="str">
        <x:v>Tecnologia</x:v>
      </x:c>
      <x:c r="D31" s="10" t="str">
        <x:v>Grande</x:v>
      </x:c>
      <x:c r="E31" s="10" t="str">
        <x:v>Baixo</x:v>
      </x:c>
      <x:c r="F31" s="10" t="str">
        <x:v>BA</x:v>
      </x:c>
      <x:c r="G31" s="10" t="str">
        <x:v>Ativo</x:v>
      </x:c>
    </x:row>
    <x:row r="32" ht="18" customHeight="1">
      <x:c r="A32" s="10" t="str">
        <x:v>CLI031</x:v>
      </x:c>
      <x:c r="B32" s="10" t="str">
        <x:v>Cliente 31 Serviços</x:v>
      </x:c>
      <x:c r="C32" s="10" t="str">
        <x:v>Serviços</x:v>
      </x:c>
      <x:c r="D32" s="10" t="str">
        <x:v>Grande</x:v>
      </x:c>
      <x:c r="E32" s="10" t="str">
        <x:v>Baixo</x:v>
      </x:c>
      <x:c r="F32" s="10" t="str">
        <x:v>BA</x:v>
      </x:c>
      <x:c r="G32" s="10" t="str">
        <x:v>Ativo</x:v>
      </x:c>
    </x:row>
    <x:row r="33" ht="18" customHeight="1">
      <x:c r="A33" s="10" t="str">
        <x:v>CLI032</x:v>
      </x:c>
      <x:c r="B33" s="10" t="str">
        <x:v>Cliente 32 Tecnologia</x:v>
      </x:c>
      <x:c r="C33" s="10" t="str">
        <x:v>Tecnologia</x:v>
      </x:c>
      <x:c r="D33" s="10" t="str">
        <x:v>Grande</x:v>
      </x:c>
      <x:c r="E33" s="10" t="str">
        <x:v>Baixo</x:v>
      </x:c>
      <x:c r="F33" s="10" t="str">
        <x:v>RJ</x:v>
      </x:c>
      <x:c r="G33" s="10" t="str">
        <x:v>Ativo</x:v>
      </x:c>
    </x:row>
    <x:row r="34" ht="18" customHeight="1">
      <x:c r="A34" s="10" t="str">
        <x:v>CLI033</x:v>
      </x:c>
      <x:c r="B34" s="10" t="str">
        <x:v>Cliente 33 Varejo</x:v>
      </x:c>
      <x:c r="C34" s="10" t="str">
        <x:v>Varejo</x:v>
      </x:c>
      <x:c r="D34" s="10" t="str">
        <x:v>Médio</x:v>
      </x:c>
      <x:c r="E34" s="10" t="str">
        <x:v>Médio</x:v>
      </x:c>
      <x:c r="F34" s="10" t="str">
        <x:v>RS</x:v>
      </x:c>
      <x:c r="G34" s="10" t="str">
        <x:v>Ativo</x:v>
      </x:c>
    </x:row>
    <x:row r="35" ht="18" customHeight="1">
      <x:c r="A35" s="10" t="str">
        <x:v>CLI034</x:v>
      </x:c>
      <x:c r="B35" s="10" t="str">
        <x:v>Cliente 34 Indústria</x:v>
      </x:c>
      <x:c r="C35" s="10" t="str">
        <x:v>Indústria</x:v>
      </x:c>
      <x:c r="D35" s="10" t="str">
        <x:v>Médio</x:v>
      </x:c>
      <x:c r="E35" s="10" t="str">
        <x:v>Médio</x:v>
      </x:c>
      <x:c r="F35" s="10" t="str">
        <x:v>SP</x:v>
      </x:c>
      <x:c r="G35" s="10" t="str">
        <x:v>Ativo</x:v>
      </x:c>
    </x:row>
    <x:row r="36" ht="18" customHeight="1">
      <x:c r="A36" s="10" t="str">
        <x:v>CLI035</x:v>
      </x:c>
      <x:c r="B36" s="10" t="str">
        <x:v>Cliente 35 Varejo</x:v>
      </x:c>
      <x:c r="C36" s="10" t="str">
        <x:v>Varejo</x:v>
      </x:c>
      <x:c r="D36" s="10" t="str">
        <x:v>Médio</x:v>
      </x:c>
      <x:c r="E36" s="10" t="str">
        <x:v>Médio</x:v>
      </x:c>
      <x:c r="F36" s="10" t="str">
        <x:v>RS</x:v>
      </x:c>
      <x:c r="G36" s="10" t="str">
        <x:v>Ativo</x:v>
      </x:c>
    </x:row>
    <x:row r="37" ht="18" customHeight="1">
      <x:c r="A37" s="10" t="str">
        <x:v>CLI036</x:v>
      </x:c>
      <x:c r="B37" s="10" t="str">
        <x:v>Cliente 36 Atacado</x:v>
      </x:c>
      <x:c r="C37" s="10" t="str">
        <x:v>Atacado</x:v>
      </x:c>
      <x:c r="D37" s="10" t="str">
        <x:v>Pequeno</x:v>
      </x:c>
      <x:c r="E37" s="10" t="str">
        <x:v>Baixo</x:v>
      </x:c>
      <x:c r="F37" s="10" t="str">
        <x:v>RJ</x:v>
      </x:c>
      <x:c r="G37" s="10" t="str">
        <x:v>Ativo</x:v>
      </x:c>
    </x:row>
    <x:row r="38" ht="18" customHeight="1">
      <x:c r="A38" s="10" t="str">
        <x:v>CLI037</x:v>
      </x:c>
      <x:c r="B38" s="10" t="str">
        <x:v>Cliente 37 Serviços</x:v>
      </x:c>
      <x:c r="C38" s="10" t="str">
        <x:v>Serviços</x:v>
      </x:c>
      <x:c r="D38" s="10" t="str">
        <x:v>Médio</x:v>
      </x:c>
      <x:c r="E38" s="10" t="str">
        <x:v>Baixo</x:v>
      </x:c>
      <x:c r="F38" s="10" t="str">
        <x:v>RJ</x:v>
      </x:c>
      <x:c r="G38" s="10" t="str">
        <x:v>Ativo</x:v>
      </x:c>
    </x:row>
    <x:row r="39" ht="18" customHeight="1">
      <x:c r="A39" s="10" t="str">
        <x:v>CLI038</x:v>
      </x:c>
      <x:c r="B39" s="10" t="str">
        <x:v>Cliente 38 Varejo</x:v>
      </x:c>
      <x:c r="C39" s="10" t="str">
        <x:v>Varejo</x:v>
      </x:c>
      <x:c r="D39" s="10" t="str">
        <x:v>Médio</x:v>
      </x:c>
      <x:c r="E39" s="10" t="str">
        <x:v>Baixo</x:v>
      </x:c>
      <x:c r="F39" s="10" t="str">
        <x:v>GO</x:v>
      </x:c>
      <x:c r="G39" s="10" t="str">
        <x:v>Ativo</x:v>
      </x:c>
    </x:row>
    <x:row r="40" ht="18" customHeight="1">
      <x:c r="A40" s="10" t="str">
        <x:v>CLI039</x:v>
      </x:c>
      <x:c r="B40" s="10" t="str">
        <x:v>Cliente 39 Saúde</x:v>
      </x:c>
      <x:c r="C40" s="10" t="str">
        <x:v>Saúde</x:v>
      </x:c>
      <x:c r="D40" s="10" t="str">
        <x:v>Médio</x:v>
      </x:c>
      <x:c r="E40" s="10" t="str">
        <x:v>Alto</x:v>
      </x:c>
      <x:c r="F40" s="10" t="str">
        <x:v>GO</x:v>
      </x:c>
      <x:c r="G40" s="10" t="str">
        <x:v>Ativo</x:v>
      </x:c>
    </x:row>
    <x:row r="41" ht="18" customHeight="1">
      <x:c r="A41" s="10" t="str">
        <x:v>CLI040</x:v>
      </x:c>
      <x:c r="B41" s="10" t="str">
        <x:v>Cliente 40 Saúde</x:v>
      </x:c>
      <x:c r="C41" s="10" t="str">
        <x:v>Saúde</x:v>
      </x:c>
      <x:c r="D41" s="10" t="str">
        <x:v>Grande</x:v>
      </x:c>
      <x:c r="E41" s="10" t="str">
        <x:v>Baixo</x:v>
      </x:c>
      <x:c r="F41" s="10" t="str">
        <x:v>RJ</x:v>
      </x:c>
      <x:c r="G41" s="10" t="str">
        <x:v>Ativo</x:v>
      </x:c>
    </x:row>
    <x:row r="42" ht="18" customHeight="1">
      <x:c r="A42" s="10" t="str">
        <x:v>CLI041</x:v>
      </x:c>
      <x:c r="B42" s="10" t="str">
        <x:v>Cliente 41 Indústria</x:v>
      </x:c>
      <x:c r="C42" s="10" t="str">
        <x:v>Indústria</x:v>
      </x:c>
      <x:c r="D42" s="10" t="str">
        <x:v>Médio</x:v>
      </x:c>
      <x:c r="E42" s="10" t="str">
        <x:v>Alto</x:v>
      </x:c>
      <x:c r="F42" s="10" t="str">
        <x:v>MG</x:v>
      </x:c>
      <x:c r="G42" s="10" t="str">
        <x:v>Ativo</x:v>
      </x:c>
    </x:row>
    <x:row r="43" ht="18" customHeight="1">
      <x:c r="A43" s="10" t="str">
        <x:v>CLI042</x:v>
      </x:c>
      <x:c r="B43" s="10" t="str">
        <x:v>Cliente 42 Varejo</x:v>
      </x:c>
      <x:c r="C43" s="10" t="str">
        <x:v>Varejo</x:v>
      </x:c>
      <x:c r="D43" s="10" t="str">
        <x:v>Grande</x:v>
      </x:c>
      <x:c r="E43" s="10" t="str">
        <x:v>Baixo</x:v>
      </x:c>
      <x:c r="F43" s="10" t="str">
        <x:v>BA</x:v>
      </x:c>
      <x:c r="G43" s="10" t="str">
        <x:v>Ativo</x:v>
      </x:c>
    </x:row>
    <x:row r="44" ht="18" customHeight="1">
      <x:c r="A44" s="10" t="str">
        <x:v>CLI043</x:v>
      </x:c>
      <x:c r="B44" s="10" t="str">
        <x:v>Cliente 43 Atacado</x:v>
      </x:c>
      <x:c r="C44" s="10" t="str">
        <x:v>Atacado</x:v>
      </x:c>
      <x:c r="D44" s="10" t="str">
        <x:v>Médio</x:v>
      </x:c>
      <x:c r="E44" s="10" t="str">
        <x:v>Baixo</x:v>
      </x:c>
      <x:c r="F44" s="10" t="str">
        <x:v>RS</x:v>
      </x:c>
      <x:c r="G44" s="10" t="str">
        <x:v>Inativo</x:v>
      </x:c>
    </x:row>
    <x:row r="45" ht="18" customHeight="1">
      <x:c r="A45" s="10" t="str">
        <x:v>CLI044</x:v>
      </x:c>
      <x:c r="B45" s="10" t="str">
        <x:v>Cliente 44 Varejo</x:v>
      </x:c>
      <x:c r="C45" s="10" t="str">
        <x:v>Varejo</x:v>
      </x:c>
      <x:c r="D45" s="10" t="str">
        <x:v>Médio</x:v>
      </x:c>
      <x:c r="E45" s="10" t="str">
        <x:v>Alto</x:v>
      </x:c>
      <x:c r="F45" s="10" t="str">
        <x:v>BA</x:v>
      </x:c>
      <x:c r="G45" s="10" t="str">
        <x:v>Ativo</x:v>
      </x:c>
    </x:row>
    <x:row r="46" ht="18" customHeight="1">
      <x:c r="A46" s="10" t="str">
        <x:v>CLI045</x:v>
      </x:c>
      <x:c r="B46" s="10" t="str">
        <x:v>Cliente 45 Varejo</x:v>
      </x:c>
      <x:c r="C46" s="10" t="str">
        <x:v>Varejo</x:v>
      </x:c>
      <x:c r="D46" s="10" t="str">
        <x:v>Médio</x:v>
      </x:c>
      <x:c r="E46" s="10" t="str">
        <x:v>Baixo</x:v>
      </x:c>
      <x:c r="F46" s="10" t="str">
        <x:v>MG</x:v>
      </x:c>
      <x:c r="G46" s="10" t="str">
        <x:v>Ativo</x:v>
      </x:c>
    </x:row>
    <x:row r="47" ht="18" customHeight="1">
      <x:c r="A47" s="10" t="str">
        <x:v>CLI046</x:v>
      </x:c>
      <x:c r="B47" s="10" t="str">
        <x:v>Cliente 46 Varejo</x:v>
      </x:c>
      <x:c r="C47" s="10" t="str">
        <x:v>Varejo</x:v>
      </x:c>
      <x:c r="D47" s="10" t="str">
        <x:v>Médio</x:v>
      </x:c>
      <x:c r="E47" s="10" t="str">
        <x:v>Alto</x:v>
      </x:c>
      <x:c r="F47" s="10" t="str">
        <x:v>MG</x:v>
      </x:c>
      <x:c r="G47" s="10" t="str">
        <x:v>Ativo</x:v>
      </x:c>
    </x:row>
    <x:row r="48" ht="18" customHeight="1">
      <x:c r="A48" s="10" t="str">
        <x:v>CLI047</x:v>
      </x:c>
      <x:c r="B48" s="10" t="str">
        <x:v>Cliente 47 Serviços</x:v>
      </x:c>
      <x:c r="C48" s="10" t="str">
        <x:v>Serviços</x:v>
      </x:c>
      <x:c r="D48" s="10" t="str">
        <x:v>Pequeno</x:v>
      </x:c>
      <x:c r="E48" s="10" t="str">
        <x:v>Baixo</x:v>
      </x:c>
      <x:c r="F48" s="10" t="str">
        <x:v>SP</x:v>
      </x:c>
      <x:c r="G48" s="10" t="str">
        <x:v>Ativo</x:v>
      </x:c>
    </x:row>
    <x:row r="49" ht="18" customHeight="1">
      <x:c r="A49" s="10" t="str">
        <x:v>CLI048</x:v>
      </x:c>
      <x:c r="B49" s="10" t="str">
        <x:v>Cliente 48 Tecnologia</x:v>
      </x:c>
      <x:c r="C49" s="10" t="str">
        <x:v>Tecnologia</x:v>
      </x:c>
      <x:c r="D49" s="10" t="str">
        <x:v>Médio</x:v>
      </x:c>
      <x:c r="E49" s="10" t="str">
        <x:v>Baixo</x:v>
      </x:c>
      <x:c r="F49" s="10" t="str">
        <x:v>RJ</x:v>
      </x:c>
      <x:c r="G49" s="10" t="str">
        <x:v>Ativo</x:v>
      </x:c>
    </x:row>
    <x:row r="50" ht="18" customHeight="1">
      <x:c r="A50" s="10" t="str">
        <x:v>CLI049</x:v>
      </x:c>
      <x:c r="B50" s="10" t="str">
        <x:v>Cliente 49 Serviços</x:v>
      </x:c>
      <x:c r="C50" s="10" t="str">
        <x:v>Serviços</x:v>
      </x:c>
      <x:c r="D50" s="10" t="str">
        <x:v>Grande</x:v>
      </x:c>
      <x:c r="E50" s="10" t="str">
        <x:v>Médio</x:v>
      </x:c>
      <x:c r="F50" s="10" t="str">
        <x:v>RS</x:v>
      </x:c>
      <x:c r="G50" s="10" t="str">
        <x:v>Ativo</x:v>
      </x:c>
    </x:row>
    <x:row r="51" ht="18" customHeight="1">
      <x:c r="A51" s="10" t="str">
        <x:v>CLI050</x:v>
      </x:c>
      <x:c r="B51" s="10" t="str">
        <x:v>Cliente 50 Tecnologia</x:v>
      </x:c>
      <x:c r="C51" s="10" t="str">
        <x:v>Tecnologia</x:v>
      </x:c>
      <x:c r="D51" s="10" t="str">
        <x:v>Médio</x:v>
      </x:c>
      <x:c r="E51" s="10" t="str">
        <x:v>Baixo</x:v>
      </x:c>
      <x:c r="F51" s="10" t="str">
        <x:v>GO</x:v>
      </x:c>
      <x:c r="G51" s="10" t="str">
        <x:v>Ativo</x:v>
      </x:c>
    </x:row>
    <x:row r="52" ht="18" customHeight="1">
      <x:c r="A52" s="10" t="str">
        <x:v>CLI051</x:v>
      </x:c>
      <x:c r="B52" s="10" t="str">
        <x:v>Cliente 51 Saúde</x:v>
      </x:c>
      <x:c r="C52" s="10" t="str">
        <x:v>Saúde</x:v>
      </x:c>
      <x:c r="D52" s="10" t="str">
        <x:v>Médio</x:v>
      </x:c>
      <x:c r="E52" s="10" t="str">
        <x:v>Médio</x:v>
      </x:c>
      <x:c r="F52" s="10" t="str">
        <x:v>RS</x:v>
      </x:c>
      <x:c r="G52" s="10" t="str">
        <x:v>Ativo</x:v>
      </x:c>
    </x:row>
    <x:row r="53" ht="18" customHeight="1">
      <x:c r="A53" s="10" t="str">
        <x:v>CLI052</x:v>
      </x:c>
      <x:c r="B53" s="10" t="str">
        <x:v>Cliente 52 Varejo</x:v>
      </x:c>
      <x:c r="C53" s="10" t="str">
        <x:v>Varejo</x:v>
      </x:c>
      <x:c r="D53" s="10" t="str">
        <x:v>Médio</x:v>
      </x:c>
      <x:c r="E53" s="10" t="str">
        <x:v>Baixo</x:v>
      </x:c>
      <x:c r="F53" s="10" t="str">
        <x:v>PR</x:v>
      </x:c>
      <x:c r="G53" s="10" t="str">
        <x:v>Inativo</x:v>
      </x:c>
    </x:row>
    <x:row r="54" ht="18" customHeight="1">
      <x:c r="A54" s="10" t="str">
        <x:v>CLI053</x:v>
      </x:c>
      <x:c r="B54" s="10" t="str">
        <x:v>Cliente 53 Saúde</x:v>
      </x:c>
      <x:c r="C54" s="10" t="str">
        <x:v>Saúde</x:v>
      </x:c>
      <x:c r="D54" s="10" t="str">
        <x:v>Médio</x:v>
      </x:c>
      <x:c r="E54" s="10" t="str">
        <x:v>Baixo</x:v>
      </x:c>
      <x:c r="F54" s="10" t="str">
        <x:v>SP</x:v>
      </x:c>
      <x:c r="G54" s="10" t="str">
        <x:v>Ativo</x:v>
      </x:c>
    </x:row>
    <x:row r="55" ht="18" customHeight="1">
      <x:c r="A55" s="10" t="str">
        <x:v>CLI054</x:v>
      </x:c>
      <x:c r="B55" s="10" t="str">
        <x:v>Cliente 54 Indústria</x:v>
      </x:c>
      <x:c r="C55" s="10" t="str">
        <x:v>Indústria</x:v>
      </x:c>
      <x:c r="D55" s="10" t="str">
        <x:v>Médio</x:v>
      </x:c>
      <x:c r="E55" s="10" t="str">
        <x:v>Médio</x:v>
      </x:c>
      <x:c r="F55" s="10" t="str">
        <x:v>SC</x:v>
      </x:c>
      <x:c r="G55" s="10" t="str">
        <x:v>Inativo</x:v>
      </x:c>
    </x:row>
    <x:row r="56" ht="18" customHeight="1">
      <x:c r="A56" s="10" t="str">
        <x:v>CLI055</x:v>
      </x:c>
      <x:c r="B56" s="10" t="str">
        <x:v>Cliente 55 Serviços</x:v>
      </x:c>
      <x:c r="C56" s="10" t="str">
        <x:v>Serviços</x:v>
      </x:c>
      <x:c r="D56" s="10" t="str">
        <x:v>Pequeno</x:v>
      </x:c>
      <x:c r="E56" s="10" t="str">
        <x:v>Baixo</x:v>
      </x:c>
      <x:c r="F56" s="10" t="str">
        <x:v>SP</x:v>
      </x:c>
      <x:c r="G56" s="10" t="str">
        <x:v>Ativo</x:v>
      </x:c>
    </x:row>
    <x:row r="57" ht="18" customHeight="1">
      <x:c r="A57" s="10" t="str">
        <x:v>CLI056</x:v>
      </x:c>
      <x:c r="B57" s="10" t="str">
        <x:v>Cliente 56 Tecnologia</x:v>
      </x:c>
      <x:c r="C57" s="10" t="str">
        <x:v>Tecnologia</x:v>
      </x:c>
      <x:c r="D57" s="10" t="str">
        <x:v>Grande</x:v>
      </x:c>
      <x:c r="E57" s="10" t="str">
        <x:v>Baixo</x:v>
      </x:c>
      <x:c r="F57" s="10" t="str">
        <x:v>MG</x:v>
      </x:c>
      <x:c r="G57" s="10" t="str">
        <x:v>Inativo</x:v>
      </x:c>
    </x:row>
    <x:row r="58" ht="18" customHeight="1">
      <x:c r="A58" s="10" t="str">
        <x:v>CLI057</x:v>
      </x:c>
      <x:c r="B58" s="10" t="str">
        <x:v>Cliente 57 Saúde</x:v>
      </x:c>
      <x:c r="C58" s="10" t="str">
        <x:v>Saúde</x:v>
      </x:c>
      <x:c r="D58" s="10" t="str">
        <x:v>Médio</x:v>
      </x:c>
      <x:c r="E58" s="10" t="str">
        <x:v>Alto</x:v>
      </x:c>
      <x:c r="F58" s="10" t="str">
        <x:v>PR</x:v>
      </x:c>
      <x:c r="G58" s="10" t="str">
        <x:v>Ativo</x:v>
      </x:c>
    </x:row>
    <x:row r="59" ht="18" customHeight="1">
      <x:c r="A59" s="10" t="str">
        <x:v>CLI058</x:v>
      </x:c>
      <x:c r="B59" s="10" t="str">
        <x:v>Cliente 58 Atacado</x:v>
      </x:c>
      <x:c r="C59" s="10" t="str">
        <x:v>Atacado</x:v>
      </x:c>
      <x:c r="D59" s="10" t="str">
        <x:v>Médio</x:v>
      </x:c>
      <x:c r="E59" s="10" t="str">
        <x:v>Baixo</x:v>
      </x:c>
      <x:c r="F59" s="10" t="str">
        <x:v>RJ</x:v>
      </x:c>
      <x:c r="G59" s="10" t="str">
        <x:v>Ativo</x:v>
      </x:c>
    </x:row>
    <x:row r="60" ht="18" customHeight="1">
      <x:c r="A60" s="10" t="str">
        <x:v>CLI059</x:v>
      </x:c>
      <x:c r="B60" s="10" t="str">
        <x:v>Cliente 59 Indústria</x:v>
      </x:c>
      <x:c r="C60" s="10" t="str">
        <x:v>Indústria</x:v>
      </x:c>
      <x:c r="D60" s="10" t="str">
        <x:v>Médio</x:v>
      </x:c>
      <x:c r="E60" s="10" t="str">
        <x:v>Baixo</x:v>
      </x:c>
      <x:c r="F60" s="10" t="str">
        <x:v>RS</x:v>
      </x:c>
      <x:c r="G60" s="10" t="str">
        <x:v>Ativo</x:v>
      </x:c>
    </x:row>
    <x:row r="61" ht="18" customHeight="1">
      <x:c r="A61" s="10" t="str">
        <x:v>CLI060</x:v>
      </x:c>
      <x:c r="B61" s="10" t="str">
        <x:v>Cliente 60 Atacado</x:v>
      </x:c>
      <x:c r="C61" s="10" t="str">
        <x:v>Atacado</x:v>
      </x:c>
      <x:c r="D61" s="10" t="str">
        <x:v>Médio</x:v>
      </x:c>
      <x:c r="E61" s="10" t="str">
        <x:v>Baixo</x:v>
      </x:c>
      <x:c r="F61" s="10" t="str">
        <x:v>MG</x:v>
      </x:c>
      <x:c r="G61" s="10" t="str">
        <x:v>Ativo</x:v>
      </x:c>
    </x:row>
    <x:row r="62" ht="18" customHeight="1">
      <x:c r="A62" s="10" t="str">
        <x:v>CLI061</x:v>
      </x:c>
      <x:c r="B62" s="10" t="str">
        <x:v>Cliente 61 Serviços</x:v>
      </x:c>
      <x:c r="C62" s="10" t="str">
        <x:v>Serviços</x:v>
      </x:c>
      <x:c r="D62" s="10" t="str">
        <x:v>Grande</x:v>
      </x:c>
      <x:c r="E62" s="10" t="str">
        <x:v>Baixo</x:v>
      </x:c>
      <x:c r="F62" s="10" t="str">
        <x:v>SC</x:v>
      </x:c>
      <x:c r="G62" s="10" t="str">
        <x:v>Ativo</x:v>
      </x:c>
    </x:row>
    <x:row r="63" ht="18" customHeight="1">
      <x:c r="A63" s="10" t="str">
        <x:v>CLI062</x:v>
      </x:c>
      <x:c r="B63" s="10" t="str">
        <x:v>Cliente 62 Saúde</x:v>
      </x:c>
      <x:c r="C63" s="10" t="str">
        <x:v>Saúde</x:v>
      </x:c>
      <x:c r="D63" s="10" t="str">
        <x:v>Médio</x:v>
      </x:c>
      <x:c r="E63" s="10" t="str">
        <x:v>Baixo</x:v>
      </x:c>
      <x:c r="F63" s="10" t="str">
        <x:v>GO</x:v>
      </x:c>
      <x:c r="G63" s="10" t="str">
        <x:v>Ativo</x:v>
      </x:c>
    </x:row>
    <x:row r="64" ht="18" customHeight="1">
      <x:c r="A64" s="10" t="str">
        <x:v>CLI063</x:v>
      </x:c>
      <x:c r="B64" s="10" t="str">
        <x:v>Cliente 63 Serviços</x:v>
      </x:c>
      <x:c r="C64" s="10" t="str">
        <x:v>Serviços</x:v>
      </x:c>
      <x:c r="D64" s="10" t="str">
        <x:v>Médio</x:v>
      </x:c>
      <x:c r="E64" s="10" t="str">
        <x:v>Baixo</x:v>
      </x:c>
      <x:c r="F64" s="10" t="str">
        <x:v>PR</x:v>
      </x:c>
      <x:c r="G64" s="10" t="str">
        <x:v>Inativo</x:v>
      </x:c>
    </x:row>
    <x:row r="65" ht="18" customHeight="1">
      <x:c r="A65" s="10" t="str">
        <x:v>CLI064</x:v>
      </x:c>
      <x:c r="B65" s="10" t="str">
        <x:v>Cliente 64 Atacado</x:v>
      </x:c>
      <x:c r="C65" s="10" t="str">
        <x:v>Atacado</x:v>
      </x:c>
      <x:c r="D65" s="10" t="str">
        <x:v>Grande</x:v>
      </x:c>
      <x:c r="E65" s="10" t="str">
        <x:v>Médio</x:v>
      </x:c>
      <x:c r="F65" s="10" t="str">
        <x:v>RS</x:v>
      </x:c>
      <x:c r="G65" s="10" t="str">
        <x:v>Inativo</x:v>
      </x:c>
    </x:row>
    <x:row r="66" ht="18" customHeight="1">
      <x:c r="A66" s="10" t="str">
        <x:v>CLI065</x:v>
      </x:c>
      <x:c r="B66" s="10" t="str">
        <x:v>Cliente 65 Serviços</x:v>
      </x:c>
      <x:c r="C66" s="10" t="str">
        <x:v>Serviços</x:v>
      </x:c>
      <x:c r="D66" s="10" t="str">
        <x:v>Médio</x:v>
      </x:c>
      <x:c r="E66" s="10" t="str">
        <x:v>Médio</x:v>
      </x:c>
      <x:c r="F66" s="10" t="str">
        <x:v>GO</x:v>
      </x:c>
      <x:c r="G66" s="10" t="str">
        <x:v>Ativo</x:v>
      </x:c>
    </x:row>
    <x:row r="67" ht="18" customHeight="1">
      <x:c r="A67" s="10" t="str">
        <x:v>CLI066</x:v>
      </x:c>
      <x:c r="B67" s="10" t="str">
        <x:v>Cliente 66 Varejo</x:v>
      </x:c>
      <x:c r="C67" s="10" t="str">
        <x:v>Varejo</x:v>
      </x:c>
      <x:c r="D67" s="10" t="str">
        <x:v>Médio</x:v>
      </x:c>
      <x:c r="E67" s="10" t="str">
        <x:v>Baixo</x:v>
      </x:c>
      <x:c r="F67" s="10" t="str">
        <x:v>RS</x:v>
      </x:c>
      <x:c r="G67" s="10" t="str">
        <x:v>Ativo</x:v>
      </x:c>
    </x:row>
    <x:row r="68" ht="18" customHeight="1">
      <x:c r="A68" s="10" t="str">
        <x:v>CLI067</x:v>
      </x:c>
      <x:c r="B68" s="10" t="str">
        <x:v>Cliente 67 Varejo</x:v>
      </x:c>
      <x:c r="C68" s="10" t="str">
        <x:v>Varejo</x:v>
      </x:c>
      <x:c r="D68" s="10" t="str">
        <x:v>Pequeno</x:v>
      </x:c>
      <x:c r="E68" s="10" t="str">
        <x:v>Alto</x:v>
      </x:c>
      <x:c r="F68" s="10" t="str">
        <x:v>GO</x:v>
      </x:c>
      <x:c r="G68" s="10" t="str">
        <x:v>Ativo</x:v>
      </x:c>
    </x:row>
    <x:row r="69" ht="18" customHeight="1">
      <x:c r="A69" s="10" t="str">
        <x:v>CLI068</x:v>
      </x:c>
      <x:c r="B69" s="10" t="str">
        <x:v>Cliente 68 Varejo</x:v>
      </x:c>
      <x:c r="C69" s="10" t="str">
        <x:v>Varejo</x:v>
      </x:c>
      <x:c r="D69" s="10" t="str">
        <x:v>Médio</x:v>
      </x:c>
      <x:c r="E69" s="10" t="str">
        <x:v>Médio</x:v>
      </x:c>
      <x:c r="F69" s="10" t="str">
        <x:v>SP</x:v>
      </x:c>
      <x:c r="G69" s="10" t="str">
        <x:v>Ativo</x:v>
      </x:c>
    </x:row>
    <x:row r="70" ht="18" customHeight="1">
      <x:c r="A70" s="10" t="str">
        <x:v>CLI069</x:v>
      </x:c>
      <x:c r="B70" s="10" t="str">
        <x:v>Cliente 69 Tecnologia</x:v>
      </x:c>
      <x:c r="C70" s="10" t="str">
        <x:v>Tecnologia</x:v>
      </x:c>
      <x:c r="D70" s="10" t="str">
        <x:v>Grande</x:v>
      </x:c>
      <x:c r="E70" s="10" t="str">
        <x:v>Alto</x:v>
      </x:c>
      <x:c r="F70" s="10" t="str">
        <x:v>PR</x:v>
      </x:c>
      <x:c r="G70" s="10" t="str">
        <x:v>Ativo</x:v>
      </x:c>
    </x:row>
    <x:row r="71" ht="18" customHeight="1">
      <x:c r="A71" s="10" t="str">
        <x:v>CLI070</x:v>
      </x:c>
      <x:c r="B71" s="10" t="str">
        <x:v>Cliente 70 Saúde</x:v>
      </x:c>
      <x:c r="C71" s="10" t="str">
        <x:v>Saúde</x:v>
      </x:c>
      <x:c r="D71" s="10" t="str">
        <x:v>Grande</x:v>
      </x:c>
      <x:c r="E71" s="10" t="str">
        <x:v>Baixo</x:v>
      </x:c>
      <x:c r="F71" s="10" t="str">
        <x:v>BA</x:v>
      </x:c>
      <x:c r="G71" s="10" t="str">
        <x:v>Ativo</x:v>
      </x:c>
    </x:row>
    <x:row r="72" ht="18" customHeight="1">
      <x:c r="A72" s="10" t="str">
        <x:v>CLI071</x:v>
      </x:c>
      <x:c r="B72" s="10" t="str">
        <x:v>Cliente 71 Tecnologia</x:v>
      </x:c>
      <x:c r="C72" s="10" t="str">
        <x:v>Tecnologia</x:v>
      </x:c>
      <x:c r="D72" s="10" t="str">
        <x:v>Pequeno</x:v>
      </x:c>
      <x:c r="E72" s="10" t="str">
        <x:v>Baixo</x:v>
      </x:c>
      <x:c r="F72" s="10" t="str">
        <x:v>RS</x:v>
      </x:c>
      <x:c r="G72" s="10" t="str">
        <x:v>Ativo</x:v>
      </x:c>
    </x:row>
    <x:row r="73" ht="18" customHeight="1">
      <x:c r="A73" s="10" t="str">
        <x:v>CLI072</x:v>
      </x:c>
      <x:c r="B73" s="10" t="str">
        <x:v>Cliente 72 Varejo</x:v>
      </x:c>
      <x:c r="C73" s="10" t="str">
        <x:v>Varejo</x:v>
      </x:c>
      <x:c r="D73" s="10" t="str">
        <x:v>Grande</x:v>
      </x:c>
      <x:c r="E73" s="10" t="str">
        <x:v>Alto</x:v>
      </x:c>
      <x:c r="F73" s="10" t="str">
        <x:v>RJ</x:v>
      </x:c>
      <x:c r="G73" s="10" t="str">
        <x:v>Ativo</x:v>
      </x:c>
    </x:row>
    <x:row r="74" ht="18" customHeight="1">
      <x:c r="A74" s="10" t="str">
        <x:v>CLI073</x:v>
      </x:c>
      <x:c r="B74" s="10" t="str">
        <x:v>Cliente 73 Tecnologia</x:v>
      </x:c>
      <x:c r="C74" s="10" t="str">
        <x:v>Tecnologia</x:v>
      </x:c>
      <x:c r="D74" s="10" t="str">
        <x:v>Pequeno</x:v>
      </x:c>
      <x:c r="E74" s="10" t="str">
        <x:v>Alto</x:v>
      </x:c>
      <x:c r="F74" s="10" t="str">
        <x:v>PR</x:v>
      </x:c>
      <x:c r="G74" s="10" t="str">
        <x:v>Ativo</x:v>
      </x:c>
    </x:row>
    <x:row r="75" ht="18" customHeight="1">
      <x:c r="A75" s="10" t="str">
        <x:v>CLI074</x:v>
      </x:c>
      <x:c r="B75" s="10" t="str">
        <x:v>Cliente 74 Tecnologia</x:v>
      </x:c>
      <x:c r="C75" s="10" t="str">
        <x:v>Tecnologia</x:v>
      </x:c>
      <x:c r="D75" s="10" t="str">
        <x:v>Médio</x:v>
      </x:c>
      <x:c r="E75" s="10" t="str">
        <x:v>Médio</x:v>
      </x:c>
      <x:c r="F75" s="10" t="str">
        <x:v>SP</x:v>
      </x:c>
      <x:c r="G75" s="10" t="str">
        <x:v>Ativo</x:v>
      </x:c>
    </x:row>
    <x:row r="76" ht="18" customHeight="1">
      <x:c r="A76" s="10" t="str">
        <x:v>CLI075</x:v>
      </x:c>
      <x:c r="B76" s="10" t="str">
        <x:v>Cliente 75 Varejo</x:v>
      </x:c>
      <x:c r="C76" s="10" t="str">
        <x:v>Varejo</x:v>
      </x:c>
      <x:c r="D76" s="10" t="str">
        <x:v>Grande</x:v>
      </x:c>
      <x:c r="E76" s="10" t="str">
        <x:v>Médio</x:v>
      </x:c>
      <x:c r="F76" s="10" t="str">
        <x:v>BA</x:v>
      </x:c>
      <x:c r="G76" s="10" t="str">
        <x:v>Ativo</x:v>
      </x:c>
    </x:row>
    <x:row r="77" ht="18" customHeight="1">
      <x:c r="A77" s="10" t="str">
        <x:v>CLI076</x:v>
      </x:c>
      <x:c r="B77" s="10" t="str">
        <x:v>Cliente 76 Tecnologia</x:v>
      </x:c>
      <x:c r="C77" s="10" t="str">
        <x:v>Tecnologia</x:v>
      </x:c>
      <x:c r="D77" s="10" t="str">
        <x:v>Médio</x:v>
      </x:c>
      <x:c r="E77" s="10" t="str">
        <x:v>Baixo</x:v>
      </x:c>
      <x:c r="F77" s="10" t="str">
        <x:v>BA</x:v>
      </x:c>
      <x:c r="G77" s="10" t="str">
        <x:v>Ativo</x:v>
      </x:c>
    </x:row>
    <x:row r="78" ht="18" customHeight="1">
      <x:c r="A78" s="10" t="str">
        <x:v>CLI077</x:v>
      </x:c>
      <x:c r="B78" s="10" t="str">
        <x:v>Cliente 77 Serviços</x:v>
      </x:c>
      <x:c r="C78" s="10" t="str">
        <x:v>Serviços</x:v>
      </x:c>
      <x:c r="D78" s="10" t="str">
        <x:v>Médio</x:v>
      </x:c>
      <x:c r="E78" s="10" t="str">
        <x:v>Médio</x:v>
      </x:c>
      <x:c r="F78" s="10" t="str">
        <x:v>PR</x:v>
      </x:c>
      <x:c r="G78" s="10" t="str">
        <x:v>Ativo</x:v>
      </x:c>
    </x:row>
    <x:row r="79" ht="18" customHeight="1">
      <x:c r="A79" s="10" t="str">
        <x:v>CLI078</x:v>
      </x:c>
      <x:c r="B79" s="10" t="str">
        <x:v>Cliente 78 Tecnologia</x:v>
      </x:c>
      <x:c r="C79" s="10" t="str">
        <x:v>Tecnologia</x:v>
      </x:c>
      <x:c r="D79" s="10" t="str">
        <x:v>Pequeno</x:v>
      </x:c>
      <x:c r="E79" s="10" t="str">
        <x:v>Médio</x:v>
      </x:c>
      <x:c r="F79" s="10" t="str">
        <x:v>BA</x:v>
      </x:c>
      <x:c r="G79" s="10" t="str">
        <x:v>Ativo</x:v>
      </x:c>
    </x:row>
    <x:row r="80" ht="18" customHeight="1">
      <x:c r="A80" s="10" t="str">
        <x:v>CLI079</x:v>
      </x:c>
      <x:c r="B80" s="10" t="str">
        <x:v>Cliente 79 Tecnologia</x:v>
      </x:c>
      <x:c r="C80" s="10" t="str">
        <x:v>Tecnologia</x:v>
      </x:c>
      <x:c r="D80" s="10" t="str">
        <x:v>Grande</x:v>
      </x:c>
      <x:c r="E80" s="10" t="str">
        <x:v>Baixo</x:v>
      </x:c>
      <x:c r="F80" s="10" t="str">
        <x:v>RJ</x:v>
      </x:c>
      <x:c r="G80" s="10" t="str">
        <x:v>Ativo</x:v>
      </x:c>
    </x:row>
    <x:row r="81" ht="18" customHeight="1">
      <x:c r="A81" s="12" t="str">
        <x:v>CLI080</x:v>
      </x:c>
      <x:c r="B81" s="12" t="str">
        <x:v>Cliente 80 Atacado</x:v>
      </x:c>
      <x:c r="C81" s="12" t="str">
        <x:v>Atacado</x:v>
      </x:c>
      <x:c r="D81" s="12" t="str">
        <x:v>Médio</x:v>
      </x:c>
      <x:c r="E81" s="12" t="str">
        <x:v>Médio</x:v>
      </x:c>
      <x:c r="F81" s="12" t="str">
        <x:v>RJ</x:v>
      </x:c>
      <x:c r="G81" s="12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5e74ab0d66a34d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5" hidden="0" customWidth="1"/>
    <x:col min="2" max="2" width="12.75" hidden="0" customWidth="1"/>
    <x:col min="3" max="3" width="15.75" hidden="0" customWidth="1"/>
    <x:col min="4" max="4" width="10" hidden="0" customWidth="1"/>
    <x:col min="5" max="5" width="10" hidden="0" customWidth="1"/>
  </x:cols>
  <x:sheetData>
    <x:row r="1" ht="28" customHeight="1">
      <x:c r="A1" s="5" t="str">
        <x:v>ID_Fornecedor</x:v>
      </x:c>
      <x:c r="B1" s="5" t="str">
        <x:v>Fornecedor</x:v>
      </x:c>
      <x:c r="C1" s="5" t="str">
        <x:v>Especialidade</x:v>
      </x:c>
      <x:c r="D1" s="5" t="str">
        <x:v>UF</x:v>
      </x:c>
      <x:c r="E1" s="5" t="str">
        <x:v>Status</x:v>
      </x:c>
    </x:row>
    <x:row r="2" ht="18" customHeight="1">
      <x:c r="A2" s="8" t="str">
        <x:v>FOR001</x:v>
      </x:c>
      <x:c r="B2" s="8" t="str">
        <x:v>Fornecedor 01 Mercadorias</x:v>
      </x:c>
      <x:c r="C2" s="8" t="str">
        <x:v>Mercadorias</x:v>
      </x:c>
      <x:c r="D2" s="8" t="str">
        <x:v>SC</x:v>
      </x:c>
      <x:c r="E2" s="8" t="str">
        <x:v>Ativo</x:v>
      </x:c>
    </x:row>
    <x:row r="3" ht="18" customHeight="1">
      <x:c r="A3" s="10" t="str">
        <x:v>FOR002</x:v>
      </x:c>
      <x:c r="B3" s="10" t="str">
        <x:v>Fornecedor 02 Transportes</x:v>
      </x:c>
      <x:c r="C3" s="10" t="str">
        <x:v>Transportes</x:v>
      </x:c>
      <x:c r="D3" s="10" t="str">
        <x:v>RJ</x:v>
      </x:c>
      <x:c r="E3" s="10" t="str">
        <x:v>Ativo</x:v>
      </x:c>
    </x:row>
    <x:row r="4" ht="18" customHeight="1">
      <x:c r="A4" s="10" t="str">
        <x:v>FOR003</x:v>
      </x:c>
      <x:c r="B4" s="10" t="str">
        <x:v>Fornecedor 03 Marketing</x:v>
      </x:c>
      <x:c r="C4" s="10" t="str">
        <x:v>Marketing</x:v>
      </x:c>
      <x:c r="D4" s="10" t="str">
        <x:v>MG</x:v>
      </x:c>
      <x:c r="E4" s="10" t="str">
        <x:v>Ativo</x:v>
      </x:c>
    </x:row>
    <x:row r="5" ht="18" customHeight="1">
      <x:c r="A5" s="10" t="str">
        <x:v>FOR004</x:v>
      </x:c>
      <x:c r="B5" s="10" t="str">
        <x:v>Fornecedor 04 Consultoria</x:v>
      </x:c>
      <x:c r="C5" s="10" t="str">
        <x:v>Consultoria</x:v>
      </x:c>
      <x:c r="D5" s="10" t="str">
        <x:v>PR</x:v>
      </x:c>
      <x:c r="E5" s="10" t="str">
        <x:v>Homologação</x:v>
      </x:c>
    </x:row>
    <x:row r="6" ht="18" customHeight="1">
      <x:c r="A6" s="10" t="str">
        <x:v>FOR005</x:v>
      </x:c>
      <x:c r="B6" s="10" t="str">
        <x:v>Fornecedor 05 Marketing</x:v>
      </x:c>
      <x:c r="C6" s="10" t="str">
        <x:v>Marketing</x:v>
      </x:c>
      <x:c r="D6" s="10" t="str">
        <x:v>PR</x:v>
      </x:c>
      <x:c r="E6" s="10" t="str">
        <x:v>Homologação</x:v>
      </x:c>
    </x:row>
    <x:row r="7" ht="18" customHeight="1">
      <x:c r="A7" s="10" t="str">
        <x:v>FOR006</x:v>
      </x:c>
      <x:c r="B7" s="10" t="str">
        <x:v>Fornecedor 06 Consultoria</x:v>
      </x:c>
      <x:c r="C7" s="10" t="str">
        <x:v>Consultoria</x:v>
      </x:c>
      <x:c r="D7" s="10" t="str">
        <x:v>SC</x:v>
      </x:c>
      <x:c r="E7" s="10" t="str">
        <x:v>Ativo</x:v>
      </x:c>
    </x:row>
    <x:row r="8" ht="18" customHeight="1">
      <x:c r="A8" s="10" t="str">
        <x:v>FOR007</x:v>
      </x:c>
      <x:c r="B8" s="10" t="str">
        <x:v>Fornecedor 07 Energia</x:v>
      </x:c>
      <x:c r="C8" s="10" t="str">
        <x:v>Energia</x:v>
      </x:c>
      <x:c r="D8" s="10" t="str">
        <x:v>RS</x:v>
      </x:c>
      <x:c r="E8" s="10" t="str">
        <x:v>Ativo</x:v>
      </x:c>
    </x:row>
    <x:row r="9" ht="18" customHeight="1">
      <x:c r="A9" s="10" t="str">
        <x:v>FOR008</x:v>
      </x:c>
      <x:c r="B9" s="10" t="str">
        <x:v>Fornecedor 08 Transportes</x:v>
      </x:c>
      <x:c r="C9" s="10" t="str">
        <x:v>Transportes</x:v>
      </x:c>
      <x:c r="D9" s="10" t="str">
        <x:v>BA</x:v>
      </x:c>
      <x:c r="E9" s="10" t="str">
        <x:v>Ativo</x:v>
      </x:c>
    </x:row>
    <x:row r="10" ht="18" customHeight="1">
      <x:c r="A10" s="10" t="str">
        <x:v>FOR009</x:v>
      </x:c>
      <x:c r="B10" s="10" t="str">
        <x:v>Fornecedor 09 Consultoria</x:v>
      </x:c>
      <x:c r="C10" s="10" t="str">
        <x:v>Consultoria</x:v>
      </x:c>
      <x:c r="D10" s="10" t="str">
        <x:v>RJ</x:v>
      </x:c>
      <x:c r="E10" s="10" t="str">
        <x:v>Ativo</x:v>
      </x:c>
    </x:row>
    <x:row r="11" ht="18" customHeight="1">
      <x:c r="A11" s="10" t="str">
        <x:v>FOR010</x:v>
      </x:c>
      <x:c r="B11" s="10" t="str">
        <x:v>Fornecedor 10 Energia</x:v>
      </x:c>
      <x:c r="C11" s="10" t="str">
        <x:v>Energia</x:v>
      </x:c>
      <x:c r="D11" s="10" t="str">
        <x:v>RS</x:v>
      </x:c>
      <x:c r="E11" s="10" t="str">
        <x:v>Ativo</x:v>
      </x:c>
    </x:row>
    <x:row r="12" ht="18" customHeight="1">
      <x:c r="A12" s="10" t="str">
        <x:v>FOR011</x:v>
      </x:c>
      <x:c r="B12" s="10" t="str">
        <x:v>Fornecedor 11 Energia</x:v>
      </x:c>
      <x:c r="C12" s="10" t="str">
        <x:v>Energia</x:v>
      </x:c>
      <x:c r="D12" s="10" t="str">
        <x:v>RS</x:v>
      </x:c>
      <x:c r="E12" s="10" t="str">
        <x:v>Homologação</x:v>
      </x:c>
    </x:row>
    <x:row r="13" ht="18" customHeight="1">
      <x:c r="A13" s="10" t="str">
        <x:v>FOR012</x:v>
      </x:c>
      <x:c r="B13" s="10" t="str">
        <x:v>Fornecedor 12 Facilities</x:v>
      </x:c>
      <x:c r="C13" s="10" t="str">
        <x:v>Facilities</x:v>
      </x:c>
      <x:c r="D13" s="10" t="str">
        <x:v>GO</x:v>
      </x:c>
      <x:c r="E13" s="10" t="str">
        <x:v>Ativo</x:v>
      </x:c>
    </x:row>
    <x:row r="14" ht="18" customHeight="1">
      <x:c r="A14" s="10" t="str">
        <x:v>FOR013</x:v>
      </x:c>
      <x:c r="B14" s="10" t="str">
        <x:v>Fornecedor 13 Manutenção</x:v>
      </x:c>
      <x:c r="C14" s="10" t="str">
        <x:v>Manutenção</x:v>
      </x:c>
      <x:c r="D14" s="10" t="str">
        <x:v>PR</x:v>
      </x:c>
      <x:c r="E14" s="10" t="str">
        <x:v>Ativo</x:v>
      </x:c>
    </x:row>
    <x:row r="15" ht="18" customHeight="1">
      <x:c r="A15" s="10" t="str">
        <x:v>FOR014</x:v>
      </x:c>
      <x:c r="B15" s="10" t="str">
        <x:v>Fornecedor 14 Tecnologia</x:v>
      </x:c>
      <x:c r="C15" s="10" t="str">
        <x:v>Tecnologia</x:v>
      </x:c>
      <x:c r="D15" s="10" t="str">
        <x:v>SP</x:v>
      </x:c>
      <x:c r="E15" s="10" t="str">
        <x:v>Ativo</x:v>
      </x:c>
    </x:row>
    <x:row r="16" ht="18" customHeight="1">
      <x:c r="A16" s="10" t="str">
        <x:v>FOR015</x:v>
      </x:c>
      <x:c r="B16" s="10" t="str">
        <x:v>Fornecedor 15 Facilities</x:v>
      </x:c>
      <x:c r="C16" s="10" t="str">
        <x:v>Facilities</x:v>
      </x:c>
      <x:c r="D16" s="10" t="str">
        <x:v>GO</x:v>
      </x:c>
      <x:c r="E16" s="10" t="str">
        <x:v>Ativo</x:v>
      </x:c>
    </x:row>
    <x:row r="17" ht="18" customHeight="1">
      <x:c r="A17" s="10" t="str">
        <x:v>FOR016</x:v>
      </x:c>
      <x:c r="B17" s="10" t="str">
        <x:v>Fornecedor 16 Manutenção</x:v>
      </x:c>
      <x:c r="C17" s="10" t="str">
        <x:v>Manutenção</x:v>
      </x:c>
      <x:c r="D17" s="10" t="str">
        <x:v>RS</x:v>
      </x:c>
      <x:c r="E17" s="10" t="str">
        <x:v>Ativo</x:v>
      </x:c>
    </x:row>
    <x:row r="18" ht="18" customHeight="1">
      <x:c r="A18" s="10" t="str">
        <x:v>FOR017</x:v>
      </x:c>
      <x:c r="B18" s="10" t="str">
        <x:v>Fornecedor 17 Mercadorias</x:v>
      </x:c>
      <x:c r="C18" s="10" t="str">
        <x:v>Mercadorias</x:v>
      </x:c>
      <x:c r="D18" s="10" t="str">
        <x:v>GO</x:v>
      </x:c>
      <x:c r="E18" s="10" t="str">
        <x:v>Ativo</x:v>
      </x:c>
    </x:row>
    <x:row r="19" ht="18" customHeight="1">
      <x:c r="A19" s="10" t="str">
        <x:v>FOR018</x:v>
      </x:c>
      <x:c r="B19" s="10" t="str">
        <x:v>Fornecedor 18 Facilities</x:v>
      </x:c>
      <x:c r="C19" s="10" t="str">
        <x:v>Facilities</x:v>
      </x:c>
      <x:c r="D19" s="10" t="str">
        <x:v>PR</x:v>
      </x:c>
      <x:c r="E19" s="10" t="str">
        <x:v>Ativo</x:v>
      </x:c>
    </x:row>
    <x:row r="20" ht="18" customHeight="1">
      <x:c r="A20" s="10" t="str">
        <x:v>FOR019</x:v>
      </x:c>
      <x:c r="B20" s="10" t="str">
        <x:v>Fornecedor 19 Consultoria</x:v>
      </x:c>
      <x:c r="C20" s="10" t="str">
        <x:v>Consultoria</x:v>
      </x:c>
      <x:c r="D20" s="10" t="str">
        <x:v>GO</x:v>
      </x:c>
      <x:c r="E20" s="10" t="str">
        <x:v>Ativo</x:v>
      </x:c>
    </x:row>
    <x:row r="21" ht="18" customHeight="1">
      <x:c r="A21" s="10" t="str">
        <x:v>FOR020</x:v>
      </x:c>
      <x:c r="B21" s="10" t="str">
        <x:v>Fornecedor 20 Marketing</x:v>
      </x:c>
      <x:c r="C21" s="10" t="str">
        <x:v>Marketing</x:v>
      </x:c>
      <x:c r="D21" s="10" t="str">
        <x:v>MG</x:v>
      </x:c>
      <x:c r="E21" s="10" t="str">
        <x:v>Ativo</x:v>
      </x:c>
    </x:row>
    <x:row r="22" ht="18" customHeight="1">
      <x:c r="A22" s="10" t="str">
        <x:v>FOR021</x:v>
      </x:c>
      <x:c r="B22" s="10" t="str">
        <x:v>Fornecedor 21 Facilities</x:v>
      </x:c>
      <x:c r="C22" s="10" t="str">
        <x:v>Facilities</x:v>
      </x:c>
      <x:c r="D22" s="10" t="str">
        <x:v>SC</x:v>
      </x:c>
      <x:c r="E22" s="10" t="str">
        <x:v>Ativo</x:v>
      </x:c>
    </x:row>
    <x:row r="23" ht="18" customHeight="1">
      <x:c r="A23" s="10" t="str">
        <x:v>FOR022</x:v>
      </x:c>
      <x:c r="B23" s="10" t="str">
        <x:v>Fornecedor 22 Marketing</x:v>
      </x:c>
      <x:c r="C23" s="10" t="str">
        <x:v>Marketing</x:v>
      </x:c>
      <x:c r="D23" s="10" t="str">
        <x:v>SC</x:v>
      </x:c>
      <x:c r="E23" s="10" t="str">
        <x:v>Ativo</x:v>
      </x:c>
    </x:row>
    <x:row r="24" ht="18" customHeight="1">
      <x:c r="A24" s="10" t="str">
        <x:v>FOR023</x:v>
      </x:c>
      <x:c r="B24" s="10" t="str">
        <x:v>Fornecedor 23 Manutenção</x:v>
      </x:c>
      <x:c r="C24" s="10" t="str">
        <x:v>Manutenção</x:v>
      </x:c>
      <x:c r="D24" s="10" t="str">
        <x:v>MG</x:v>
      </x:c>
      <x:c r="E24" s="10" t="str">
        <x:v>Ativo</x:v>
      </x:c>
    </x:row>
    <x:row r="25" ht="18" customHeight="1">
      <x:c r="A25" s="10" t="str">
        <x:v>FOR024</x:v>
      </x:c>
      <x:c r="B25" s="10" t="str">
        <x:v>Fornecedor 24 Facilities</x:v>
      </x:c>
      <x:c r="C25" s="10" t="str">
        <x:v>Facilities</x:v>
      </x:c>
      <x:c r="D25" s="10" t="str">
        <x:v>BA</x:v>
      </x:c>
      <x:c r="E25" s="10" t="str">
        <x:v>Ativo</x:v>
      </x:c>
    </x:row>
    <x:row r="26" ht="18" customHeight="1">
      <x:c r="A26" s="10" t="str">
        <x:v>FOR025</x:v>
      </x:c>
      <x:c r="B26" s="10" t="str">
        <x:v>Fornecedor 25 Energia</x:v>
      </x:c>
      <x:c r="C26" s="10" t="str">
        <x:v>Energia</x:v>
      </x:c>
      <x:c r="D26" s="10" t="str">
        <x:v>MG</x:v>
      </x:c>
      <x:c r="E26" s="10" t="str">
        <x:v>Ativo</x:v>
      </x:c>
    </x:row>
    <x:row r="27" ht="18" customHeight="1">
      <x:c r="A27" s="10" t="str">
        <x:v>FOR026</x:v>
      </x:c>
      <x:c r="B27" s="10" t="str">
        <x:v>Fornecedor 26 Facilities</x:v>
      </x:c>
      <x:c r="C27" s="10" t="str">
        <x:v>Facilities</x:v>
      </x:c>
      <x:c r="D27" s="10" t="str">
        <x:v>RJ</x:v>
      </x:c>
      <x:c r="E27" s="10" t="str">
        <x:v>Ativo</x:v>
      </x:c>
    </x:row>
    <x:row r="28" ht="18" customHeight="1">
      <x:c r="A28" s="10" t="str">
        <x:v>FOR027</x:v>
      </x:c>
      <x:c r="B28" s="10" t="str">
        <x:v>Fornecedor 27 Energia</x:v>
      </x:c>
      <x:c r="C28" s="10" t="str">
        <x:v>Energia</x:v>
      </x:c>
      <x:c r="D28" s="10" t="str">
        <x:v>GO</x:v>
      </x:c>
      <x:c r="E28" s="10" t="str">
        <x:v>Ativo</x:v>
      </x:c>
    </x:row>
    <x:row r="29" ht="18" customHeight="1">
      <x:c r="A29" s="10" t="str">
        <x:v>FOR028</x:v>
      </x:c>
      <x:c r="B29" s="10" t="str">
        <x:v>Fornecedor 28 Manutenção</x:v>
      </x:c>
      <x:c r="C29" s="10" t="str">
        <x:v>Manutenção</x:v>
      </x:c>
      <x:c r="D29" s="10" t="str">
        <x:v>MG</x:v>
      </x:c>
      <x:c r="E29" s="10" t="str">
        <x:v>Ativo</x:v>
      </x:c>
    </x:row>
    <x:row r="30" ht="18" customHeight="1">
      <x:c r="A30" s="10" t="str">
        <x:v>FOR029</x:v>
      </x:c>
      <x:c r="B30" s="10" t="str">
        <x:v>Fornecedor 29 Energia</x:v>
      </x:c>
      <x:c r="C30" s="10" t="str">
        <x:v>Energia</x:v>
      </x:c>
      <x:c r="D30" s="10" t="str">
        <x:v>SC</x:v>
      </x:c>
      <x:c r="E30" s="10" t="str">
        <x:v>Homologação</x:v>
      </x:c>
    </x:row>
    <x:row r="31" ht="18" customHeight="1">
      <x:c r="A31" s="10" t="str">
        <x:v>FOR030</x:v>
      </x:c>
      <x:c r="B31" s="10" t="str">
        <x:v>Fornecedor 30 Facilities</x:v>
      </x:c>
      <x:c r="C31" s="10" t="str">
        <x:v>Facilities</x:v>
      </x:c>
      <x:c r="D31" s="10" t="str">
        <x:v>RJ</x:v>
      </x:c>
      <x:c r="E31" s="10" t="str">
        <x:v>Ativo</x:v>
      </x:c>
    </x:row>
    <x:row r="32" ht="18" customHeight="1">
      <x:c r="A32" s="10" t="str">
        <x:v>FOR031</x:v>
      </x:c>
      <x:c r="B32" s="10" t="str">
        <x:v>Fornecedor 31 Mercadorias</x:v>
      </x:c>
      <x:c r="C32" s="10" t="str">
        <x:v>Mercadorias</x:v>
      </x:c>
      <x:c r="D32" s="10" t="str">
        <x:v>SC</x:v>
      </x:c>
      <x:c r="E32" s="10" t="str">
        <x:v>Ativo</x:v>
      </x:c>
    </x:row>
    <x:row r="33" ht="18" customHeight="1">
      <x:c r="A33" s="10" t="str">
        <x:v>FOR032</x:v>
      </x:c>
      <x:c r="B33" s="10" t="str">
        <x:v>Fornecedor 32 Tecnologia</x:v>
      </x:c>
      <x:c r="C33" s="10" t="str">
        <x:v>Tecnologia</x:v>
      </x:c>
      <x:c r="D33" s="10" t="str">
        <x:v>PR</x:v>
      </x:c>
      <x:c r="E33" s="10" t="str">
        <x:v>Ativo</x:v>
      </x:c>
    </x:row>
    <x:row r="34" ht="18" customHeight="1">
      <x:c r="A34" s="10" t="str">
        <x:v>FOR033</x:v>
      </x:c>
      <x:c r="B34" s="10" t="str">
        <x:v>Fornecedor 33 Transportes</x:v>
      </x:c>
      <x:c r="C34" s="10" t="str">
        <x:v>Transportes</x:v>
      </x:c>
      <x:c r="D34" s="10" t="str">
        <x:v>RS</x:v>
      </x:c>
      <x:c r="E34" s="10" t="str">
        <x:v>Ativo</x:v>
      </x:c>
    </x:row>
    <x:row r="35" ht="18" customHeight="1">
      <x:c r="A35" s="10" t="str">
        <x:v>FOR034</x:v>
      </x:c>
      <x:c r="B35" s="10" t="str">
        <x:v>Fornecedor 34 Tecnologia</x:v>
      </x:c>
      <x:c r="C35" s="10" t="str">
        <x:v>Tecnologia</x:v>
      </x:c>
      <x:c r="D35" s="10" t="str">
        <x:v>BA</x:v>
      </x:c>
      <x:c r="E35" s="10" t="str">
        <x:v>Ativo</x:v>
      </x:c>
    </x:row>
    <x:row r="36" ht="18" customHeight="1">
      <x:c r="A36" s="10" t="str">
        <x:v>FOR035</x:v>
      </x:c>
      <x:c r="B36" s="10" t="str">
        <x:v>Fornecedor 35 Consultoria</x:v>
      </x:c>
      <x:c r="C36" s="10" t="str">
        <x:v>Consultoria</x:v>
      </x:c>
      <x:c r="D36" s="10" t="str">
        <x:v>SP</x:v>
      </x:c>
      <x:c r="E36" s="10" t="str">
        <x:v>Ativo</x:v>
      </x:c>
    </x:row>
    <x:row r="37" ht="18" customHeight="1">
      <x:c r="A37" s="10" t="str">
        <x:v>FOR036</x:v>
      </x:c>
      <x:c r="B37" s="10" t="str">
        <x:v>Fornecedor 36 Energia</x:v>
      </x:c>
      <x:c r="C37" s="10" t="str">
        <x:v>Energia</x:v>
      </x:c>
      <x:c r="D37" s="10" t="str">
        <x:v>RS</x:v>
      </x:c>
      <x:c r="E37" s="10" t="str">
        <x:v>Ativo</x:v>
      </x:c>
    </x:row>
    <x:row r="38" ht="18" customHeight="1">
      <x:c r="A38" s="10" t="str">
        <x:v>FOR037</x:v>
      </x:c>
      <x:c r="B38" s="10" t="str">
        <x:v>Fornecedor 37 Manutenção</x:v>
      </x:c>
      <x:c r="C38" s="10" t="str">
        <x:v>Manutenção</x:v>
      </x:c>
      <x:c r="D38" s="10" t="str">
        <x:v>SC</x:v>
      </x:c>
      <x:c r="E38" s="10" t="str">
        <x:v>Homologação</x:v>
      </x:c>
    </x:row>
    <x:row r="39" ht="18" customHeight="1">
      <x:c r="A39" s="10" t="str">
        <x:v>FOR038</x:v>
      </x:c>
      <x:c r="B39" s="10" t="str">
        <x:v>Fornecedor 38 Marketing</x:v>
      </x:c>
      <x:c r="C39" s="10" t="str">
        <x:v>Marketing</x:v>
      </x:c>
      <x:c r="D39" s="10" t="str">
        <x:v>SP</x:v>
      </x:c>
      <x:c r="E39" s="10" t="str">
        <x:v>Ativo</x:v>
      </x:c>
    </x:row>
    <x:row r="40" ht="18" customHeight="1">
      <x:c r="A40" s="10" t="str">
        <x:v>FOR039</x:v>
      </x:c>
      <x:c r="B40" s="10" t="str">
        <x:v>Fornecedor 39 Manutenção</x:v>
      </x:c>
      <x:c r="C40" s="10" t="str">
        <x:v>Manutenção</x:v>
      </x:c>
      <x:c r="D40" s="10" t="str">
        <x:v>BA</x:v>
      </x:c>
      <x:c r="E40" s="10" t="str">
        <x:v>Ativo</x:v>
      </x:c>
    </x:row>
    <x:row r="41" ht="18" customHeight="1">
      <x:c r="A41" s="10" t="str">
        <x:v>FOR040</x:v>
      </x:c>
      <x:c r="B41" s="10" t="str">
        <x:v>Fornecedor 40 Mercadorias</x:v>
      </x:c>
      <x:c r="C41" s="10" t="str">
        <x:v>Mercadorias</x:v>
      </x:c>
      <x:c r="D41" s="10" t="str">
        <x:v>SC</x:v>
      </x:c>
      <x:c r="E41" s="10" t="str">
        <x:v>Ativo</x:v>
      </x:c>
    </x:row>
    <x:row r="42" ht="18" customHeight="1">
      <x:c r="A42" s="10" t="str">
        <x:v>FOR041</x:v>
      </x:c>
      <x:c r="B42" s="10" t="str">
        <x:v>Fornecedor 41 Mercadorias</x:v>
      </x:c>
      <x:c r="C42" s="10" t="str">
        <x:v>Mercadorias</x:v>
      </x:c>
      <x:c r="D42" s="10" t="str">
        <x:v>RJ</x:v>
      </x:c>
      <x:c r="E42" s="10" t="str">
        <x:v>Ativo</x:v>
      </x:c>
    </x:row>
    <x:row r="43" ht="18" customHeight="1">
      <x:c r="A43" s="10" t="str">
        <x:v>FOR042</x:v>
      </x:c>
      <x:c r="B43" s="10" t="str">
        <x:v>Fornecedor 42 Marketing</x:v>
      </x:c>
      <x:c r="C43" s="10" t="str">
        <x:v>Marketing</x:v>
      </x:c>
      <x:c r="D43" s="10" t="str">
        <x:v>RS</x:v>
      </x:c>
      <x:c r="E43" s="10" t="str">
        <x:v>Ativo</x:v>
      </x:c>
    </x:row>
    <x:row r="44" ht="18" customHeight="1">
      <x:c r="A44" s="10" t="str">
        <x:v>FOR043</x:v>
      </x:c>
      <x:c r="B44" s="10" t="str">
        <x:v>Fornecedor 43 Facilities</x:v>
      </x:c>
      <x:c r="C44" s="10" t="str">
        <x:v>Facilities</x:v>
      </x:c>
      <x:c r="D44" s="10" t="str">
        <x:v>GO</x:v>
      </x:c>
      <x:c r="E44" s="10" t="str">
        <x:v>Ativo</x:v>
      </x:c>
    </x:row>
    <x:row r="45" ht="18" customHeight="1">
      <x:c r="A45" s="10" t="str">
        <x:v>FOR044</x:v>
      </x:c>
      <x:c r="B45" s="10" t="str">
        <x:v>Fornecedor 44 Transportes</x:v>
      </x:c>
      <x:c r="C45" s="10" t="str">
        <x:v>Transportes</x:v>
      </x:c>
      <x:c r="D45" s="10" t="str">
        <x:v>PR</x:v>
      </x:c>
      <x:c r="E45" s="10" t="str">
        <x:v>Homologação</x:v>
      </x:c>
    </x:row>
    <x:row r="46" ht="18" customHeight="1">
      <x:c r="A46" s="10" t="str">
        <x:v>FOR045</x:v>
      </x:c>
      <x:c r="B46" s="10" t="str">
        <x:v>Fornecedor 45 Tecnologia</x:v>
      </x:c>
      <x:c r="C46" s="10" t="str">
        <x:v>Tecnologia</x:v>
      </x:c>
      <x:c r="D46" s="10" t="str">
        <x:v>SC</x:v>
      </x:c>
      <x:c r="E46" s="10" t="str">
        <x:v>Ativo</x:v>
      </x:c>
    </x:row>
    <x:row r="47" ht="18" customHeight="1">
      <x:c r="A47" s="10" t="str">
        <x:v>FOR046</x:v>
      </x:c>
      <x:c r="B47" s="10" t="str">
        <x:v>Fornecedor 46 Transportes</x:v>
      </x:c>
      <x:c r="C47" s="10" t="str">
        <x:v>Transportes</x:v>
      </x:c>
      <x:c r="D47" s="10" t="str">
        <x:v>MG</x:v>
      </x:c>
      <x:c r="E47" s="10" t="str">
        <x:v>Ativo</x:v>
      </x:c>
    </x:row>
    <x:row r="48" ht="18" customHeight="1">
      <x:c r="A48" s="10" t="str">
        <x:v>FOR047</x:v>
      </x:c>
      <x:c r="B48" s="10" t="str">
        <x:v>Fornecedor 47 Manutenção</x:v>
      </x:c>
      <x:c r="C48" s="10" t="str">
        <x:v>Manutenção</x:v>
      </x:c>
      <x:c r="D48" s="10" t="str">
        <x:v>SP</x:v>
      </x:c>
      <x:c r="E48" s="10" t="str">
        <x:v>Homologação</x:v>
      </x:c>
    </x:row>
    <x:row r="49" ht="18" customHeight="1">
      <x:c r="A49" s="10" t="str">
        <x:v>FOR048</x:v>
      </x:c>
      <x:c r="B49" s="10" t="str">
        <x:v>Fornecedor 48 Transportes</x:v>
      </x:c>
      <x:c r="C49" s="10" t="str">
        <x:v>Transportes</x:v>
      </x:c>
      <x:c r="D49" s="10" t="str">
        <x:v>RJ</x:v>
      </x:c>
      <x:c r="E49" s="10" t="str">
        <x:v>Ativo</x:v>
      </x:c>
    </x:row>
    <x:row r="50" ht="18" customHeight="1">
      <x:c r="A50" s="10" t="str">
        <x:v>FOR049</x:v>
      </x:c>
      <x:c r="B50" s="10" t="str">
        <x:v>Fornecedor 49 Manutenção</x:v>
      </x:c>
      <x:c r="C50" s="10" t="str">
        <x:v>Manutenção</x:v>
      </x:c>
      <x:c r="D50" s="10" t="str">
        <x:v>SP</x:v>
      </x:c>
      <x:c r="E50" s="10" t="str">
        <x:v>Ativo</x:v>
      </x:c>
    </x:row>
    <x:row r="51" ht="18" customHeight="1">
      <x:c r="A51" s="10" t="str">
        <x:v>FOR050</x:v>
      </x:c>
      <x:c r="B51" s="10" t="str">
        <x:v>Fornecedor 50 Manutenção</x:v>
      </x:c>
      <x:c r="C51" s="10" t="str">
        <x:v>Manutenção</x:v>
      </x:c>
      <x:c r="D51" s="10" t="str">
        <x:v>SP</x:v>
      </x:c>
      <x:c r="E51" s="10" t="str">
        <x:v>Ativo</x:v>
      </x:c>
    </x:row>
    <x:row r="52" ht="18" customHeight="1">
      <x:c r="A52" s="10" t="str">
        <x:v>FOR051</x:v>
      </x:c>
      <x:c r="B52" s="10" t="str">
        <x:v>Fornecedor 51 Mercadorias</x:v>
      </x:c>
      <x:c r="C52" s="10" t="str">
        <x:v>Mercadorias</x:v>
      </x:c>
      <x:c r="D52" s="10" t="str">
        <x:v>SP</x:v>
      </x:c>
      <x:c r="E52" s="10" t="str">
        <x:v>Ativo</x:v>
      </x:c>
    </x:row>
    <x:row r="53" ht="18" customHeight="1">
      <x:c r="A53" s="10" t="str">
        <x:v>FOR052</x:v>
      </x:c>
      <x:c r="B53" s="10" t="str">
        <x:v>Fornecedor 52 Consultoria</x:v>
      </x:c>
      <x:c r="C53" s="10" t="str">
        <x:v>Consultoria</x:v>
      </x:c>
      <x:c r="D53" s="10" t="str">
        <x:v>SC</x:v>
      </x:c>
      <x:c r="E53" s="10" t="str">
        <x:v>Ativo</x:v>
      </x:c>
    </x:row>
    <x:row r="54" ht="18" customHeight="1">
      <x:c r="A54" s="10" t="str">
        <x:v>FOR053</x:v>
      </x:c>
      <x:c r="B54" s="10" t="str">
        <x:v>Fornecedor 53 Consultoria</x:v>
      </x:c>
      <x:c r="C54" s="10" t="str">
        <x:v>Consultoria</x:v>
      </x:c>
      <x:c r="D54" s="10" t="str">
        <x:v>PR</x:v>
      </x:c>
      <x:c r="E54" s="10" t="str">
        <x:v>Ativo</x:v>
      </x:c>
    </x:row>
    <x:row r="55" ht="18" customHeight="1">
      <x:c r="A55" s="10" t="str">
        <x:v>FOR054</x:v>
      </x:c>
      <x:c r="B55" s="10" t="str">
        <x:v>Fornecedor 54 Energia</x:v>
      </x:c>
      <x:c r="C55" s="10" t="str">
        <x:v>Energia</x:v>
      </x:c>
      <x:c r="D55" s="10" t="str">
        <x:v>GO</x:v>
      </x:c>
      <x:c r="E55" s="10" t="str">
        <x:v>Ativo</x:v>
      </x:c>
    </x:row>
    <x:row r="56" ht="18" customHeight="1">
      <x:c r="A56" s="10" t="str">
        <x:v>FOR055</x:v>
      </x:c>
      <x:c r="B56" s="10" t="str">
        <x:v>Fornecedor 55 Tecnologia</x:v>
      </x:c>
      <x:c r="C56" s="10" t="str">
        <x:v>Tecnologia</x:v>
      </x:c>
      <x:c r="D56" s="10" t="str">
        <x:v>MG</x:v>
      </x:c>
      <x:c r="E56" s="10" t="str">
        <x:v>Ativo</x:v>
      </x:c>
    </x:row>
    <x:row r="57" ht="18" customHeight="1">
      <x:c r="A57" s="10" t="str">
        <x:v>FOR056</x:v>
      </x:c>
      <x:c r="B57" s="10" t="str">
        <x:v>Fornecedor 56 Manutenção</x:v>
      </x:c>
      <x:c r="C57" s="10" t="str">
        <x:v>Manutenção</x:v>
      </x:c>
      <x:c r="D57" s="10" t="str">
        <x:v>SP</x:v>
      </x:c>
      <x:c r="E57" s="10" t="str">
        <x:v>Ativo</x:v>
      </x:c>
    </x:row>
    <x:row r="58" ht="18" customHeight="1">
      <x:c r="A58" s="10" t="str">
        <x:v>FOR057</x:v>
      </x:c>
      <x:c r="B58" s="10" t="str">
        <x:v>Fornecedor 57 Tecnologia</x:v>
      </x:c>
      <x:c r="C58" s="10" t="str">
        <x:v>Tecnologia</x:v>
      </x:c>
      <x:c r="D58" s="10" t="str">
        <x:v>BA</x:v>
      </x:c>
      <x:c r="E58" s="10" t="str">
        <x:v>Ativo</x:v>
      </x:c>
    </x:row>
    <x:row r="59" ht="18" customHeight="1">
      <x:c r="A59" s="10" t="str">
        <x:v>FOR058</x:v>
      </x:c>
      <x:c r="B59" s="10" t="str">
        <x:v>Fornecedor 58 Transportes</x:v>
      </x:c>
      <x:c r="C59" s="10" t="str">
        <x:v>Transportes</x:v>
      </x:c>
      <x:c r="D59" s="10" t="str">
        <x:v>RJ</x:v>
      </x:c>
      <x:c r="E59" s="10" t="str">
        <x:v>Homologação</x:v>
      </x:c>
    </x:row>
    <x:row r="60" ht="18" customHeight="1">
      <x:c r="A60" s="10" t="str">
        <x:v>FOR059</x:v>
      </x:c>
      <x:c r="B60" s="10" t="str">
        <x:v>Fornecedor 59 Facilities</x:v>
      </x:c>
      <x:c r="C60" s="10" t="str">
        <x:v>Facilities</x:v>
      </x:c>
      <x:c r="D60" s="10" t="str">
        <x:v>MG</x:v>
      </x:c>
      <x:c r="E60" s="10" t="str">
        <x:v>Ativo</x:v>
      </x:c>
    </x:row>
    <x:row r="61" ht="18" customHeight="1">
      <x:c r="A61" s="12" t="str">
        <x:v>FOR060</x:v>
      </x:c>
      <x:c r="B61" s="12" t="str">
        <x:v>Fornecedor 60 Marketing</x:v>
      </x:c>
      <x:c r="C61" s="12" t="str">
        <x:v>Marketing</x:v>
      </x:c>
      <x:c r="D61" s="12" t="str">
        <x:v>RS</x:v>
      </x:c>
      <x:c r="E61" s="12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1678c8fcda3346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14.75" hidden="0" customWidth="1"/>
    <x:col min="3" max="3" width="10" hidden="0" customWidth="1"/>
  </x:cols>
  <x:sheetData>
    <x:row r="1" ht="28" customHeight="1">
      <x:c r="A1" s="5" t="str">
        <x:v>ID_Centro_Custo</x:v>
      </x:c>
      <x:c r="B1" s="5" t="str">
        <x:v>Centro_Custo</x:v>
      </x:c>
      <x:c r="C1" s="5" t="str">
        <x:v>Grupo</x:v>
      </x:c>
    </x:row>
    <x:row r="2" ht="18" customHeight="1">
      <x:c r="A2" s="8" t="str">
        <x:v>CC001</x:v>
      </x:c>
      <x:c r="B2" s="8" t="str">
        <x:v>Administrativo</x:v>
      </x:c>
      <x:c r="C2" s="8" t="str">
        <x:v>Corporativo</x:v>
      </x:c>
    </x:row>
    <x:row r="3" ht="18" customHeight="1">
      <x:c r="A3" s="10" t="str">
        <x:v>CC002</x:v>
      </x:c>
      <x:c r="B3" s="10" t="str">
        <x:v>Comercial</x:v>
      </x:c>
      <x:c r="C3" s="10" t="str">
        <x:v>Receita</x:v>
      </x:c>
    </x:row>
    <x:row r="4" ht="18" customHeight="1">
      <x:c r="A4" s="10" t="str">
        <x:v>CC003</x:v>
      </x:c>
      <x:c r="B4" s="10" t="str">
        <x:v>Operações</x:v>
      </x:c>
      <x:c r="C4" s="10" t="str">
        <x:v>Operacional</x:v>
      </x:c>
    </x:row>
    <x:row r="5" ht="18" customHeight="1">
      <x:c r="A5" s="10" t="str">
        <x:v>CC004</x:v>
      </x:c>
      <x:c r="B5" s="10" t="str">
        <x:v>Logística</x:v>
      </x:c>
      <x:c r="C5" s="10" t="str">
        <x:v>Operacional</x:v>
      </x:c>
    </x:row>
    <x:row r="6" ht="18" customHeight="1">
      <x:c r="A6" s="10" t="str">
        <x:v>CC005</x:v>
      </x:c>
      <x:c r="B6" s="10" t="str">
        <x:v>Tecnologia</x:v>
      </x:c>
      <x:c r="C6" s="10" t="str">
        <x:v>Corporativo</x:v>
      </x:c>
    </x:row>
    <x:row r="7" ht="18" customHeight="1">
      <x:c r="A7" s="10" t="str">
        <x:v>CC006</x:v>
      </x:c>
      <x:c r="B7" s="10" t="str">
        <x:v>Recursos Humanos</x:v>
      </x:c>
      <x:c r="C7" s="10" t="str">
        <x:v>Corporativo</x:v>
      </x:c>
    </x:row>
    <x:row r="8" ht="18" customHeight="1">
      <x:c r="A8" s="10" t="str">
        <x:v>CC007</x:v>
      </x:c>
      <x:c r="B8" s="10" t="str">
        <x:v>Marketing</x:v>
      </x:c>
      <x:c r="C8" s="10" t="str">
        <x:v>Receita</x:v>
      </x:c>
    </x:row>
    <x:row r="9" ht="18" customHeight="1">
      <x:c r="A9" s="12" t="str">
        <x:v>CC008</x:v>
      </x:c>
      <x:c r="B9" s="12" t="str">
        <x:v>Financeiro</x:v>
      </x:c>
      <x:c r="C9" s="12" t="str">
        <x:v>Corporativo</x:v>
      </x:c>
    </x:row>
  </x:sheetData>
  <x:pageMargins left="0.7" right="0.7" top="0.75" bottom="0.75" header="0.3" footer="0.3"/>
  <x:tableParts count="1">
    <x:tablePart xmlns:r="http://schemas.openxmlformats.org/officeDocument/2006/relationships" r:id="Re8ee8ffdd64c4c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1.75" hidden="0" customWidth="1"/>
    <x:col min="3" max="3" width="10.75" hidden="0" customWidth="1"/>
    <x:col min="4" max="4" width="13.75" hidden="0" customWidth="1"/>
  </x:cols>
  <x:sheetData>
    <x:row r="1" ht="28" customHeight="1">
      <x:c r="A1" s="5" t="str">
        <x:v>ID_Categoria</x:v>
      </x:c>
      <x:c r="B1" s="5" t="str">
        <x:v>Categoria</x:v>
      </x:c>
      <x:c r="C1" s="5" t="str">
        <x:v>Natureza</x:v>
      </x:c>
      <x:c r="D1" s="5" t="str">
        <x:v>Grupo_Fluxo</x:v>
      </x:c>
    </x:row>
    <x:row r="2" ht="18" customHeight="1">
      <x:c r="A2" s="8" t="str">
        <x:v>CAT001</x:v>
      </x:c>
      <x:c r="B2" s="8" t="str">
        <x:v>Receita de Produtos</x:v>
      </x:c>
      <x:c r="C2" s="8" t="str">
        <x:v>Recebimento</x:v>
      </x:c>
      <x:c r="D2" s="8" t="str">
        <x:v>Operacional</x:v>
      </x:c>
    </x:row>
    <x:row r="3" ht="18" customHeight="1">
      <x:c r="A3" s="10" t="str">
        <x:v>CAT002</x:v>
      </x:c>
      <x:c r="B3" s="10" t="str">
        <x:v>Receita de Serviços</x:v>
      </x:c>
      <x:c r="C3" s="10" t="str">
        <x:v>Recebimento</x:v>
      </x:c>
      <x:c r="D3" s="10" t="str">
        <x:v>Operacional</x:v>
      </x:c>
    </x:row>
    <x:row r="4" ht="18" customHeight="1">
      <x:c r="A4" s="10" t="str">
        <x:v>CAT003</x:v>
      </x:c>
      <x:c r="B4" s="10" t="str">
        <x:v>Fretes Cobrados</x:v>
      </x:c>
      <x:c r="C4" s="10" t="str">
        <x:v>Recebimento</x:v>
      </x:c>
      <x:c r="D4" s="10" t="str">
        <x:v>Operacional</x:v>
      </x:c>
    </x:row>
    <x:row r="5" ht="18" customHeight="1">
      <x:c r="A5" s="10" t="str">
        <x:v>CAT004</x:v>
      </x:c>
      <x:c r="B5" s="10" t="str">
        <x:v>Outras Receitas</x:v>
      </x:c>
      <x:c r="C5" s="10" t="str">
        <x:v>Recebimento</x:v>
      </x:c>
      <x:c r="D5" s="10" t="str">
        <x:v>Não Operacional</x:v>
      </x:c>
    </x:row>
    <x:row r="6" ht="18" customHeight="1">
      <x:c r="A6" s="10" t="str">
        <x:v>CAT005</x:v>
      </x:c>
      <x:c r="B6" s="10" t="str">
        <x:v>Fornecedores de Mercadoria</x:v>
      </x:c>
      <x:c r="C6" s="10" t="str">
        <x:v>Pagamento</x:v>
      </x:c>
      <x:c r="D6" s="10" t="str">
        <x:v>Operacional</x:v>
      </x:c>
    </x:row>
    <x:row r="7" ht="18" customHeight="1">
      <x:c r="A7" s="10" t="str">
        <x:v>CAT006</x:v>
      </x:c>
      <x:c r="B7" s="10" t="str">
        <x:v>Serviços de Terceiros</x:v>
      </x:c>
      <x:c r="C7" s="10" t="str">
        <x:v>Pagamento</x:v>
      </x:c>
      <x:c r="D7" s="10" t="str">
        <x:v>Operacional</x:v>
      </x:c>
    </x:row>
    <x:row r="8" ht="18" customHeight="1">
      <x:c r="A8" s="10" t="str">
        <x:v>CAT007</x:v>
      </x:c>
      <x:c r="B8" s="10" t="str">
        <x:v>Folha e Encargos</x:v>
      </x:c>
      <x:c r="C8" s="10" t="str">
        <x:v>Pagamento</x:v>
      </x:c>
      <x:c r="D8" s="10" t="str">
        <x:v>Operacional</x:v>
      </x:c>
    </x:row>
    <x:row r="9" ht="18" customHeight="1">
      <x:c r="A9" s="10" t="str">
        <x:v>CAT008</x:v>
      </x:c>
      <x:c r="B9" s="10" t="str">
        <x:v>Aluguéis e Condomínios</x:v>
      </x:c>
      <x:c r="C9" s="10" t="str">
        <x:v>Pagamento</x:v>
      </x:c>
      <x:c r="D9" s="10" t="str">
        <x:v>Operacional</x:v>
      </x:c>
    </x:row>
    <x:row r="10" ht="18" customHeight="1">
      <x:c r="A10" s="10" t="str">
        <x:v>CAT009</x:v>
      </x:c>
      <x:c r="B10" s="10" t="str">
        <x:v>Energia e Utilidades</x:v>
      </x:c>
      <x:c r="C10" s="10" t="str">
        <x:v>Pagamento</x:v>
      </x:c>
      <x:c r="D10" s="10" t="str">
        <x:v>Operacional</x:v>
      </x:c>
    </x:row>
    <x:row r="11" ht="18" customHeight="1">
      <x:c r="A11" s="10" t="str">
        <x:v>CAT010</x:v>
      </x:c>
      <x:c r="B11" s="10" t="str">
        <x:v>Marketing e Vendas</x:v>
      </x:c>
      <x:c r="C11" s="10" t="str">
        <x:v>Pagamento</x:v>
      </x:c>
      <x:c r="D11" s="10" t="str">
        <x:v>Operacional</x:v>
      </x:c>
    </x:row>
    <x:row r="12" ht="18" customHeight="1">
      <x:c r="A12" s="10" t="str">
        <x:v>CAT011</x:v>
      </x:c>
      <x:c r="B12" s="10" t="str">
        <x:v>Tecnologia e Licenças</x:v>
      </x:c>
      <x:c r="C12" s="10" t="str">
        <x:v>Pagamento</x:v>
      </x:c>
      <x:c r="D12" s="10" t="str">
        <x:v>Operacional</x:v>
      </x:c>
    </x:row>
    <x:row r="13" ht="18" customHeight="1">
      <x:c r="A13" s="10" t="str">
        <x:v>CAT012</x:v>
      </x:c>
      <x:c r="B13" s="10" t="str">
        <x:v>Impostos e Taxas</x:v>
      </x:c>
      <x:c r="C13" s="10" t="str">
        <x:v>Pagamento</x:v>
      </x:c>
      <x:c r="D13" s="10" t="str">
        <x:v>Operacional</x:v>
      </x:c>
    </x:row>
    <x:row r="14" ht="18" customHeight="1">
      <x:c r="A14" s="10" t="str">
        <x:v>CAT013</x:v>
      </x:c>
      <x:c r="B14" s="10" t="str">
        <x:v>Fretes e Logística</x:v>
      </x:c>
      <x:c r="C14" s="10" t="str">
        <x:v>Pagamento</x:v>
      </x:c>
      <x:c r="D14" s="10" t="str">
        <x:v>Operacional</x:v>
      </x:c>
    </x:row>
    <x:row r="15" ht="18" customHeight="1">
      <x:c r="A15" s="10" t="str">
        <x:v>CAT014</x:v>
      </x:c>
      <x:c r="B15" s="10" t="str">
        <x:v>Manutenção</x:v>
      </x:c>
      <x:c r="C15" s="10" t="str">
        <x:v>Pagamento</x:v>
      </x:c>
      <x:c r="D15" s="10" t="str">
        <x:v>Operacional</x:v>
      </x:c>
    </x:row>
    <x:row r="16" ht="18" customHeight="1">
      <x:c r="A16" s="10" t="str">
        <x:v>CAT015</x:v>
      </x:c>
      <x:c r="B16" s="10" t="str">
        <x:v>Despesas Bancárias</x:v>
      </x:c>
      <x:c r="C16" s="10" t="str">
        <x:v>Pagamento</x:v>
      </x:c>
      <x:c r="D16" s="10" t="str">
        <x:v>Financeiro</x:v>
      </x:c>
    </x:row>
    <x:row r="17" ht="18" customHeight="1">
      <x:c r="A17" s="10" t="str">
        <x:v>CAT016</x:v>
      </x:c>
      <x:c r="B17" s="10" t="str">
        <x:v>Juros e Empréstimos</x:v>
      </x:c>
      <x:c r="C17" s="10" t="str">
        <x:v>Pagamento</x:v>
      </x:c>
      <x:c r="D17" s="10" t="str">
        <x:v>Financeiro</x:v>
      </x:c>
    </x:row>
    <x:row r="18" ht="18" customHeight="1">
      <x:c r="A18" s="10" t="str">
        <x:v>CAT017</x:v>
      </x:c>
      <x:c r="B18" s="10" t="str">
        <x:v>Investimentos</x:v>
      </x:c>
      <x:c r="C18" s="10" t="str">
        <x:v>Pagamento</x:v>
      </x:c>
      <x:c r="D18" s="10" t="str">
        <x:v>Investimento</x:v>
      </x:c>
    </x:row>
    <x:row r="19" ht="18" customHeight="1">
      <x:c r="A19" s="12" t="str">
        <x:v>CAT018</x:v>
      </x:c>
      <x:c r="B19" s="12" t="str">
        <x:v>Outras Despesas</x:v>
      </x:c>
      <x:c r="C19" s="12" t="str">
        <x:v>Pagamento</x:v>
      </x:c>
      <x:c r="D19" s="12" t="str">
        <x:v>Não Operacional</x:v>
      </x:c>
    </x:row>
  </x:sheetData>
  <x:pageMargins left="0.7" right="0.7" top="0.75" bottom="0.75" header="0.3" footer="0.3"/>
  <x:tableParts count="1">
    <x:tablePart xmlns:r="http://schemas.openxmlformats.org/officeDocument/2006/relationships" r:id="Re548c67e90a2404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12.75" hidden="0" customWidth="1"/>
    <x:col min="3" max="3" width="10" hidden="0" customWidth="1"/>
    <x:col min="4" max="4" width="12.75" hidden="0" customWidth="1"/>
    <x:col min="5" max="5" width="10" hidden="0" customWidth="1"/>
    <x:col min="6" max="6" width="10" hidden="0" customWidth="1"/>
    <x:col min="7" max="7" width="15.75" hidden="0" customWidth="1"/>
  </x:cols>
  <x:sheetData>
    <x:row r="1" ht="28" customHeight="1">
      <x:c r="A1" s="5" t="str">
        <x:v>ID_Conta_Bancaria</x:v>
      </x:c>
      <x:c r="B1" s="5" t="str">
        <x:v>ID_Empresa</x:v>
      </x:c>
      <x:c r="C1" s="5" t="str">
        <x:v>Banco</x:v>
      </x:c>
      <x:c r="D1" s="5" t="str">
        <x:v>Tipo_Conta</x:v>
      </x:c>
      <x:c r="E1" s="5" t="str">
        <x:v>Agencia</x:v>
      </x:c>
      <x:c r="F1" s="5" t="str">
        <x:v>Conta</x:v>
      </x:c>
      <x:c r="G1" s="18" t="str">
        <x:v>Saldo_Inicial</x:v>
      </x:c>
    </x:row>
    <x:row r="2" ht="18" customHeight="1">
      <x:c r="A2" s="8" t="str">
        <x:v>CTA001</x:v>
      </x:c>
      <x:c r="B2" s="8" t="str">
        <x:v>EMP001</x:v>
      </x:c>
      <x:c r="C2" s="8" t="str">
        <x:v>Banco Horizonte</x:v>
      </x:c>
      <x:c r="D2" s="8" t="str">
        <x:v>Conta Corrente</x:v>
      </x:c>
      <x:c r="E2" s="8" t="str">
        <x:v>001-9</x:v>
      </x:c>
      <x:c r="F2" s="8" t="str">
        <x:v>10234-5</x:v>
      </x:c>
      <x:c r="G2" s="19" t="n">
        <x:v>325000</x:v>
      </x:c>
    </x:row>
    <x:row r="3" ht="18" customHeight="1">
      <x:c r="A3" s="10" t="str">
        <x:v>CTA002</x:v>
      </x:c>
      <x:c r="B3" s="10" t="str">
        <x:v>EMP001</x:v>
      </x:c>
      <x:c r="C3" s="10" t="str">
        <x:v>Banco União</x:v>
      </x:c>
      <x:c r="D3" s="10" t="str">
        <x:v>Conta Corrente</x:v>
      </x:c>
      <x:c r="E3" s="10" t="str">
        <x:v>014-2</x:v>
      </x:c>
      <x:c r="F3" s="10" t="str">
        <x:v>88991-0</x:v>
      </x:c>
      <x:c r="G3" s="20" t="n">
        <x:v>185000</x:v>
      </x:c>
    </x:row>
    <x:row r="4" ht="18" customHeight="1">
      <x:c r="A4" s="10" t="str">
        <x:v>CTA003</x:v>
      </x:c>
      <x:c r="B4" s="10" t="str">
        <x:v>EMP002</x:v>
      </x:c>
      <x:c r="C4" s="10" t="str">
        <x:v>Banco Horizonte</x:v>
      </x:c>
      <x:c r="D4" s="10" t="str">
        <x:v>Conta Corrente</x:v>
      </x:c>
      <x:c r="E4" s="10" t="str">
        <x:v>001-9</x:v>
      </x:c>
      <x:c r="F4" s="10" t="str">
        <x:v>55443-2</x:v>
      </x:c>
      <x:c r="G4" s="20" t="n">
        <x:v>240000</x:v>
      </x:c>
    </x:row>
    <x:row r="5" ht="18" customHeight="1">
      <x:c r="A5" s="10" t="str">
        <x:v>CTA004</x:v>
      </x:c>
      <x:c r="B5" s="10" t="str">
        <x:v>EMP002</x:v>
      </x:c>
      <x:c r="C5" s="10" t="str">
        <x:v>Banco Nacional</x:v>
      </x:c>
      <x:c r="D5" s="10" t="str">
        <x:v>Aplicação</x:v>
      </x:c>
      <x:c r="E5" s="10" t="str">
        <x:v>031-4</x:v>
      </x:c>
      <x:c r="F5" s="10" t="str">
        <x:v>77654-8</x:v>
      </x:c>
      <x:c r="G5" s="20" t="n">
        <x:v>420000</x:v>
      </x:c>
    </x:row>
    <x:row r="6" ht="18" customHeight="1">
      <x:c r="A6" s="10" t="str">
        <x:v>CTA005</x:v>
      </x:c>
      <x:c r="B6" s="10" t="str">
        <x:v>EMP003</x:v>
      </x:c>
      <x:c r="C6" s="10" t="str">
        <x:v>Banco União</x:v>
      </x:c>
      <x:c r="D6" s="10" t="str">
        <x:v>Conta Corrente</x:v>
      </x:c>
      <x:c r="E6" s="10" t="str">
        <x:v>014-2</x:v>
      </x:c>
      <x:c r="F6" s="10" t="str">
        <x:v>11229-7</x:v>
      </x:c>
      <x:c r="G6" s="20" t="n">
        <x:v>275000</x:v>
      </x:c>
    </x:row>
    <x:row r="7" ht="18" customHeight="1">
      <x:c r="A7" s="12" t="str">
        <x:v>CTA006</x:v>
      </x:c>
      <x:c r="B7" s="12" t="str">
        <x:v>EMP003</x:v>
      </x:c>
      <x:c r="C7" s="12" t="str">
        <x:v>Banco Nacional</x:v>
      </x:c>
      <x:c r="D7" s="12" t="str">
        <x:v>Aplicação</x:v>
      </x:c>
      <x:c r="E7" s="12" t="str">
        <x:v>031-4</x:v>
      </x:c>
      <x:c r="F7" s="12" t="str">
        <x:v>90901-1</x:v>
      </x:c>
      <x:c r="G7" s="21" t="n">
        <x:v>310000</x:v>
      </x:c>
    </x:row>
  </x:sheetData>
  <x:pageMargins left="0.7" right="0.7" top="0.75" bottom="0.75" header="0.3" footer="0.3"/>
  <x:tableParts count="1">
    <x:tablePart xmlns:r="http://schemas.openxmlformats.org/officeDocument/2006/relationships" r:id="R0ca714e5034442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12.75" hidden="0" customWidth="1"/>
    <x:col min="3" max="3" width="15.75" hidden="0" customWidth="1"/>
    <x:col min="4" max="4" width="17.75" hidden="0" customWidth="1"/>
    <x:col min="5" max="5" width="14.75" hidden="0" customWidth="1"/>
    <x:col min="6" max="6" width="19.75" hidden="0" customWidth="1"/>
    <x:col min="7" max="7" width="11.75" hidden="0" customWidth="1"/>
    <x:col min="8" max="8" width="11.75" hidden="0" customWidth="1"/>
    <x:col min="9" max="9" width="14.75" hidden="0" customWidth="1"/>
    <x:col min="10" max="10" width="17.75" hidden="0" customWidth="1"/>
    <x:col min="11" max="11" width="16.75" hidden="0" customWidth="1"/>
    <x:col min="12" max="12" width="16.75" hidden="0" customWidth="1"/>
    <x:col min="13" max="13" width="13.75" hidden="0" customWidth="1"/>
    <x:col min="14" max="14" width="10.75" hidden="0" customWidth="1"/>
    <x:col min="15" max="15" width="12.75" hidden="0" customWidth="1"/>
    <x:col min="16" max="16" width="14.75" hidden="0" customWidth="1"/>
    <x:col min="17" max="17" width="10" hidden="0" customWidth="1"/>
    <x:col min="18" max="18" width="17.75" hidden="0" customWidth="1"/>
    <x:col min="19" max="19" width="13.75" hidden="0" customWidth="1"/>
    <x:col min="20" max="20" width="13.75" hidden="0" customWidth="1"/>
    <x:col min="21" max="21" width="13.75" hidden="0" customWidth="1"/>
    <x:col min="22" max="22" width="12.75" hidden="0" customWidth="1"/>
  </x:cols>
  <x:sheetData>
    <x:row r="1" ht="28" customHeight="1">
      <x:c r="A1" s="5" t="str">
        <x:v>ID_Titulo_Pagar</x:v>
      </x:c>
      <x:c r="B1" s="5" t="str">
        <x:v>ID_Empresa</x:v>
      </x:c>
      <x:c r="C1" s="5" t="str">
        <x:v>ID_Fornecedor</x:v>
      </x:c>
      <x:c r="D1" s="5" t="str">
        <x:v>ID_Centro_Custo</x:v>
      </x:c>
      <x:c r="E1" s="5" t="str">
        <x:v>ID_Categoria</x:v>
      </x:c>
      <x:c r="F1" s="5" t="str">
        <x:v>ID_Conta_Bancaria</x:v>
      </x:c>
      <x:c r="G1" s="5" t="str">
        <x:v>Documento</x:v>
      </x:c>
      <x:c r="H1" s="5" t="str">
        <x:v>Descricao</x:v>
      </x:c>
      <x:c r="I1" s="14" t="str">
        <x:v>Data_Emissao</x:v>
      </x:c>
      <x:c r="J1" s="14" t="str">
        <x:v>Data_Vencimento</x:v>
      </x:c>
      <x:c r="K1" s="14" t="str">
        <x:v>Data_Pagamento</x:v>
      </x:c>
      <x:c r="L1" s="18" t="str">
        <x:v>Valor_Original</x:v>
      </x:c>
      <x:c r="M1" s="18" t="str">
        <x:v>Juros_Multa</x:v>
      </x:c>
      <x:c r="N1" s="18" t="str">
        <x:v>Desconto</x:v>
      </x:c>
      <x:c r="O1" s="18" t="str">
        <x:v>Valor_Pago</x:v>
      </x:c>
      <x:c r="P1" s="18" t="str">
        <x:v>Saldo_Aberto</x:v>
      </x:c>
      <x:c r="Q1" s="5" t="str">
        <x:v>Status</x:v>
      </x:c>
      <x:c r="R1" s="5" t="str">
        <x:v>Forma_Pagamento</x:v>
      </x:c>
      <x:c r="S1" s="5" t="str">
        <x:v>Competencia</x:v>
      </x:c>
      <x:c r="T1" s="5" t="str">
        <x:v>Dias_Atraso</x:v>
      </x:c>
      <x:c r="U1" s="5" t="str">
        <x:v>Faixa_Aging</x:v>
      </x:c>
      <x:c r="V1" s="5" t="str">
        <x:v>ID_Unidade</x:v>
      </x:c>
    </x:row>
    <x:row r="2" ht="18" customHeight="1">
      <x:c r="A2" s="8" t="str">
        <x:v>PAG00001</x:v>
      </x:c>
      <x:c r="B2" s="8" t="str">
        <x:v>EMP001</x:v>
      </x:c>
      <x:c r="C2" s="8" t="str">
        <x:v>FOR029</x:v>
      </x:c>
      <x:c r="D2" s="8" t="str">
        <x:v>CC004</x:v>
      </x:c>
      <x:c r="E2" s="8" t="str">
        <x:v>CAT009</x:v>
      </x:c>
      <x:c r="F2" s="8" t="str">
        <x:v>CTA001</x:v>
      </x:c>
      <x:c r="G2" s="8" t="str">
        <x:v>NF-100001</x:v>
      </x:c>
      <x:c r="H2" s="8" t="str">
        <x:v>Tributos e taxas</x:v>
      </x:c>
      <x:c r="I2" s="15" t="n">
        <x:v>45943.02148239583</x:v>
      </x:c>
      <x:c r="J2" s="15" t="n">
        <x:v>45971.02148239583</x:v>
      </x:c>
      <x:c r="K2" s="15" t="n">
        <x:v>45964.02148239583</x:v>
      </x:c>
      <x:c r="L2" s="19" t="n">
        <x:v>1595.92</x:v>
      </x:c>
      <x:c r="M2" s="19" t="n">
        <x:v>0</x:v>
      </x:c>
      <x:c r="N2" s="19" t="n">
        <x:v>15.96</x:v>
      </x:c>
      <x:c r="O2" s="19" t="n">
        <x:v>1579.96</x:v>
      </x:c>
      <x:c r="P2" s="19" t="n">
        <x:v>0</x:v>
      </x:c>
      <x:c r="Q2" s="8" t="str">
        <x:v>Pago</x:v>
      </x:c>
      <x:c r="R2" s="8" t="str">
        <x:v>Débito Automático</x:v>
      </x:c>
      <x:c r="S2" s="8" t="str">
        <x:v>2025-10</x:v>
      </x:c>
      <x:c r="T2" s="8" t="n">
        <x:v>0</x:v>
      </x:c>
      <x:c r="U2" s="8" t="str">
        <x:v>Liquidado</x:v>
      </x:c>
      <x:c r="V2" s="8" t="str">
        <x:v>UND001</x:v>
      </x:c>
    </x:row>
    <x:row r="3" ht="18" customHeight="1">
      <x:c r="A3" s="10" t="str">
        <x:v>PAG00002</x:v>
      </x:c>
      <x:c r="B3" s="10" t="str">
        <x:v>EMP003</x:v>
      </x:c>
      <x:c r="C3" s="10" t="str">
        <x:v>FOR006</x:v>
      </x:c>
      <x:c r="D3" s="10" t="str">
        <x:v>CC006</x:v>
      </x:c>
      <x:c r="E3" s="10" t="str">
        <x:v>CAT009</x:v>
      </x:c>
      <x:c r="F3" s="10" t="str">
        <x:v>CTA005</x:v>
      </x:c>
      <x:c r="G3" s="10" t="str">
        <x:v>NF-100002</x:v>
      </x:c>
      <x:c r="H3" s="10" t="str">
        <x:v>Tributos e taxas</x:v>
      </x:c>
      <x:c r="I3" s="16" t="n">
        <x:v>45578.26105458333</x:v>
      </x:c>
      <x:c r="J3" s="16" t="n">
        <x:v>45623.26105458333</x:v>
      </x:c>
      <x:c r="K3" s="16" t="n">
        <x:v>45625.26105458333</x:v>
      </x:c>
      <x:c r="L3" s="20" t="n">
        <x:v>44388.6</x:v>
      </x:c>
      <x:c r="M3" s="20" t="n">
        <x:v>62.14</x:v>
      </x:c>
      <x:c r="N3" s="20" t="n">
        <x:v>0</x:v>
      </x:c>
      <x:c r="O3" s="20" t="n">
        <x:v>44450.74</x:v>
      </x:c>
      <x:c r="P3" s="20" t="n">
        <x:v>0</x:v>
      </x:c>
      <x:c r="Q3" s="10" t="str">
        <x:v>Pago</x:v>
      </x:c>
      <x:c r="R3" s="10" t="str">
        <x:v>Cartão Corporativo</x:v>
      </x:c>
      <x:c r="S3" s="10" t="str">
        <x:v>2024-10</x:v>
      </x:c>
      <x:c r="T3" s="10" t="n">
        <x:v>0</x:v>
      </x:c>
      <x:c r="U3" s="10" t="str">
        <x:v>Liquidado</x:v>
      </x:c>
      <x:c r="V3" s="10" t="str">
        <x:v>UND004</x:v>
      </x:c>
    </x:row>
    <x:row r="4" ht="18" customHeight="1">
      <x:c r="A4" s="10" t="str">
        <x:v>PAG00003</x:v>
      </x:c>
      <x:c r="B4" s="10" t="str">
        <x:v>EMP001</x:v>
      </x:c>
      <x:c r="C4" s="10" t="str">
        <x:v>FOR003</x:v>
      </x:c>
      <x:c r="D4" s="10" t="str">
        <x:v>CC001</x:v>
      </x:c>
      <x:c r="E4" s="10" t="str">
        <x:v>CAT017</x:v>
      </x:c>
      <x:c r="F4" s="10" t="str">
        <x:v>CTA001</x:v>
      </x:c>
      <x:c r="G4" s="10" t="str">
        <x:v>NF-100003</x:v>
      </x:c>
      <x:c r="H4" s="10" t="str">
        <x:v>Tributos e taxas</x:v>
      </x:c>
      <x:c r="I4" s="16" t="n">
        <x:v>45571.70603516204</x:v>
      </x:c>
      <x:c r="J4" s="16" t="n">
        <x:v>45601.70603516204</x:v>
      </x:c>
      <x:c r="K4" s="16"/>
      <x:c r="L4" s="20" t="n">
        <x:v>5886.18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10" t="str">
        <x:v>Cancelado</x:v>
      </x:c>
      <x:c r="R4" s="10" t="str">
        <x:v>Débito Automático</x:v>
      </x:c>
      <x:c r="S4" s="10" t="str">
        <x:v>2024-10</x:v>
      </x:c>
      <x:c r="T4" s="10" t="n">
        <x:v>0</x:v>
      </x:c>
      <x:c r="U4" s="10" t="str">
        <x:v>Cancelado</x:v>
      </x:c>
      <x:c r="V4" s="10" t="str">
        <x:v>UND002</x:v>
      </x:c>
    </x:row>
    <x:row r="5" ht="18" customHeight="1">
      <x:c r="A5" s="10" t="str">
        <x:v>PAG00004</x:v>
      </x:c>
      <x:c r="B5" s="10" t="str">
        <x:v>EMP002</x:v>
      </x:c>
      <x:c r="C5" s="10" t="str">
        <x:v>FOR036</x:v>
      </x:c>
      <x:c r="D5" s="10" t="str">
        <x:v>CC007</x:v>
      </x:c>
      <x:c r="E5" s="10" t="str">
        <x:v>CAT005</x:v>
      </x:c>
      <x:c r="F5" s="10" t="str">
        <x:v>CTA004</x:v>
      </x:c>
      <x:c r="G5" s="10" t="str">
        <x:v>NF-100004</x:v>
      </x:c>
      <x:c r="H5" s="10" t="str">
        <x:v>Despesa operacional</x:v>
      </x:c>
      <x:c r="I5" s="16" t="n">
        <x:v>45549.398615081016</x:v>
      </x:c>
      <x:c r="J5" s="16" t="n">
        <x:v>45624.398615081016</x:v>
      </x:c>
      <x:c r="K5" s="16" t="n">
        <x:v>45619.398615081016</x:v>
      </x:c>
      <x:c r="L5" s="20" t="n">
        <x:v>23479.84</x:v>
      </x:c>
      <x:c r="M5" s="20" t="n">
        <x:v>0</x:v>
      </x:c>
      <x:c r="N5" s="20" t="n">
        <x:v>0</x:v>
      </x:c>
      <x:c r="O5" s="20" t="n">
        <x:v>23479.84</x:v>
      </x:c>
      <x:c r="P5" s="20" t="n">
        <x:v>0</x:v>
      </x:c>
      <x:c r="Q5" s="10" t="str">
        <x:v>Pago</x:v>
      </x:c>
      <x:c r="R5" s="10" t="str">
        <x:v>PIX</x:v>
      </x:c>
      <x:c r="S5" s="10" t="str">
        <x:v>2024-09</x:v>
      </x:c>
      <x:c r="T5" s="10" t="n">
        <x:v>0</x:v>
      </x:c>
      <x:c r="U5" s="10" t="str">
        <x:v>Liquidado</x:v>
      </x:c>
      <x:c r="V5" s="10" t="str">
        <x:v>UND003</x:v>
      </x:c>
    </x:row>
    <x:row r="6" ht="18" customHeight="1">
      <x:c r="A6" s="10" t="str">
        <x:v>PAG00005</x:v>
      </x:c>
      <x:c r="B6" s="10" t="str">
        <x:v>EMP002</x:v>
      </x:c>
      <x:c r="C6" s="10" t="str">
        <x:v>FOR028</x:v>
      </x:c>
      <x:c r="D6" s="10" t="str">
        <x:v>CC007</x:v>
      </x:c>
      <x:c r="E6" s="10" t="str">
        <x:v>CAT014</x:v>
      </x:c>
      <x:c r="F6" s="10" t="str">
        <x:v>CTA003</x:v>
      </x:c>
      <x:c r="G6" s="10" t="str">
        <x:v>NF-100005</x:v>
      </x:c>
      <x:c r="H6" s="10" t="str">
        <x:v>Despesa operacional</x:v>
      </x:c>
      <x:c r="I6" s="16" t="n">
        <x:v>45438.428982129626</x:v>
      </x:c>
      <x:c r="J6" s="16" t="n">
        <x:v>45453.428982129626</x:v>
      </x:c>
      <x:c r="K6" s="16"/>
      <x:c r="L6" s="20" t="n">
        <x:v>27595.93</x:v>
      </x:c>
      <x:c r="M6" s="20" t="n">
        <x:v>0</x:v>
      </x:c>
      <x:c r="N6" s="20" t="n">
        <x:v>0</x:v>
      </x:c>
      <x:c r="O6" s="20" t="n">
        <x:v>0</x:v>
      </x:c>
      <x:c r="P6" s="20" t="n">
        <x:v>0</x:v>
      </x:c>
      <x:c r="Q6" s="10" t="str">
        <x:v>Cancelado</x:v>
      </x:c>
      <x:c r="R6" s="10" t="str">
        <x:v>Boleto</x:v>
      </x:c>
      <x:c r="S6" s="10" t="str">
        <x:v>2024-05</x:v>
      </x:c>
      <x:c r="T6" s="10" t="n">
        <x:v>0</x:v>
      </x:c>
      <x:c r="U6" s="10" t="str">
        <x:v>Cancelado</x:v>
      </x:c>
      <x:c r="V6" s="10" t="str">
        <x:v>UND003</x:v>
      </x:c>
    </x:row>
    <x:row r="7" ht="18" customHeight="1">
      <x:c r="A7" s="10" t="str">
        <x:v>PAG00006</x:v>
      </x:c>
      <x:c r="B7" s="10" t="str">
        <x:v>EMP002</x:v>
      </x:c>
      <x:c r="C7" s="10" t="str">
        <x:v>FOR020</x:v>
      </x:c>
      <x:c r="D7" s="10" t="str">
        <x:v>CC007</x:v>
      </x:c>
      <x:c r="E7" s="10" t="str">
        <x:v>CAT017</x:v>
      </x:c>
      <x:c r="F7" s="10" t="str">
        <x:v>CTA004</x:v>
      </x:c>
      <x:c r="G7" s="10" t="str">
        <x:v>NF-100006</x:v>
      </x:c>
      <x:c r="H7" s="10" t="str">
        <x:v>Tributos e taxas</x:v>
      </x:c>
      <x:c r="I7" s="16" t="n">
        <x:v>45530.34910951389</x:v>
      </x:c>
      <x:c r="J7" s="16" t="n">
        <x:v>45565.34910951389</x:v>
      </x:c>
      <x:c r="K7" s="16"/>
      <x:c r="L7" s="20" t="n">
        <x:v>23741.74</x:v>
      </x:c>
      <x:c r="M7" s="20" t="n">
        <x:v>0</x:v>
      </x:c>
      <x:c r="N7" s="20" t="n">
        <x:v>0</x:v>
      </x:c>
      <x:c r="O7" s="20" t="n">
        <x:v>0</x:v>
      </x:c>
      <x:c r="P7" s="20" t="n">
        <x:v>23741.74</x:v>
      </x:c>
      <x:c r="Q7" s="10" t="str">
        <x:v>Vencido</x:v>
      </x:c>
      <x:c r="R7" s="10" t="str">
        <x:v>TED</x:v>
      </x:c>
      <x:c r="S7" s="10" t="str">
        <x:v>2024-08</x:v>
      </x:c>
      <x:c r="T7" s="10" t="n">
        <x:v>456</x:v>
      </x:c>
      <x:c r="U7" s="10" t="str">
        <x:v>&gt; 120 dias</x:v>
      </x:c>
      <x:c r="V7" s="10" t="str">
        <x:v>UND003</x:v>
      </x:c>
    </x:row>
    <x:row r="8" ht="18" customHeight="1">
      <x:c r="A8" s="10" t="str">
        <x:v>PAG00007</x:v>
      </x:c>
      <x:c r="B8" s="10" t="str">
        <x:v>EMP003</x:v>
      </x:c>
      <x:c r="C8" s="10" t="str">
        <x:v>FOR040</x:v>
      </x:c>
      <x:c r="D8" s="10" t="str">
        <x:v>CC005</x:v>
      </x:c>
      <x:c r="E8" s="10" t="str">
        <x:v>CAT005</x:v>
      </x:c>
      <x:c r="F8" s="10" t="str">
        <x:v>CTA005</x:v>
      </x:c>
      <x:c r="G8" s="10" t="str">
        <x:v>NF-100007</x:v>
      </x:c>
      <x:c r="H8" s="10" t="str">
        <x:v>Despesa operacional</x:v>
      </x:c>
      <x:c r="I8" s="16" t="n">
        <x:v>45758.24498480324</x:v>
      </x:c>
      <x:c r="J8" s="16" t="n">
        <x:v>45786.24498480324</x:v>
      </x:c>
      <x:c r="K8" s="16" t="n">
        <x:v>45788.24498480324</x:v>
      </x:c>
      <x:c r="L8" s="20" t="n">
        <x:v>2155.9</x:v>
      </x:c>
      <x:c r="M8" s="20" t="n">
        <x:v>3.02</x:v>
      </x:c>
      <x:c r="N8" s="20" t="n">
        <x:v>0</x:v>
      </x:c>
      <x:c r="O8" s="20" t="n">
        <x:v>2158.92</x:v>
      </x:c>
      <x:c r="P8" s="20" t="n">
        <x:v>0</x:v>
      </x:c>
      <x:c r="Q8" s="10" t="str">
        <x:v>Pago</x:v>
      </x:c>
      <x:c r="R8" s="10" t="str">
        <x:v>TED</x:v>
      </x:c>
      <x:c r="S8" s="10" t="str">
        <x:v>2025-04</x:v>
      </x:c>
      <x:c r="T8" s="10" t="n">
        <x:v>0</x:v>
      </x:c>
      <x:c r="U8" s="10" t="str">
        <x:v>Liquidado</x:v>
      </x:c>
      <x:c r="V8" s="10" t="str">
        <x:v>UND004</x:v>
      </x:c>
    </x:row>
    <x:row r="9" ht="18" customHeight="1">
      <x:c r="A9" s="10" t="str">
        <x:v>PAG00008</x:v>
      </x:c>
      <x:c r="B9" s="10" t="str">
        <x:v>EMP001</x:v>
      </x:c>
      <x:c r="C9" s="10" t="str">
        <x:v>FOR011</x:v>
      </x:c>
      <x:c r="D9" s="10" t="str">
        <x:v>CC002</x:v>
      </x:c>
      <x:c r="E9" s="10" t="str">
        <x:v>CAT009</x:v>
      </x:c>
      <x:c r="F9" s="10" t="str">
        <x:v>CTA001</x:v>
      </x:c>
      <x:c r="G9" s="10" t="str">
        <x:v>NF-100008</x:v>
      </x:c>
      <x:c r="H9" s="10" t="str">
        <x:v>Despesa operacional</x:v>
      </x:c>
      <x:c r="I9" s="16" t="n">
        <x:v>45898.92583409722</x:v>
      </x:c>
      <x:c r="J9" s="16" t="n">
        <x:v>45918.92583409722</x:v>
      </x:c>
      <x:c r="K9" s="16" t="n">
        <x:v>45928.92583409722</x:v>
      </x:c>
      <x:c r="L9" s="20" t="n">
        <x:v>38494.02</x:v>
      </x:c>
      <x:c r="M9" s="20" t="n">
        <x:v>269.46</x:v>
      </x:c>
      <x:c r="N9" s="20" t="n">
        <x:v>0</x:v>
      </x:c>
      <x:c r="O9" s="20" t="n">
        <x:v>38763.48</x:v>
      </x:c>
      <x:c r="P9" s="20" t="n">
        <x:v>0</x:v>
      </x:c>
      <x:c r="Q9" s="10" t="str">
        <x:v>Pago</x:v>
      </x:c>
      <x:c r="R9" s="10" t="str">
        <x:v>Cartão Corporativo</x:v>
      </x:c>
      <x:c r="S9" s="10" t="str">
        <x:v>2025-08</x:v>
      </x:c>
      <x:c r="T9" s="10" t="n">
        <x:v>0</x:v>
      </x:c>
      <x:c r="U9" s="10" t="str">
        <x:v>Liquidado</x:v>
      </x:c>
      <x:c r="V9" s="10" t="str">
        <x:v>UND002</x:v>
      </x:c>
    </x:row>
    <x:row r="10" ht="18" customHeight="1">
      <x:c r="A10" s="10" t="str">
        <x:v>PAG00009</x:v>
      </x:c>
      <x:c r="B10" s="10" t="str">
        <x:v>EMP002</x:v>
      </x:c>
      <x:c r="C10" s="10" t="str">
        <x:v>FOR012</x:v>
      </x:c>
      <x:c r="D10" s="10" t="str">
        <x:v>CC003</x:v>
      </x:c>
      <x:c r="E10" s="10" t="str">
        <x:v>CAT006</x:v>
      </x:c>
      <x:c r="F10" s="10" t="str">
        <x:v>CTA004</x:v>
      </x:c>
      <x:c r="G10" s="10" t="str">
        <x:v>NF-100009</x:v>
      </x:c>
      <x:c r="H10" s="10" t="str">
        <x:v>Contrato recorrente</x:v>
      </x:c>
      <x:c r="I10" s="16" t="n">
        <x:v>45871.92454438657</x:v>
      </x:c>
      <x:c r="J10" s="16" t="n">
        <x:v>45946.92454438657</x:v>
      </x:c>
      <x:c r="K10" s="16" t="n">
        <x:v>45948.92454438657</x:v>
      </x:c>
      <x:c r="L10" s="20" t="n">
        <x:v>52136.33</x:v>
      </x:c>
      <x:c r="M10" s="20" t="n">
        <x:v>72.99</x:v>
      </x:c>
      <x:c r="N10" s="20" t="n">
        <x:v>0</x:v>
      </x:c>
      <x:c r="O10" s="20" t="n">
        <x:v>52209.32</x:v>
      </x:c>
      <x:c r="P10" s="20" t="n">
        <x:v>0</x:v>
      </x:c>
      <x:c r="Q10" s="10" t="str">
        <x:v>Pago</x:v>
      </x:c>
      <x:c r="R10" s="10" t="str">
        <x:v>Débito Automático</x:v>
      </x:c>
      <x:c r="S10" s="10" t="str">
        <x:v>2025-08</x:v>
      </x:c>
      <x:c r="T10" s="10" t="n">
        <x:v>0</x:v>
      </x:c>
      <x:c r="U10" s="10" t="str">
        <x:v>Liquidado</x:v>
      </x:c>
      <x:c r="V10" s="10" t="str">
        <x:v>UND003</x:v>
      </x:c>
    </x:row>
    <x:row r="11" ht="18" customHeight="1">
      <x:c r="A11" s="10" t="str">
        <x:v>PAG00010</x:v>
      </x:c>
      <x:c r="B11" s="10" t="str">
        <x:v>EMP003</x:v>
      </x:c>
      <x:c r="C11" s="10" t="str">
        <x:v>FOR015</x:v>
      </x:c>
      <x:c r="D11" s="10" t="str">
        <x:v>CC003</x:v>
      </x:c>
      <x:c r="E11" s="10" t="str">
        <x:v>CAT015</x:v>
      </x:c>
      <x:c r="F11" s="10" t="str">
        <x:v>CTA006</x:v>
      </x:c>
      <x:c r="G11" s="10" t="str">
        <x:v>NF-100010</x:v>
      </x:c>
      <x:c r="H11" s="10" t="str">
        <x:v>Contrato recorrente</x:v>
      </x:c>
      <x:c r="I11" s="16" t="n">
        <x:v>45485.695266180555</x:v>
      </x:c>
      <x:c r="J11" s="16" t="n">
        <x:v>45513.695266180555</x:v>
      </x:c>
      <x:c r="K11" s="16" t="n">
        <x:v>45506.695266180555</x:v>
      </x:c>
      <x:c r="L11" s="20" t="n">
        <x:v>23925.26</x:v>
      </x:c>
      <x:c r="M11" s="20" t="n">
        <x:v>0</x:v>
      </x:c>
      <x:c r="N11" s="20" t="n">
        <x:v>0</x:v>
      </x:c>
      <x:c r="O11" s="20" t="n">
        <x:v>23925.26</x:v>
      </x:c>
      <x:c r="P11" s="20" t="n">
        <x:v>0</x:v>
      </x:c>
      <x:c r="Q11" s="10" t="str">
        <x:v>Pago</x:v>
      </x:c>
      <x:c r="R11" s="10" t="str">
        <x:v>TED</x:v>
      </x:c>
      <x:c r="S11" s="10" t="str">
        <x:v>2024-07</x:v>
      </x:c>
      <x:c r="T11" s="10" t="n">
        <x:v>0</x:v>
      </x:c>
      <x:c r="U11" s="10" t="str">
        <x:v>Liquidado</x:v>
      </x:c>
      <x:c r="V11" s="10" t="str">
        <x:v>UND004</x:v>
      </x:c>
    </x:row>
    <x:row r="12" ht="18" customHeight="1">
      <x:c r="A12" s="10" t="str">
        <x:v>PAG00011</x:v>
      </x:c>
      <x:c r="B12" s="10" t="str">
        <x:v>EMP001</x:v>
      </x:c>
      <x:c r="C12" s="10" t="str">
        <x:v>FOR055</x:v>
      </x:c>
      <x:c r="D12" s="10" t="str">
        <x:v>CC002</x:v>
      </x:c>
      <x:c r="E12" s="10" t="str">
        <x:v>CAT018</x:v>
      </x:c>
      <x:c r="F12" s="10" t="str">
        <x:v>CTA001</x:v>
      </x:c>
      <x:c r="G12" s="10" t="str">
        <x:v>NF-100011</x:v>
      </x:c>
      <x:c r="H12" s="10" t="str">
        <x:v>Despesa operacional</x:v>
      </x:c>
      <x:c r="I12" s="16" t="n">
        <x:v>45865.20938400463</x:v>
      </x:c>
      <x:c r="J12" s="16" t="n">
        <x:v>45880.20938400463</x:v>
      </x:c>
      <x:c r="K12" s="16" t="n">
        <x:v>45876.20938400463</x:v>
      </x:c>
      <x:c r="L12" s="20" t="n">
        <x:v>55796.3</x:v>
      </x:c>
      <x:c r="M12" s="20" t="n">
        <x:v>0</x:v>
      </x:c>
      <x:c r="N12" s="20" t="n">
        <x:v>0</x:v>
      </x:c>
      <x:c r="O12" s="20" t="n">
        <x:v>55796.3</x:v>
      </x:c>
      <x:c r="P12" s="20" t="n">
        <x:v>0</x:v>
      </x:c>
      <x:c r="Q12" s="10" t="str">
        <x:v>Pago</x:v>
      </x:c>
      <x:c r="R12" s="10" t="str">
        <x:v>TED</x:v>
      </x:c>
      <x:c r="S12" s="10" t="str">
        <x:v>2025-07</x:v>
      </x:c>
      <x:c r="T12" s="10" t="n">
        <x:v>0</x:v>
      </x:c>
      <x:c r="U12" s="10" t="str">
        <x:v>Liquidado</x:v>
      </x:c>
      <x:c r="V12" s="10" t="str">
        <x:v>UND002</x:v>
      </x:c>
    </x:row>
    <x:row r="13" ht="18" customHeight="1">
      <x:c r="A13" s="10" t="str">
        <x:v>PAG00012</x:v>
      </x:c>
      <x:c r="B13" s="10" t="str">
        <x:v>EMP001</x:v>
      </x:c>
      <x:c r="C13" s="10" t="str">
        <x:v>FOR057</x:v>
      </x:c>
      <x:c r="D13" s="10" t="str">
        <x:v>CC002</x:v>
      </x:c>
      <x:c r="E13" s="10" t="str">
        <x:v>CAT006</x:v>
      </x:c>
      <x:c r="F13" s="10" t="str">
        <x:v>CTA002</x:v>
      </x:c>
      <x:c r="G13" s="10" t="str">
        <x:v>NF-100012</x:v>
      </x:c>
      <x:c r="H13" s="10" t="str">
        <x:v>Contrato recorrente</x:v>
      </x:c>
      <x:c r="I13" s="16" t="n">
        <x:v>45294.74545415509</x:v>
      </x:c>
      <x:c r="J13" s="16" t="n">
        <x:v>45322.74545415509</x:v>
      </x:c>
      <x:c r="K13" s="16" t="n">
        <x:v>45316.74545415509</x:v>
      </x:c>
      <x:c r="L13" s="20" t="n">
        <x:v>28941.89</x:v>
      </x:c>
      <x:c r="M13" s="20" t="n">
        <x:v>0</x:v>
      </x:c>
      <x:c r="N13" s="20" t="n">
        <x:v>0</x:v>
      </x:c>
      <x:c r="O13" s="20" t="n">
        <x:v>28941.89</x:v>
      </x:c>
      <x:c r="P13" s="20" t="n">
        <x:v>0</x:v>
      </x:c>
      <x:c r="Q13" s="10" t="str">
        <x:v>Pago</x:v>
      </x:c>
      <x:c r="R13" s="10" t="str">
        <x:v>Débito Automático</x:v>
      </x:c>
      <x:c r="S13" s="10" t="str">
        <x:v>2024-01</x:v>
      </x:c>
      <x:c r="T13" s="10" t="n">
        <x:v>0</x:v>
      </x:c>
      <x:c r="U13" s="10" t="str">
        <x:v>Liquidado</x:v>
      </x:c>
      <x:c r="V13" s="10" t="str">
        <x:v>UND002</x:v>
      </x:c>
    </x:row>
    <x:row r="14" ht="18" customHeight="1">
      <x:c r="A14" s="10" t="str">
        <x:v>PAG00013</x:v>
      </x:c>
      <x:c r="B14" s="10" t="str">
        <x:v>EMP001</x:v>
      </x:c>
      <x:c r="C14" s="10" t="str">
        <x:v>FOR026</x:v>
      </x:c>
      <x:c r="D14" s="10" t="str">
        <x:v>CC005</x:v>
      </x:c>
      <x:c r="E14" s="10" t="str">
        <x:v>CAT016</x:v>
      </x:c>
      <x:c r="F14" s="10" t="str">
        <x:v>CTA001</x:v>
      </x:c>
      <x:c r="G14" s="10" t="str">
        <x:v>NF-100013</x:v>
      </x:c>
      <x:c r="H14" s="10" t="str">
        <x:v>Prestação de serviços</x:v>
      </x:c>
      <x:c r="I14" s="16" t="n">
        <x:v>45492.11178523148</x:v>
      </x:c>
      <x:c r="J14" s="16" t="n">
        <x:v>45567.11178523148</x:v>
      </x:c>
      <x:c r="K14" s="16" t="n">
        <x:v>45588.11178523148</x:v>
      </x:c>
      <x:c r="L14" s="20" t="n">
        <x:v>106245.46</x:v>
      </x:c>
      <x:c r="M14" s="20" t="n">
        <x:v>1561.81</x:v>
      </x:c>
      <x:c r="N14" s="20" t="n">
        <x:v>0</x:v>
      </x:c>
      <x:c r="O14" s="20" t="n">
        <x:v>107807.27</x:v>
      </x:c>
      <x:c r="P14" s="20" t="n">
        <x:v>0</x:v>
      </x:c>
      <x:c r="Q14" s="10" t="str">
        <x:v>Pago</x:v>
      </x:c>
      <x:c r="R14" s="10" t="str">
        <x:v>PIX</x:v>
      </x:c>
      <x:c r="S14" s="10" t="str">
        <x:v>2024-07</x:v>
      </x:c>
      <x:c r="T14" s="10" t="n">
        <x:v>0</x:v>
      </x:c>
      <x:c r="U14" s="10" t="str">
        <x:v>Liquidado</x:v>
      </x:c>
      <x:c r="V14" s="10" t="str">
        <x:v>UND001</x:v>
      </x:c>
    </x:row>
    <x:row r="15" ht="18" customHeight="1">
      <x:c r="A15" s="10" t="str">
        <x:v>PAG00014</x:v>
      </x:c>
      <x:c r="B15" s="10" t="str">
        <x:v>EMP003</x:v>
      </x:c>
      <x:c r="C15" s="10" t="str">
        <x:v>FOR013</x:v>
      </x:c>
      <x:c r="D15" s="10" t="str">
        <x:v>CC004</x:v>
      </x:c>
      <x:c r="E15" s="10" t="str">
        <x:v>CAT011</x:v>
      </x:c>
      <x:c r="F15" s="10" t="str">
        <x:v>CTA005</x:v>
      </x:c>
      <x:c r="G15" s="10" t="str">
        <x:v>NF-100014</x:v>
      </x:c>
      <x:c r="H15" s="10" t="str">
        <x:v>Contrato recorrente</x:v>
      </x:c>
      <x:c r="I15" s="16" t="n">
        <x:v>45408.61478740741</x:v>
      </x:c>
      <x:c r="J15" s="16" t="n">
        <x:v>45428.61478740741</x:v>
      </x:c>
      <x:c r="K15" s="16"/>
      <x:c r="L15" s="20" t="n">
        <x:v>7667.97</x:v>
      </x:c>
      <x:c r="M15" s="20" t="n">
        <x:v>0</x:v>
      </x:c>
      <x:c r="N15" s="20" t="n">
        <x:v>0</x:v>
      </x:c>
      <x:c r="O15" s="20" t="n">
        <x:v>0</x:v>
      </x:c>
      <x:c r="P15" s="20" t="n">
        <x:v>0</x:v>
      </x:c>
      <x:c r="Q15" s="10" t="str">
        <x:v>Cancelado</x:v>
      </x:c>
      <x:c r="R15" s="10" t="str">
        <x:v>PIX</x:v>
      </x:c>
      <x:c r="S15" s="10" t="str">
        <x:v>2024-04</x:v>
      </x:c>
      <x:c r="T15" s="10" t="n">
        <x:v>0</x:v>
      </x:c>
      <x:c r="U15" s="10" t="str">
        <x:v>Cancelado</x:v>
      </x:c>
      <x:c r="V15" s="10" t="str">
        <x:v>UND004</x:v>
      </x:c>
    </x:row>
    <x:row r="16" ht="18" customHeight="1">
      <x:c r="A16" s="10" t="str">
        <x:v>PAG00015</x:v>
      </x:c>
      <x:c r="B16" s="10" t="str">
        <x:v>EMP003</x:v>
      </x:c>
      <x:c r="C16" s="10" t="str">
        <x:v>FOR002</x:v>
      </x:c>
      <x:c r="D16" s="10" t="str">
        <x:v>CC008</x:v>
      </x:c>
      <x:c r="E16" s="10" t="str">
        <x:v>CAT013</x:v>
      </x:c>
      <x:c r="F16" s="10" t="str">
        <x:v>CTA005</x:v>
      </x:c>
      <x:c r="G16" s="10" t="str">
        <x:v>NF-100015</x:v>
      </x:c>
      <x:c r="H16" s="10" t="str">
        <x:v>Contrato recorrente</x:v>
      </x:c>
      <x:c r="I16" s="16" t="n">
        <x:v>45941.44724983796</x:v>
      </x:c>
      <x:c r="J16" s="16" t="n">
        <x:v>45986.44724983796</x:v>
      </x:c>
      <x:c r="K16" s="16" t="n">
        <x:v>45994.44724983796</x:v>
      </x:c>
      <x:c r="L16" s="20" t="n">
        <x:v>62195.86</x:v>
      </x:c>
      <x:c r="M16" s="20" t="n">
        <x:v>348.3</x:v>
      </x:c>
      <x:c r="N16" s="20" t="n">
        <x:v>0</x:v>
      </x:c>
      <x:c r="O16" s="20" t="n">
        <x:v>62544.16</x:v>
      </x:c>
      <x:c r="P16" s="20" t="n">
        <x:v>0</x:v>
      </x:c>
      <x:c r="Q16" s="10" t="str">
        <x:v>Pago</x:v>
      </x:c>
      <x:c r="R16" s="10" t="str">
        <x:v>TED</x:v>
      </x:c>
      <x:c r="S16" s="10" t="str">
        <x:v>2025-10</x:v>
      </x:c>
      <x:c r="T16" s="10" t="n">
        <x:v>0</x:v>
      </x:c>
      <x:c r="U16" s="10" t="str">
        <x:v>Liquidado</x:v>
      </x:c>
      <x:c r="V16" s="10" t="str">
        <x:v>UND004</x:v>
      </x:c>
    </x:row>
    <x:row r="17" ht="18" customHeight="1">
      <x:c r="A17" s="10" t="str">
        <x:v>PAG00016</x:v>
      </x:c>
      <x:c r="B17" s="10" t="str">
        <x:v>EMP001</x:v>
      </x:c>
      <x:c r="C17" s="10" t="str">
        <x:v>FOR025</x:v>
      </x:c>
      <x:c r="D17" s="10" t="str">
        <x:v>CC005</x:v>
      </x:c>
      <x:c r="E17" s="10" t="str">
        <x:v>CAT015</x:v>
      </x:c>
      <x:c r="F17" s="10" t="str">
        <x:v>CTA002</x:v>
      </x:c>
      <x:c r="G17" s="10" t="str">
        <x:v>NF-100016</x:v>
      </x:c>
      <x:c r="H17" s="10" t="str">
        <x:v>Prestação de serviços</x:v>
      </x:c>
      <x:c r="I17" s="16" t="n">
        <x:v>45364.94533423611</x:v>
      </x:c>
      <x:c r="J17" s="16" t="n">
        <x:v>45379.94533423611</x:v>
      </x:c>
      <x:c r="K17" s="16" t="n">
        <x:v>45386.94533423611</x:v>
      </x:c>
      <x:c r="L17" s="20" t="n">
        <x:v>2541.2</x:v>
      </x:c>
      <x:c r="M17" s="20" t="n">
        <x:v>12.45</x:v>
      </x:c>
      <x:c r="N17" s="20" t="n">
        <x:v>0</x:v>
      </x:c>
      <x:c r="O17" s="20" t="n">
        <x:v>2553.65</x:v>
      </x:c>
      <x:c r="P17" s="20" t="n">
        <x:v>0</x:v>
      </x:c>
      <x:c r="Q17" s="10" t="str">
        <x:v>Pago</x:v>
      </x:c>
      <x:c r="R17" s="10" t="str">
        <x:v>Cartão Corporativo</x:v>
      </x:c>
      <x:c r="S17" s="10" t="str">
        <x:v>2024-03</x:v>
      </x:c>
      <x:c r="T17" s="10" t="n">
        <x:v>0</x:v>
      </x:c>
      <x:c r="U17" s="10" t="str">
        <x:v>Liquidado</x:v>
      </x:c>
      <x:c r="V17" s="10" t="str">
        <x:v>UND002</x:v>
      </x:c>
    </x:row>
    <x:row r="18" ht="18" customHeight="1">
      <x:c r="A18" s="10" t="str">
        <x:v>PAG00017</x:v>
      </x:c>
      <x:c r="B18" s="10" t="str">
        <x:v>EMP003</x:v>
      </x:c>
      <x:c r="C18" s="10" t="str">
        <x:v>FOR004</x:v>
      </x:c>
      <x:c r="D18" s="10" t="str">
        <x:v>CC006</x:v>
      </x:c>
      <x:c r="E18" s="10" t="str">
        <x:v>CAT011</x:v>
      </x:c>
      <x:c r="F18" s="10" t="str">
        <x:v>CTA006</x:v>
      </x:c>
      <x:c r="G18" s="10" t="str">
        <x:v>NF-100017</x:v>
      </x:c>
      <x:c r="H18" s="10" t="str">
        <x:v>Despesa operacional</x:v>
      </x:c>
      <x:c r="I18" s="16" t="n">
        <x:v>45715.34372971065</x:v>
      </x:c>
      <x:c r="J18" s="16" t="n">
        <x:v>45760.34372971065</x:v>
      </x:c>
      <x:c r="K18" s="16" t="n">
        <x:v>45758.34372971065</x:v>
      </x:c>
      <x:c r="L18" s="20" t="n">
        <x:v>86938.01</x:v>
      </x:c>
      <x:c r="M18" s="20" t="n">
        <x:v>0</x:v>
      </x:c>
      <x:c r="N18" s="20" t="n">
        <x:v>434.69</x:v>
      </x:c>
      <x:c r="O18" s="20" t="n">
        <x:v>86503.32</x:v>
      </x:c>
      <x:c r="P18" s="20" t="n">
        <x:v>0</x:v>
      </x:c>
      <x:c r="Q18" s="10" t="str">
        <x:v>Pago</x:v>
      </x:c>
      <x:c r="R18" s="10" t="str">
        <x:v>Boleto</x:v>
      </x:c>
      <x:c r="S18" s="10" t="str">
        <x:v>2025-02</x:v>
      </x:c>
      <x:c r="T18" s="10" t="n">
        <x:v>0</x:v>
      </x:c>
      <x:c r="U18" s="10" t="str">
        <x:v>Liquidado</x:v>
      </x:c>
      <x:c r="V18" s="10" t="str">
        <x:v>UND004</x:v>
      </x:c>
    </x:row>
    <x:row r="19" ht="18" customHeight="1">
      <x:c r="A19" s="10" t="str">
        <x:v>PAG00018</x:v>
      </x:c>
      <x:c r="B19" s="10" t="str">
        <x:v>EMP002</x:v>
      </x:c>
      <x:c r="C19" s="10" t="str">
        <x:v>FOR055</x:v>
      </x:c>
      <x:c r="D19" s="10" t="str">
        <x:v>CC003</x:v>
      </x:c>
      <x:c r="E19" s="10" t="str">
        <x:v>CAT007</x:v>
      </x:c>
      <x:c r="F19" s="10" t="str">
        <x:v>CTA004</x:v>
      </x:c>
      <x:c r="G19" s="10" t="str">
        <x:v>NF-100018</x:v>
      </x:c>
      <x:c r="H19" s="10" t="str">
        <x:v>Tributos e taxas</x:v>
      </x:c>
      <x:c r="I19" s="16" t="n">
        <x:v>45683.65321142361</x:v>
      </x:c>
      <x:c r="J19" s="16" t="n">
        <x:v>45698.65321142361</x:v>
      </x:c>
      <x:c r="K19" s="16" t="n">
        <x:v>45694.65321142361</x:v>
      </x:c>
      <x:c r="L19" s="20" t="n">
        <x:v>97523.11</x:v>
      </x:c>
      <x:c r="M19" s="20" t="n">
        <x:v>0</x:v>
      </x:c>
      <x:c r="N19" s="20" t="n">
        <x:v>487.62</x:v>
      </x:c>
      <x:c r="O19" s="20" t="n">
        <x:v>97035.49</x:v>
      </x:c>
      <x:c r="P19" s="20" t="n">
        <x:v>0</x:v>
      </x:c>
      <x:c r="Q19" s="10" t="str">
        <x:v>Pago</x:v>
      </x:c>
      <x:c r="R19" s="10" t="str">
        <x:v>TED</x:v>
      </x:c>
      <x:c r="S19" s="10" t="str">
        <x:v>2025-01</x:v>
      </x:c>
      <x:c r="T19" s="10" t="n">
        <x:v>0</x:v>
      </x:c>
      <x:c r="U19" s="10" t="str">
        <x:v>Liquidado</x:v>
      </x:c>
      <x:c r="V19" s="10" t="str">
        <x:v>UND003</x:v>
      </x:c>
    </x:row>
    <x:row r="20" ht="18" customHeight="1">
      <x:c r="A20" s="10" t="str">
        <x:v>PAG00019</x:v>
      </x:c>
      <x:c r="B20" s="10" t="str">
        <x:v>EMP001</x:v>
      </x:c>
      <x:c r="C20" s="10" t="str">
        <x:v>FOR035</x:v>
      </x:c>
      <x:c r="D20" s="10" t="str">
        <x:v>CC005</x:v>
      </x:c>
      <x:c r="E20" s="10" t="str">
        <x:v>CAT011</x:v>
      </x:c>
      <x:c r="F20" s="10" t="str">
        <x:v>CTA001</x:v>
      </x:c>
      <x:c r="G20" s="10" t="str">
        <x:v>NF-100019</x:v>
      </x:c>
      <x:c r="H20" s="10" t="str">
        <x:v>Compra de materiais</x:v>
      </x:c>
      <x:c r="I20" s="16" t="n">
        <x:v>45576.38571372685</x:v>
      </x:c>
      <x:c r="J20" s="16" t="n">
        <x:v>45636.38571372685</x:v>
      </x:c>
      <x:c r="K20" s="16" t="n">
        <x:v>45635.38571372685</x:v>
      </x:c>
      <x:c r="L20" s="20" t="n">
        <x:v>69496.53</x:v>
      </x:c>
      <x:c r="M20" s="20" t="n">
        <x:v>0</x:v>
      </x:c>
      <x:c r="N20" s="20" t="n">
        <x:v>694.97</x:v>
      </x:c>
      <x:c r="O20" s="20" t="n">
        <x:v>68801.56</x:v>
      </x:c>
      <x:c r="P20" s="20" t="n">
        <x:v>0</x:v>
      </x:c>
      <x:c r="Q20" s="10" t="str">
        <x:v>Pago</x:v>
      </x:c>
      <x:c r="R20" s="10" t="str">
        <x:v>Débito Automático</x:v>
      </x:c>
      <x:c r="S20" s="10" t="str">
        <x:v>2024-10</x:v>
      </x:c>
      <x:c r="T20" s="10" t="n">
        <x:v>0</x:v>
      </x:c>
      <x:c r="U20" s="10" t="str">
        <x:v>Liquidado</x:v>
      </x:c>
      <x:c r="V20" s="10" t="str">
        <x:v>UND002</x:v>
      </x:c>
    </x:row>
    <x:row r="21" ht="18" customHeight="1">
      <x:c r="A21" s="10" t="str">
        <x:v>PAG00020</x:v>
      </x:c>
      <x:c r="B21" s="10" t="str">
        <x:v>EMP001</x:v>
      </x:c>
      <x:c r="C21" s="10" t="str">
        <x:v>FOR042</x:v>
      </x:c>
      <x:c r="D21" s="10" t="str">
        <x:v>CC008</x:v>
      </x:c>
      <x:c r="E21" s="10" t="str">
        <x:v>CAT017</x:v>
      </x:c>
      <x:c r="F21" s="10" t="str">
        <x:v>CTA002</x:v>
      </x:c>
      <x:c r="G21" s="10" t="str">
        <x:v>NF-100020</x:v>
      </x:c>
      <x:c r="H21" s="10" t="str">
        <x:v>Despesa operacional</x:v>
      </x:c>
      <x:c r="I21" s="16" t="n">
        <x:v>45822.953140833335</x:v>
      </x:c>
      <x:c r="J21" s="16" t="n">
        <x:v>45842.953140833335</x:v>
      </x:c>
      <x:c r="K21" s="16" t="n">
        <x:v>45851.953140833335</x:v>
      </x:c>
      <x:c r="L21" s="20" t="n">
        <x:v>75625.97</x:v>
      </x:c>
      <x:c r="M21" s="20" t="n">
        <x:v>476.44</x:v>
      </x:c>
      <x:c r="N21" s="20" t="n">
        <x:v>0</x:v>
      </x:c>
      <x:c r="O21" s="20" t="n">
        <x:v>76102.41</x:v>
      </x:c>
      <x:c r="P21" s="20" t="n">
        <x:v>0</x:v>
      </x:c>
      <x:c r="Q21" s="10" t="str">
        <x:v>Pago</x:v>
      </x:c>
      <x:c r="R21" s="10" t="str">
        <x:v>TED</x:v>
      </x:c>
      <x:c r="S21" s="10" t="str">
        <x:v>2025-06</x:v>
      </x:c>
      <x:c r="T21" s="10" t="n">
        <x:v>0</x:v>
      </x:c>
      <x:c r="U21" s="10" t="str">
        <x:v>Liquidado</x:v>
      </x:c>
      <x:c r="V21" s="10" t="str">
        <x:v>UND002</x:v>
      </x:c>
    </x:row>
    <x:row r="22" ht="18" customHeight="1">
      <x:c r="A22" s="10" t="str">
        <x:v>PAG00021</x:v>
      </x:c>
      <x:c r="B22" s="10" t="str">
        <x:v>EMP002</x:v>
      </x:c>
      <x:c r="C22" s="10" t="str">
        <x:v>FOR003</x:v>
      </x:c>
      <x:c r="D22" s="10" t="str">
        <x:v>CC005</x:v>
      </x:c>
      <x:c r="E22" s="10" t="str">
        <x:v>CAT010</x:v>
      </x:c>
      <x:c r="F22" s="10" t="str">
        <x:v>CTA003</x:v>
      </x:c>
      <x:c r="G22" s="10" t="str">
        <x:v>NF-100021</x:v>
      </x:c>
      <x:c r="H22" s="10" t="str">
        <x:v>Tributos e taxas</x:v>
      </x:c>
      <x:c r="I22" s="16" t="n">
        <x:v>45737.21060885417</x:v>
      </x:c>
      <x:c r="J22" s="16" t="n">
        <x:v>45782.21060885417</x:v>
      </x:c>
      <x:c r="K22" s="16" t="n">
        <x:v>45778.21060885417</x:v>
      </x:c>
      <x:c r="L22" s="20" t="n">
        <x:v>614.77</x:v>
      </x:c>
      <x:c r="M22" s="20" t="n">
        <x:v>0</x:v>
      </x:c>
      <x:c r="N22" s="20" t="n">
        <x:v>0</x:v>
      </x:c>
      <x:c r="O22" s="20" t="n">
        <x:v>614.77</x:v>
      </x:c>
      <x:c r="P22" s="20" t="n">
        <x:v>0</x:v>
      </x:c>
      <x:c r="Q22" s="10" t="str">
        <x:v>Pago</x:v>
      </x:c>
      <x:c r="R22" s="10" t="str">
        <x:v>Boleto</x:v>
      </x:c>
      <x:c r="S22" s="10" t="str">
        <x:v>2025-03</x:v>
      </x:c>
      <x:c r="T22" s="10" t="n">
        <x:v>0</x:v>
      </x:c>
      <x:c r="U22" s="10" t="str">
        <x:v>Liquidado</x:v>
      </x:c>
      <x:c r="V22" s="10" t="str">
        <x:v>UND003</x:v>
      </x:c>
    </x:row>
    <x:row r="23" ht="18" customHeight="1">
      <x:c r="A23" s="10" t="str">
        <x:v>PAG00022</x:v>
      </x:c>
      <x:c r="B23" s="10" t="str">
        <x:v>EMP001</x:v>
      </x:c>
      <x:c r="C23" s="10" t="str">
        <x:v>FOR028</x:v>
      </x:c>
      <x:c r="D23" s="10" t="str">
        <x:v>CC004</x:v>
      </x:c>
      <x:c r="E23" s="10" t="str">
        <x:v>CAT007</x:v>
      </x:c>
      <x:c r="F23" s="10" t="str">
        <x:v>CTA001</x:v>
      </x:c>
      <x:c r="G23" s="10" t="str">
        <x:v>NF-100022</x:v>
      </x:c>
      <x:c r="H23" s="10" t="str">
        <x:v>Prestação de serviços</x:v>
      </x:c>
      <x:c r="I23" s="16" t="n">
        <x:v>45669.5004421875</x:v>
      </x:c>
      <x:c r="J23" s="16" t="n">
        <x:v>45684.5004421875</x:v>
      </x:c>
      <x:c r="K23" s="16"/>
      <x:c r="L23" s="20" t="n">
        <x:v>40797.6</x:v>
      </x:c>
      <x:c r="M23" s="20" t="n">
        <x:v>0</x:v>
      </x:c>
      <x:c r="N23" s="20" t="n">
        <x:v>0</x:v>
      </x:c>
      <x:c r="O23" s="20" t="n">
        <x:v>0</x:v>
      </x:c>
      <x:c r="P23" s="20" t="n">
        <x:v>40797.6</x:v>
      </x:c>
      <x:c r="Q23" s="10" t="str">
        <x:v>Vencido</x:v>
      </x:c>
      <x:c r="R23" s="10" t="str">
        <x:v>TED</x:v>
      </x:c>
      <x:c r="S23" s="10" t="str">
        <x:v>2025-01</x:v>
      </x:c>
      <x:c r="T23" s="10" t="n">
        <x:v>337</x:v>
      </x:c>
      <x:c r="U23" s="10" t="str">
        <x:v>&gt; 120 dias</x:v>
      </x:c>
      <x:c r="V23" s="10" t="str">
        <x:v>UND002</x:v>
      </x:c>
    </x:row>
    <x:row r="24" ht="18" customHeight="1">
      <x:c r="A24" s="10" t="str">
        <x:v>PAG00023</x:v>
      </x:c>
      <x:c r="B24" s="10" t="str">
        <x:v>EMP001</x:v>
      </x:c>
      <x:c r="C24" s="10" t="str">
        <x:v>FOR037</x:v>
      </x:c>
      <x:c r="D24" s="10" t="str">
        <x:v>CC003</x:v>
      </x:c>
      <x:c r="E24" s="10" t="str">
        <x:v>CAT008</x:v>
      </x:c>
      <x:c r="F24" s="10" t="str">
        <x:v>CTA001</x:v>
      </x:c>
      <x:c r="G24" s="10" t="str">
        <x:v>NF-100023</x:v>
      </x:c>
      <x:c r="H24" s="10" t="str">
        <x:v>Prestação de serviços</x:v>
      </x:c>
      <x:c r="I24" s="16" t="n">
        <x:v>45914.028937152776</x:v>
      </x:c>
      <x:c r="J24" s="16" t="n">
        <x:v>45942.028937152776</x:v>
      </x:c>
      <x:c r="K24" s="16" t="n">
        <x:v>45950.028937152776</x:v>
      </x:c>
      <x:c r="L24" s="20" t="n">
        <x:v>38646.2</x:v>
      </x:c>
      <x:c r="M24" s="20" t="n">
        <x:v>216.42</x:v>
      </x:c>
      <x:c r="N24" s="20" t="n">
        <x:v>0</x:v>
      </x:c>
      <x:c r="O24" s="20" t="n">
        <x:v>38862.62</x:v>
      </x:c>
      <x:c r="P24" s="20" t="n">
        <x:v>0</x:v>
      </x:c>
      <x:c r="Q24" s="10" t="str">
        <x:v>Pago</x:v>
      </x:c>
      <x:c r="R24" s="10" t="str">
        <x:v>Boleto</x:v>
      </x:c>
      <x:c r="S24" s="10" t="str">
        <x:v>2025-09</x:v>
      </x:c>
      <x:c r="T24" s="10" t="n">
        <x:v>0</x:v>
      </x:c>
      <x:c r="U24" s="10" t="str">
        <x:v>Liquidado</x:v>
      </x:c>
      <x:c r="V24" s="10" t="str">
        <x:v>UND002</x:v>
      </x:c>
    </x:row>
    <x:row r="25" ht="18" customHeight="1">
      <x:c r="A25" s="10" t="str">
        <x:v>PAG00024</x:v>
      </x:c>
      <x:c r="B25" s="10" t="str">
        <x:v>EMP002</x:v>
      </x:c>
      <x:c r="C25" s="10" t="str">
        <x:v>FOR029</x:v>
      </x:c>
      <x:c r="D25" s="10" t="str">
        <x:v>CC001</x:v>
      </x:c>
      <x:c r="E25" s="10" t="str">
        <x:v>CAT010</x:v>
      </x:c>
      <x:c r="F25" s="10" t="str">
        <x:v>CTA003</x:v>
      </x:c>
      <x:c r="G25" s="10" t="str">
        <x:v>NF-100024</x:v>
      </x:c>
      <x:c r="H25" s="10" t="str">
        <x:v>Prestação de serviços</x:v>
      </x:c>
      <x:c r="I25" s="16" t="n">
        <x:v>45324.022797199075</x:v>
      </x:c>
      <x:c r="J25" s="16" t="n">
        <x:v>45339.022797199075</x:v>
      </x:c>
      <x:c r="K25" s="16" t="n">
        <x:v>45334.022797199075</x:v>
      </x:c>
      <x:c r="L25" s="20" t="n">
        <x:v>20552.94</x:v>
      </x:c>
      <x:c r="M25" s="20" t="n">
        <x:v>0</x:v>
      </x:c>
      <x:c r="N25" s="20" t="n">
        <x:v>0</x:v>
      </x:c>
      <x:c r="O25" s="20" t="n">
        <x:v>20552.94</x:v>
      </x:c>
      <x:c r="P25" s="20" t="n">
        <x:v>0</x:v>
      </x:c>
      <x:c r="Q25" s="10" t="str">
        <x:v>Pago</x:v>
      </x:c>
      <x:c r="R25" s="10" t="str">
        <x:v>PIX</x:v>
      </x:c>
      <x:c r="S25" s="10" t="str">
        <x:v>2024-02</x:v>
      </x:c>
      <x:c r="T25" s="10" t="n">
        <x:v>0</x:v>
      </x:c>
      <x:c r="U25" s="10" t="str">
        <x:v>Liquidado</x:v>
      </x:c>
      <x:c r="V25" s="10" t="str">
        <x:v>UND003</x:v>
      </x:c>
    </x:row>
    <x:row r="26" ht="18" customHeight="1">
      <x:c r="A26" s="10" t="str">
        <x:v>PAG00025</x:v>
      </x:c>
      <x:c r="B26" s="10" t="str">
        <x:v>EMP001</x:v>
      </x:c>
      <x:c r="C26" s="10" t="str">
        <x:v>FOR035</x:v>
      </x:c>
      <x:c r="D26" s="10" t="str">
        <x:v>CC004</x:v>
      </x:c>
      <x:c r="E26" s="10" t="str">
        <x:v>CAT005</x:v>
      </x:c>
      <x:c r="F26" s="10" t="str">
        <x:v>CTA001</x:v>
      </x:c>
      <x:c r="G26" s="10" t="str">
        <x:v>NF-100025</x:v>
      </x:c>
      <x:c r="H26" s="10" t="str">
        <x:v>Compra de materiais</x:v>
      </x:c>
      <x:c r="I26" s="16" t="n">
        <x:v>45830.60560502315</x:v>
      </x:c>
      <x:c r="J26" s="16" t="n">
        <x:v>45860.60560502315</x:v>
      </x:c>
      <x:c r="K26" s="16" t="n">
        <x:v>45856.60560502315</x:v>
      </x:c>
      <x:c r="L26" s="20" t="n">
        <x:v>70899.62</x:v>
      </x:c>
      <x:c r="M26" s="20" t="n">
        <x:v>0</x:v>
      </x:c>
      <x:c r="N26" s="20" t="n">
        <x:v>0</x:v>
      </x:c>
      <x:c r="O26" s="20" t="n">
        <x:v>70899.62</x:v>
      </x:c>
      <x:c r="P26" s="20" t="n">
        <x:v>0</x:v>
      </x:c>
      <x:c r="Q26" s="10" t="str">
        <x:v>Pago</x:v>
      </x:c>
      <x:c r="R26" s="10" t="str">
        <x:v>Débito Automático</x:v>
      </x:c>
      <x:c r="S26" s="10" t="str">
        <x:v>2025-06</x:v>
      </x:c>
      <x:c r="T26" s="10" t="n">
        <x:v>0</x:v>
      </x:c>
      <x:c r="U26" s="10" t="str">
        <x:v>Liquidado</x:v>
      </x:c>
      <x:c r="V26" s="10" t="str">
        <x:v>UND002</x:v>
      </x:c>
    </x:row>
    <x:row r="27" ht="18" customHeight="1">
      <x:c r="A27" s="10" t="str">
        <x:v>PAG00026</x:v>
      </x:c>
      <x:c r="B27" s="10" t="str">
        <x:v>EMP001</x:v>
      </x:c>
      <x:c r="C27" s="10" t="str">
        <x:v>FOR021</x:v>
      </x:c>
      <x:c r="D27" s="10" t="str">
        <x:v>CC005</x:v>
      </x:c>
      <x:c r="E27" s="10" t="str">
        <x:v>CAT012</x:v>
      </x:c>
      <x:c r="F27" s="10" t="str">
        <x:v>CTA002</x:v>
      </x:c>
      <x:c r="G27" s="10" t="str">
        <x:v>NF-100026</x:v>
      </x:c>
      <x:c r="H27" s="10" t="str">
        <x:v>Prestação de serviços</x:v>
      </x:c>
      <x:c r="I27" s="16" t="n">
        <x:v>45635.1932358912</x:v>
      </x:c>
      <x:c r="J27" s="16" t="n">
        <x:v>45655.1932358912</x:v>
      </x:c>
      <x:c r="K27" s="16" t="n">
        <x:v>45650.1932358912</x:v>
      </x:c>
      <x:c r="L27" s="20" t="n">
        <x:v>35661.69</x:v>
      </x:c>
      <x:c r="M27" s="20" t="n">
        <x:v>0</x:v>
      </x:c>
      <x:c r="N27" s="20" t="n">
        <x:v>178.31</x:v>
      </x:c>
      <x:c r="O27" s="20" t="n">
        <x:v>35483.38</x:v>
      </x:c>
      <x:c r="P27" s="20" t="n">
        <x:v>0</x:v>
      </x:c>
      <x:c r="Q27" s="10" t="str">
        <x:v>Pago</x:v>
      </x:c>
      <x:c r="R27" s="10" t="str">
        <x:v>Boleto</x:v>
      </x:c>
      <x:c r="S27" s="10" t="str">
        <x:v>2024-12</x:v>
      </x:c>
      <x:c r="T27" s="10" t="n">
        <x:v>0</x:v>
      </x:c>
      <x:c r="U27" s="10" t="str">
        <x:v>Liquidado</x:v>
      </x:c>
      <x:c r="V27" s="10" t="str">
        <x:v>UND002</x:v>
      </x:c>
    </x:row>
    <x:row r="28" ht="18" customHeight="1">
      <x:c r="A28" s="10" t="str">
        <x:v>PAG00027</x:v>
      </x:c>
      <x:c r="B28" s="10" t="str">
        <x:v>EMP003</x:v>
      </x:c>
      <x:c r="C28" s="10" t="str">
        <x:v>FOR053</x:v>
      </x:c>
      <x:c r="D28" s="10" t="str">
        <x:v>CC003</x:v>
      </x:c>
      <x:c r="E28" s="10" t="str">
        <x:v>CAT009</x:v>
      </x:c>
      <x:c r="F28" s="10" t="str">
        <x:v>CTA006</x:v>
      </x:c>
      <x:c r="G28" s="10" t="str">
        <x:v>NF-100027</x:v>
      </x:c>
      <x:c r="H28" s="10" t="str">
        <x:v>Despesa operacional</x:v>
      </x:c>
      <x:c r="I28" s="16" t="n">
        <x:v>45391.87169190972</x:v>
      </x:c>
      <x:c r="J28" s="16" t="n">
        <x:v>45451.87169190972</x:v>
      </x:c>
      <x:c r="K28" s="16"/>
      <x:c r="L28" s="20" t="n">
        <x:v>36089.46</x:v>
      </x:c>
      <x:c r="M28" s="20" t="n">
        <x:v>0</x:v>
      </x:c>
      <x:c r="N28" s="20" t="n">
        <x:v>0</x:v>
      </x:c>
      <x:c r="O28" s="20" t="n">
        <x:v>0</x:v>
      </x:c>
      <x:c r="P28" s="20" t="n">
        <x:v>36089.46</x:v>
      </x:c>
      <x:c r="Q28" s="10" t="str">
        <x:v>Vencido</x:v>
      </x:c>
      <x:c r="R28" s="10" t="str">
        <x:v>Débito Automático</x:v>
      </x:c>
      <x:c r="S28" s="10" t="str">
        <x:v>2024-04</x:v>
      </x:c>
      <x:c r="T28" s="10" t="n">
        <x:v>570</x:v>
      </x:c>
      <x:c r="U28" s="10" t="str">
        <x:v>&gt; 120 dias</x:v>
      </x:c>
      <x:c r="V28" s="10" t="str">
        <x:v>UND004</x:v>
      </x:c>
    </x:row>
    <x:row r="29" ht="18" customHeight="1">
      <x:c r="A29" s="10" t="str">
        <x:v>PAG00028</x:v>
      </x:c>
      <x:c r="B29" s="10" t="str">
        <x:v>EMP001</x:v>
      </x:c>
      <x:c r="C29" s="10" t="str">
        <x:v>FOR027</x:v>
      </x:c>
      <x:c r="D29" s="10" t="str">
        <x:v>CC003</x:v>
      </x:c>
      <x:c r="E29" s="10" t="str">
        <x:v>CAT013</x:v>
      </x:c>
      <x:c r="F29" s="10" t="str">
        <x:v>CTA001</x:v>
      </x:c>
      <x:c r="G29" s="10" t="str">
        <x:v>NF-100028</x:v>
      </x:c>
      <x:c r="H29" s="10" t="str">
        <x:v>Contrato recorrente</x:v>
      </x:c>
      <x:c r="I29" s="16" t="n">
        <x:v>45402.57208515047</x:v>
      </x:c>
      <x:c r="J29" s="16" t="n">
        <x:v>45422.57208515047</x:v>
      </x:c>
      <x:c r="K29" s="16" t="n">
        <x:v>45428.57208515047</x:v>
      </x:c>
      <x:c r="L29" s="20" t="n">
        <x:v>45957.27</x:v>
      </x:c>
      <x:c r="M29" s="20" t="n">
        <x:v>193.02</x:v>
      </x:c>
      <x:c r="N29" s="20" t="n">
        <x:v>0</x:v>
      </x:c>
      <x:c r="O29" s="20" t="n">
        <x:v>46150.29</x:v>
      </x:c>
      <x:c r="P29" s="20" t="n">
        <x:v>0</x:v>
      </x:c>
      <x:c r="Q29" s="10" t="str">
        <x:v>Pago</x:v>
      </x:c>
      <x:c r="R29" s="10" t="str">
        <x:v>PIX</x:v>
      </x:c>
      <x:c r="S29" s="10" t="str">
        <x:v>2024-04</x:v>
      </x:c>
      <x:c r="T29" s="10" t="n">
        <x:v>0</x:v>
      </x:c>
      <x:c r="U29" s="10" t="str">
        <x:v>Liquidado</x:v>
      </x:c>
      <x:c r="V29" s="10" t="str">
        <x:v>UND001</x:v>
      </x:c>
    </x:row>
    <x:row r="30" ht="18" customHeight="1">
      <x:c r="A30" s="10" t="str">
        <x:v>PAG00029</x:v>
      </x:c>
      <x:c r="B30" s="10" t="str">
        <x:v>EMP002</x:v>
      </x:c>
      <x:c r="C30" s="10" t="str">
        <x:v>FOR001</x:v>
      </x:c>
      <x:c r="D30" s="10" t="str">
        <x:v>CC003</x:v>
      </x:c>
      <x:c r="E30" s="10" t="str">
        <x:v>CAT011</x:v>
      </x:c>
      <x:c r="F30" s="10" t="str">
        <x:v>CTA003</x:v>
      </x:c>
      <x:c r="G30" s="10" t="str">
        <x:v>NF-100029</x:v>
      </x:c>
      <x:c r="H30" s="10" t="str">
        <x:v>Despesa operacional</x:v>
      </x:c>
      <x:c r="I30" s="16" t="n">
        <x:v>45925.51049208333</x:v>
      </x:c>
      <x:c r="J30" s="16" t="n">
        <x:v>45940.51049208333</x:v>
      </x:c>
      <x:c r="K30" s="16" t="n">
        <x:v>45935.51049208333</x:v>
      </x:c>
      <x:c r="L30" s="20" t="n">
        <x:v>19179.66</x:v>
      </x:c>
      <x:c r="M30" s="20" t="n">
        <x:v>0</x:v>
      </x:c>
      <x:c r="N30" s="20" t="n">
        <x:v>0</x:v>
      </x:c>
      <x:c r="O30" s="20" t="n">
        <x:v>19179.66</x:v>
      </x:c>
      <x:c r="P30" s="20" t="n">
        <x:v>0</x:v>
      </x:c>
      <x:c r="Q30" s="10" t="str">
        <x:v>Pago</x:v>
      </x:c>
      <x:c r="R30" s="10" t="str">
        <x:v>Cartão Corporativo</x:v>
      </x:c>
      <x:c r="S30" s="10" t="str">
        <x:v>2025-09</x:v>
      </x:c>
      <x:c r="T30" s="10" t="n">
        <x:v>0</x:v>
      </x:c>
      <x:c r="U30" s="10" t="str">
        <x:v>Liquidado</x:v>
      </x:c>
      <x:c r="V30" s="10" t="str">
        <x:v>UND003</x:v>
      </x:c>
    </x:row>
    <x:row r="31" ht="18" customHeight="1">
      <x:c r="A31" s="10" t="str">
        <x:v>PAG00030</x:v>
      </x:c>
      <x:c r="B31" s="10" t="str">
        <x:v>EMP002</x:v>
      </x:c>
      <x:c r="C31" s="10" t="str">
        <x:v>FOR012</x:v>
      </x:c>
      <x:c r="D31" s="10" t="str">
        <x:v>CC007</x:v>
      </x:c>
      <x:c r="E31" s="10" t="str">
        <x:v>CAT012</x:v>
      </x:c>
      <x:c r="F31" s="10" t="str">
        <x:v>CTA003</x:v>
      </x:c>
      <x:c r="G31" s="10" t="str">
        <x:v>NF-100030</x:v>
      </x:c>
      <x:c r="H31" s="10" t="str">
        <x:v>Prestação de serviços</x:v>
      </x:c>
      <x:c r="I31" s="16" t="n">
        <x:v>45407.811534872686</x:v>
      </x:c>
      <x:c r="J31" s="16" t="n">
        <x:v>45467.811534872686</x:v>
      </x:c>
      <x:c r="K31" s="16" t="n">
        <x:v>45469.811534872686</x:v>
      </x:c>
      <x:c r="L31" s="20" t="n">
        <x:v>33519.19</x:v>
      </x:c>
      <x:c r="M31" s="20" t="n">
        <x:v>46.93</x:v>
      </x:c>
      <x:c r="N31" s="20" t="n">
        <x:v>0</x:v>
      </x:c>
      <x:c r="O31" s="20" t="n">
        <x:v>33566.12</x:v>
      </x:c>
      <x:c r="P31" s="20" t="n">
        <x:v>0</x:v>
      </x:c>
      <x:c r="Q31" s="10" t="str">
        <x:v>Pago</x:v>
      </x:c>
      <x:c r="R31" s="10" t="str">
        <x:v>Débito Automático</x:v>
      </x:c>
      <x:c r="S31" s="10" t="str">
        <x:v>2024-04</x:v>
      </x:c>
      <x:c r="T31" s="10" t="n">
        <x:v>0</x:v>
      </x:c>
      <x:c r="U31" s="10" t="str">
        <x:v>Liquidado</x:v>
      </x:c>
      <x:c r="V31" s="10" t="str">
        <x:v>UND003</x:v>
      </x:c>
    </x:row>
    <x:row r="32" ht="18" customHeight="1">
      <x:c r="A32" s="10" t="str">
        <x:v>PAG00031</x:v>
      </x:c>
      <x:c r="B32" s="10" t="str">
        <x:v>EMP001</x:v>
      </x:c>
      <x:c r="C32" s="10" t="str">
        <x:v>FOR002</x:v>
      </x:c>
      <x:c r="D32" s="10" t="str">
        <x:v>CC008</x:v>
      </x:c>
      <x:c r="E32" s="10" t="str">
        <x:v>CAT014</x:v>
      </x:c>
      <x:c r="F32" s="10" t="str">
        <x:v>CTA001</x:v>
      </x:c>
      <x:c r="G32" s="10" t="str">
        <x:v>NF-100031</x:v>
      </x:c>
      <x:c r="H32" s="10" t="str">
        <x:v>Contrato recorrente</x:v>
      </x:c>
      <x:c r="I32" s="16" t="n">
        <x:v>45742.964534756946</x:v>
      </x:c>
      <x:c r="J32" s="16" t="n">
        <x:v>45762.964534756946</x:v>
      </x:c>
      <x:c r="K32" s="16" t="n">
        <x:v>45757.964534756946</x:v>
      </x:c>
      <x:c r="L32" s="20" t="n">
        <x:v>7335.91</x:v>
      </x:c>
      <x:c r="M32" s="20" t="n">
        <x:v>0</x:v>
      </x:c>
      <x:c r="N32" s="20" t="n">
        <x:v>36.68</x:v>
      </x:c>
      <x:c r="O32" s="20" t="n">
        <x:v>7299.23</x:v>
      </x:c>
      <x:c r="P32" s="20" t="n">
        <x:v>0</x:v>
      </x:c>
      <x:c r="Q32" s="10" t="str">
        <x:v>Pago</x:v>
      </x:c>
      <x:c r="R32" s="10" t="str">
        <x:v>PIX</x:v>
      </x:c>
      <x:c r="S32" s="10" t="str">
        <x:v>2025-03</x:v>
      </x:c>
      <x:c r="T32" s="10" t="n">
        <x:v>0</x:v>
      </x:c>
      <x:c r="U32" s="10" t="str">
        <x:v>Liquidado</x:v>
      </x:c>
      <x:c r="V32" s="10" t="str">
        <x:v>UND001</x:v>
      </x:c>
    </x:row>
    <x:row r="33" ht="18" customHeight="1">
      <x:c r="A33" s="10" t="str">
        <x:v>PAG00032</x:v>
      </x:c>
      <x:c r="B33" s="10" t="str">
        <x:v>EMP003</x:v>
      </x:c>
      <x:c r="C33" s="10" t="str">
        <x:v>FOR027</x:v>
      </x:c>
      <x:c r="D33" s="10" t="str">
        <x:v>CC006</x:v>
      </x:c>
      <x:c r="E33" s="10" t="str">
        <x:v>CAT010</x:v>
      </x:c>
      <x:c r="F33" s="10" t="str">
        <x:v>CTA006</x:v>
      </x:c>
      <x:c r="G33" s="10" t="str">
        <x:v>NF-100032</x:v>
      </x:c>
      <x:c r="H33" s="10" t="str">
        <x:v>Contrato recorrente</x:v>
      </x:c>
      <x:c r="I33" s="16" t="n">
        <x:v>45744.9019225</x:v>
      </x:c>
      <x:c r="J33" s="16" t="n">
        <x:v>45774.9019225</x:v>
      </x:c>
      <x:c r="K33" s="16" t="n">
        <x:v>45774.9019225</x:v>
      </x:c>
      <x:c r="L33" s="20" t="n">
        <x:v>26898.5</x:v>
      </x:c>
      <x:c r="M33" s="20" t="n">
        <x:v>0</x:v>
      </x:c>
      <x:c r="N33" s="20" t="n">
        <x:v>0</x:v>
      </x:c>
      <x:c r="O33" s="20" t="n">
        <x:v>26898.5</x:v>
      </x:c>
      <x:c r="P33" s="20" t="n">
        <x:v>0</x:v>
      </x:c>
      <x:c r="Q33" s="10" t="str">
        <x:v>Pago</x:v>
      </x:c>
      <x:c r="R33" s="10" t="str">
        <x:v>Boleto</x:v>
      </x:c>
      <x:c r="S33" s="10" t="str">
        <x:v>2025-03</x:v>
      </x:c>
      <x:c r="T33" s="10" t="n">
        <x:v>0</x:v>
      </x:c>
      <x:c r="U33" s="10" t="str">
        <x:v>Liquidado</x:v>
      </x:c>
      <x:c r="V33" s="10" t="str">
        <x:v>UND004</x:v>
      </x:c>
    </x:row>
    <x:row r="34" ht="18" customHeight="1">
      <x:c r="A34" s="10" t="str">
        <x:v>PAG00033</x:v>
      </x:c>
      <x:c r="B34" s="10" t="str">
        <x:v>EMP001</x:v>
      </x:c>
      <x:c r="C34" s="10" t="str">
        <x:v>FOR019</x:v>
      </x:c>
      <x:c r="D34" s="10" t="str">
        <x:v>CC005</x:v>
      </x:c>
      <x:c r="E34" s="10" t="str">
        <x:v>CAT008</x:v>
      </x:c>
      <x:c r="F34" s="10" t="str">
        <x:v>CTA001</x:v>
      </x:c>
      <x:c r="G34" s="10" t="str">
        <x:v>NF-100033</x:v>
      </x:c>
      <x:c r="H34" s="10" t="str">
        <x:v>Tributos e taxas</x:v>
      </x:c>
      <x:c r="I34" s="16" t="n">
        <x:v>45817.48474763889</x:v>
      </x:c>
      <x:c r="J34" s="16" t="n">
        <x:v>45847.48474763889</x:v>
      </x:c>
      <x:c r="K34" s="16" t="n">
        <x:v>45842.48474763889</x:v>
      </x:c>
      <x:c r="L34" s="20" t="n">
        <x:v>90530.95</x:v>
      </x:c>
      <x:c r="M34" s="20" t="n">
        <x:v>0</x:v>
      </x:c>
      <x:c r="N34" s="20" t="n">
        <x:v>0</x:v>
      </x:c>
      <x:c r="O34" s="20" t="n">
        <x:v>90530.95</x:v>
      </x:c>
      <x:c r="P34" s="20" t="n">
        <x:v>0</x:v>
      </x:c>
      <x:c r="Q34" s="10" t="str">
        <x:v>Pago</x:v>
      </x:c>
      <x:c r="R34" s="10" t="str">
        <x:v>PIX</x:v>
      </x:c>
      <x:c r="S34" s="10" t="str">
        <x:v>2025-06</x:v>
      </x:c>
      <x:c r="T34" s="10" t="n">
        <x:v>0</x:v>
      </x:c>
      <x:c r="U34" s="10" t="str">
        <x:v>Liquidado</x:v>
      </x:c>
      <x:c r="V34" s="10" t="str">
        <x:v>UND002</x:v>
      </x:c>
    </x:row>
    <x:row r="35" ht="18" customHeight="1">
      <x:c r="A35" s="10" t="str">
        <x:v>PAG00034</x:v>
      </x:c>
      <x:c r="B35" s="10" t="str">
        <x:v>EMP002</x:v>
      </x:c>
      <x:c r="C35" s="10" t="str">
        <x:v>FOR011</x:v>
      </x:c>
      <x:c r="D35" s="10" t="str">
        <x:v>CC002</x:v>
      </x:c>
      <x:c r="E35" s="10" t="str">
        <x:v>CAT010</x:v>
      </x:c>
      <x:c r="F35" s="10" t="str">
        <x:v>CTA003</x:v>
      </x:c>
      <x:c r="G35" s="10" t="str">
        <x:v>NF-100034</x:v>
      </x:c>
      <x:c r="H35" s="10" t="str">
        <x:v>Compra de materiais</x:v>
      </x:c>
      <x:c r="I35" s="16" t="n">
        <x:v>45583.208420636576</x:v>
      </x:c>
      <x:c r="J35" s="16" t="n">
        <x:v>45598.208420636576</x:v>
      </x:c>
      <x:c r="K35" s="16" t="n">
        <x:v>45596.208420636576</x:v>
      </x:c>
      <x:c r="L35" s="20" t="n">
        <x:v>12489.47</x:v>
      </x:c>
      <x:c r="M35" s="20" t="n">
        <x:v>0</x:v>
      </x:c>
      <x:c r="N35" s="20" t="n">
        <x:v>0</x:v>
      </x:c>
      <x:c r="O35" s="20" t="n">
        <x:v>12489.47</x:v>
      </x:c>
      <x:c r="P35" s="20" t="n">
        <x:v>0</x:v>
      </x:c>
      <x:c r="Q35" s="10" t="str">
        <x:v>Pago</x:v>
      </x:c>
      <x:c r="R35" s="10" t="str">
        <x:v>Cartão Corporativo</x:v>
      </x:c>
      <x:c r="S35" s="10" t="str">
        <x:v>2024-10</x:v>
      </x:c>
      <x:c r="T35" s="10" t="n">
        <x:v>0</x:v>
      </x:c>
      <x:c r="U35" s="10" t="str">
        <x:v>Liquidado</x:v>
      </x:c>
      <x:c r="V35" s="10" t="str">
        <x:v>UND003</x:v>
      </x:c>
    </x:row>
    <x:row r="36" ht="18" customHeight="1">
      <x:c r="A36" s="10" t="str">
        <x:v>PAG00035</x:v>
      </x:c>
      <x:c r="B36" s="10" t="str">
        <x:v>EMP002</x:v>
      </x:c>
      <x:c r="C36" s="10" t="str">
        <x:v>FOR050</x:v>
      </x:c>
      <x:c r="D36" s="10" t="str">
        <x:v>CC004</x:v>
      </x:c>
      <x:c r="E36" s="10" t="str">
        <x:v>CAT014</x:v>
      </x:c>
      <x:c r="F36" s="10" t="str">
        <x:v>CTA003</x:v>
      </x:c>
      <x:c r="G36" s="10" t="str">
        <x:v>NF-100035</x:v>
      </x:c>
      <x:c r="H36" s="10" t="str">
        <x:v>Despesa operacional</x:v>
      </x:c>
      <x:c r="I36" s="16" t="n">
        <x:v>45799.72554721065</x:v>
      </x:c>
      <x:c r="J36" s="16" t="n">
        <x:v>45874.72554721065</x:v>
      </x:c>
      <x:c r="K36" s="16" t="n">
        <x:v>45868.72554721065</x:v>
      </x:c>
      <x:c r="L36" s="20" t="n">
        <x:v>53408.25</x:v>
      </x:c>
      <x:c r="M36" s="20" t="n">
        <x:v>0</x:v>
      </x:c>
      <x:c r="N36" s="20" t="n">
        <x:v>0</x:v>
      </x:c>
      <x:c r="O36" s="20" t="n">
        <x:v>53408.25</x:v>
      </x:c>
      <x:c r="P36" s="20" t="n">
        <x:v>0</x:v>
      </x:c>
      <x:c r="Q36" s="10" t="str">
        <x:v>Pago</x:v>
      </x:c>
      <x:c r="R36" s="10" t="str">
        <x:v>PIX</x:v>
      </x:c>
      <x:c r="S36" s="10" t="str">
        <x:v>2025-05</x:v>
      </x:c>
      <x:c r="T36" s="10" t="n">
        <x:v>0</x:v>
      </x:c>
      <x:c r="U36" s="10" t="str">
        <x:v>Liquidado</x:v>
      </x:c>
      <x:c r="V36" s="10" t="str">
        <x:v>UND003</x:v>
      </x:c>
    </x:row>
    <x:row r="37" ht="18" customHeight="1">
      <x:c r="A37" s="10" t="str">
        <x:v>PAG00036</x:v>
      </x:c>
      <x:c r="B37" s="10" t="str">
        <x:v>EMP003</x:v>
      </x:c>
      <x:c r="C37" s="10" t="str">
        <x:v>FOR060</x:v>
      </x:c>
      <x:c r="D37" s="10" t="str">
        <x:v>CC004</x:v>
      </x:c>
      <x:c r="E37" s="10" t="str">
        <x:v>CAT008</x:v>
      </x:c>
      <x:c r="F37" s="10" t="str">
        <x:v>CTA006</x:v>
      </x:c>
      <x:c r="G37" s="10" t="str">
        <x:v>NF-100036</x:v>
      </x:c>
      <x:c r="H37" s="10" t="str">
        <x:v>Compra de materiais</x:v>
      </x:c>
      <x:c r="I37" s="16" t="n">
        <x:v>45329.618440081016</x:v>
      </x:c>
      <x:c r="J37" s="16" t="n">
        <x:v>45357.618440081016</x:v>
      </x:c>
      <x:c r="K37" s="16" t="n">
        <x:v>45365.618440081016</x:v>
      </x:c>
      <x:c r="L37" s="20" t="n">
        <x:v>68773.66</x:v>
      </x:c>
      <x:c r="M37" s="20" t="n">
        <x:v>385.13</x:v>
      </x:c>
      <x:c r="N37" s="20" t="n">
        <x:v>0</x:v>
      </x:c>
      <x:c r="O37" s="20" t="n">
        <x:v>69158.79</x:v>
      </x:c>
      <x:c r="P37" s="20" t="n">
        <x:v>0</x:v>
      </x:c>
      <x:c r="Q37" s="10" t="str">
        <x:v>Pago</x:v>
      </x:c>
      <x:c r="R37" s="10" t="str">
        <x:v>Cartão Corporativo</x:v>
      </x:c>
      <x:c r="S37" s="10" t="str">
        <x:v>2024-02</x:v>
      </x:c>
      <x:c r="T37" s="10" t="n">
        <x:v>0</x:v>
      </x:c>
      <x:c r="U37" s="10" t="str">
        <x:v>Liquidado</x:v>
      </x:c>
      <x:c r="V37" s="10" t="str">
        <x:v>UND004</x:v>
      </x:c>
    </x:row>
    <x:row r="38" ht="18" customHeight="1">
      <x:c r="A38" s="10" t="str">
        <x:v>PAG00037</x:v>
      </x:c>
      <x:c r="B38" s="10" t="str">
        <x:v>EMP003</x:v>
      </x:c>
      <x:c r="C38" s="10" t="str">
        <x:v>FOR060</x:v>
      </x:c>
      <x:c r="D38" s="10" t="str">
        <x:v>CC003</x:v>
      </x:c>
      <x:c r="E38" s="10" t="str">
        <x:v>CAT005</x:v>
      </x:c>
      <x:c r="F38" s="10" t="str">
        <x:v>CTA005</x:v>
      </x:c>
      <x:c r="G38" s="10" t="str">
        <x:v>NF-100037</x:v>
      </x:c>
      <x:c r="H38" s="10" t="str">
        <x:v>Tributos e taxas</x:v>
      </x:c>
      <x:c r="I38" s="16" t="n">
        <x:v>45466.44506885417</x:v>
      </x:c>
      <x:c r="J38" s="16" t="n">
        <x:v>45481.44506885417</x:v>
      </x:c>
      <x:c r="K38" s="16" t="n">
        <x:v>45491.44506885417</x:v>
      </x:c>
      <x:c r="L38" s="20" t="n">
        <x:v>72813.79</x:v>
      </x:c>
      <x:c r="M38" s="20" t="n">
        <x:v>509.7</x:v>
      </x:c>
      <x:c r="N38" s="20" t="n">
        <x:v>0</x:v>
      </x:c>
      <x:c r="O38" s="20" t="n">
        <x:v>73323.49</x:v>
      </x:c>
      <x:c r="P38" s="20" t="n">
        <x:v>0</x:v>
      </x:c>
      <x:c r="Q38" s="10" t="str">
        <x:v>Pago</x:v>
      </x:c>
      <x:c r="R38" s="10" t="str">
        <x:v>TED</x:v>
      </x:c>
      <x:c r="S38" s="10" t="str">
        <x:v>2024-06</x:v>
      </x:c>
      <x:c r="T38" s="10" t="n">
        <x:v>0</x:v>
      </x:c>
      <x:c r="U38" s="10" t="str">
        <x:v>Liquidado</x:v>
      </x:c>
      <x:c r="V38" s="10" t="str">
        <x:v>UND004</x:v>
      </x:c>
    </x:row>
    <x:row r="39" ht="18" customHeight="1">
      <x:c r="A39" s="10" t="str">
        <x:v>PAG00038</x:v>
      </x:c>
      <x:c r="B39" s="10" t="str">
        <x:v>EMP002</x:v>
      </x:c>
      <x:c r="C39" s="10" t="str">
        <x:v>FOR028</x:v>
      </x:c>
      <x:c r="D39" s="10" t="str">
        <x:v>CC003</x:v>
      </x:c>
      <x:c r="E39" s="10" t="str">
        <x:v>CAT011</x:v>
      </x:c>
      <x:c r="F39" s="10" t="str">
        <x:v>CTA004</x:v>
      </x:c>
      <x:c r="G39" s="10" t="str">
        <x:v>NF-100038</x:v>
      </x:c>
      <x:c r="H39" s="10" t="str">
        <x:v>Tributos e taxas</x:v>
      </x:c>
      <x:c r="I39" s="16" t="n">
        <x:v>45360.55076493056</x:v>
      </x:c>
      <x:c r="J39" s="16" t="n">
        <x:v>45420.55076493056</x:v>
      </x:c>
      <x:c r="K39" s="16" t="n">
        <x:v>45420.55076493056</x:v>
      </x:c>
      <x:c r="L39" s="20" t="n">
        <x:v>6504.1</x:v>
      </x:c>
      <x:c r="M39" s="20" t="n">
        <x:v>0</x:v>
      </x:c>
      <x:c r="N39" s="20" t="n">
        <x:v>0</x:v>
      </x:c>
      <x:c r="O39" s="20" t="n">
        <x:v>6504.1</x:v>
      </x:c>
      <x:c r="P39" s="20" t="n">
        <x:v>0</x:v>
      </x:c>
      <x:c r="Q39" s="10" t="str">
        <x:v>Pago</x:v>
      </x:c>
      <x:c r="R39" s="10" t="str">
        <x:v>Cartão Corporativo</x:v>
      </x:c>
      <x:c r="S39" s="10" t="str">
        <x:v>2024-03</x:v>
      </x:c>
      <x:c r="T39" s="10" t="n">
        <x:v>0</x:v>
      </x:c>
      <x:c r="U39" s="10" t="str">
        <x:v>Liquidado</x:v>
      </x:c>
      <x:c r="V39" s="10" t="str">
        <x:v>UND003</x:v>
      </x:c>
    </x:row>
    <x:row r="40" ht="18" customHeight="1">
      <x:c r="A40" s="10" t="str">
        <x:v>PAG00039</x:v>
      </x:c>
      <x:c r="B40" s="10" t="str">
        <x:v>EMP002</x:v>
      </x:c>
      <x:c r="C40" s="10" t="str">
        <x:v>FOR031</x:v>
      </x:c>
      <x:c r="D40" s="10" t="str">
        <x:v>CC008</x:v>
      </x:c>
      <x:c r="E40" s="10" t="str">
        <x:v>CAT013</x:v>
      </x:c>
      <x:c r="F40" s="10" t="str">
        <x:v>CTA003</x:v>
      </x:c>
      <x:c r="G40" s="10" t="str">
        <x:v>NF-100039</x:v>
      </x:c>
      <x:c r="H40" s="10" t="str">
        <x:v>Tributos e taxas</x:v>
      </x:c>
      <x:c r="I40" s="16" t="n">
        <x:v>45869.618395324076</x:v>
      </x:c>
      <x:c r="J40" s="16" t="n">
        <x:v>45929.618395324076</x:v>
      </x:c>
      <x:c r="K40" s="16" t="n">
        <x:v>45924.618395324076</x:v>
      </x:c>
      <x:c r="L40" s="20" t="n">
        <x:v>2990.06</x:v>
      </x:c>
      <x:c r="M40" s="20" t="n">
        <x:v>0</x:v>
      </x:c>
      <x:c r="N40" s="20" t="n">
        <x:v>0</x:v>
      </x:c>
      <x:c r="O40" s="20" t="n">
        <x:v>2990.06</x:v>
      </x:c>
      <x:c r="P40" s="20" t="n">
        <x:v>0</x:v>
      </x:c>
      <x:c r="Q40" s="10" t="str">
        <x:v>Pago</x:v>
      </x:c>
      <x:c r="R40" s="10" t="str">
        <x:v>Débito Automático</x:v>
      </x:c>
      <x:c r="S40" s="10" t="str">
        <x:v>2025-07</x:v>
      </x:c>
      <x:c r="T40" s="10" t="n">
        <x:v>0</x:v>
      </x:c>
      <x:c r="U40" s="10" t="str">
        <x:v>Liquidado</x:v>
      </x:c>
      <x:c r="V40" s="10" t="str">
        <x:v>UND003</x:v>
      </x:c>
    </x:row>
    <x:row r="41" ht="18" customHeight="1">
      <x:c r="A41" s="10" t="str">
        <x:v>PAG00040</x:v>
      </x:c>
      <x:c r="B41" s="10" t="str">
        <x:v>EMP003</x:v>
      </x:c>
      <x:c r="C41" s="10" t="str">
        <x:v>FOR020</x:v>
      </x:c>
      <x:c r="D41" s="10" t="str">
        <x:v>CC007</x:v>
      </x:c>
      <x:c r="E41" s="10" t="str">
        <x:v>CAT007</x:v>
      </x:c>
      <x:c r="F41" s="10" t="str">
        <x:v>CTA006</x:v>
      </x:c>
      <x:c r="G41" s="10" t="str">
        <x:v>NF-100040</x:v>
      </x:c>
      <x:c r="H41" s="10" t="str">
        <x:v>Despesa operacional</x:v>
      </x:c>
      <x:c r="I41" s="16" t="n">
        <x:v>45382.26126827546</x:v>
      </x:c>
      <x:c r="J41" s="16" t="n">
        <x:v>45410.26126827546</x:v>
      </x:c>
      <x:c r="K41" s="16" t="n">
        <x:v>45441.26126827546</x:v>
      </x:c>
      <x:c r="L41" s="20" t="n">
        <x:v>3147.3</x:v>
      </x:c>
      <x:c r="M41" s="20" t="n">
        <x:v>68.3</x:v>
      </x:c>
      <x:c r="N41" s="20" t="n">
        <x:v>0</x:v>
      </x:c>
      <x:c r="O41" s="20" t="n">
        <x:v>3215.6</x:v>
      </x:c>
      <x:c r="P41" s="20" t="n">
        <x:v>0</x:v>
      </x:c>
      <x:c r="Q41" s="10" t="str">
        <x:v>Pago</x:v>
      </x:c>
      <x:c r="R41" s="10" t="str">
        <x:v>Cartão Corporativo</x:v>
      </x:c>
      <x:c r="S41" s="10" t="str">
        <x:v>2024-03</x:v>
      </x:c>
      <x:c r="T41" s="10" t="n">
        <x:v>0</x:v>
      </x:c>
      <x:c r="U41" s="10" t="str">
        <x:v>Liquidado</x:v>
      </x:c>
      <x:c r="V41" s="10" t="str">
        <x:v>UND004</x:v>
      </x:c>
    </x:row>
    <x:row r="42" ht="18" customHeight="1">
      <x:c r="A42" s="10" t="str">
        <x:v>PAG00041</x:v>
      </x:c>
      <x:c r="B42" s="10" t="str">
        <x:v>EMP003</x:v>
      </x:c>
      <x:c r="C42" s="10" t="str">
        <x:v>FOR027</x:v>
      </x:c>
      <x:c r="D42" s="10" t="str">
        <x:v>CC004</x:v>
      </x:c>
      <x:c r="E42" s="10" t="str">
        <x:v>CAT016</x:v>
      </x:c>
      <x:c r="F42" s="10" t="str">
        <x:v>CTA006</x:v>
      </x:c>
      <x:c r="G42" s="10" t="str">
        <x:v>NF-100041</x:v>
      </x:c>
      <x:c r="H42" s="10" t="str">
        <x:v>Compra de materiais</x:v>
      </x:c>
      <x:c r="I42" s="16" t="n">
        <x:v>45499.690935590275</x:v>
      </x:c>
      <x:c r="J42" s="16" t="n">
        <x:v>45514.690935590275</x:v>
      </x:c>
      <x:c r="K42" s="16" t="n">
        <x:v>45512.690935590275</x:v>
      </x:c>
      <x:c r="L42" s="20" t="n">
        <x:v>77242.58</x:v>
      </x:c>
      <x:c r="M42" s="20" t="n">
        <x:v>0</x:v>
      </x:c>
      <x:c r="N42" s="20" t="n">
        <x:v>0</x:v>
      </x:c>
      <x:c r="O42" s="20" t="n">
        <x:v>77242.58</x:v>
      </x:c>
      <x:c r="P42" s="20" t="n">
        <x:v>0</x:v>
      </x:c>
      <x:c r="Q42" s="10" t="str">
        <x:v>Pago</x:v>
      </x:c>
      <x:c r="R42" s="10" t="str">
        <x:v>PIX</x:v>
      </x:c>
      <x:c r="S42" s="10" t="str">
        <x:v>2024-07</x:v>
      </x:c>
      <x:c r="T42" s="10" t="n">
        <x:v>0</x:v>
      </x:c>
      <x:c r="U42" s="10" t="str">
        <x:v>Liquidado</x:v>
      </x:c>
      <x:c r="V42" s="10" t="str">
        <x:v>UND004</x:v>
      </x:c>
    </x:row>
    <x:row r="43" ht="18" customHeight="1">
      <x:c r="A43" s="10" t="str">
        <x:v>PAG00042</x:v>
      </x:c>
      <x:c r="B43" s="10" t="str">
        <x:v>EMP001</x:v>
      </x:c>
      <x:c r="C43" s="10" t="str">
        <x:v>FOR012</x:v>
      </x:c>
      <x:c r="D43" s="10" t="str">
        <x:v>CC001</x:v>
      </x:c>
      <x:c r="E43" s="10" t="str">
        <x:v>CAT015</x:v>
      </x:c>
      <x:c r="F43" s="10" t="str">
        <x:v>CTA001</x:v>
      </x:c>
      <x:c r="G43" s="10" t="str">
        <x:v>NF-100042</x:v>
      </x:c>
      <x:c r="H43" s="10" t="str">
        <x:v>Contrato recorrente</x:v>
      </x:c>
      <x:c r="I43" s="16" t="n">
        <x:v>45490.85347497685</x:v>
      </x:c>
      <x:c r="J43" s="16" t="n">
        <x:v>45565.85347497685</x:v>
      </x:c>
      <x:c r="K43" s="16" t="n">
        <x:v>45560.85347497685</x:v>
      </x:c>
      <x:c r="L43" s="20" t="n">
        <x:v>66036.01</x:v>
      </x:c>
      <x:c r="M43" s="20" t="n">
        <x:v>0</x:v>
      </x:c>
      <x:c r="N43" s="20" t="n">
        <x:v>990.54</x:v>
      </x:c>
      <x:c r="O43" s="20" t="n">
        <x:v>65045.47</x:v>
      </x:c>
      <x:c r="P43" s="20" t="n">
        <x:v>0</x:v>
      </x:c>
      <x:c r="Q43" s="10" t="str">
        <x:v>Pago</x:v>
      </x:c>
      <x:c r="R43" s="10" t="str">
        <x:v>TED</x:v>
      </x:c>
      <x:c r="S43" s="10" t="str">
        <x:v>2024-07</x:v>
      </x:c>
      <x:c r="T43" s="10" t="n">
        <x:v>0</x:v>
      </x:c>
      <x:c r="U43" s="10" t="str">
        <x:v>Liquidado</x:v>
      </x:c>
      <x:c r="V43" s="10" t="str">
        <x:v>UND001</x:v>
      </x:c>
    </x:row>
    <x:row r="44" ht="18" customHeight="1">
      <x:c r="A44" s="10" t="str">
        <x:v>PAG00043</x:v>
      </x:c>
      <x:c r="B44" s="10" t="str">
        <x:v>EMP001</x:v>
      </x:c>
      <x:c r="C44" s="10" t="str">
        <x:v>FOR017</x:v>
      </x:c>
      <x:c r="D44" s="10" t="str">
        <x:v>CC005</x:v>
      </x:c>
      <x:c r="E44" s="10" t="str">
        <x:v>CAT005</x:v>
      </x:c>
      <x:c r="F44" s="10" t="str">
        <x:v>CTA002</x:v>
      </x:c>
      <x:c r="G44" s="10" t="str">
        <x:v>NF-100043</x:v>
      </x:c>
      <x:c r="H44" s="10" t="str">
        <x:v>Contrato recorrente</x:v>
      </x:c>
      <x:c r="I44" s="16" t="n">
        <x:v>45943.07708894676</x:v>
      </x:c>
      <x:c r="J44" s="16" t="n">
        <x:v>45988.07708894676</x:v>
      </x:c>
      <x:c r="K44" s="16" t="n">
        <x:v>45990.07708894676</x:v>
      </x:c>
      <x:c r="L44" s="20" t="n">
        <x:v>1236.98</x:v>
      </x:c>
      <x:c r="M44" s="20" t="n">
        <x:v>1.73</x:v>
      </x:c>
      <x:c r="N44" s="20" t="n">
        <x:v>0</x:v>
      </x:c>
      <x:c r="O44" s="20" t="n">
        <x:v>1238.71</x:v>
      </x:c>
      <x:c r="P44" s="20" t="n">
        <x:v>0</x:v>
      </x:c>
      <x:c r="Q44" s="10" t="str">
        <x:v>Pago</x:v>
      </x:c>
      <x:c r="R44" s="10" t="str">
        <x:v>Débito Automático</x:v>
      </x:c>
      <x:c r="S44" s="10" t="str">
        <x:v>2025-10</x:v>
      </x:c>
      <x:c r="T44" s="10" t="n">
        <x:v>0</x:v>
      </x:c>
      <x:c r="U44" s="10" t="str">
        <x:v>Liquidado</x:v>
      </x:c>
      <x:c r="V44" s="10" t="str">
        <x:v>UND001</x:v>
      </x:c>
    </x:row>
    <x:row r="45" ht="18" customHeight="1">
      <x:c r="A45" s="10" t="str">
        <x:v>PAG00044</x:v>
      </x:c>
      <x:c r="B45" s="10" t="str">
        <x:v>EMP002</x:v>
      </x:c>
      <x:c r="C45" s="10" t="str">
        <x:v>FOR036</x:v>
      </x:c>
      <x:c r="D45" s="10" t="str">
        <x:v>CC003</x:v>
      </x:c>
      <x:c r="E45" s="10" t="str">
        <x:v>CAT013</x:v>
      </x:c>
      <x:c r="F45" s="10" t="str">
        <x:v>CTA003</x:v>
      </x:c>
      <x:c r="G45" s="10" t="str">
        <x:v>NF-100044</x:v>
      </x:c>
      <x:c r="H45" s="10" t="str">
        <x:v>Despesa operacional</x:v>
      </x:c>
      <x:c r="I45" s="16" t="n">
        <x:v>45825.01439398148</x:v>
      </x:c>
      <x:c r="J45" s="16" t="n">
        <x:v>45840.01439398148</x:v>
      </x:c>
      <x:c r="K45" s="16" t="n">
        <x:v>45845.01439398148</x:v>
      </x:c>
      <x:c r="L45" s="20" t="n">
        <x:v>25558.81</x:v>
      </x:c>
      <x:c r="M45" s="20" t="n">
        <x:v>89.46</x:v>
      </x:c>
      <x:c r="N45" s="20" t="n">
        <x:v>0</x:v>
      </x:c>
      <x:c r="O45" s="20" t="n">
        <x:v>25648.27</x:v>
      </x:c>
      <x:c r="P45" s="20" t="n">
        <x:v>0</x:v>
      </x:c>
      <x:c r="Q45" s="10" t="str">
        <x:v>Pago</x:v>
      </x:c>
      <x:c r="R45" s="10" t="str">
        <x:v>TED</x:v>
      </x:c>
      <x:c r="S45" s="10" t="str">
        <x:v>2025-06</x:v>
      </x:c>
      <x:c r="T45" s="10" t="n">
        <x:v>0</x:v>
      </x:c>
      <x:c r="U45" s="10" t="str">
        <x:v>Liquidado</x:v>
      </x:c>
      <x:c r="V45" s="10" t="str">
        <x:v>UND003</x:v>
      </x:c>
    </x:row>
    <x:row r="46" ht="18" customHeight="1">
      <x:c r="A46" s="10" t="str">
        <x:v>PAG00045</x:v>
      </x:c>
      <x:c r="B46" s="10" t="str">
        <x:v>EMP001</x:v>
      </x:c>
      <x:c r="C46" s="10" t="str">
        <x:v>FOR051</x:v>
      </x:c>
      <x:c r="D46" s="10" t="str">
        <x:v>CC008</x:v>
      </x:c>
      <x:c r="E46" s="10" t="str">
        <x:v>CAT012</x:v>
      </x:c>
      <x:c r="F46" s="10" t="str">
        <x:v>CTA001</x:v>
      </x:c>
      <x:c r="G46" s="10" t="str">
        <x:v>NF-100045</x:v>
      </x:c>
      <x:c r="H46" s="10" t="str">
        <x:v>Prestação de serviços</x:v>
      </x:c>
      <x:c r="I46" s="16" t="n">
        <x:v>45813.500398738426</x:v>
      </x:c>
      <x:c r="J46" s="16" t="n">
        <x:v>45841.500398738426</x:v>
      </x:c>
      <x:c r="K46" s="16" t="n">
        <x:v>45842.500398738426</x:v>
      </x:c>
      <x:c r="L46" s="20" t="n">
        <x:v>62158.22</x:v>
      </x:c>
      <x:c r="M46" s="20" t="n">
        <x:v>43.51</x:v>
      </x:c>
      <x:c r="N46" s="20" t="n">
        <x:v>0</x:v>
      </x:c>
      <x:c r="O46" s="20" t="n">
        <x:v>62201.73</x:v>
      </x:c>
      <x:c r="P46" s="20" t="n">
        <x:v>0</x:v>
      </x:c>
      <x:c r="Q46" s="10" t="str">
        <x:v>Pago</x:v>
      </x:c>
      <x:c r="R46" s="10" t="str">
        <x:v>TED</x:v>
      </x:c>
      <x:c r="S46" s="10" t="str">
        <x:v>2025-06</x:v>
      </x:c>
      <x:c r="T46" s="10" t="n">
        <x:v>0</x:v>
      </x:c>
      <x:c r="U46" s="10" t="str">
        <x:v>Liquidado</x:v>
      </x:c>
      <x:c r="V46" s="10" t="str">
        <x:v>UND001</x:v>
      </x:c>
    </x:row>
    <x:row r="47" ht="18" customHeight="1">
      <x:c r="A47" s="10" t="str">
        <x:v>PAG00046</x:v>
      </x:c>
      <x:c r="B47" s="10" t="str">
        <x:v>EMP001</x:v>
      </x:c>
      <x:c r="C47" s="10" t="str">
        <x:v>FOR033</x:v>
      </x:c>
      <x:c r="D47" s="10" t="str">
        <x:v>CC008</x:v>
      </x:c>
      <x:c r="E47" s="10" t="str">
        <x:v>CAT009</x:v>
      </x:c>
      <x:c r="F47" s="10" t="str">
        <x:v>CTA002</x:v>
      </x:c>
      <x:c r="G47" s="10" t="str">
        <x:v>NF-100046</x:v>
      </x:c>
      <x:c r="H47" s="10" t="str">
        <x:v>Tributos e taxas</x:v>
      </x:c>
      <x:c r="I47" s="16" t="n">
        <x:v>45338.859719837965</x:v>
      </x:c>
      <x:c r="J47" s="16" t="n">
        <x:v>45368.859719837965</x:v>
      </x:c>
      <x:c r="K47" s="16" t="n">
        <x:v>45379.859719837965</x:v>
      </x:c>
      <x:c r="L47" s="20" t="n">
        <x:v>738.7</x:v>
      </x:c>
      <x:c r="M47" s="20" t="n">
        <x:v>5.69</x:v>
      </x:c>
      <x:c r="N47" s="20" t="n">
        <x:v>0</x:v>
      </x:c>
      <x:c r="O47" s="20" t="n">
        <x:v>744.39</x:v>
      </x:c>
      <x:c r="P47" s="20" t="n">
        <x:v>0</x:v>
      </x:c>
      <x:c r="Q47" s="10" t="str">
        <x:v>Pago</x:v>
      </x:c>
      <x:c r="R47" s="10" t="str">
        <x:v>Cartão Corporativo</x:v>
      </x:c>
      <x:c r="S47" s="10" t="str">
        <x:v>2024-02</x:v>
      </x:c>
      <x:c r="T47" s="10" t="n">
        <x:v>0</x:v>
      </x:c>
      <x:c r="U47" s="10" t="str">
        <x:v>Liquidado</x:v>
      </x:c>
      <x:c r="V47" s="10" t="str">
        <x:v>UND002</x:v>
      </x:c>
    </x:row>
    <x:row r="48" ht="18" customHeight="1">
      <x:c r="A48" s="10" t="str">
        <x:v>PAG00047</x:v>
      </x:c>
      <x:c r="B48" s="10" t="str">
        <x:v>EMP001</x:v>
      </x:c>
      <x:c r="C48" s="10" t="str">
        <x:v>FOR028</x:v>
      </x:c>
      <x:c r="D48" s="10" t="str">
        <x:v>CC004</x:v>
      </x:c>
      <x:c r="E48" s="10" t="str">
        <x:v>CAT017</x:v>
      </x:c>
      <x:c r="F48" s="10" t="str">
        <x:v>CTA002</x:v>
      </x:c>
      <x:c r="G48" s="10" t="str">
        <x:v>NF-100047</x:v>
      </x:c>
      <x:c r="H48" s="10" t="str">
        <x:v>Despesa operacional</x:v>
      </x:c>
      <x:c r="I48" s="16" t="n">
        <x:v>45642.627321168984</x:v>
      </x:c>
      <x:c r="J48" s="16" t="n">
        <x:v>45662.627321168984</x:v>
      </x:c>
      <x:c r="K48" s="16" t="n">
        <x:v>45671.627321168984</x:v>
      </x:c>
      <x:c r="L48" s="20" t="n">
        <x:v>23467.4</x:v>
      </x:c>
      <x:c r="M48" s="20" t="n">
        <x:v>147.84</x:v>
      </x:c>
      <x:c r="N48" s="20" t="n">
        <x:v>0</x:v>
      </x:c>
      <x:c r="O48" s="20" t="n">
        <x:v>23615.24</x:v>
      </x:c>
      <x:c r="P48" s="20" t="n">
        <x:v>0</x:v>
      </x:c>
      <x:c r="Q48" s="10" t="str">
        <x:v>Pago</x:v>
      </x:c>
      <x:c r="R48" s="10" t="str">
        <x:v>PIX</x:v>
      </x:c>
      <x:c r="S48" s="10" t="str">
        <x:v>2024-12</x:v>
      </x:c>
      <x:c r="T48" s="10" t="n">
        <x:v>0</x:v>
      </x:c>
      <x:c r="U48" s="10" t="str">
        <x:v>Liquidado</x:v>
      </x:c>
      <x:c r="V48" s="10" t="str">
        <x:v>UND001</x:v>
      </x:c>
    </x:row>
    <x:row r="49" ht="18" customHeight="1">
      <x:c r="A49" s="10" t="str">
        <x:v>PAG00048</x:v>
      </x:c>
      <x:c r="B49" s="10" t="str">
        <x:v>EMP001</x:v>
      </x:c>
      <x:c r="C49" s="10" t="str">
        <x:v>FOR042</x:v>
      </x:c>
      <x:c r="D49" s="10" t="str">
        <x:v>CC006</x:v>
      </x:c>
      <x:c r="E49" s="10" t="str">
        <x:v>CAT007</x:v>
      </x:c>
      <x:c r="F49" s="10" t="str">
        <x:v>CTA002</x:v>
      </x:c>
      <x:c r="G49" s="10" t="str">
        <x:v>NF-100048</x:v>
      </x:c>
      <x:c r="H49" s="10" t="str">
        <x:v>Tributos e taxas</x:v>
      </x:c>
      <x:c r="I49" s="16" t="n">
        <x:v>45734.93656549769</x:v>
      </x:c>
      <x:c r="J49" s="16" t="n">
        <x:v>45762.93656549769</x:v>
      </x:c>
      <x:c r="K49" s="16"/>
      <x:c r="L49" s="20" t="n">
        <x:v>1774.2</x:v>
      </x:c>
      <x:c r="M49" s="20" t="n">
        <x:v>0</x:v>
      </x:c>
      <x:c r="N49" s="20" t="n">
        <x:v>0</x:v>
      </x:c>
      <x:c r="O49" s="20" t="n">
        <x:v>0</x:v>
      </x:c>
      <x:c r="P49" s="20" t="n">
        <x:v>1774.2</x:v>
      </x:c>
      <x:c r="Q49" s="10" t="str">
        <x:v>Vencido</x:v>
      </x:c>
      <x:c r="R49" s="10" t="str">
        <x:v>TED</x:v>
      </x:c>
      <x:c r="S49" s="10" t="str">
        <x:v>2025-03</x:v>
      </x:c>
      <x:c r="T49" s="10" t="n">
        <x:v>259</x:v>
      </x:c>
      <x:c r="U49" s="10" t="str">
        <x:v>&gt; 120 dias</x:v>
      </x:c>
      <x:c r="V49" s="10" t="str">
        <x:v>UND001</x:v>
      </x:c>
    </x:row>
    <x:row r="50" ht="18" customHeight="1">
      <x:c r="A50" s="10" t="str">
        <x:v>PAG00049</x:v>
      </x:c>
      <x:c r="B50" s="10" t="str">
        <x:v>EMP002</x:v>
      </x:c>
      <x:c r="C50" s="10" t="str">
        <x:v>FOR051</x:v>
      </x:c>
      <x:c r="D50" s="10" t="str">
        <x:v>CC004</x:v>
      </x:c>
      <x:c r="E50" s="10" t="str">
        <x:v>CAT011</x:v>
      </x:c>
      <x:c r="F50" s="10" t="str">
        <x:v>CTA003</x:v>
      </x:c>
      <x:c r="G50" s="10" t="str">
        <x:v>NF-100049</x:v>
      </x:c>
      <x:c r="H50" s="10" t="str">
        <x:v>Prestação de serviços</x:v>
      </x:c>
      <x:c r="I50" s="16" t="n">
        <x:v>45512.53624260417</x:v>
      </x:c>
      <x:c r="J50" s="16" t="n">
        <x:v>45542.53624260417</x:v>
      </x:c>
      <x:c r="K50" s="16" t="n">
        <x:v>45552.53624260417</x:v>
      </x:c>
      <x:c r="L50" s="20" t="n">
        <x:v>114470.18</x:v>
      </x:c>
      <x:c r="M50" s="20" t="n">
        <x:v>801.29</x:v>
      </x:c>
      <x:c r="N50" s="20" t="n">
        <x:v>0</x:v>
      </x:c>
      <x:c r="O50" s="20" t="n">
        <x:v>115271.47</x:v>
      </x:c>
      <x:c r="P50" s="20" t="n">
        <x:v>0</x:v>
      </x:c>
      <x:c r="Q50" s="10" t="str">
        <x:v>Pago</x:v>
      </x:c>
      <x:c r="R50" s="10" t="str">
        <x:v>Débito Automático</x:v>
      </x:c>
      <x:c r="S50" s="10" t="str">
        <x:v>2024-08</x:v>
      </x:c>
      <x:c r="T50" s="10" t="n">
        <x:v>0</x:v>
      </x:c>
      <x:c r="U50" s="10" t="str">
        <x:v>Liquidado</x:v>
      </x:c>
      <x:c r="V50" s="10" t="str">
        <x:v>UND003</x:v>
      </x:c>
    </x:row>
    <x:row r="51" ht="18" customHeight="1">
      <x:c r="A51" s="10" t="str">
        <x:v>PAG00050</x:v>
      </x:c>
      <x:c r="B51" s="10" t="str">
        <x:v>EMP002</x:v>
      </x:c>
      <x:c r="C51" s="10" t="str">
        <x:v>FOR047</x:v>
      </x:c>
      <x:c r="D51" s="10" t="str">
        <x:v>CC006</x:v>
      </x:c>
      <x:c r="E51" s="10" t="str">
        <x:v>CAT012</x:v>
      </x:c>
      <x:c r="F51" s="10" t="str">
        <x:v>CTA003</x:v>
      </x:c>
      <x:c r="G51" s="10" t="str">
        <x:v>NF-100050</x:v>
      </x:c>
      <x:c r="H51" s="10" t="str">
        <x:v>Compra de materiais</x:v>
      </x:c>
      <x:c r="I51" s="16" t="n">
        <x:v>45899.67499166667</x:v>
      </x:c>
      <x:c r="J51" s="16" t="n">
        <x:v>45974.67499166667</x:v>
      </x:c>
      <x:c r="K51" s="16" t="n">
        <x:v>45982.67499166667</x:v>
      </x:c>
      <x:c r="L51" s="20" t="n">
        <x:v>48828.12</x:v>
      </x:c>
      <x:c r="M51" s="20" t="n">
        <x:v>273.44</x:v>
      </x:c>
      <x:c r="N51" s="20" t="n">
        <x:v>0</x:v>
      </x:c>
      <x:c r="O51" s="20" t="n">
        <x:v>49101.56</x:v>
      </x:c>
      <x:c r="P51" s="20" t="n">
        <x:v>0</x:v>
      </x:c>
      <x:c r="Q51" s="10" t="str">
        <x:v>Pago</x:v>
      </x:c>
      <x:c r="R51" s="10" t="str">
        <x:v>TED</x:v>
      </x:c>
      <x:c r="S51" s="10" t="str">
        <x:v>2025-08</x:v>
      </x:c>
      <x:c r="T51" s="10" t="n">
        <x:v>0</x:v>
      </x:c>
      <x:c r="U51" s="10" t="str">
        <x:v>Liquidado</x:v>
      </x:c>
      <x:c r="V51" s="10" t="str">
        <x:v>UND003</x:v>
      </x:c>
    </x:row>
    <x:row r="52" ht="18" customHeight="1">
      <x:c r="A52" s="10" t="str">
        <x:v>PAG00051</x:v>
      </x:c>
      <x:c r="B52" s="10" t="str">
        <x:v>EMP003</x:v>
      </x:c>
      <x:c r="C52" s="10" t="str">
        <x:v>FOR012</x:v>
      </x:c>
      <x:c r="D52" s="10" t="str">
        <x:v>CC003</x:v>
      </x:c>
      <x:c r="E52" s="10" t="str">
        <x:v>CAT016</x:v>
      </x:c>
      <x:c r="F52" s="10" t="str">
        <x:v>CTA006</x:v>
      </x:c>
      <x:c r="G52" s="10" t="str">
        <x:v>NF-100051</x:v>
      </x:c>
      <x:c r="H52" s="10" t="str">
        <x:v>Despesa operacional</x:v>
      </x:c>
      <x:c r="I52" s="16" t="n">
        <x:v>45430.197535625</x:v>
      </x:c>
      <x:c r="J52" s="16" t="n">
        <x:v>45460.197535625</x:v>
      </x:c>
      <x:c r="K52" s="16" t="n">
        <x:v>45461.197535625</x:v>
      </x:c>
      <x:c r="L52" s="20" t="n">
        <x:v>4102.15</x:v>
      </x:c>
      <x:c r="M52" s="20" t="n">
        <x:v>2.87</x:v>
      </x:c>
      <x:c r="N52" s="20" t="n">
        <x:v>0</x:v>
      </x:c>
      <x:c r="O52" s="20" t="n">
        <x:v>4105.02</x:v>
      </x:c>
      <x:c r="P52" s="20" t="n">
        <x:v>0</x:v>
      </x:c>
      <x:c r="Q52" s="10" t="str">
        <x:v>Pago</x:v>
      </x:c>
      <x:c r="R52" s="10" t="str">
        <x:v>TED</x:v>
      </x:c>
      <x:c r="S52" s="10" t="str">
        <x:v>2024-05</x:v>
      </x:c>
      <x:c r="T52" s="10" t="n">
        <x:v>0</x:v>
      </x:c>
      <x:c r="U52" s="10" t="str">
        <x:v>Liquidado</x:v>
      </x:c>
      <x:c r="V52" s="10" t="str">
        <x:v>UND004</x:v>
      </x:c>
    </x:row>
    <x:row r="53" ht="18" customHeight="1">
      <x:c r="A53" s="10" t="str">
        <x:v>PAG00052</x:v>
      </x:c>
      <x:c r="B53" s="10" t="str">
        <x:v>EMP002</x:v>
      </x:c>
      <x:c r="C53" s="10" t="str">
        <x:v>FOR049</x:v>
      </x:c>
      <x:c r="D53" s="10" t="str">
        <x:v>CC005</x:v>
      </x:c>
      <x:c r="E53" s="10" t="str">
        <x:v>CAT007</x:v>
      </x:c>
      <x:c r="F53" s="10" t="str">
        <x:v>CTA003</x:v>
      </x:c>
      <x:c r="G53" s="10" t="str">
        <x:v>NF-100052</x:v>
      </x:c>
      <x:c r="H53" s="10" t="str">
        <x:v>Contrato recorrente</x:v>
      </x:c>
      <x:c r="I53" s="16" t="n">
        <x:v>45528.55696003472</x:v>
      </x:c>
      <x:c r="J53" s="16" t="n">
        <x:v>45603.55696003472</x:v>
      </x:c>
      <x:c r="K53" s="16" t="n">
        <x:v>45610.55696003472</x:v>
      </x:c>
      <x:c r="L53" s="20" t="n">
        <x:v>79208.29</x:v>
      </x:c>
      <x:c r="M53" s="20" t="n">
        <x:v>388.12</x:v>
      </x:c>
      <x:c r="N53" s="20" t="n">
        <x:v>0</x:v>
      </x:c>
      <x:c r="O53" s="20" t="n">
        <x:v>79596.41</x:v>
      </x:c>
      <x:c r="P53" s="20" t="n">
        <x:v>0</x:v>
      </x:c>
      <x:c r="Q53" s="10" t="str">
        <x:v>Pago</x:v>
      </x:c>
      <x:c r="R53" s="10" t="str">
        <x:v>PIX</x:v>
      </x:c>
      <x:c r="S53" s="10" t="str">
        <x:v>2024-08</x:v>
      </x:c>
      <x:c r="T53" s="10" t="n">
        <x:v>0</x:v>
      </x:c>
      <x:c r="U53" s="10" t="str">
        <x:v>Liquidado</x:v>
      </x:c>
      <x:c r="V53" s="10" t="str">
        <x:v>UND003</x:v>
      </x:c>
    </x:row>
    <x:row r="54" ht="18" customHeight="1">
      <x:c r="A54" s="10" t="str">
        <x:v>PAG00053</x:v>
      </x:c>
      <x:c r="B54" s="10" t="str">
        <x:v>EMP003</x:v>
      </x:c>
      <x:c r="C54" s="10" t="str">
        <x:v>FOR008</x:v>
      </x:c>
      <x:c r="D54" s="10" t="str">
        <x:v>CC004</x:v>
      </x:c>
      <x:c r="E54" s="10" t="str">
        <x:v>CAT005</x:v>
      </x:c>
      <x:c r="F54" s="10" t="str">
        <x:v>CTA005</x:v>
      </x:c>
      <x:c r="G54" s="10" t="str">
        <x:v>NF-100053</x:v>
      </x:c>
      <x:c r="H54" s="10" t="str">
        <x:v>Compra de materiais</x:v>
      </x:c>
      <x:c r="I54" s="16" t="n">
        <x:v>45628.329218611114</x:v>
      </x:c>
      <x:c r="J54" s="16" t="n">
        <x:v>45673.329218611114</x:v>
      </x:c>
      <x:c r="K54" s="16" t="n">
        <x:v>45700.329218611114</x:v>
      </x:c>
      <x:c r="L54" s="20" t="n">
        <x:v>22246.81</x:v>
      </x:c>
      <x:c r="M54" s="20" t="n">
        <x:v>420.46</x:v>
      </x:c>
      <x:c r="N54" s="20" t="n">
        <x:v>0</x:v>
      </x:c>
      <x:c r="O54" s="20" t="n">
        <x:v>22667.27</x:v>
      </x:c>
      <x:c r="P54" s="20" t="n">
        <x:v>0</x:v>
      </x:c>
      <x:c r="Q54" s="10" t="str">
        <x:v>Pago</x:v>
      </x:c>
      <x:c r="R54" s="10" t="str">
        <x:v>PIX</x:v>
      </x:c>
      <x:c r="S54" s="10" t="str">
        <x:v>2024-12</x:v>
      </x:c>
      <x:c r="T54" s="10" t="n">
        <x:v>0</x:v>
      </x:c>
      <x:c r="U54" s="10" t="str">
        <x:v>Liquidado</x:v>
      </x:c>
      <x:c r="V54" s="10" t="str">
        <x:v>UND004</x:v>
      </x:c>
    </x:row>
    <x:row r="55" ht="18" customHeight="1">
      <x:c r="A55" s="10" t="str">
        <x:v>PAG00054</x:v>
      </x:c>
      <x:c r="B55" s="10" t="str">
        <x:v>EMP003</x:v>
      </x:c>
      <x:c r="C55" s="10" t="str">
        <x:v>FOR003</x:v>
      </x:c>
      <x:c r="D55" s="10" t="str">
        <x:v>CC006</x:v>
      </x:c>
      <x:c r="E55" s="10" t="str">
        <x:v>CAT018</x:v>
      </x:c>
      <x:c r="F55" s="10" t="str">
        <x:v>CTA005</x:v>
      </x:c>
      <x:c r="G55" s="10" t="str">
        <x:v>NF-100054</x:v>
      </x:c>
      <x:c r="H55" s="10" t="str">
        <x:v>Contrato recorrente</x:v>
      </x:c>
      <x:c r="I55" s="16" t="n">
        <x:v>45687.00129291667</x:v>
      </x:c>
      <x:c r="J55" s="16" t="n">
        <x:v>45715.00129291667</x:v>
      </x:c>
      <x:c r="K55" s="16" t="n">
        <x:v>45720.00129291667</x:v>
      </x:c>
      <x:c r="L55" s="20" t="n">
        <x:v>38429.61</x:v>
      </x:c>
      <x:c r="M55" s="20" t="n">
        <x:v>134.5</x:v>
      </x:c>
      <x:c r="N55" s="20" t="n">
        <x:v>0</x:v>
      </x:c>
      <x:c r="O55" s="20" t="n">
        <x:v>38564.11</x:v>
      </x:c>
      <x:c r="P55" s="20" t="n">
        <x:v>0</x:v>
      </x:c>
      <x:c r="Q55" s="10" t="str">
        <x:v>Pago</x:v>
      </x:c>
      <x:c r="R55" s="10" t="str">
        <x:v>PIX</x:v>
      </x:c>
      <x:c r="S55" s="10" t="str">
        <x:v>2025-01</x:v>
      </x:c>
      <x:c r="T55" s="10" t="n">
        <x:v>0</x:v>
      </x:c>
      <x:c r="U55" s="10" t="str">
        <x:v>Liquidado</x:v>
      </x:c>
      <x:c r="V55" s="10" t="str">
        <x:v>UND004</x:v>
      </x:c>
    </x:row>
    <x:row r="56" ht="18" customHeight="1">
      <x:c r="A56" s="10" t="str">
        <x:v>PAG00055</x:v>
      </x:c>
      <x:c r="B56" s="10" t="str">
        <x:v>EMP002</x:v>
      </x:c>
      <x:c r="C56" s="10" t="str">
        <x:v>FOR013</x:v>
      </x:c>
      <x:c r="D56" s="10" t="str">
        <x:v>CC006</x:v>
      </x:c>
      <x:c r="E56" s="10" t="str">
        <x:v>CAT014</x:v>
      </x:c>
      <x:c r="F56" s="10" t="str">
        <x:v>CTA003</x:v>
      </x:c>
      <x:c r="G56" s="10" t="str">
        <x:v>NF-100055</x:v>
      </x:c>
      <x:c r="H56" s="10" t="str">
        <x:v>Prestação de serviços</x:v>
      </x:c>
      <x:c r="I56" s="16" t="n">
        <x:v>45791.02159405092</x:v>
      </x:c>
      <x:c r="J56" s="16" t="n">
        <x:v>45819.02159405092</x:v>
      </x:c>
      <x:c r="K56" s="16" t="n">
        <x:v>45815.02159405092</x:v>
      </x:c>
      <x:c r="L56" s="20" t="n">
        <x:v>3684.65</x:v>
      </x:c>
      <x:c r="M56" s="20" t="n">
        <x:v>0</x:v>
      </x:c>
      <x:c r="N56" s="20" t="n">
        <x:v>0</x:v>
      </x:c>
      <x:c r="O56" s="20" t="n">
        <x:v>3684.65</x:v>
      </x:c>
      <x:c r="P56" s="20" t="n">
        <x:v>0</x:v>
      </x:c>
      <x:c r="Q56" s="10" t="str">
        <x:v>Pago</x:v>
      </x:c>
      <x:c r="R56" s="10" t="str">
        <x:v>Débito Automático</x:v>
      </x:c>
      <x:c r="S56" s="10" t="str">
        <x:v>2025-05</x:v>
      </x:c>
      <x:c r="T56" s="10" t="n">
        <x:v>0</x:v>
      </x:c>
      <x:c r="U56" s="10" t="str">
        <x:v>Liquidado</x:v>
      </x:c>
      <x:c r="V56" s="10" t="str">
        <x:v>UND003</x:v>
      </x:c>
    </x:row>
    <x:row r="57" ht="18" customHeight="1">
      <x:c r="A57" s="10" t="str">
        <x:v>PAG00056</x:v>
      </x:c>
      <x:c r="B57" s="10" t="str">
        <x:v>EMP002</x:v>
      </x:c>
      <x:c r="C57" s="10" t="str">
        <x:v>FOR048</x:v>
      </x:c>
      <x:c r="D57" s="10" t="str">
        <x:v>CC005</x:v>
      </x:c>
      <x:c r="E57" s="10" t="str">
        <x:v>CAT014</x:v>
      </x:c>
      <x:c r="F57" s="10" t="str">
        <x:v>CTA004</x:v>
      </x:c>
      <x:c r="G57" s="10" t="str">
        <x:v>NF-100056</x:v>
      </x:c>
      <x:c r="H57" s="10" t="str">
        <x:v>Compra de materiais</x:v>
      </x:c>
      <x:c r="I57" s="16" t="n">
        <x:v>45390.801453125</x:v>
      </x:c>
      <x:c r="J57" s="16" t="n">
        <x:v>45450.801453125</x:v>
      </x:c>
      <x:c r="K57" s="16" t="n">
        <x:v>45443.801453125</x:v>
      </x:c>
      <x:c r="L57" s="20" t="n">
        <x:v>43463.63</x:v>
      </x:c>
      <x:c r="M57" s="20" t="n">
        <x:v>0</x:v>
      </x:c>
      <x:c r="N57" s="20" t="n">
        <x:v>0</x:v>
      </x:c>
      <x:c r="O57" s="20" t="n">
        <x:v>43463.63</x:v>
      </x:c>
      <x:c r="P57" s="20" t="n">
        <x:v>0</x:v>
      </x:c>
      <x:c r="Q57" s="10" t="str">
        <x:v>Pago</x:v>
      </x:c>
      <x:c r="R57" s="10" t="str">
        <x:v>Débito Automático</x:v>
      </x:c>
      <x:c r="S57" s="10" t="str">
        <x:v>2024-04</x:v>
      </x:c>
      <x:c r="T57" s="10" t="n">
        <x:v>0</x:v>
      </x:c>
      <x:c r="U57" s="10" t="str">
        <x:v>Liquidado</x:v>
      </x:c>
      <x:c r="V57" s="10" t="str">
        <x:v>UND003</x:v>
      </x:c>
    </x:row>
    <x:row r="58" ht="18" customHeight="1">
      <x:c r="A58" s="10" t="str">
        <x:v>PAG00057</x:v>
      </x:c>
      <x:c r="B58" s="10" t="str">
        <x:v>EMP003</x:v>
      </x:c>
      <x:c r="C58" s="10" t="str">
        <x:v>FOR016</x:v>
      </x:c>
      <x:c r="D58" s="10" t="str">
        <x:v>CC006</x:v>
      </x:c>
      <x:c r="E58" s="10" t="str">
        <x:v>CAT006</x:v>
      </x:c>
      <x:c r="F58" s="10" t="str">
        <x:v>CTA005</x:v>
      </x:c>
      <x:c r="G58" s="10" t="str">
        <x:v>NF-100057</x:v>
      </x:c>
      <x:c r="H58" s="10" t="str">
        <x:v>Prestação de serviços</x:v>
      </x:c>
      <x:c r="I58" s="16" t="n">
        <x:v>45811.58619987268</x:v>
      </x:c>
      <x:c r="J58" s="16" t="n">
        <x:v>45839.58619987268</x:v>
      </x:c>
      <x:c r="K58" s="16" t="n">
        <x:v>45848.58619987268</x:v>
      </x:c>
      <x:c r="L58" s="20" t="n">
        <x:v>35539.8</x:v>
      </x:c>
      <x:c r="M58" s="20" t="n">
        <x:v>223.9</x:v>
      </x:c>
      <x:c r="N58" s="20" t="n">
        <x:v>0</x:v>
      </x:c>
      <x:c r="O58" s="20" t="n">
        <x:v>35763.7</x:v>
      </x:c>
      <x:c r="P58" s="20" t="n">
        <x:v>0</x:v>
      </x:c>
      <x:c r="Q58" s="10" t="str">
        <x:v>Pago</x:v>
      </x:c>
      <x:c r="R58" s="10" t="str">
        <x:v>TED</x:v>
      </x:c>
      <x:c r="S58" s="10" t="str">
        <x:v>2025-06</x:v>
      </x:c>
      <x:c r="T58" s="10" t="n">
        <x:v>0</x:v>
      </x:c>
      <x:c r="U58" s="10" t="str">
        <x:v>Liquidado</x:v>
      </x:c>
      <x:c r="V58" s="10" t="str">
        <x:v>UND004</x:v>
      </x:c>
    </x:row>
    <x:row r="59" ht="18" customHeight="1">
      <x:c r="A59" s="10" t="str">
        <x:v>PAG00058</x:v>
      </x:c>
      <x:c r="B59" s="10" t="str">
        <x:v>EMP002</x:v>
      </x:c>
      <x:c r="C59" s="10" t="str">
        <x:v>FOR025</x:v>
      </x:c>
      <x:c r="D59" s="10" t="str">
        <x:v>CC003</x:v>
      </x:c>
      <x:c r="E59" s="10" t="str">
        <x:v>CAT012</x:v>
      </x:c>
      <x:c r="F59" s="10" t="str">
        <x:v>CTA004</x:v>
      </x:c>
      <x:c r="G59" s="10" t="str">
        <x:v>NF-100058</x:v>
      </x:c>
      <x:c r="H59" s="10" t="str">
        <x:v>Prestação de serviços</x:v>
      </x:c>
      <x:c r="I59" s="16" t="n">
        <x:v>45910.06321584491</x:v>
      </x:c>
      <x:c r="J59" s="16" t="n">
        <x:v>45985.06321584491</x:v>
      </x:c>
      <x:c r="K59" s="16"/>
      <x:c r="L59" s="20" t="n">
        <x:v>17260.87</x:v>
      </x:c>
      <x:c r="M59" s="20" t="n">
        <x:v>0</x:v>
      </x:c>
      <x:c r="N59" s="20" t="n">
        <x:v>0</x:v>
      </x:c>
      <x:c r="O59" s="20" t="n">
        <x:v>0</x:v>
      </x:c>
      <x:c r="P59" s="20" t="n">
        <x:v>17260.87</x:v>
      </x:c>
      <x:c r="Q59" s="10" t="str">
        <x:v>Vencido</x:v>
      </x:c>
      <x:c r="R59" s="10" t="str">
        <x:v>TED</x:v>
      </x:c>
      <x:c r="S59" s="10" t="str">
        <x:v>2025-09</x:v>
      </x:c>
      <x:c r="T59" s="10" t="n">
        <x:v>36</x:v>
      </x:c>
      <x:c r="U59" s="10" t="str">
        <x:v>31 a 60 dias</x:v>
      </x:c>
      <x:c r="V59" s="10" t="str">
        <x:v>UND003</x:v>
      </x:c>
    </x:row>
    <x:row r="60" ht="18" customHeight="1">
      <x:c r="A60" s="10" t="str">
        <x:v>PAG00059</x:v>
      </x:c>
      <x:c r="B60" s="10" t="str">
        <x:v>EMP003</x:v>
      </x:c>
      <x:c r="C60" s="10" t="str">
        <x:v>FOR006</x:v>
      </x:c>
      <x:c r="D60" s="10" t="str">
        <x:v>CC003</x:v>
      </x:c>
      <x:c r="E60" s="10" t="str">
        <x:v>CAT006</x:v>
      </x:c>
      <x:c r="F60" s="10" t="str">
        <x:v>CTA006</x:v>
      </x:c>
      <x:c r="G60" s="10" t="str">
        <x:v>NF-100059</x:v>
      </x:c>
      <x:c r="H60" s="10" t="str">
        <x:v>Contrato recorrente</x:v>
      </x:c>
      <x:c r="I60" s="16" t="n">
        <x:v>45963.09304086806</x:v>
      </x:c>
      <x:c r="J60" s="16" t="n">
        <x:v>45998.09304086806</x:v>
      </x:c>
      <x:c r="K60" s="16" t="n">
        <x:v>46005.09304086806</x:v>
      </x:c>
      <x:c r="L60" s="20" t="n">
        <x:v>16347.01</x:v>
      </x:c>
      <x:c r="M60" s="20" t="n">
        <x:v>80.1</x:v>
      </x:c>
      <x:c r="N60" s="20" t="n">
        <x:v>0</x:v>
      </x:c>
      <x:c r="O60" s="20" t="n">
        <x:v>16427.11</x:v>
      </x:c>
      <x:c r="P60" s="20" t="n">
        <x:v>0</x:v>
      </x:c>
      <x:c r="Q60" s="10" t="str">
        <x:v>Pago</x:v>
      </x:c>
      <x:c r="R60" s="10" t="str">
        <x:v>TED</x:v>
      </x:c>
      <x:c r="S60" s="10" t="str">
        <x:v>2025-11</x:v>
      </x:c>
      <x:c r="T60" s="10" t="n">
        <x:v>0</x:v>
      </x:c>
      <x:c r="U60" s="10" t="str">
        <x:v>Liquidado</x:v>
      </x:c>
      <x:c r="V60" s="10" t="str">
        <x:v>UND004</x:v>
      </x:c>
    </x:row>
    <x:row r="61" ht="18" customHeight="1">
      <x:c r="A61" s="10" t="str">
        <x:v>PAG00060</x:v>
      </x:c>
      <x:c r="B61" s="10" t="str">
        <x:v>EMP001</x:v>
      </x:c>
      <x:c r="C61" s="10" t="str">
        <x:v>FOR029</x:v>
      </x:c>
      <x:c r="D61" s="10" t="str">
        <x:v>CC003</x:v>
      </x:c>
      <x:c r="E61" s="10" t="str">
        <x:v>CAT012</x:v>
      </x:c>
      <x:c r="F61" s="10" t="str">
        <x:v>CTA002</x:v>
      </x:c>
      <x:c r="G61" s="10" t="str">
        <x:v>NF-100060</x:v>
      </x:c>
      <x:c r="H61" s="10" t="str">
        <x:v>Despesa operacional</x:v>
      </x:c>
      <x:c r="I61" s="16" t="n">
        <x:v>45472.41162905093</x:v>
      </x:c>
      <x:c r="J61" s="16" t="n">
        <x:v>45502.41162905093</x:v>
      </x:c>
      <x:c r="K61" s="16"/>
      <x:c r="L61" s="20" t="n">
        <x:v>23643.46</x:v>
      </x:c>
      <x:c r="M61" s="20" t="n">
        <x:v>0</x:v>
      </x:c>
      <x:c r="N61" s="20" t="n">
        <x:v>0</x:v>
      </x:c>
      <x:c r="O61" s="20" t="n">
        <x:v>0</x:v>
      </x:c>
      <x:c r="P61" s="20" t="n">
        <x:v>0</x:v>
      </x:c>
      <x:c r="Q61" s="10" t="str">
        <x:v>Cancelado</x:v>
      </x:c>
      <x:c r="R61" s="10" t="str">
        <x:v>Cartão Corporativo</x:v>
      </x:c>
      <x:c r="S61" s="10" t="str">
        <x:v>2024-06</x:v>
      </x:c>
      <x:c r="T61" s="10" t="n">
        <x:v>0</x:v>
      </x:c>
      <x:c r="U61" s="10" t="str">
        <x:v>Cancelado</x:v>
      </x:c>
      <x:c r="V61" s="10" t="str">
        <x:v>UND001</x:v>
      </x:c>
    </x:row>
    <x:row r="62" ht="18" customHeight="1">
      <x:c r="A62" s="10" t="str">
        <x:v>PAG00061</x:v>
      </x:c>
      <x:c r="B62" s="10" t="str">
        <x:v>EMP002</x:v>
      </x:c>
      <x:c r="C62" s="10" t="str">
        <x:v>FOR058</x:v>
      </x:c>
      <x:c r="D62" s="10" t="str">
        <x:v>CC003</x:v>
      </x:c>
      <x:c r="E62" s="10" t="str">
        <x:v>CAT014</x:v>
      </x:c>
      <x:c r="F62" s="10" t="str">
        <x:v>CTA003</x:v>
      </x:c>
      <x:c r="G62" s="10" t="str">
        <x:v>NF-100061</x:v>
      </x:c>
      <x:c r="H62" s="10" t="str">
        <x:v>Tributos e taxas</x:v>
      </x:c>
      <x:c r="I62" s="16" t="n">
        <x:v>45972.10275479167</x:v>
      </x:c>
      <x:c r="J62" s="16" t="n">
        <x:v>46047.10275479167</x:v>
      </x:c>
      <x:c r="K62" s="16"/>
      <x:c r="L62" s="20" t="n">
        <x:v>43597.7</x:v>
      </x:c>
      <x:c r="M62" s="20" t="n">
        <x:v>0</x:v>
      </x:c>
      <x:c r="N62" s="20" t="n">
        <x:v>0</x:v>
      </x:c>
      <x:c r="O62" s="20" t="n">
        <x:v>0</x:v>
      </x:c>
      <x:c r="P62" s="20" t="n">
        <x:v>43597.7</x:v>
      </x:c>
      <x:c r="Q62" s="10" t="str">
        <x:v>A vencer</x:v>
      </x:c>
      <x:c r="R62" s="10" t="str">
        <x:v>Boleto</x:v>
      </x:c>
      <x:c r="S62" s="10" t="str">
        <x:v>2025-11</x:v>
      </x:c>
      <x:c r="T62" s="10" t="n">
        <x:v>0</x:v>
      </x:c>
      <x:c r="U62" s="10" t="str">
        <x:v>A vencer</x:v>
      </x:c>
      <x:c r="V62" s="10" t="str">
        <x:v>UND003</x:v>
      </x:c>
    </x:row>
    <x:row r="63" ht="18" customHeight="1">
      <x:c r="A63" s="10" t="str">
        <x:v>PAG00062</x:v>
      </x:c>
      <x:c r="B63" s="10" t="str">
        <x:v>EMP001</x:v>
      </x:c>
      <x:c r="C63" s="10" t="str">
        <x:v>FOR035</x:v>
      </x:c>
      <x:c r="D63" s="10" t="str">
        <x:v>CC003</x:v>
      </x:c>
      <x:c r="E63" s="10" t="str">
        <x:v>CAT018</x:v>
      </x:c>
      <x:c r="F63" s="10" t="str">
        <x:v>CTA001</x:v>
      </x:c>
      <x:c r="G63" s="10" t="str">
        <x:v>NF-100062</x:v>
      </x:c>
      <x:c r="H63" s="10" t="str">
        <x:v>Despesa operacional</x:v>
      </x:c>
      <x:c r="I63" s="16" t="n">
        <x:v>45503.12548730324</x:v>
      </x:c>
      <x:c r="J63" s="16" t="n">
        <x:v>45533.12548730324</x:v>
      </x:c>
      <x:c r="K63" s="16" t="n">
        <x:v>45544.12548730324</x:v>
      </x:c>
      <x:c r="L63" s="20" t="n">
        <x:v>10455.79</x:v>
      </x:c>
      <x:c r="M63" s="20" t="n">
        <x:v>80.51</x:v>
      </x:c>
      <x:c r="N63" s="20" t="n">
        <x:v>0</x:v>
      </x:c>
      <x:c r="O63" s="20" t="n">
        <x:v>10536.3</x:v>
      </x:c>
      <x:c r="P63" s="20" t="n">
        <x:v>0</x:v>
      </x:c>
      <x:c r="Q63" s="10" t="str">
        <x:v>Pago</x:v>
      </x:c>
      <x:c r="R63" s="10" t="str">
        <x:v>Boleto</x:v>
      </x:c>
      <x:c r="S63" s="10" t="str">
        <x:v>2024-07</x:v>
      </x:c>
      <x:c r="T63" s="10" t="n">
        <x:v>0</x:v>
      </x:c>
      <x:c r="U63" s="10" t="str">
        <x:v>Liquidado</x:v>
      </x:c>
      <x:c r="V63" s="10" t="str">
        <x:v>UND001</x:v>
      </x:c>
    </x:row>
    <x:row r="64" ht="18" customHeight="1">
      <x:c r="A64" s="10" t="str">
        <x:v>PAG00063</x:v>
      </x:c>
      <x:c r="B64" s="10" t="str">
        <x:v>EMP002</x:v>
      </x:c>
      <x:c r="C64" s="10" t="str">
        <x:v>FOR057</x:v>
      </x:c>
      <x:c r="D64" s="10" t="str">
        <x:v>CC008</x:v>
      </x:c>
      <x:c r="E64" s="10" t="str">
        <x:v>CAT014</x:v>
      </x:c>
      <x:c r="F64" s="10" t="str">
        <x:v>CTA004</x:v>
      </x:c>
      <x:c r="G64" s="10" t="str">
        <x:v>NF-100063</x:v>
      </x:c>
      <x:c r="H64" s="10" t="str">
        <x:v>Tributos e taxas</x:v>
      </x:c>
      <x:c r="I64" s="16" t="n">
        <x:v>45705.44206712963</x:v>
      </x:c>
      <x:c r="J64" s="16" t="n">
        <x:v>45740.44206712963</x:v>
      </x:c>
      <x:c r="K64" s="16" t="n">
        <x:v>45738.44206712963</x:v>
      </x:c>
      <x:c r="L64" s="20" t="n">
        <x:v>74190.63</x:v>
      </x:c>
      <x:c r="M64" s="20" t="n">
        <x:v>0</x:v>
      </x:c>
      <x:c r="N64" s="20" t="n">
        <x:v>0</x:v>
      </x:c>
      <x:c r="O64" s="20" t="n">
        <x:v>74190.63</x:v>
      </x:c>
      <x:c r="P64" s="20" t="n">
        <x:v>0</x:v>
      </x:c>
      <x:c r="Q64" s="10" t="str">
        <x:v>Pago</x:v>
      </x:c>
      <x:c r="R64" s="10" t="str">
        <x:v>Débito Automático</x:v>
      </x:c>
      <x:c r="S64" s="10" t="str">
        <x:v>2025-02</x:v>
      </x:c>
      <x:c r="T64" s="10" t="n">
        <x:v>0</x:v>
      </x:c>
      <x:c r="U64" s="10" t="str">
        <x:v>Liquidado</x:v>
      </x:c>
      <x:c r="V64" s="10" t="str">
        <x:v>UND003</x:v>
      </x:c>
    </x:row>
    <x:row r="65" ht="18" customHeight="1">
      <x:c r="A65" s="10" t="str">
        <x:v>PAG00064</x:v>
      </x:c>
      <x:c r="B65" s="10" t="str">
        <x:v>EMP002</x:v>
      </x:c>
      <x:c r="C65" s="10" t="str">
        <x:v>FOR006</x:v>
      </x:c>
      <x:c r="D65" s="10" t="str">
        <x:v>CC007</x:v>
      </x:c>
      <x:c r="E65" s="10" t="str">
        <x:v>CAT013</x:v>
      </x:c>
      <x:c r="F65" s="10" t="str">
        <x:v>CTA003</x:v>
      </x:c>
      <x:c r="G65" s="10" t="str">
        <x:v>NF-100064</x:v>
      </x:c>
      <x:c r="H65" s="10" t="str">
        <x:v>Despesa operacional</x:v>
      </x:c>
      <x:c r="I65" s="16" t="n">
        <x:v>45744.40464094908</x:v>
      </x:c>
      <x:c r="J65" s="16" t="n">
        <x:v>45772.40464094908</x:v>
      </x:c>
      <x:c r="K65" s="16" t="n">
        <x:v>45776.40464094908</x:v>
      </x:c>
      <x:c r="L65" s="20" t="n">
        <x:v>71491.14</x:v>
      </x:c>
      <x:c r="M65" s="20" t="n">
        <x:v>200.18</x:v>
      </x:c>
      <x:c r="N65" s="20" t="n">
        <x:v>0</x:v>
      </x:c>
      <x:c r="O65" s="20" t="n">
        <x:v>71691.32</x:v>
      </x:c>
      <x:c r="P65" s="20" t="n">
        <x:v>0</x:v>
      </x:c>
      <x:c r="Q65" s="10" t="str">
        <x:v>Pago</x:v>
      </x:c>
      <x:c r="R65" s="10" t="str">
        <x:v>Cartão Corporativo</x:v>
      </x:c>
      <x:c r="S65" s="10" t="str">
        <x:v>2025-03</x:v>
      </x:c>
      <x:c r="T65" s="10" t="n">
        <x:v>0</x:v>
      </x:c>
      <x:c r="U65" s="10" t="str">
        <x:v>Liquidado</x:v>
      </x:c>
      <x:c r="V65" s="10" t="str">
        <x:v>UND003</x:v>
      </x:c>
    </x:row>
    <x:row r="66" ht="18" customHeight="1">
      <x:c r="A66" s="10" t="str">
        <x:v>PAG00065</x:v>
      </x:c>
      <x:c r="B66" s="10" t="str">
        <x:v>EMP002</x:v>
      </x:c>
      <x:c r="C66" s="10" t="str">
        <x:v>FOR028</x:v>
      </x:c>
      <x:c r="D66" s="10" t="str">
        <x:v>CC008</x:v>
      </x:c>
      <x:c r="E66" s="10" t="str">
        <x:v>CAT008</x:v>
      </x:c>
      <x:c r="F66" s="10" t="str">
        <x:v>CTA004</x:v>
      </x:c>
      <x:c r="G66" s="10" t="str">
        <x:v>NF-100065</x:v>
      </x:c>
      <x:c r="H66" s="10" t="str">
        <x:v>Tributos e taxas</x:v>
      </x:c>
      <x:c r="I66" s="16" t="n">
        <x:v>45313.757464456015</x:v>
      </x:c>
      <x:c r="J66" s="16" t="n">
        <x:v>45333.757464456015</x:v>
      </x:c>
      <x:c r="K66" s="16"/>
      <x:c r="L66" s="20" t="n">
        <x:v>31413.49</x:v>
      </x:c>
      <x:c r="M66" s="20" t="n">
        <x:v>0</x:v>
      </x:c>
      <x:c r="N66" s="20" t="n">
        <x:v>0</x:v>
      </x:c>
      <x:c r="O66" s="20" t="n">
        <x:v>0</x:v>
      </x:c>
      <x:c r="P66" s="20" t="n">
        <x:v>0</x:v>
      </x:c>
      <x:c r="Q66" s="10" t="str">
        <x:v>Cancelado</x:v>
      </x:c>
      <x:c r="R66" s="10" t="str">
        <x:v>Cartão Corporativo</x:v>
      </x:c>
      <x:c r="S66" s="10" t="str">
        <x:v>2024-01</x:v>
      </x:c>
      <x:c r="T66" s="10" t="n">
        <x:v>0</x:v>
      </x:c>
      <x:c r="U66" s="10" t="str">
        <x:v>Cancelado</x:v>
      </x:c>
      <x:c r="V66" s="10" t="str">
        <x:v>UND003</x:v>
      </x:c>
    </x:row>
    <x:row r="67" ht="18" customHeight="1">
      <x:c r="A67" s="10" t="str">
        <x:v>PAG00066</x:v>
      </x:c>
      <x:c r="B67" s="10" t="str">
        <x:v>EMP002</x:v>
      </x:c>
      <x:c r="C67" s="10" t="str">
        <x:v>FOR031</x:v>
      </x:c>
      <x:c r="D67" s="10" t="str">
        <x:v>CC003</x:v>
      </x:c>
      <x:c r="E67" s="10" t="str">
        <x:v>CAT018</x:v>
      </x:c>
      <x:c r="F67" s="10" t="str">
        <x:v>CTA003</x:v>
      </x:c>
      <x:c r="G67" s="10" t="str">
        <x:v>NF-100066</x:v>
      </x:c>
      <x:c r="H67" s="10" t="str">
        <x:v>Compra de materiais</x:v>
      </x:c>
      <x:c r="I67" s="16" t="n">
        <x:v>45310.94569954861</x:v>
      </x:c>
      <x:c r="J67" s="16" t="n">
        <x:v>45385.94569954861</x:v>
      </x:c>
      <x:c r="K67" s="16" t="n">
        <x:v>45391.94569954861</x:v>
      </x:c>
      <x:c r="L67" s="20" t="n">
        <x:v>70773.61</x:v>
      </x:c>
      <x:c r="M67" s="20" t="n">
        <x:v>297.25</x:v>
      </x:c>
      <x:c r="N67" s="20" t="n">
        <x:v>0</x:v>
      </x:c>
      <x:c r="O67" s="20" t="n">
        <x:v>71070.86</x:v>
      </x:c>
      <x:c r="P67" s="20" t="n">
        <x:v>0</x:v>
      </x:c>
      <x:c r="Q67" s="10" t="str">
        <x:v>Pago</x:v>
      </x:c>
      <x:c r="R67" s="10" t="str">
        <x:v>TED</x:v>
      </x:c>
      <x:c r="S67" s="10" t="str">
        <x:v>2024-01</x:v>
      </x:c>
      <x:c r="T67" s="10" t="n">
        <x:v>0</x:v>
      </x:c>
      <x:c r="U67" s="10" t="str">
        <x:v>Liquidado</x:v>
      </x:c>
      <x:c r="V67" s="10" t="str">
        <x:v>UND003</x:v>
      </x:c>
    </x:row>
    <x:row r="68" ht="18" customHeight="1">
      <x:c r="A68" s="10" t="str">
        <x:v>PAG00067</x:v>
      </x:c>
      <x:c r="B68" s="10" t="str">
        <x:v>EMP002</x:v>
      </x:c>
      <x:c r="C68" s="10" t="str">
        <x:v>FOR002</x:v>
      </x:c>
      <x:c r="D68" s="10" t="str">
        <x:v>CC005</x:v>
      </x:c>
      <x:c r="E68" s="10" t="str">
        <x:v>CAT009</x:v>
      </x:c>
      <x:c r="F68" s="10" t="str">
        <x:v>CTA004</x:v>
      </x:c>
      <x:c r="G68" s="10" t="str">
        <x:v>NF-100067</x:v>
      </x:c>
      <x:c r="H68" s="10" t="str">
        <x:v>Prestação de serviços</x:v>
      </x:c>
      <x:c r="I68" s="16" t="n">
        <x:v>45797.01144589121</x:v>
      </x:c>
      <x:c r="J68" s="16" t="n">
        <x:v>45825.01144589121</x:v>
      </x:c>
      <x:c r="K68" s="16" t="n">
        <x:v>45818.01144589121</x:v>
      </x:c>
      <x:c r="L68" s="20" t="n">
        <x:v>31700.55</x:v>
      </x:c>
      <x:c r="M68" s="20" t="n">
        <x:v>0</x:v>
      </x:c>
      <x:c r="N68" s="20" t="n">
        <x:v>158.5</x:v>
      </x:c>
      <x:c r="O68" s="20" t="n">
        <x:v>31542.05</x:v>
      </x:c>
      <x:c r="P68" s="20" t="n">
        <x:v>0</x:v>
      </x:c>
      <x:c r="Q68" s="10" t="str">
        <x:v>Pago</x:v>
      </x:c>
      <x:c r="R68" s="10" t="str">
        <x:v>Cartão Corporativo</x:v>
      </x:c>
      <x:c r="S68" s="10" t="str">
        <x:v>2025-05</x:v>
      </x:c>
      <x:c r="T68" s="10" t="n">
        <x:v>0</x:v>
      </x:c>
      <x:c r="U68" s="10" t="str">
        <x:v>Liquidado</x:v>
      </x:c>
      <x:c r="V68" s="10" t="str">
        <x:v>UND003</x:v>
      </x:c>
    </x:row>
    <x:row r="69" ht="18" customHeight="1">
      <x:c r="A69" s="10" t="str">
        <x:v>PAG00068</x:v>
      </x:c>
      <x:c r="B69" s="10" t="str">
        <x:v>EMP002</x:v>
      </x:c>
      <x:c r="C69" s="10" t="str">
        <x:v>FOR008</x:v>
      </x:c>
      <x:c r="D69" s="10" t="str">
        <x:v>CC004</x:v>
      </x:c>
      <x:c r="E69" s="10" t="str">
        <x:v>CAT006</x:v>
      </x:c>
      <x:c r="F69" s="10" t="str">
        <x:v>CTA003</x:v>
      </x:c>
      <x:c r="G69" s="10" t="str">
        <x:v>NF-100068</x:v>
      </x:c>
      <x:c r="H69" s="10" t="str">
        <x:v>Prestação de serviços</x:v>
      </x:c>
      <x:c r="I69" s="16" t="n">
        <x:v>45740.29023021991</x:v>
      </x:c>
      <x:c r="J69" s="16" t="n">
        <x:v>45785.29023021991</x:v>
      </x:c>
      <x:c r="K69" s="16" t="n">
        <x:v>45814.29023021991</x:v>
      </x:c>
      <x:c r="L69" s="20" t="n">
        <x:v>642.12</x:v>
      </x:c>
      <x:c r="M69" s="20" t="n">
        <x:v>13.04</x:v>
      </x:c>
      <x:c r="N69" s="20" t="n">
        <x:v>0</x:v>
      </x:c>
      <x:c r="O69" s="20" t="n">
        <x:v>655.16</x:v>
      </x:c>
      <x:c r="P69" s="20" t="n">
        <x:v>0</x:v>
      </x:c>
      <x:c r="Q69" s="10" t="str">
        <x:v>Pago</x:v>
      </x:c>
      <x:c r="R69" s="10" t="str">
        <x:v>TED</x:v>
      </x:c>
      <x:c r="S69" s="10" t="str">
        <x:v>2025-03</x:v>
      </x:c>
      <x:c r="T69" s="10" t="n">
        <x:v>0</x:v>
      </x:c>
      <x:c r="U69" s="10" t="str">
        <x:v>Liquidado</x:v>
      </x:c>
      <x:c r="V69" s="10" t="str">
        <x:v>UND003</x:v>
      </x:c>
    </x:row>
    <x:row r="70" ht="18" customHeight="1">
      <x:c r="A70" s="10" t="str">
        <x:v>PAG00069</x:v>
      </x:c>
      <x:c r="B70" s="10" t="str">
        <x:v>EMP002</x:v>
      </x:c>
      <x:c r="C70" s="10" t="str">
        <x:v>FOR028</x:v>
      </x:c>
      <x:c r="D70" s="10" t="str">
        <x:v>CC003</x:v>
      </x:c>
      <x:c r="E70" s="10" t="str">
        <x:v>CAT009</x:v>
      </x:c>
      <x:c r="F70" s="10" t="str">
        <x:v>CTA003</x:v>
      </x:c>
      <x:c r="G70" s="10" t="str">
        <x:v>NF-100069</x:v>
      </x:c>
      <x:c r="H70" s="10" t="str">
        <x:v>Contrato recorrente</x:v>
      </x:c>
      <x:c r="I70" s="16" t="n">
        <x:v>45371.51873769676</x:v>
      </x:c>
      <x:c r="J70" s="16" t="n">
        <x:v>45401.51873769676</x:v>
      </x:c>
      <x:c r="K70" s="16"/>
      <x:c r="L70" s="20" t="n">
        <x:v>606.54</x:v>
      </x:c>
      <x:c r="M70" s="20" t="n">
        <x:v>0</x:v>
      </x:c>
      <x:c r="N70" s="20" t="n">
        <x:v>0</x:v>
      </x:c>
      <x:c r="O70" s="20" t="n">
        <x:v>0</x:v>
      </x:c>
      <x:c r="P70" s="20" t="n">
        <x:v>606.54</x:v>
      </x:c>
      <x:c r="Q70" s="10" t="str">
        <x:v>Vencido</x:v>
      </x:c>
      <x:c r="R70" s="10" t="str">
        <x:v>Cartão Corporativo</x:v>
      </x:c>
      <x:c r="S70" s="10" t="str">
        <x:v>2024-03</x:v>
      </x:c>
      <x:c r="T70" s="10" t="n">
        <x:v>620</x:v>
      </x:c>
      <x:c r="U70" s="10" t="str">
        <x:v>&gt; 120 dias</x:v>
      </x:c>
      <x:c r="V70" s="10" t="str">
        <x:v>UND003</x:v>
      </x:c>
    </x:row>
    <x:row r="71" ht="18" customHeight="1">
      <x:c r="A71" s="10" t="str">
        <x:v>PAG00070</x:v>
      </x:c>
      <x:c r="B71" s="10" t="str">
        <x:v>EMP002</x:v>
      </x:c>
      <x:c r="C71" s="10" t="str">
        <x:v>FOR003</x:v>
      </x:c>
      <x:c r="D71" s="10" t="str">
        <x:v>CC004</x:v>
      </x:c>
      <x:c r="E71" s="10" t="str">
        <x:v>CAT006</x:v>
      </x:c>
      <x:c r="F71" s="10" t="str">
        <x:v>CTA004</x:v>
      </x:c>
      <x:c r="G71" s="10" t="str">
        <x:v>NF-100070</x:v>
      </x:c>
      <x:c r="H71" s="10" t="str">
        <x:v>Contrato recorrente</x:v>
      </x:c>
      <x:c r="I71" s="16" t="n">
        <x:v>45426.36066832176</x:v>
      </x:c>
      <x:c r="J71" s="16" t="n">
        <x:v>45461.36066832176</x:v>
      </x:c>
      <x:c r="K71" s="16" t="n">
        <x:v>45464.36066832176</x:v>
      </x:c>
      <x:c r="L71" s="20" t="n">
        <x:v>640.27</x:v>
      </x:c>
      <x:c r="M71" s="20" t="n">
        <x:v>1.34</x:v>
      </x:c>
      <x:c r="N71" s="20" t="n">
        <x:v>0</x:v>
      </x:c>
      <x:c r="O71" s="20" t="n">
        <x:v>641.61</x:v>
      </x:c>
      <x:c r="P71" s="20" t="n">
        <x:v>0</x:v>
      </x:c>
      <x:c r="Q71" s="10" t="str">
        <x:v>Pago</x:v>
      </x:c>
      <x:c r="R71" s="10" t="str">
        <x:v>Débito Automático</x:v>
      </x:c>
      <x:c r="S71" s="10" t="str">
        <x:v>2024-05</x:v>
      </x:c>
      <x:c r="T71" s="10" t="n">
        <x:v>0</x:v>
      </x:c>
      <x:c r="U71" s="10" t="str">
        <x:v>Liquidado</x:v>
      </x:c>
      <x:c r="V71" s="10" t="str">
        <x:v>UND003</x:v>
      </x:c>
    </x:row>
    <x:row r="72" ht="18" customHeight="1">
      <x:c r="A72" s="10" t="str">
        <x:v>PAG00071</x:v>
      </x:c>
      <x:c r="B72" s="10" t="str">
        <x:v>EMP002</x:v>
      </x:c>
      <x:c r="C72" s="10" t="str">
        <x:v>FOR060</x:v>
      </x:c>
      <x:c r="D72" s="10" t="str">
        <x:v>CC004</x:v>
      </x:c>
      <x:c r="E72" s="10" t="str">
        <x:v>CAT008</x:v>
      </x:c>
      <x:c r="F72" s="10" t="str">
        <x:v>CTA003</x:v>
      </x:c>
      <x:c r="G72" s="10" t="str">
        <x:v>NF-100071</x:v>
      </x:c>
      <x:c r="H72" s="10" t="str">
        <x:v>Prestação de serviços</x:v>
      </x:c>
      <x:c r="I72" s="16" t="n">
        <x:v>45544.85284144676</x:v>
      </x:c>
      <x:c r="J72" s="16" t="n">
        <x:v>45579.85284144676</x:v>
      </x:c>
      <x:c r="K72" s="16" t="n">
        <x:v>45575.85284144676</x:v>
      </x:c>
      <x:c r="L72" s="20" t="n">
        <x:v>2101.42</x:v>
      </x:c>
      <x:c r="M72" s="20" t="n">
        <x:v>0</x:v>
      </x:c>
      <x:c r="N72" s="20" t="n">
        <x:v>10.51</x:v>
      </x:c>
      <x:c r="O72" s="20" t="n">
        <x:v>2090.91</x:v>
      </x:c>
      <x:c r="P72" s="20" t="n">
        <x:v>0</x:v>
      </x:c>
      <x:c r="Q72" s="10" t="str">
        <x:v>Pago</x:v>
      </x:c>
      <x:c r="R72" s="10" t="str">
        <x:v>TED</x:v>
      </x:c>
      <x:c r="S72" s="10" t="str">
        <x:v>2024-09</x:v>
      </x:c>
      <x:c r="T72" s="10" t="n">
        <x:v>0</x:v>
      </x:c>
      <x:c r="U72" s="10" t="str">
        <x:v>Liquidado</x:v>
      </x:c>
      <x:c r="V72" s="10" t="str">
        <x:v>UND003</x:v>
      </x:c>
    </x:row>
    <x:row r="73" ht="18" customHeight="1">
      <x:c r="A73" s="10" t="str">
        <x:v>PAG00072</x:v>
      </x:c>
      <x:c r="B73" s="10" t="str">
        <x:v>EMP001</x:v>
      </x:c>
      <x:c r="C73" s="10" t="str">
        <x:v>FOR031</x:v>
      </x:c>
      <x:c r="D73" s="10" t="str">
        <x:v>CC001</x:v>
      </x:c>
      <x:c r="E73" s="10" t="str">
        <x:v>CAT008</x:v>
      </x:c>
      <x:c r="F73" s="10" t="str">
        <x:v>CTA002</x:v>
      </x:c>
      <x:c r="G73" s="10" t="str">
        <x:v>NF-100072</x:v>
      </x:c>
      <x:c r="H73" s="10" t="str">
        <x:v>Tributos e taxas</x:v>
      </x:c>
      <x:c r="I73" s="16" t="n">
        <x:v>45450.61364362269</x:v>
      </x:c>
      <x:c r="J73" s="16" t="n">
        <x:v>45480.61364362269</x:v>
      </x:c>
      <x:c r="K73" s="16" t="n">
        <x:v>45478.61364362269</x:v>
      </x:c>
      <x:c r="L73" s="20" t="n">
        <x:v>80434.8</x:v>
      </x:c>
      <x:c r="M73" s="20" t="n">
        <x:v>0</x:v>
      </x:c>
      <x:c r="N73" s="20" t="n">
        <x:v>804.35</x:v>
      </x:c>
      <x:c r="O73" s="20" t="n">
        <x:v>79630.45</x:v>
      </x:c>
      <x:c r="P73" s="20" t="n">
        <x:v>0</x:v>
      </x:c>
      <x:c r="Q73" s="10" t="str">
        <x:v>Pago</x:v>
      </x:c>
      <x:c r="R73" s="10" t="str">
        <x:v>PIX</x:v>
      </x:c>
      <x:c r="S73" s="10" t="str">
        <x:v>2024-06</x:v>
      </x:c>
      <x:c r="T73" s="10" t="n">
        <x:v>0</x:v>
      </x:c>
      <x:c r="U73" s="10" t="str">
        <x:v>Liquidado</x:v>
      </x:c>
      <x:c r="V73" s="10" t="str">
        <x:v>UND001</x:v>
      </x:c>
    </x:row>
    <x:row r="74" ht="18" customHeight="1">
      <x:c r="A74" s="10" t="str">
        <x:v>PAG00073</x:v>
      </x:c>
      <x:c r="B74" s="10" t="str">
        <x:v>EMP002</x:v>
      </x:c>
      <x:c r="C74" s="10" t="str">
        <x:v>FOR052</x:v>
      </x:c>
      <x:c r="D74" s="10" t="str">
        <x:v>CC002</x:v>
      </x:c>
      <x:c r="E74" s="10" t="str">
        <x:v>CAT012</x:v>
      </x:c>
      <x:c r="F74" s="10" t="str">
        <x:v>CTA003</x:v>
      </x:c>
      <x:c r="G74" s="10" t="str">
        <x:v>NF-100073</x:v>
      </x:c>
      <x:c r="H74" s="10" t="str">
        <x:v>Despesa operacional</x:v>
      </x:c>
      <x:c r="I74" s="16" t="n">
        <x:v>46000.55513800926</x:v>
      </x:c>
      <x:c r="J74" s="16" t="n">
        <x:v>46045.55513800926</x:v>
      </x:c>
      <x:c r="K74" s="16"/>
      <x:c r="L74" s="20" t="n">
        <x:v>25837.14</x:v>
      </x:c>
      <x:c r="M74" s="20" t="n">
        <x:v>0</x:v>
      </x:c>
      <x:c r="N74" s="20" t="n">
        <x:v>0</x:v>
      </x:c>
      <x:c r="O74" s="20" t="n">
        <x:v>0</x:v>
      </x:c>
      <x:c r="P74" s="20" t="n">
        <x:v>25837.14</x:v>
      </x:c>
      <x:c r="Q74" s="10" t="str">
        <x:v>A vencer</x:v>
      </x:c>
      <x:c r="R74" s="10" t="str">
        <x:v>PIX</x:v>
      </x:c>
      <x:c r="S74" s="10" t="str">
        <x:v>2025-12</x:v>
      </x:c>
      <x:c r="T74" s="10" t="n">
        <x:v>0</x:v>
      </x:c>
      <x:c r="U74" s="10" t="str">
        <x:v>A vencer</x:v>
      </x:c>
      <x:c r="V74" s="10" t="str">
        <x:v>UND003</x:v>
      </x:c>
    </x:row>
    <x:row r="75" ht="18" customHeight="1">
      <x:c r="A75" s="10" t="str">
        <x:v>PAG00074</x:v>
      </x:c>
      <x:c r="B75" s="10" t="str">
        <x:v>EMP003</x:v>
      </x:c>
      <x:c r="C75" s="10" t="str">
        <x:v>FOR022</x:v>
      </x:c>
      <x:c r="D75" s="10" t="str">
        <x:v>CC007</x:v>
      </x:c>
      <x:c r="E75" s="10" t="str">
        <x:v>CAT018</x:v>
      </x:c>
      <x:c r="F75" s="10" t="str">
        <x:v>CTA005</x:v>
      </x:c>
      <x:c r="G75" s="10" t="str">
        <x:v>NF-100074</x:v>
      </x:c>
      <x:c r="H75" s="10" t="str">
        <x:v>Compra de materiais</x:v>
      </x:c>
      <x:c r="I75" s="16" t="n">
        <x:v>45744.70685230324</x:v>
      </x:c>
      <x:c r="J75" s="16" t="n">
        <x:v>45804.70685230324</x:v>
      </x:c>
      <x:c r="K75" s="16" t="n">
        <x:v>45798.70685230324</x:v>
      </x:c>
      <x:c r="L75" s="20" t="n">
        <x:v>46749.42</x:v>
      </x:c>
      <x:c r="M75" s="20" t="n">
        <x:v>0</x:v>
      </x:c>
      <x:c r="N75" s="20" t="n">
        <x:v>701.24</x:v>
      </x:c>
      <x:c r="O75" s="20" t="n">
        <x:v>46048.18</x:v>
      </x:c>
      <x:c r="P75" s="20" t="n">
        <x:v>0</x:v>
      </x:c>
      <x:c r="Q75" s="10" t="str">
        <x:v>Pago</x:v>
      </x:c>
      <x:c r="R75" s="10" t="str">
        <x:v>PIX</x:v>
      </x:c>
      <x:c r="S75" s="10" t="str">
        <x:v>2025-03</x:v>
      </x:c>
      <x:c r="T75" s="10" t="n">
        <x:v>0</x:v>
      </x:c>
      <x:c r="U75" s="10" t="str">
        <x:v>Liquidado</x:v>
      </x:c>
      <x:c r="V75" s="10" t="str">
        <x:v>UND004</x:v>
      </x:c>
    </x:row>
    <x:row r="76" ht="18" customHeight="1">
      <x:c r="A76" s="10" t="str">
        <x:v>PAG00075</x:v>
      </x:c>
      <x:c r="B76" s="10" t="str">
        <x:v>EMP001</x:v>
      </x:c>
      <x:c r="C76" s="10" t="str">
        <x:v>FOR043</x:v>
      </x:c>
      <x:c r="D76" s="10" t="str">
        <x:v>CC005</x:v>
      </x:c>
      <x:c r="E76" s="10" t="str">
        <x:v>CAT006</x:v>
      </x:c>
      <x:c r="F76" s="10" t="str">
        <x:v>CTA002</x:v>
      </x:c>
      <x:c r="G76" s="10" t="str">
        <x:v>NF-100075</x:v>
      </x:c>
      <x:c r="H76" s="10" t="str">
        <x:v>Despesa operacional</x:v>
      </x:c>
      <x:c r="I76" s="16" t="n">
        <x:v>45441.008604016206</x:v>
      </x:c>
      <x:c r="J76" s="16" t="n">
        <x:v>45516.008604016206</x:v>
      </x:c>
      <x:c r="K76" s="16" t="n">
        <x:v>45521.008604016206</x:v>
      </x:c>
      <x:c r="L76" s="20" t="n">
        <x:v>28786.97</x:v>
      </x:c>
      <x:c r="M76" s="20" t="n">
        <x:v>100.75</x:v>
      </x:c>
      <x:c r="N76" s="20" t="n">
        <x:v>0</x:v>
      </x:c>
      <x:c r="O76" s="20" t="n">
        <x:v>28887.72</x:v>
      </x:c>
      <x:c r="P76" s="20" t="n">
        <x:v>0</x:v>
      </x:c>
      <x:c r="Q76" s="10" t="str">
        <x:v>Pago</x:v>
      </x:c>
      <x:c r="R76" s="10" t="str">
        <x:v>Boleto</x:v>
      </x:c>
      <x:c r="S76" s="10" t="str">
        <x:v>2024-05</x:v>
      </x:c>
      <x:c r="T76" s="10" t="n">
        <x:v>0</x:v>
      </x:c>
      <x:c r="U76" s="10" t="str">
        <x:v>Liquidado</x:v>
      </x:c>
      <x:c r="V76" s="10" t="str">
        <x:v>UND001</x:v>
      </x:c>
    </x:row>
    <x:row r="77" ht="18" customHeight="1">
      <x:c r="A77" s="10" t="str">
        <x:v>PAG00076</x:v>
      </x:c>
      <x:c r="B77" s="10" t="str">
        <x:v>EMP003</x:v>
      </x:c>
      <x:c r="C77" s="10" t="str">
        <x:v>FOR052</x:v>
      </x:c>
      <x:c r="D77" s="10" t="str">
        <x:v>CC006</x:v>
      </x:c>
      <x:c r="E77" s="10" t="str">
        <x:v>CAT013</x:v>
      </x:c>
      <x:c r="F77" s="10" t="str">
        <x:v>CTA006</x:v>
      </x:c>
      <x:c r="G77" s="10" t="str">
        <x:v>NF-100076</x:v>
      </x:c>
      <x:c r="H77" s="10" t="str">
        <x:v>Compra de materiais</x:v>
      </x:c>
      <x:c r="I77" s="16" t="n">
        <x:v>45771.1765196412</x:v>
      </x:c>
      <x:c r="J77" s="16" t="n">
        <x:v>45846.1765196412</x:v>
      </x:c>
      <x:c r="K77" s="16" t="n">
        <x:v>45840.1765196412</x:v>
      </x:c>
      <x:c r="L77" s="20" t="n">
        <x:v>20574.04</x:v>
      </x:c>
      <x:c r="M77" s="20" t="n">
        <x:v>0</x:v>
      </x:c>
      <x:c r="N77" s="20" t="n">
        <x:v>308.61</x:v>
      </x:c>
      <x:c r="O77" s="20" t="n">
        <x:v>20265.43</x:v>
      </x:c>
      <x:c r="P77" s="20" t="n">
        <x:v>0</x:v>
      </x:c>
      <x:c r="Q77" s="10" t="str">
        <x:v>Pago</x:v>
      </x:c>
      <x:c r="R77" s="10" t="str">
        <x:v>TED</x:v>
      </x:c>
      <x:c r="S77" s="10" t="str">
        <x:v>2025-04</x:v>
      </x:c>
      <x:c r="T77" s="10" t="n">
        <x:v>0</x:v>
      </x:c>
      <x:c r="U77" s="10" t="str">
        <x:v>Liquidado</x:v>
      </x:c>
      <x:c r="V77" s="10" t="str">
        <x:v>UND004</x:v>
      </x:c>
    </x:row>
    <x:row r="78" ht="18" customHeight="1">
      <x:c r="A78" s="10" t="str">
        <x:v>PAG00077</x:v>
      </x:c>
      <x:c r="B78" s="10" t="str">
        <x:v>EMP001</x:v>
      </x:c>
      <x:c r="C78" s="10" t="str">
        <x:v>FOR034</x:v>
      </x:c>
      <x:c r="D78" s="10" t="str">
        <x:v>CC004</x:v>
      </x:c>
      <x:c r="E78" s="10" t="str">
        <x:v>CAT008</x:v>
      </x:c>
      <x:c r="F78" s="10" t="str">
        <x:v>CTA001</x:v>
      </x:c>
      <x:c r="G78" s="10" t="str">
        <x:v>NF-100077</x:v>
      </x:c>
      <x:c r="H78" s="10" t="str">
        <x:v>Despesa operacional</x:v>
      </x:c>
      <x:c r="I78" s="16" t="n">
        <x:v>45995.54661491898</x:v>
      </x:c>
      <x:c r="J78" s="16" t="n">
        <x:v>46023.54661491898</x:v>
      </x:c>
      <x:c r="K78" s="16"/>
      <x:c r="L78" s="20" t="n">
        <x:v>7979.63</x:v>
      </x:c>
      <x:c r="M78" s="20" t="n">
        <x:v>0</x:v>
      </x:c>
      <x:c r="N78" s="20" t="n">
        <x:v>0</x:v>
      </x:c>
      <x:c r="O78" s="20" t="n">
        <x:v>0</x:v>
      </x:c>
      <x:c r="P78" s="20" t="n">
        <x:v>7979.63</x:v>
      </x:c>
      <x:c r="Q78" s="10" t="str">
        <x:v>A vencer</x:v>
      </x:c>
      <x:c r="R78" s="10" t="str">
        <x:v>Cartão Corporativo</x:v>
      </x:c>
      <x:c r="S78" s="10" t="str">
        <x:v>2025-12</x:v>
      </x:c>
      <x:c r="T78" s="10" t="n">
        <x:v>0</x:v>
      </x:c>
      <x:c r="U78" s="10" t="str">
        <x:v>A vencer</x:v>
      </x:c>
      <x:c r="V78" s="10" t="str">
        <x:v>UND001</x:v>
      </x:c>
    </x:row>
    <x:row r="79" ht="18" customHeight="1">
      <x:c r="A79" s="10" t="str">
        <x:v>PAG00078</x:v>
      </x:c>
      <x:c r="B79" s="10" t="str">
        <x:v>EMP001</x:v>
      </x:c>
      <x:c r="C79" s="10" t="str">
        <x:v>FOR032</x:v>
      </x:c>
      <x:c r="D79" s="10" t="str">
        <x:v>CC004</x:v>
      </x:c>
      <x:c r="E79" s="10" t="str">
        <x:v>CAT015</x:v>
      </x:c>
      <x:c r="F79" s="10" t="str">
        <x:v>CTA001</x:v>
      </x:c>
      <x:c r="G79" s="10" t="str">
        <x:v>NF-100078</x:v>
      </x:c>
      <x:c r="H79" s="10" t="str">
        <x:v>Prestação de serviços</x:v>
      </x:c>
      <x:c r="I79" s="16" t="n">
        <x:v>45553.95294815972</x:v>
      </x:c>
      <x:c r="J79" s="16" t="n">
        <x:v>45583.95294815972</x:v>
      </x:c>
      <x:c r="K79" s="16" t="n">
        <x:v>45575.95294815972</x:v>
      </x:c>
      <x:c r="L79" s="20" t="n">
        <x:v>34922.87</x:v>
      </x:c>
      <x:c r="M79" s="20" t="n">
        <x:v>0</x:v>
      </x:c>
      <x:c r="N79" s="20" t="n">
        <x:v>0</x:v>
      </x:c>
      <x:c r="O79" s="20" t="n">
        <x:v>34922.87</x:v>
      </x:c>
      <x:c r="P79" s="20" t="n">
        <x:v>0</x:v>
      </x:c>
      <x:c r="Q79" s="10" t="str">
        <x:v>Pago</x:v>
      </x:c>
      <x:c r="R79" s="10" t="str">
        <x:v>Cartão Corporativo</x:v>
      </x:c>
      <x:c r="S79" s="10" t="str">
        <x:v>2024-09</x:v>
      </x:c>
      <x:c r="T79" s="10" t="n">
        <x:v>0</x:v>
      </x:c>
      <x:c r="U79" s="10" t="str">
        <x:v>Liquidado</x:v>
      </x:c>
      <x:c r="V79" s="10" t="str">
        <x:v>UND001</x:v>
      </x:c>
    </x:row>
    <x:row r="80" ht="18" customHeight="1">
      <x:c r="A80" s="10" t="str">
        <x:v>PAG00079</x:v>
      </x:c>
      <x:c r="B80" s="10" t="str">
        <x:v>EMP002</x:v>
      </x:c>
      <x:c r="C80" s="10" t="str">
        <x:v>FOR002</x:v>
      </x:c>
      <x:c r="D80" s="10" t="str">
        <x:v>CC002</x:v>
      </x:c>
      <x:c r="E80" s="10" t="str">
        <x:v>CAT012</x:v>
      </x:c>
      <x:c r="F80" s="10" t="str">
        <x:v>CTA003</x:v>
      </x:c>
      <x:c r="G80" s="10" t="str">
        <x:v>NF-100079</x:v>
      </x:c>
      <x:c r="H80" s="10" t="str">
        <x:v>Tributos e taxas</x:v>
      </x:c>
      <x:c r="I80" s="16" t="n">
        <x:v>45680.2486630787</x:v>
      </x:c>
      <x:c r="J80" s="16" t="n">
        <x:v>45725.2486630787</x:v>
      </x:c>
      <x:c r="K80" s="16" t="n">
        <x:v>45759.2486630787</x:v>
      </x:c>
      <x:c r="L80" s="20" t="n">
        <x:v>99636.51</x:v>
      </x:c>
      <x:c r="M80" s="20" t="n">
        <x:v>2371.35</x:v>
      </x:c>
      <x:c r="N80" s="20" t="n">
        <x:v>0</x:v>
      </x:c>
      <x:c r="O80" s="20" t="n">
        <x:v>102007.86</x:v>
      </x:c>
      <x:c r="P80" s="20" t="n">
        <x:v>0</x:v>
      </x:c>
      <x:c r="Q80" s="10" t="str">
        <x:v>Pago</x:v>
      </x:c>
      <x:c r="R80" s="10" t="str">
        <x:v>PIX</x:v>
      </x:c>
      <x:c r="S80" s="10" t="str">
        <x:v>2025-01</x:v>
      </x:c>
      <x:c r="T80" s="10" t="n">
        <x:v>0</x:v>
      </x:c>
      <x:c r="U80" s="10" t="str">
        <x:v>Liquidado</x:v>
      </x:c>
      <x:c r="V80" s="10" t="str">
        <x:v>UND003</x:v>
      </x:c>
    </x:row>
    <x:row r="81" ht="18" customHeight="1">
      <x:c r="A81" s="10" t="str">
        <x:v>PAG00080</x:v>
      </x:c>
      <x:c r="B81" s="10" t="str">
        <x:v>EMP003</x:v>
      </x:c>
      <x:c r="C81" s="10" t="str">
        <x:v>FOR005</x:v>
      </x:c>
      <x:c r="D81" s="10" t="str">
        <x:v>CC003</x:v>
      </x:c>
      <x:c r="E81" s="10" t="str">
        <x:v>CAT018</x:v>
      </x:c>
      <x:c r="F81" s="10" t="str">
        <x:v>CTA006</x:v>
      </x:c>
      <x:c r="G81" s="10" t="str">
        <x:v>NF-100080</x:v>
      </x:c>
      <x:c r="H81" s="10" t="str">
        <x:v>Contrato recorrente</x:v>
      </x:c>
      <x:c r="I81" s="16" t="n">
        <x:v>45931.63575508102</x:v>
      </x:c>
      <x:c r="J81" s="16" t="n">
        <x:v>46006.63575508102</x:v>
      </x:c>
      <x:c r="K81" s="16" t="n">
        <x:v>46005.63575508102</x:v>
      </x:c>
      <x:c r="L81" s="20" t="n">
        <x:v>13759.45</x:v>
      </x:c>
      <x:c r="M81" s="20" t="n">
        <x:v>0</x:v>
      </x:c>
      <x:c r="N81" s="20" t="n">
        <x:v>0</x:v>
      </x:c>
      <x:c r="O81" s="20" t="n">
        <x:v>13759.45</x:v>
      </x:c>
      <x:c r="P81" s="20" t="n">
        <x:v>0</x:v>
      </x:c>
      <x:c r="Q81" s="10" t="str">
        <x:v>Pago</x:v>
      </x:c>
      <x:c r="R81" s="10" t="str">
        <x:v>Cartão Corporativo</x:v>
      </x:c>
      <x:c r="S81" s="10" t="str">
        <x:v>2025-10</x:v>
      </x:c>
      <x:c r="T81" s="10" t="n">
        <x:v>0</x:v>
      </x:c>
      <x:c r="U81" s="10" t="str">
        <x:v>Liquidado</x:v>
      </x:c>
      <x:c r="V81" s="10" t="str">
        <x:v>UND004</x:v>
      </x:c>
    </x:row>
    <x:row r="82" ht="18" customHeight="1">
      <x:c r="A82" s="10" t="str">
        <x:v>PAG00081</x:v>
      </x:c>
      <x:c r="B82" s="10" t="str">
        <x:v>EMP003</x:v>
      </x:c>
      <x:c r="C82" s="10" t="str">
        <x:v>FOR057</x:v>
      </x:c>
      <x:c r="D82" s="10" t="str">
        <x:v>CC003</x:v>
      </x:c>
      <x:c r="E82" s="10" t="str">
        <x:v>CAT016</x:v>
      </x:c>
      <x:c r="F82" s="10" t="str">
        <x:v>CTA005</x:v>
      </x:c>
      <x:c r="G82" s="10" t="str">
        <x:v>NF-100081</x:v>
      </x:c>
      <x:c r="H82" s="10" t="str">
        <x:v>Compra de materiais</x:v>
      </x:c>
      <x:c r="I82" s="16" t="n">
        <x:v>45539.89504914352</x:v>
      </x:c>
      <x:c r="J82" s="16" t="n">
        <x:v>45614.89504914352</x:v>
      </x:c>
      <x:c r="K82" s="16" t="n">
        <x:v>45608.89504914352</x:v>
      </x:c>
      <x:c r="L82" s="20" t="n">
        <x:v>95887.11</x:v>
      </x:c>
      <x:c r="M82" s="20" t="n">
        <x:v>0</x:v>
      </x:c>
      <x:c r="N82" s="20" t="n">
        <x:v>1438.31</x:v>
      </x:c>
      <x:c r="O82" s="20" t="n">
        <x:v>94448.8</x:v>
      </x:c>
      <x:c r="P82" s="20" t="n">
        <x:v>0</x:v>
      </x:c>
      <x:c r="Q82" s="10" t="str">
        <x:v>Pago</x:v>
      </x:c>
      <x:c r="R82" s="10" t="str">
        <x:v>Boleto</x:v>
      </x:c>
      <x:c r="S82" s="10" t="str">
        <x:v>2024-09</x:v>
      </x:c>
      <x:c r="T82" s="10" t="n">
        <x:v>0</x:v>
      </x:c>
      <x:c r="U82" s="10" t="str">
        <x:v>Liquidado</x:v>
      </x:c>
      <x:c r="V82" s="10" t="str">
        <x:v>UND004</x:v>
      </x:c>
    </x:row>
    <x:row r="83" ht="18" customHeight="1">
      <x:c r="A83" s="10" t="str">
        <x:v>PAG00082</x:v>
      </x:c>
      <x:c r="B83" s="10" t="str">
        <x:v>EMP003</x:v>
      </x:c>
      <x:c r="C83" s="10" t="str">
        <x:v>FOR023</x:v>
      </x:c>
      <x:c r="D83" s="10" t="str">
        <x:v>CC001</x:v>
      </x:c>
      <x:c r="E83" s="10" t="str">
        <x:v>CAT009</x:v>
      </x:c>
      <x:c r="F83" s="10" t="str">
        <x:v>CTA005</x:v>
      </x:c>
      <x:c r="G83" s="10" t="str">
        <x:v>NF-100082</x:v>
      </x:c>
      <x:c r="H83" s="10" t="str">
        <x:v>Compra de materiais</x:v>
      </x:c>
      <x:c r="I83" s="16" t="n">
        <x:v>46008.32775561343</x:v>
      </x:c>
      <x:c r="J83" s="16" t="n">
        <x:v>46036.32775561343</x:v>
      </x:c>
      <x:c r="K83" s="16"/>
      <x:c r="L83" s="20" t="n">
        <x:v>75215.76</x:v>
      </x:c>
      <x:c r="M83" s="20" t="n">
        <x:v>0</x:v>
      </x:c>
      <x:c r="N83" s="20" t="n">
        <x:v>0</x:v>
      </x:c>
      <x:c r="O83" s="20" t="n">
        <x:v>0</x:v>
      </x:c>
      <x:c r="P83" s="20" t="n">
        <x:v>75215.76</x:v>
      </x:c>
      <x:c r="Q83" s="10" t="str">
        <x:v>A vencer</x:v>
      </x:c>
      <x:c r="R83" s="10" t="str">
        <x:v>Débito Automático</x:v>
      </x:c>
      <x:c r="S83" s="10" t="str">
        <x:v>2025-12</x:v>
      </x:c>
      <x:c r="T83" s="10" t="n">
        <x:v>0</x:v>
      </x:c>
      <x:c r="U83" s="10" t="str">
        <x:v>A vencer</x:v>
      </x:c>
      <x:c r="V83" s="10" t="str">
        <x:v>UND004</x:v>
      </x:c>
    </x:row>
    <x:row r="84" ht="18" customHeight="1">
      <x:c r="A84" s="10" t="str">
        <x:v>PAG00083</x:v>
      </x:c>
      <x:c r="B84" s="10" t="str">
        <x:v>EMP003</x:v>
      </x:c>
      <x:c r="C84" s="10" t="str">
        <x:v>FOR007</x:v>
      </x:c>
      <x:c r="D84" s="10" t="str">
        <x:v>CC003</x:v>
      </x:c>
      <x:c r="E84" s="10" t="str">
        <x:v>CAT011</x:v>
      </x:c>
      <x:c r="F84" s="10" t="str">
        <x:v>CTA006</x:v>
      </x:c>
      <x:c r="G84" s="10" t="str">
        <x:v>NF-100083</x:v>
      </x:c>
      <x:c r="H84" s="10" t="str">
        <x:v>Prestação de serviços</x:v>
      </x:c>
      <x:c r="I84" s="16" t="n">
        <x:v>45777.69491903935</x:v>
      </x:c>
      <x:c r="J84" s="16" t="n">
        <x:v>45822.69491903935</x:v>
      </x:c>
      <x:c r="K84" s="16" t="n">
        <x:v>45822.69491903935</x:v>
      </x:c>
      <x:c r="L84" s="20" t="n">
        <x:v>26088.42</x:v>
      </x:c>
      <x:c r="M84" s="20" t="n">
        <x:v>0</x:v>
      </x:c>
      <x:c r="N84" s="20" t="n">
        <x:v>0</x:v>
      </x:c>
      <x:c r="O84" s="20" t="n">
        <x:v>26088.42</x:v>
      </x:c>
      <x:c r="P84" s="20" t="n">
        <x:v>0</x:v>
      </x:c>
      <x:c r="Q84" s="10" t="str">
        <x:v>Pago</x:v>
      </x:c>
      <x:c r="R84" s="10" t="str">
        <x:v>Débito Automático</x:v>
      </x:c>
      <x:c r="S84" s="10" t="str">
        <x:v>2025-04</x:v>
      </x:c>
      <x:c r="T84" s="10" t="n">
        <x:v>0</x:v>
      </x:c>
      <x:c r="U84" s="10" t="str">
        <x:v>Liquidado</x:v>
      </x:c>
      <x:c r="V84" s="10" t="str">
        <x:v>UND004</x:v>
      </x:c>
    </x:row>
    <x:row r="85" ht="18" customHeight="1">
      <x:c r="A85" s="10" t="str">
        <x:v>PAG00084</x:v>
      </x:c>
      <x:c r="B85" s="10" t="str">
        <x:v>EMP002</x:v>
      </x:c>
      <x:c r="C85" s="10" t="str">
        <x:v>FOR043</x:v>
      </x:c>
      <x:c r="D85" s="10" t="str">
        <x:v>CC004</x:v>
      </x:c>
      <x:c r="E85" s="10" t="str">
        <x:v>CAT011</x:v>
      </x:c>
      <x:c r="F85" s="10" t="str">
        <x:v>CTA004</x:v>
      </x:c>
      <x:c r="G85" s="10" t="str">
        <x:v>NF-100084</x:v>
      </x:c>
      <x:c r="H85" s="10" t="str">
        <x:v>Prestação de serviços</x:v>
      </x:c>
      <x:c r="I85" s="16" t="n">
        <x:v>45650.31110752315</x:v>
      </x:c>
      <x:c r="J85" s="16" t="n">
        <x:v>45680.31110752315</x:v>
      </x:c>
      <x:c r="K85" s="16" t="n">
        <x:v>45692.31110752315</x:v>
      </x:c>
      <x:c r="L85" s="20" t="n">
        <x:v>40253.21</x:v>
      </x:c>
      <x:c r="M85" s="20" t="n">
        <x:v>338.13</x:v>
      </x:c>
      <x:c r="N85" s="20" t="n">
        <x:v>0</x:v>
      </x:c>
      <x:c r="O85" s="20" t="n">
        <x:v>40591.34</x:v>
      </x:c>
      <x:c r="P85" s="20" t="n">
        <x:v>0</x:v>
      </x:c>
      <x:c r="Q85" s="10" t="str">
        <x:v>Pago</x:v>
      </x:c>
      <x:c r="R85" s="10" t="str">
        <x:v>TED</x:v>
      </x:c>
      <x:c r="S85" s="10" t="str">
        <x:v>2024-12</x:v>
      </x:c>
      <x:c r="T85" s="10" t="n">
        <x:v>0</x:v>
      </x:c>
      <x:c r="U85" s="10" t="str">
        <x:v>Liquidado</x:v>
      </x:c>
      <x:c r="V85" s="10" t="str">
        <x:v>UND003</x:v>
      </x:c>
    </x:row>
    <x:row r="86" ht="18" customHeight="1">
      <x:c r="A86" s="10" t="str">
        <x:v>PAG00085</x:v>
      </x:c>
      <x:c r="B86" s="10" t="str">
        <x:v>EMP003</x:v>
      </x:c>
      <x:c r="C86" s="10" t="str">
        <x:v>FOR007</x:v>
      </x:c>
      <x:c r="D86" s="10" t="str">
        <x:v>CC008</x:v>
      </x:c>
      <x:c r="E86" s="10" t="str">
        <x:v>CAT012</x:v>
      </x:c>
      <x:c r="F86" s="10" t="str">
        <x:v>CTA006</x:v>
      </x:c>
      <x:c r="G86" s="10" t="str">
        <x:v>NF-100085</x:v>
      </x:c>
      <x:c r="H86" s="10" t="str">
        <x:v>Contrato recorrente</x:v>
      </x:c>
      <x:c r="I86" s="16" t="n">
        <x:v>45751.81652574074</x:v>
      </x:c>
      <x:c r="J86" s="16" t="n">
        <x:v>45796.81652574074</x:v>
      </x:c>
      <x:c r="K86" s="16" t="n">
        <x:v>45792.81652574074</x:v>
      </x:c>
      <x:c r="L86" s="20" t="n">
        <x:v>27058.11</x:v>
      </x:c>
      <x:c r="M86" s="20" t="n">
        <x:v>0</x:v>
      </x:c>
      <x:c r="N86" s="20" t="n">
        <x:v>0</x:v>
      </x:c>
      <x:c r="O86" s="20" t="n">
        <x:v>27058.11</x:v>
      </x:c>
      <x:c r="P86" s="20" t="n">
        <x:v>0</x:v>
      </x:c>
      <x:c r="Q86" s="10" t="str">
        <x:v>Pago</x:v>
      </x:c>
      <x:c r="R86" s="10" t="str">
        <x:v>Boleto</x:v>
      </x:c>
      <x:c r="S86" s="10" t="str">
        <x:v>2025-04</x:v>
      </x:c>
      <x:c r="T86" s="10" t="n">
        <x:v>0</x:v>
      </x:c>
      <x:c r="U86" s="10" t="str">
        <x:v>Liquidado</x:v>
      </x:c>
      <x:c r="V86" s="10" t="str">
        <x:v>UND004</x:v>
      </x:c>
    </x:row>
    <x:row r="87" ht="18" customHeight="1">
      <x:c r="A87" s="10" t="str">
        <x:v>PAG00086</x:v>
      </x:c>
      <x:c r="B87" s="10" t="str">
        <x:v>EMP002</x:v>
      </x:c>
      <x:c r="C87" s="10" t="str">
        <x:v>FOR023</x:v>
      </x:c>
      <x:c r="D87" s="10" t="str">
        <x:v>CC006</x:v>
      </x:c>
      <x:c r="E87" s="10" t="str">
        <x:v>CAT005</x:v>
      </x:c>
      <x:c r="F87" s="10" t="str">
        <x:v>CTA003</x:v>
      </x:c>
      <x:c r="G87" s="10" t="str">
        <x:v>NF-100086</x:v>
      </x:c>
      <x:c r="H87" s="10" t="str">
        <x:v>Despesa operacional</x:v>
      </x:c>
      <x:c r="I87" s="16" t="n">
        <x:v>45720.126966689815</x:v>
      </x:c>
      <x:c r="J87" s="16" t="n">
        <x:v>45795.126966689815</x:v>
      </x:c>
      <x:c r="K87" s="16" t="n">
        <x:v>45830.126966689815</x:v>
      </x:c>
      <x:c r="L87" s="20" t="n">
        <x:v>2219.88</x:v>
      </x:c>
      <x:c r="M87" s="20" t="n">
        <x:v>54.39</x:v>
      </x:c>
      <x:c r="N87" s="20" t="n">
        <x:v>0</x:v>
      </x:c>
      <x:c r="O87" s="20" t="n">
        <x:v>2274.27</x:v>
      </x:c>
      <x:c r="P87" s="20" t="n">
        <x:v>0</x:v>
      </x:c>
      <x:c r="Q87" s="10" t="str">
        <x:v>Pago</x:v>
      </x:c>
      <x:c r="R87" s="10" t="str">
        <x:v>TED</x:v>
      </x:c>
      <x:c r="S87" s="10" t="str">
        <x:v>2025-03</x:v>
      </x:c>
      <x:c r="T87" s="10" t="n">
        <x:v>0</x:v>
      </x:c>
      <x:c r="U87" s="10" t="str">
        <x:v>Liquidado</x:v>
      </x:c>
      <x:c r="V87" s="10" t="str">
        <x:v>UND003</x:v>
      </x:c>
    </x:row>
    <x:row r="88" ht="18" customHeight="1">
      <x:c r="A88" s="10" t="str">
        <x:v>PAG00087</x:v>
      </x:c>
      <x:c r="B88" s="10" t="str">
        <x:v>EMP002</x:v>
      </x:c>
      <x:c r="C88" s="10" t="str">
        <x:v>FOR022</x:v>
      </x:c>
      <x:c r="D88" s="10" t="str">
        <x:v>CC007</x:v>
      </x:c>
      <x:c r="E88" s="10" t="str">
        <x:v>CAT009</x:v>
      </x:c>
      <x:c r="F88" s="10" t="str">
        <x:v>CTA004</x:v>
      </x:c>
      <x:c r="G88" s="10" t="str">
        <x:v>NF-100087</x:v>
      </x:c>
      <x:c r="H88" s="10" t="str">
        <x:v>Prestação de serviços</x:v>
      </x:c>
      <x:c r="I88" s="16" t="n">
        <x:v>45419.40760219908</x:v>
      </x:c>
      <x:c r="J88" s="16" t="n">
        <x:v>45434.40760219908</x:v>
      </x:c>
      <x:c r="K88" s="16"/>
      <x:c r="L88" s="20" t="n">
        <x:v>2298.43</x:v>
      </x:c>
      <x:c r="M88" s="20" t="n">
        <x:v>0</x:v>
      </x:c>
      <x:c r="N88" s="20" t="n">
        <x:v>0</x:v>
      </x:c>
      <x:c r="O88" s="20" t="n">
        <x:v>0</x:v>
      </x:c>
      <x:c r="P88" s="20" t="n">
        <x:v>2298.43</x:v>
      </x:c>
      <x:c r="Q88" s="10" t="str">
        <x:v>Vencido</x:v>
      </x:c>
      <x:c r="R88" s="10" t="str">
        <x:v>Boleto</x:v>
      </x:c>
      <x:c r="S88" s="10" t="str">
        <x:v>2024-05</x:v>
      </x:c>
      <x:c r="T88" s="10" t="n">
        <x:v>587</x:v>
      </x:c>
      <x:c r="U88" s="10" t="str">
        <x:v>&gt; 120 dias</x:v>
      </x:c>
      <x:c r="V88" s="10" t="str">
        <x:v>UND003</x:v>
      </x:c>
    </x:row>
    <x:row r="89" ht="18" customHeight="1">
      <x:c r="A89" s="10" t="str">
        <x:v>PAG00088</x:v>
      </x:c>
      <x:c r="B89" s="10" t="str">
        <x:v>EMP001</x:v>
      </x:c>
      <x:c r="C89" s="10" t="str">
        <x:v>FOR003</x:v>
      </x:c>
      <x:c r="D89" s="10" t="str">
        <x:v>CC002</x:v>
      </x:c>
      <x:c r="E89" s="10" t="str">
        <x:v>CAT011</x:v>
      </x:c>
      <x:c r="F89" s="10" t="str">
        <x:v>CTA002</x:v>
      </x:c>
      <x:c r="G89" s="10" t="str">
        <x:v>NF-100088</x:v>
      </x:c>
      <x:c r="H89" s="10" t="str">
        <x:v>Contrato recorrente</x:v>
      </x:c>
      <x:c r="I89" s="16" t="n">
        <x:v>45915.82006201389</x:v>
      </x:c>
      <x:c r="J89" s="16" t="n">
        <x:v>45950.82006201389</x:v>
      </x:c>
      <x:c r="K89" s="16" t="n">
        <x:v>45959.82006201389</x:v>
      </x:c>
      <x:c r="L89" s="20" t="n">
        <x:v>94532.35</x:v>
      </x:c>
      <x:c r="M89" s="20" t="n">
        <x:v>595.55</x:v>
      </x:c>
      <x:c r="N89" s="20" t="n">
        <x:v>0</x:v>
      </x:c>
      <x:c r="O89" s="20" t="n">
        <x:v>95127.9</x:v>
      </x:c>
      <x:c r="P89" s="20" t="n">
        <x:v>0</x:v>
      </x:c>
      <x:c r="Q89" s="10" t="str">
        <x:v>Pago</x:v>
      </x:c>
      <x:c r="R89" s="10" t="str">
        <x:v>Boleto</x:v>
      </x:c>
      <x:c r="S89" s="10" t="str">
        <x:v>2025-09</x:v>
      </x:c>
      <x:c r="T89" s="10" t="n">
        <x:v>0</x:v>
      </x:c>
      <x:c r="U89" s="10" t="str">
        <x:v>Liquidado</x:v>
      </x:c>
      <x:c r="V89" s="10" t="str">
        <x:v>UND001</x:v>
      </x:c>
    </x:row>
    <x:row r="90" ht="18" customHeight="1">
      <x:c r="A90" s="10" t="str">
        <x:v>PAG00089</x:v>
      </x:c>
      <x:c r="B90" s="10" t="str">
        <x:v>EMP001</x:v>
      </x:c>
      <x:c r="C90" s="10" t="str">
        <x:v>FOR030</x:v>
      </x:c>
      <x:c r="D90" s="10" t="str">
        <x:v>CC008</x:v>
      </x:c>
      <x:c r="E90" s="10" t="str">
        <x:v>CAT009</x:v>
      </x:c>
      <x:c r="F90" s="10" t="str">
        <x:v>CTA001</x:v>
      </x:c>
      <x:c r="G90" s="10" t="str">
        <x:v>NF-100089</x:v>
      </x:c>
      <x:c r="H90" s="10" t="str">
        <x:v>Compra de materiais</x:v>
      </x:c>
      <x:c r="I90" s="16" t="n">
        <x:v>45333.15603037037</x:v>
      </x:c>
      <x:c r="J90" s="16" t="n">
        <x:v>45408.15603037037</x:v>
      </x:c>
      <x:c r="K90" s="16" t="n">
        <x:v>45411.15603037037</x:v>
      </x:c>
      <x:c r="L90" s="20" t="n">
        <x:v>13960.2</x:v>
      </x:c>
      <x:c r="M90" s="20" t="n">
        <x:v>29.32</x:v>
      </x:c>
      <x:c r="N90" s="20" t="n">
        <x:v>0</x:v>
      </x:c>
      <x:c r="O90" s="20" t="n">
        <x:v>13989.52</x:v>
      </x:c>
      <x:c r="P90" s="20" t="n">
        <x:v>0</x:v>
      </x:c>
      <x:c r="Q90" s="10" t="str">
        <x:v>Pago</x:v>
      </x:c>
      <x:c r="R90" s="10" t="str">
        <x:v>Boleto</x:v>
      </x:c>
      <x:c r="S90" s="10" t="str">
        <x:v>2024-02</x:v>
      </x:c>
      <x:c r="T90" s="10" t="n">
        <x:v>0</x:v>
      </x:c>
      <x:c r="U90" s="10" t="str">
        <x:v>Liquidado</x:v>
      </x:c>
      <x:c r="V90" s="10" t="str">
        <x:v>UND001</x:v>
      </x:c>
    </x:row>
    <x:row r="91" ht="18" customHeight="1">
      <x:c r="A91" s="10" t="str">
        <x:v>PAG00090</x:v>
      </x:c>
      <x:c r="B91" s="10" t="str">
        <x:v>EMP002</x:v>
      </x:c>
      <x:c r="C91" s="10" t="str">
        <x:v>FOR057</x:v>
      </x:c>
      <x:c r="D91" s="10" t="str">
        <x:v>CC004</x:v>
      </x:c>
      <x:c r="E91" s="10" t="str">
        <x:v>CAT016</x:v>
      </x:c>
      <x:c r="F91" s="10" t="str">
        <x:v>CTA004</x:v>
      </x:c>
      <x:c r="G91" s="10" t="str">
        <x:v>NF-100090</x:v>
      </x:c>
      <x:c r="H91" s="10" t="str">
        <x:v>Contrato recorrente</x:v>
      </x:c>
      <x:c r="I91" s="16" t="n">
        <x:v>45536.17073957176</x:v>
      </x:c>
      <x:c r="J91" s="16" t="n">
        <x:v>45596.17073957176</x:v>
      </x:c>
      <x:c r="K91" s="16" t="n">
        <x:v>45604.17073957176</x:v>
      </x:c>
      <x:c r="L91" s="20" t="n">
        <x:v>29724.61</x:v>
      </x:c>
      <x:c r="M91" s="20" t="n">
        <x:v>166.46</x:v>
      </x:c>
      <x:c r="N91" s="20" t="n">
        <x:v>0</x:v>
      </x:c>
      <x:c r="O91" s="20" t="n">
        <x:v>29891.07</x:v>
      </x:c>
      <x:c r="P91" s="20" t="n">
        <x:v>0</x:v>
      </x:c>
      <x:c r="Q91" s="10" t="str">
        <x:v>Pago</x:v>
      </x:c>
      <x:c r="R91" s="10" t="str">
        <x:v>PIX</x:v>
      </x:c>
      <x:c r="S91" s="10" t="str">
        <x:v>2024-09</x:v>
      </x:c>
      <x:c r="T91" s="10" t="n">
        <x:v>0</x:v>
      </x:c>
      <x:c r="U91" s="10" t="str">
        <x:v>Liquidado</x:v>
      </x:c>
      <x:c r="V91" s="10" t="str">
        <x:v>UND003</x:v>
      </x:c>
    </x:row>
    <x:row r="92" ht="18" customHeight="1">
      <x:c r="A92" s="10" t="str">
        <x:v>PAG00091</x:v>
      </x:c>
      <x:c r="B92" s="10" t="str">
        <x:v>EMP002</x:v>
      </x:c>
      <x:c r="C92" s="10" t="str">
        <x:v>FOR047</x:v>
      </x:c>
      <x:c r="D92" s="10" t="str">
        <x:v>CC007</x:v>
      </x:c>
      <x:c r="E92" s="10" t="str">
        <x:v>CAT013</x:v>
      </x:c>
      <x:c r="F92" s="10" t="str">
        <x:v>CTA003</x:v>
      </x:c>
      <x:c r="G92" s="10" t="str">
        <x:v>NF-100091</x:v>
      </x:c>
      <x:c r="H92" s="10" t="str">
        <x:v>Contrato recorrente</x:v>
      </x:c>
      <x:c r="I92" s="16" t="n">
        <x:v>45785.5089853125</x:v>
      </x:c>
      <x:c r="J92" s="16" t="n">
        <x:v>45815.5089853125</x:v>
      </x:c>
      <x:c r="K92" s="16"/>
      <x:c r="L92" s="20" t="n">
        <x:v>31654.2</x:v>
      </x:c>
      <x:c r="M92" s="20" t="n">
        <x:v>0</x:v>
      </x:c>
      <x:c r="N92" s="20" t="n">
        <x:v>0</x:v>
      </x:c>
      <x:c r="O92" s="20" t="n">
        <x:v>0</x:v>
      </x:c>
      <x:c r="P92" s="20" t="n">
        <x:v>31654.2</x:v>
      </x:c>
      <x:c r="Q92" s="10" t="str">
        <x:v>Vencido</x:v>
      </x:c>
      <x:c r="R92" s="10" t="str">
        <x:v>TED</x:v>
      </x:c>
      <x:c r="S92" s="10" t="str">
        <x:v>2025-05</x:v>
      </x:c>
      <x:c r="T92" s="10" t="n">
        <x:v>206</x:v>
      </x:c>
      <x:c r="U92" s="10" t="str">
        <x:v>&gt; 120 dias</x:v>
      </x:c>
      <x:c r="V92" s="10" t="str">
        <x:v>UND003</x:v>
      </x:c>
    </x:row>
    <x:row r="93" ht="18" customHeight="1">
      <x:c r="A93" s="10" t="str">
        <x:v>PAG00092</x:v>
      </x:c>
      <x:c r="B93" s="10" t="str">
        <x:v>EMP001</x:v>
      </x:c>
      <x:c r="C93" s="10" t="str">
        <x:v>FOR022</x:v>
      </x:c>
      <x:c r="D93" s="10" t="str">
        <x:v>CC006</x:v>
      </x:c>
      <x:c r="E93" s="10" t="str">
        <x:v>CAT007</x:v>
      </x:c>
      <x:c r="F93" s="10" t="str">
        <x:v>CTA002</x:v>
      </x:c>
      <x:c r="G93" s="10" t="str">
        <x:v>NF-100092</x:v>
      </x:c>
      <x:c r="H93" s="10" t="str">
        <x:v>Tributos e taxas</x:v>
      </x:c>
      <x:c r="I93" s="16" t="n">
        <x:v>45498.29307688658</x:v>
      </x:c>
      <x:c r="J93" s="16" t="n">
        <x:v>45573.29307688658</x:v>
      </x:c>
      <x:c r="K93" s="16" t="n">
        <x:v>45567.29307688658</x:v>
      </x:c>
      <x:c r="L93" s="20" t="n">
        <x:v>18901.39</x:v>
      </x:c>
      <x:c r="M93" s="20" t="n">
        <x:v>0</x:v>
      </x:c>
      <x:c r="N93" s="20" t="n">
        <x:v>0</x:v>
      </x:c>
      <x:c r="O93" s="20" t="n">
        <x:v>18901.39</x:v>
      </x:c>
      <x:c r="P93" s="20" t="n">
        <x:v>0</x:v>
      </x:c>
      <x:c r="Q93" s="10" t="str">
        <x:v>Pago</x:v>
      </x:c>
      <x:c r="R93" s="10" t="str">
        <x:v>Cartão Corporativo</x:v>
      </x:c>
      <x:c r="S93" s="10" t="str">
        <x:v>2024-07</x:v>
      </x:c>
      <x:c r="T93" s="10" t="n">
        <x:v>0</x:v>
      </x:c>
      <x:c r="U93" s="10" t="str">
        <x:v>Liquidado</x:v>
      </x:c>
      <x:c r="V93" s="10" t="str">
        <x:v>UND002</x:v>
      </x:c>
    </x:row>
    <x:row r="94" ht="18" customHeight="1">
      <x:c r="A94" s="10" t="str">
        <x:v>PAG00093</x:v>
      </x:c>
      <x:c r="B94" s="10" t="str">
        <x:v>EMP003</x:v>
      </x:c>
      <x:c r="C94" s="10" t="str">
        <x:v>FOR057</x:v>
      </x:c>
      <x:c r="D94" s="10" t="str">
        <x:v>CC008</x:v>
      </x:c>
      <x:c r="E94" s="10" t="str">
        <x:v>CAT008</x:v>
      </x:c>
      <x:c r="F94" s="10" t="str">
        <x:v>CTA005</x:v>
      </x:c>
      <x:c r="G94" s="10" t="str">
        <x:v>NF-100093</x:v>
      </x:c>
      <x:c r="H94" s="10" t="str">
        <x:v>Tributos e taxas</x:v>
      </x:c>
      <x:c r="I94" s="16" t="n">
        <x:v>45901.54210652778</x:v>
      </x:c>
      <x:c r="J94" s="16" t="n">
        <x:v>45916.54210652778</x:v>
      </x:c>
      <x:c r="K94" s="16" t="n">
        <x:v>45923.54210652778</x:v>
      </x:c>
      <x:c r="L94" s="20" t="n">
        <x:v>52256.28</x:v>
      </x:c>
      <x:c r="M94" s="20" t="n">
        <x:v>256.06</x:v>
      </x:c>
      <x:c r="N94" s="20" t="n">
        <x:v>0</x:v>
      </x:c>
      <x:c r="O94" s="20" t="n">
        <x:v>52512.34</x:v>
      </x:c>
      <x:c r="P94" s="20" t="n">
        <x:v>0</x:v>
      </x:c>
      <x:c r="Q94" s="10" t="str">
        <x:v>Pago</x:v>
      </x:c>
      <x:c r="R94" s="10" t="str">
        <x:v>Boleto</x:v>
      </x:c>
      <x:c r="S94" s="10" t="str">
        <x:v>2025-09</x:v>
      </x:c>
      <x:c r="T94" s="10" t="n">
        <x:v>0</x:v>
      </x:c>
      <x:c r="U94" s="10" t="str">
        <x:v>Liquidado</x:v>
      </x:c>
      <x:c r="V94" s="10" t="str">
        <x:v>UND004</x:v>
      </x:c>
    </x:row>
    <x:row r="95" ht="18" customHeight="1">
      <x:c r="A95" s="10" t="str">
        <x:v>PAG00094</x:v>
      </x:c>
      <x:c r="B95" s="10" t="str">
        <x:v>EMP003</x:v>
      </x:c>
      <x:c r="C95" s="10" t="str">
        <x:v>FOR033</x:v>
      </x:c>
      <x:c r="D95" s="10" t="str">
        <x:v>CC006</x:v>
      </x:c>
      <x:c r="E95" s="10" t="str">
        <x:v>CAT012</x:v>
      </x:c>
      <x:c r="F95" s="10" t="str">
        <x:v>CTA005</x:v>
      </x:c>
      <x:c r="G95" s="10" t="str">
        <x:v>NF-100094</x:v>
      </x:c>
      <x:c r="H95" s="10" t="str">
        <x:v>Prestação de serviços</x:v>
      </x:c>
      <x:c r="I95" s="16" t="n">
        <x:v>45366.608365844906</x:v>
      </x:c>
      <x:c r="J95" s="16" t="n">
        <x:v>45441.608365844906</x:v>
      </x:c>
      <x:c r="K95" s="16" t="n">
        <x:v>45439.608365844906</x:v>
      </x:c>
      <x:c r="L95" s="20" t="n">
        <x:v>13387.53</x:v>
      </x:c>
      <x:c r="M95" s="20" t="n">
        <x:v>0</x:v>
      </x:c>
      <x:c r="N95" s="20" t="n">
        <x:v>0</x:v>
      </x:c>
      <x:c r="O95" s="20" t="n">
        <x:v>13387.53</x:v>
      </x:c>
      <x:c r="P95" s="20" t="n">
        <x:v>0</x:v>
      </x:c>
      <x:c r="Q95" s="10" t="str">
        <x:v>Pago</x:v>
      </x:c>
      <x:c r="R95" s="10" t="str">
        <x:v>TED</x:v>
      </x:c>
      <x:c r="S95" s="10" t="str">
        <x:v>2024-03</x:v>
      </x:c>
      <x:c r="T95" s="10" t="n">
        <x:v>0</x:v>
      </x:c>
      <x:c r="U95" s="10" t="str">
        <x:v>Liquidado</x:v>
      </x:c>
      <x:c r="V95" s="10" t="str">
        <x:v>UND004</x:v>
      </x:c>
    </x:row>
    <x:row r="96" ht="18" customHeight="1">
      <x:c r="A96" s="10" t="str">
        <x:v>PAG00095</x:v>
      </x:c>
      <x:c r="B96" s="10" t="str">
        <x:v>EMP003</x:v>
      </x:c>
      <x:c r="C96" s="10" t="str">
        <x:v>FOR022</x:v>
      </x:c>
      <x:c r="D96" s="10" t="str">
        <x:v>CC002</x:v>
      </x:c>
      <x:c r="E96" s="10" t="str">
        <x:v>CAT017</x:v>
      </x:c>
      <x:c r="F96" s="10" t="str">
        <x:v>CTA005</x:v>
      </x:c>
      <x:c r="G96" s="10" t="str">
        <x:v>NF-100095</x:v>
      </x:c>
      <x:c r="H96" s="10" t="str">
        <x:v>Tributos e taxas</x:v>
      </x:c>
      <x:c r="I96" s="16" t="n">
        <x:v>45377.688523854165</x:v>
      </x:c>
      <x:c r="J96" s="16" t="n">
        <x:v>45437.688523854165</x:v>
      </x:c>
      <x:c r="K96" s="16" t="n">
        <x:v>45433.688523854165</x:v>
      </x:c>
      <x:c r="L96" s="20" t="n">
        <x:v>6885.16</x:v>
      </x:c>
      <x:c r="M96" s="20" t="n">
        <x:v>0</x:v>
      </x:c>
      <x:c r="N96" s="20" t="n">
        <x:v>0</x:v>
      </x:c>
      <x:c r="O96" s="20" t="n">
        <x:v>6885.16</x:v>
      </x:c>
      <x:c r="P96" s="20" t="n">
        <x:v>0</x:v>
      </x:c>
      <x:c r="Q96" s="10" t="str">
        <x:v>Pago</x:v>
      </x:c>
      <x:c r="R96" s="10" t="str">
        <x:v>PIX</x:v>
      </x:c>
      <x:c r="S96" s="10" t="str">
        <x:v>2024-03</x:v>
      </x:c>
      <x:c r="T96" s="10" t="n">
        <x:v>0</x:v>
      </x:c>
      <x:c r="U96" s="10" t="str">
        <x:v>Liquidado</x:v>
      </x:c>
      <x:c r="V96" s="10" t="str">
        <x:v>UND004</x:v>
      </x:c>
    </x:row>
    <x:row r="97" ht="18" customHeight="1">
      <x:c r="A97" s="10" t="str">
        <x:v>PAG00096</x:v>
      </x:c>
      <x:c r="B97" s="10" t="str">
        <x:v>EMP003</x:v>
      </x:c>
      <x:c r="C97" s="10" t="str">
        <x:v>FOR048</x:v>
      </x:c>
      <x:c r="D97" s="10" t="str">
        <x:v>CC002</x:v>
      </x:c>
      <x:c r="E97" s="10" t="str">
        <x:v>CAT012</x:v>
      </x:c>
      <x:c r="F97" s="10" t="str">
        <x:v>CTA005</x:v>
      </x:c>
      <x:c r="G97" s="10" t="str">
        <x:v>NF-100096</x:v>
      </x:c>
      <x:c r="H97" s="10" t="str">
        <x:v>Despesa operacional</x:v>
      </x:c>
      <x:c r="I97" s="16" t="n">
        <x:v>45521.11961135417</x:v>
      </x:c>
      <x:c r="J97" s="16" t="n">
        <x:v>45581.11961135417</x:v>
      </x:c>
      <x:c r="K97" s="16" t="n">
        <x:v>45587.11961135417</x:v>
      </x:c>
      <x:c r="L97" s="20" t="n">
        <x:v>2944.3</x:v>
      </x:c>
      <x:c r="M97" s="20" t="n">
        <x:v>12.37</x:v>
      </x:c>
      <x:c r="N97" s="20" t="n">
        <x:v>0</x:v>
      </x:c>
      <x:c r="O97" s="20" t="n">
        <x:v>2956.67</x:v>
      </x:c>
      <x:c r="P97" s="20" t="n">
        <x:v>0</x:v>
      </x:c>
      <x:c r="Q97" s="10" t="str">
        <x:v>Pago</x:v>
      </x:c>
      <x:c r="R97" s="10" t="str">
        <x:v>Cartão Corporativo</x:v>
      </x:c>
      <x:c r="S97" s="10" t="str">
        <x:v>2024-08</x:v>
      </x:c>
      <x:c r="T97" s="10" t="n">
        <x:v>0</x:v>
      </x:c>
      <x:c r="U97" s="10" t="str">
        <x:v>Liquidado</x:v>
      </x:c>
      <x:c r="V97" s="10" t="str">
        <x:v>UND004</x:v>
      </x:c>
    </x:row>
    <x:row r="98" ht="18" customHeight="1">
      <x:c r="A98" s="10" t="str">
        <x:v>PAG00097</x:v>
      </x:c>
      <x:c r="B98" s="10" t="str">
        <x:v>EMP001</x:v>
      </x:c>
      <x:c r="C98" s="10" t="str">
        <x:v>FOR029</x:v>
      </x:c>
      <x:c r="D98" s="10" t="str">
        <x:v>CC004</x:v>
      </x:c>
      <x:c r="E98" s="10" t="str">
        <x:v>CAT015</x:v>
      </x:c>
      <x:c r="F98" s="10" t="str">
        <x:v>CTA002</x:v>
      </x:c>
      <x:c r="G98" s="10" t="str">
        <x:v>NF-100097</x:v>
      </x:c>
      <x:c r="H98" s="10" t="str">
        <x:v>Despesa operacional</x:v>
      </x:c>
      <x:c r="I98" s="16" t="n">
        <x:v>45841.122123113426</x:v>
      </x:c>
      <x:c r="J98" s="16" t="n">
        <x:v>45886.122123113426</x:v>
      </x:c>
      <x:c r="K98" s="16" t="n">
        <x:v>45901.122123113426</x:v>
      </x:c>
      <x:c r="L98" s="20" t="n">
        <x:v>66052.45</x:v>
      </x:c>
      <x:c r="M98" s="20" t="n">
        <x:v>693.55</x:v>
      </x:c>
      <x:c r="N98" s="20" t="n">
        <x:v>0</x:v>
      </x:c>
      <x:c r="O98" s="20" t="n">
        <x:v>66746</x:v>
      </x:c>
      <x:c r="P98" s="20" t="n">
        <x:v>0</x:v>
      </x:c>
      <x:c r="Q98" s="10" t="str">
        <x:v>Pago</x:v>
      </x:c>
      <x:c r="R98" s="10" t="str">
        <x:v>Boleto</x:v>
      </x:c>
      <x:c r="S98" s="10" t="str">
        <x:v>2025-07</x:v>
      </x:c>
      <x:c r="T98" s="10" t="n">
        <x:v>0</x:v>
      </x:c>
      <x:c r="U98" s="10" t="str">
        <x:v>Liquidado</x:v>
      </x:c>
      <x:c r="V98" s="10" t="str">
        <x:v>UND001</x:v>
      </x:c>
    </x:row>
    <x:row r="99" ht="18" customHeight="1">
      <x:c r="A99" s="10" t="str">
        <x:v>PAG00098</x:v>
      </x:c>
      <x:c r="B99" s="10" t="str">
        <x:v>EMP001</x:v>
      </x:c>
      <x:c r="C99" s="10" t="str">
        <x:v>FOR006</x:v>
      </x:c>
      <x:c r="D99" s="10" t="str">
        <x:v>CC004</x:v>
      </x:c>
      <x:c r="E99" s="10" t="str">
        <x:v>CAT015</x:v>
      </x:c>
      <x:c r="F99" s="10" t="str">
        <x:v>CTA002</x:v>
      </x:c>
      <x:c r="G99" s="10" t="str">
        <x:v>NF-100098</x:v>
      </x:c>
      <x:c r="H99" s="10" t="str">
        <x:v>Compra de materiais</x:v>
      </x:c>
      <x:c r="I99" s="16" t="n">
        <x:v>45349.59154857639</x:v>
      </x:c>
      <x:c r="J99" s="16" t="n">
        <x:v>45377.59154857639</x:v>
      </x:c>
      <x:c r="K99" s="16" t="n">
        <x:v>45384.59154857639</x:v>
      </x:c>
      <x:c r="L99" s="20" t="n">
        <x:v>3493.84</x:v>
      </x:c>
      <x:c r="M99" s="20" t="n">
        <x:v>17.12</x:v>
      </x:c>
      <x:c r="N99" s="20" t="n">
        <x:v>0</x:v>
      </x:c>
      <x:c r="O99" s="20" t="n">
        <x:v>3510.96</x:v>
      </x:c>
      <x:c r="P99" s="20" t="n">
        <x:v>0</x:v>
      </x:c>
      <x:c r="Q99" s="10" t="str">
        <x:v>Pago</x:v>
      </x:c>
      <x:c r="R99" s="10" t="str">
        <x:v>PIX</x:v>
      </x:c>
      <x:c r="S99" s="10" t="str">
        <x:v>2024-02</x:v>
      </x:c>
      <x:c r="T99" s="10" t="n">
        <x:v>0</x:v>
      </x:c>
      <x:c r="U99" s="10" t="str">
        <x:v>Liquidado</x:v>
      </x:c>
      <x:c r="V99" s="10" t="str">
        <x:v>UND001</x:v>
      </x:c>
    </x:row>
    <x:row r="100" ht="18" customHeight="1">
      <x:c r="A100" s="10" t="str">
        <x:v>PAG00099</x:v>
      </x:c>
      <x:c r="B100" s="10" t="str">
        <x:v>EMP001</x:v>
      </x:c>
      <x:c r="C100" s="10" t="str">
        <x:v>FOR050</x:v>
      </x:c>
      <x:c r="D100" s="10" t="str">
        <x:v>CC004</x:v>
      </x:c>
      <x:c r="E100" s="10" t="str">
        <x:v>CAT007</x:v>
      </x:c>
      <x:c r="F100" s="10" t="str">
        <x:v>CTA001</x:v>
      </x:c>
      <x:c r="G100" s="10" t="str">
        <x:v>NF-100099</x:v>
      </x:c>
      <x:c r="H100" s="10" t="str">
        <x:v>Prestação de serviços</x:v>
      </x:c>
      <x:c r="I100" s="16" t="n">
        <x:v>45523.32139114584</x:v>
      </x:c>
      <x:c r="J100" s="16" t="n">
        <x:v>45538.32139114584</x:v>
      </x:c>
      <x:c r="K100" s="16" t="n">
        <x:v>45535.32139114584</x:v>
      </x:c>
      <x:c r="L100" s="20" t="n">
        <x:v>101485.48</x:v>
      </x:c>
      <x:c r="M100" s="20" t="n">
        <x:v>0</x:v>
      </x:c>
      <x:c r="N100" s="20" t="n">
        <x:v>0</x:v>
      </x:c>
      <x:c r="O100" s="20" t="n">
        <x:v>101485.48</x:v>
      </x:c>
      <x:c r="P100" s="20" t="n">
        <x:v>0</x:v>
      </x:c>
      <x:c r="Q100" s="10" t="str">
        <x:v>Pago</x:v>
      </x:c>
      <x:c r="R100" s="10" t="str">
        <x:v>Cartão Corporativo</x:v>
      </x:c>
      <x:c r="S100" s="10" t="str">
        <x:v>2024-08</x:v>
      </x:c>
      <x:c r="T100" s="10" t="n">
        <x:v>0</x:v>
      </x:c>
      <x:c r="U100" s="10" t="str">
        <x:v>Liquidado</x:v>
      </x:c>
      <x:c r="V100" s="10" t="str">
        <x:v>UND002</x:v>
      </x:c>
    </x:row>
    <x:row r="101" ht="18" customHeight="1">
      <x:c r="A101" s="10" t="str">
        <x:v>PAG00100</x:v>
      </x:c>
      <x:c r="B101" s="10" t="str">
        <x:v>EMP002</x:v>
      </x:c>
      <x:c r="C101" s="10" t="str">
        <x:v>FOR052</x:v>
      </x:c>
      <x:c r="D101" s="10" t="str">
        <x:v>CC005</x:v>
      </x:c>
      <x:c r="E101" s="10" t="str">
        <x:v>CAT009</x:v>
      </x:c>
      <x:c r="F101" s="10" t="str">
        <x:v>CTA004</x:v>
      </x:c>
      <x:c r="G101" s="10" t="str">
        <x:v>NF-100100</x:v>
      </x:c>
      <x:c r="H101" s="10" t="str">
        <x:v>Contrato recorrente</x:v>
      </x:c>
      <x:c r="I101" s="16" t="n">
        <x:v>45361.40500373843</x:v>
      </x:c>
      <x:c r="J101" s="16" t="n">
        <x:v>45396.40500373843</x:v>
      </x:c>
      <x:c r="K101" s="16" t="n">
        <x:v>45388.40500373843</x:v>
      </x:c>
      <x:c r="L101" s="20" t="n">
        <x:v>1835.21</x:v>
      </x:c>
      <x:c r="M101" s="20" t="n">
        <x:v>0</x:v>
      </x:c>
      <x:c r="N101" s="20" t="n">
        <x:v>0</x:v>
      </x:c>
      <x:c r="O101" s="20" t="n">
        <x:v>1835.21</x:v>
      </x:c>
      <x:c r="P101" s="20" t="n">
        <x:v>0</x:v>
      </x:c>
      <x:c r="Q101" s="10" t="str">
        <x:v>Pago</x:v>
      </x:c>
      <x:c r="R101" s="10" t="str">
        <x:v>Boleto</x:v>
      </x:c>
      <x:c r="S101" s="10" t="str">
        <x:v>2024-03</x:v>
      </x:c>
      <x:c r="T101" s="10" t="n">
        <x:v>0</x:v>
      </x:c>
      <x:c r="U101" s="10" t="str">
        <x:v>Liquidado</x:v>
      </x:c>
      <x:c r="V101" s="10" t="str">
        <x:v>UND003</x:v>
      </x:c>
    </x:row>
    <x:row r="102" ht="18" customHeight="1">
      <x:c r="A102" s="10" t="str">
        <x:v>PAG00101</x:v>
      </x:c>
      <x:c r="B102" s="10" t="str">
        <x:v>EMP001</x:v>
      </x:c>
      <x:c r="C102" s="10" t="str">
        <x:v>FOR058</x:v>
      </x:c>
      <x:c r="D102" s="10" t="str">
        <x:v>CC002</x:v>
      </x:c>
      <x:c r="E102" s="10" t="str">
        <x:v>CAT012</x:v>
      </x:c>
      <x:c r="F102" s="10" t="str">
        <x:v>CTA001</x:v>
      </x:c>
      <x:c r="G102" s="10" t="str">
        <x:v>NF-100101</x:v>
      </x:c>
      <x:c r="H102" s="10" t="str">
        <x:v>Contrato recorrente</x:v>
      </x:c>
      <x:c r="I102" s="16" t="n">
        <x:v>45738.17759230324</x:v>
      </x:c>
      <x:c r="J102" s="16" t="n">
        <x:v>45783.17759230324</x:v>
      </x:c>
      <x:c r="K102" s="16" t="n">
        <x:v>45794.17759230324</x:v>
      </x:c>
      <x:c r="L102" s="20" t="n">
        <x:v>22066.28</x:v>
      </x:c>
      <x:c r="M102" s="20" t="n">
        <x:v>169.91</x:v>
      </x:c>
      <x:c r="N102" s="20" t="n">
        <x:v>0</x:v>
      </x:c>
      <x:c r="O102" s="20" t="n">
        <x:v>22236.19</x:v>
      </x:c>
      <x:c r="P102" s="20" t="n">
        <x:v>0</x:v>
      </x:c>
      <x:c r="Q102" s="10" t="str">
        <x:v>Pago</x:v>
      </x:c>
      <x:c r="R102" s="10" t="str">
        <x:v>Boleto</x:v>
      </x:c>
      <x:c r="S102" s="10" t="str">
        <x:v>2025-03</x:v>
      </x:c>
      <x:c r="T102" s="10" t="n">
        <x:v>0</x:v>
      </x:c>
      <x:c r="U102" s="10" t="str">
        <x:v>Liquidado</x:v>
      </x:c>
      <x:c r="V102" s="10" t="str">
        <x:v>UND001</x:v>
      </x:c>
    </x:row>
    <x:row r="103" ht="18" customHeight="1">
      <x:c r="A103" s="10" t="str">
        <x:v>PAG00102</x:v>
      </x:c>
      <x:c r="B103" s="10" t="str">
        <x:v>EMP003</x:v>
      </x:c>
      <x:c r="C103" s="10" t="str">
        <x:v>FOR029</x:v>
      </x:c>
      <x:c r="D103" s="10" t="str">
        <x:v>CC001</x:v>
      </x:c>
      <x:c r="E103" s="10" t="str">
        <x:v>CAT009</x:v>
      </x:c>
      <x:c r="F103" s="10" t="str">
        <x:v>CTA006</x:v>
      </x:c>
      <x:c r="G103" s="10" t="str">
        <x:v>NF-100102</x:v>
      </x:c>
      <x:c r="H103" s="10" t="str">
        <x:v>Tributos e taxas</x:v>
      </x:c>
      <x:c r="I103" s="16" t="n">
        <x:v>45711.066945590275</x:v>
      </x:c>
      <x:c r="J103" s="16" t="n">
        <x:v>45741.066945590275</x:v>
      </x:c>
      <x:c r="K103" s="16" t="n">
        <x:v>45743.066945590275</x:v>
      </x:c>
      <x:c r="L103" s="20" t="n">
        <x:v>57757</x:v>
      </x:c>
      <x:c r="M103" s="20" t="n">
        <x:v>80.86</x:v>
      </x:c>
      <x:c r="N103" s="20" t="n">
        <x:v>0</x:v>
      </x:c>
      <x:c r="O103" s="20" t="n">
        <x:v>57837.86</x:v>
      </x:c>
      <x:c r="P103" s="20" t="n">
        <x:v>0</x:v>
      </x:c>
      <x:c r="Q103" s="10" t="str">
        <x:v>Pago</x:v>
      </x:c>
      <x:c r="R103" s="10" t="str">
        <x:v>Débito Automático</x:v>
      </x:c>
      <x:c r="S103" s="10" t="str">
        <x:v>2025-02</x:v>
      </x:c>
      <x:c r="T103" s="10" t="n">
        <x:v>0</x:v>
      </x:c>
      <x:c r="U103" s="10" t="str">
        <x:v>Liquidado</x:v>
      </x:c>
      <x:c r="V103" s="10" t="str">
        <x:v>UND004</x:v>
      </x:c>
    </x:row>
    <x:row r="104" ht="18" customHeight="1">
      <x:c r="A104" s="10" t="str">
        <x:v>PAG00103</x:v>
      </x:c>
      <x:c r="B104" s="10" t="str">
        <x:v>EMP002</x:v>
      </x:c>
      <x:c r="C104" s="10" t="str">
        <x:v>FOR046</x:v>
      </x:c>
      <x:c r="D104" s="10" t="str">
        <x:v>CC007</x:v>
      </x:c>
      <x:c r="E104" s="10" t="str">
        <x:v>CAT011</x:v>
      </x:c>
      <x:c r="F104" s="10" t="str">
        <x:v>CTA003</x:v>
      </x:c>
      <x:c r="G104" s="10" t="str">
        <x:v>NF-100103</x:v>
      </x:c>
      <x:c r="H104" s="10" t="str">
        <x:v>Compra de materiais</x:v>
      </x:c>
      <x:c r="I104" s="16" t="n">
        <x:v>45954.703478483796</x:v>
      </x:c>
      <x:c r="J104" s="16" t="n">
        <x:v>45999.703478483796</x:v>
      </x:c>
      <x:c r="K104" s="16" t="n">
        <x:v>46005.703478483796</x:v>
      </x:c>
      <x:c r="L104" s="20" t="n">
        <x:v>71721.1</x:v>
      </x:c>
      <x:c r="M104" s="20" t="n">
        <x:v>301.23</x:v>
      </x:c>
      <x:c r="N104" s="20" t="n">
        <x:v>0</x:v>
      </x:c>
      <x:c r="O104" s="20" t="n">
        <x:v>72022.33</x:v>
      </x:c>
      <x:c r="P104" s="20" t="n">
        <x:v>0</x:v>
      </x:c>
      <x:c r="Q104" s="10" t="str">
        <x:v>Pago</x:v>
      </x:c>
      <x:c r="R104" s="10" t="str">
        <x:v>PIX</x:v>
      </x:c>
      <x:c r="S104" s="10" t="str">
        <x:v>2025-10</x:v>
      </x:c>
      <x:c r="T104" s="10" t="n">
        <x:v>0</x:v>
      </x:c>
      <x:c r="U104" s="10" t="str">
        <x:v>Liquidado</x:v>
      </x:c>
      <x:c r="V104" s="10" t="str">
        <x:v>UND003</x:v>
      </x:c>
    </x:row>
    <x:row r="105" ht="18" customHeight="1">
      <x:c r="A105" s="10" t="str">
        <x:v>PAG00104</x:v>
      </x:c>
      <x:c r="B105" s="10" t="str">
        <x:v>EMP003</x:v>
      </x:c>
      <x:c r="C105" s="10" t="str">
        <x:v>FOR059</x:v>
      </x:c>
      <x:c r="D105" s="10" t="str">
        <x:v>CC001</x:v>
      </x:c>
      <x:c r="E105" s="10" t="str">
        <x:v>CAT017</x:v>
      </x:c>
      <x:c r="F105" s="10" t="str">
        <x:v>CTA005</x:v>
      </x:c>
      <x:c r="G105" s="10" t="str">
        <x:v>NF-100104</x:v>
      </x:c>
      <x:c r="H105" s="10" t="str">
        <x:v>Prestação de serviços</x:v>
      </x:c>
      <x:c r="I105" s="16" t="n">
        <x:v>45308.92742460648</x:v>
      </x:c>
      <x:c r="J105" s="16" t="n">
        <x:v>45343.92742460648</x:v>
      </x:c>
      <x:c r="K105" s="16" t="n">
        <x:v>45341.92742460648</x:v>
      </x:c>
      <x:c r="L105" s="20" t="n">
        <x:v>11532.68</x:v>
      </x:c>
      <x:c r="M105" s="20" t="n">
        <x:v>0</x:v>
      </x:c>
      <x:c r="N105" s="20" t="n">
        <x:v>0</x:v>
      </x:c>
      <x:c r="O105" s="20" t="n">
        <x:v>11532.68</x:v>
      </x:c>
      <x:c r="P105" s="20" t="n">
        <x:v>0</x:v>
      </x:c>
      <x:c r="Q105" s="10" t="str">
        <x:v>Pago</x:v>
      </x:c>
      <x:c r="R105" s="10" t="str">
        <x:v>PIX</x:v>
      </x:c>
      <x:c r="S105" s="10" t="str">
        <x:v>2024-01</x:v>
      </x:c>
      <x:c r="T105" s="10" t="n">
        <x:v>0</x:v>
      </x:c>
      <x:c r="U105" s="10" t="str">
        <x:v>Liquidado</x:v>
      </x:c>
      <x:c r="V105" s="10" t="str">
        <x:v>UND004</x:v>
      </x:c>
    </x:row>
    <x:row r="106" ht="18" customHeight="1">
      <x:c r="A106" s="10" t="str">
        <x:v>PAG00105</x:v>
      </x:c>
      <x:c r="B106" s="10" t="str">
        <x:v>EMP001</x:v>
      </x:c>
      <x:c r="C106" s="10" t="str">
        <x:v>FOR030</x:v>
      </x:c>
      <x:c r="D106" s="10" t="str">
        <x:v>CC005</x:v>
      </x:c>
      <x:c r="E106" s="10" t="str">
        <x:v>CAT018</x:v>
      </x:c>
      <x:c r="F106" s="10" t="str">
        <x:v>CTA001</x:v>
      </x:c>
      <x:c r="G106" s="10" t="str">
        <x:v>NF-100105</x:v>
      </x:c>
      <x:c r="H106" s="10" t="str">
        <x:v>Compra de materiais</x:v>
      </x:c>
      <x:c r="I106" s="16" t="n">
        <x:v>45389.34883628472</x:v>
      </x:c>
      <x:c r="J106" s="16" t="n">
        <x:v>45449.34883628472</x:v>
      </x:c>
      <x:c r="K106" s="16" t="n">
        <x:v>45450.34883628472</x:v>
      </x:c>
      <x:c r="L106" s="20" t="n">
        <x:v>53251.55</x:v>
      </x:c>
      <x:c r="M106" s="20" t="n">
        <x:v>37.28</x:v>
      </x:c>
      <x:c r="N106" s="20" t="n">
        <x:v>0</x:v>
      </x:c>
      <x:c r="O106" s="20" t="n">
        <x:v>53288.83</x:v>
      </x:c>
      <x:c r="P106" s="20" t="n">
        <x:v>0</x:v>
      </x:c>
      <x:c r="Q106" s="10" t="str">
        <x:v>Pago</x:v>
      </x:c>
      <x:c r="R106" s="10" t="str">
        <x:v>TED</x:v>
      </x:c>
      <x:c r="S106" s="10" t="str">
        <x:v>2024-04</x:v>
      </x:c>
      <x:c r="T106" s="10" t="n">
        <x:v>0</x:v>
      </x:c>
      <x:c r="U106" s="10" t="str">
        <x:v>Liquidado</x:v>
      </x:c>
      <x:c r="V106" s="10" t="str">
        <x:v>UND001</x:v>
      </x:c>
    </x:row>
    <x:row r="107" ht="18" customHeight="1">
      <x:c r="A107" s="10" t="str">
        <x:v>PAG00106</x:v>
      </x:c>
      <x:c r="B107" s="10" t="str">
        <x:v>EMP003</x:v>
      </x:c>
      <x:c r="C107" s="10" t="str">
        <x:v>FOR048</x:v>
      </x:c>
      <x:c r="D107" s="10" t="str">
        <x:v>CC006</x:v>
      </x:c>
      <x:c r="E107" s="10" t="str">
        <x:v>CAT009</x:v>
      </x:c>
      <x:c r="F107" s="10" t="str">
        <x:v>CTA006</x:v>
      </x:c>
      <x:c r="G107" s="10" t="str">
        <x:v>NF-100106</x:v>
      </x:c>
      <x:c r="H107" s="10" t="str">
        <x:v>Compra de materiais</x:v>
      </x:c>
      <x:c r="I107" s="16" t="n">
        <x:v>45649.52291626157</x:v>
      </x:c>
      <x:c r="J107" s="16" t="n">
        <x:v>45709.52291626157</x:v>
      </x:c>
      <x:c r="K107" s="16" t="n">
        <x:v>45716.52291626157</x:v>
      </x:c>
      <x:c r="L107" s="20" t="n">
        <x:v>624.4</x:v>
      </x:c>
      <x:c r="M107" s="20" t="n">
        <x:v>3.06</x:v>
      </x:c>
      <x:c r="N107" s="20" t="n">
        <x:v>0</x:v>
      </x:c>
      <x:c r="O107" s="20" t="n">
        <x:v>627.46</x:v>
      </x:c>
      <x:c r="P107" s="20" t="n">
        <x:v>0</x:v>
      </x:c>
      <x:c r="Q107" s="10" t="str">
        <x:v>Pago</x:v>
      </x:c>
      <x:c r="R107" s="10" t="str">
        <x:v>Cartão Corporativo</x:v>
      </x:c>
      <x:c r="S107" s="10" t="str">
        <x:v>2024-12</x:v>
      </x:c>
      <x:c r="T107" s="10" t="n">
        <x:v>0</x:v>
      </x:c>
      <x:c r="U107" s="10" t="str">
        <x:v>Liquidado</x:v>
      </x:c>
      <x:c r="V107" s="10" t="str">
        <x:v>UND004</x:v>
      </x:c>
    </x:row>
    <x:row r="108" ht="18" customHeight="1">
      <x:c r="A108" s="10" t="str">
        <x:v>PAG00107</x:v>
      </x:c>
      <x:c r="B108" s="10" t="str">
        <x:v>EMP001</x:v>
      </x:c>
      <x:c r="C108" s="10" t="str">
        <x:v>FOR033</x:v>
      </x:c>
      <x:c r="D108" s="10" t="str">
        <x:v>CC007</x:v>
      </x:c>
      <x:c r="E108" s="10" t="str">
        <x:v>CAT013</x:v>
      </x:c>
      <x:c r="F108" s="10" t="str">
        <x:v>CTA001</x:v>
      </x:c>
      <x:c r="G108" s="10" t="str">
        <x:v>NF-100107</x:v>
      </x:c>
      <x:c r="H108" s="10" t="str">
        <x:v>Prestação de serviços</x:v>
      </x:c>
      <x:c r="I108" s="16" t="n">
        <x:v>45538.36685402778</x:v>
      </x:c>
      <x:c r="J108" s="16" t="n">
        <x:v>45566.36685402778</x:v>
      </x:c>
      <x:c r="K108" s="16" t="n">
        <x:v>45559.36685402778</x:v>
      </x:c>
      <x:c r="L108" s="20" t="n">
        <x:v>29554.1</x:v>
      </x:c>
      <x:c r="M108" s="20" t="n">
        <x:v>0</x:v>
      </x:c>
      <x:c r="N108" s="20" t="n">
        <x:v>0</x:v>
      </x:c>
      <x:c r="O108" s="20" t="n">
        <x:v>29554.1</x:v>
      </x:c>
      <x:c r="P108" s="20" t="n">
        <x:v>0</x:v>
      </x:c>
      <x:c r="Q108" s="10" t="str">
        <x:v>Pago</x:v>
      </x:c>
      <x:c r="R108" s="10" t="str">
        <x:v>Débito Automático</x:v>
      </x:c>
      <x:c r="S108" s="10" t="str">
        <x:v>2024-09</x:v>
      </x:c>
      <x:c r="T108" s="10" t="n">
        <x:v>0</x:v>
      </x:c>
      <x:c r="U108" s="10" t="str">
        <x:v>Liquidado</x:v>
      </x:c>
      <x:c r="V108" s="10" t="str">
        <x:v>UND001</x:v>
      </x:c>
    </x:row>
    <x:row r="109" ht="18" customHeight="1">
      <x:c r="A109" s="10" t="str">
        <x:v>PAG00108</x:v>
      </x:c>
      <x:c r="B109" s="10" t="str">
        <x:v>EMP002</x:v>
      </x:c>
      <x:c r="C109" s="10" t="str">
        <x:v>FOR005</x:v>
      </x:c>
      <x:c r="D109" s="10" t="str">
        <x:v>CC001</x:v>
      </x:c>
      <x:c r="E109" s="10" t="str">
        <x:v>CAT013</x:v>
      </x:c>
      <x:c r="F109" s="10" t="str">
        <x:v>CTA003</x:v>
      </x:c>
      <x:c r="G109" s="10" t="str">
        <x:v>NF-100108</x:v>
      </x:c>
      <x:c r="H109" s="10" t="str">
        <x:v>Contrato recorrente</x:v>
      </x:c>
      <x:c r="I109" s="16" t="n">
        <x:v>45969.91213819444</x:v>
      </x:c>
      <x:c r="J109" s="16" t="n">
        <x:v>46004.91213819444</x:v>
      </x:c>
      <x:c r="K109" s="16" t="n">
        <x:v>45998.91213819444</x:v>
      </x:c>
      <x:c r="L109" s="20" t="n">
        <x:v>17453.21</x:v>
      </x:c>
      <x:c r="M109" s="20" t="n">
        <x:v>0</x:v>
      </x:c>
      <x:c r="N109" s="20" t="n">
        <x:v>0</x:v>
      </x:c>
      <x:c r="O109" s="20" t="n">
        <x:v>17453.21</x:v>
      </x:c>
      <x:c r="P109" s="20" t="n">
        <x:v>0</x:v>
      </x:c>
      <x:c r="Q109" s="10" t="str">
        <x:v>Pago</x:v>
      </x:c>
      <x:c r="R109" s="10" t="str">
        <x:v>Boleto</x:v>
      </x:c>
      <x:c r="S109" s="10" t="str">
        <x:v>2025-11</x:v>
      </x:c>
      <x:c r="T109" s="10" t="n">
        <x:v>0</x:v>
      </x:c>
      <x:c r="U109" s="10" t="str">
        <x:v>Liquidado</x:v>
      </x:c>
      <x:c r="V109" s="10" t="str">
        <x:v>UND003</x:v>
      </x:c>
    </x:row>
    <x:row r="110" ht="18" customHeight="1">
      <x:c r="A110" s="10" t="str">
        <x:v>PAG00109</x:v>
      </x:c>
      <x:c r="B110" s="10" t="str">
        <x:v>EMP003</x:v>
      </x:c>
      <x:c r="C110" s="10" t="str">
        <x:v>FOR002</x:v>
      </x:c>
      <x:c r="D110" s="10" t="str">
        <x:v>CC003</x:v>
      </x:c>
      <x:c r="E110" s="10" t="str">
        <x:v>CAT015</x:v>
      </x:c>
      <x:c r="F110" s="10" t="str">
        <x:v>CTA005</x:v>
      </x:c>
      <x:c r="G110" s="10" t="str">
        <x:v>NF-100109</x:v>
      </x:c>
      <x:c r="H110" s="10" t="str">
        <x:v>Contrato recorrente</x:v>
      </x:c>
      <x:c r="I110" s="16" t="n">
        <x:v>45514.17551152778</x:v>
      </x:c>
      <x:c r="J110" s="16" t="n">
        <x:v>45542.17551152778</x:v>
      </x:c>
      <x:c r="K110" s="16" t="n">
        <x:v>45554.17551152778</x:v>
      </x:c>
      <x:c r="L110" s="20" t="n">
        <x:v>94505.39</x:v>
      </x:c>
      <x:c r="M110" s="20" t="n">
        <x:v>793.85</x:v>
      </x:c>
      <x:c r="N110" s="20" t="n">
        <x:v>0</x:v>
      </x:c>
      <x:c r="O110" s="20" t="n">
        <x:v>95299.24</x:v>
      </x:c>
      <x:c r="P110" s="20" t="n">
        <x:v>0</x:v>
      </x:c>
      <x:c r="Q110" s="10" t="str">
        <x:v>Pago</x:v>
      </x:c>
      <x:c r="R110" s="10" t="str">
        <x:v>Boleto</x:v>
      </x:c>
      <x:c r="S110" s="10" t="str">
        <x:v>2024-08</x:v>
      </x:c>
      <x:c r="T110" s="10" t="n">
        <x:v>0</x:v>
      </x:c>
      <x:c r="U110" s="10" t="str">
        <x:v>Liquidado</x:v>
      </x:c>
      <x:c r="V110" s="10" t="str">
        <x:v>UND004</x:v>
      </x:c>
    </x:row>
    <x:row r="111" ht="18" customHeight="1">
      <x:c r="A111" s="10" t="str">
        <x:v>PAG00110</x:v>
      </x:c>
      <x:c r="B111" s="10" t="str">
        <x:v>EMP002</x:v>
      </x:c>
      <x:c r="C111" s="10" t="str">
        <x:v>FOR016</x:v>
      </x:c>
      <x:c r="D111" s="10" t="str">
        <x:v>CC008</x:v>
      </x:c>
      <x:c r="E111" s="10" t="str">
        <x:v>CAT008</x:v>
      </x:c>
      <x:c r="F111" s="10" t="str">
        <x:v>CTA004</x:v>
      </x:c>
      <x:c r="G111" s="10" t="str">
        <x:v>NF-100110</x:v>
      </x:c>
      <x:c r="H111" s="10" t="str">
        <x:v>Tributos e taxas</x:v>
      </x:c>
      <x:c r="I111" s="16" t="n">
        <x:v>45671.85289070602</x:v>
      </x:c>
      <x:c r="J111" s="16" t="n">
        <x:v>45699.85289070602</x:v>
      </x:c>
      <x:c r="K111" s="16" t="n">
        <x:v>45703.85289070602</x:v>
      </x:c>
      <x:c r="L111" s="20" t="n">
        <x:v>66491.41</x:v>
      </x:c>
      <x:c r="M111" s="20" t="n">
        <x:v>186.18</x:v>
      </x:c>
      <x:c r="N111" s="20" t="n">
        <x:v>0</x:v>
      </x:c>
      <x:c r="O111" s="20" t="n">
        <x:v>66677.59</x:v>
      </x:c>
      <x:c r="P111" s="20" t="n">
        <x:v>0</x:v>
      </x:c>
      <x:c r="Q111" s="10" t="str">
        <x:v>Pago</x:v>
      </x:c>
      <x:c r="R111" s="10" t="str">
        <x:v>TED</x:v>
      </x:c>
      <x:c r="S111" s="10" t="str">
        <x:v>2025-01</x:v>
      </x:c>
      <x:c r="T111" s="10" t="n">
        <x:v>0</x:v>
      </x:c>
      <x:c r="U111" s="10" t="str">
        <x:v>Liquidado</x:v>
      </x:c>
      <x:c r="V111" s="10" t="str">
        <x:v>UND003</x:v>
      </x:c>
    </x:row>
    <x:row r="112" ht="18" customHeight="1">
      <x:c r="A112" s="10" t="str">
        <x:v>PAG00111</x:v>
      </x:c>
      <x:c r="B112" s="10" t="str">
        <x:v>EMP002</x:v>
      </x:c>
      <x:c r="C112" s="10" t="str">
        <x:v>FOR045</x:v>
      </x:c>
      <x:c r="D112" s="10" t="str">
        <x:v>CC006</x:v>
      </x:c>
      <x:c r="E112" s="10" t="str">
        <x:v>CAT010</x:v>
      </x:c>
      <x:c r="F112" s="10" t="str">
        <x:v>CTA003</x:v>
      </x:c>
      <x:c r="G112" s="10" t="str">
        <x:v>NF-100111</x:v>
      </x:c>
      <x:c r="H112" s="10" t="str">
        <x:v>Prestação de serviços</x:v>
      </x:c>
      <x:c r="I112" s="16" t="n">
        <x:v>45953.44973150463</x:v>
      </x:c>
      <x:c r="J112" s="16" t="n">
        <x:v>45983.44973150463</x:v>
      </x:c>
      <x:c r="K112" s="16" t="n">
        <x:v>45995.44973150463</x:v>
      </x:c>
      <x:c r="L112" s="20" t="n">
        <x:v>20435.32</x:v>
      </x:c>
      <x:c r="M112" s="20" t="n">
        <x:v>171.66</x:v>
      </x:c>
      <x:c r="N112" s="20" t="n">
        <x:v>0</x:v>
      </x:c>
      <x:c r="O112" s="20" t="n">
        <x:v>20606.98</x:v>
      </x:c>
      <x:c r="P112" s="20" t="n">
        <x:v>0</x:v>
      </x:c>
      <x:c r="Q112" s="10" t="str">
        <x:v>Pago</x:v>
      </x:c>
      <x:c r="R112" s="10" t="str">
        <x:v>Débito Automático</x:v>
      </x:c>
      <x:c r="S112" s="10" t="str">
        <x:v>2025-10</x:v>
      </x:c>
      <x:c r="T112" s="10" t="n">
        <x:v>0</x:v>
      </x:c>
      <x:c r="U112" s="10" t="str">
        <x:v>Liquidado</x:v>
      </x:c>
      <x:c r="V112" s="10" t="str">
        <x:v>UND003</x:v>
      </x:c>
    </x:row>
    <x:row r="113" ht="18" customHeight="1">
      <x:c r="A113" s="10" t="str">
        <x:v>PAG00112</x:v>
      </x:c>
      <x:c r="B113" s="10" t="str">
        <x:v>EMP001</x:v>
      </x:c>
      <x:c r="C113" s="10" t="str">
        <x:v>FOR031</x:v>
      </x:c>
      <x:c r="D113" s="10" t="str">
        <x:v>CC006</x:v>
      </x:c>
      <x:c r="E113" s="10" t="str">
        <x:v>CAT015</x:v>
      </x:c>
      <x:c r="F113" s="10" t="str">
        <x:v>CTA002</x:v>
      </x:c>
      <x:c r="G113" s="10" t="str">
        <x:v>NF-100112</x:v>
      </x:c>
      <x:c r="H113" s="10" t="str">
        <x:v>Tributos e taxas</x:v>
      </x:c>
      <x:c r="I113" s="16" t="n">
        <x:v>45559.85791025463</x:v>
      </x:c>
      <x:c r="J113" s="16" t="n">
        <x:v>45619.85791025463</x:v>
      </x:c>
      <x:c r="K113" s="16" t="n">
        <x:v>45645.85791025463</x:v>
      </x:c>
      <x:c r="L113" s="20" t="n">
        <x:v>48646.73</x:v>
      </x:c>
      <x:c r="M113" s="20" t="n">
        <x:v>885.37</x:v>
      </x:c>
      <x:c r="N113" s="20" t="n">
        <x:v>0</x:v>
      </x:c>
      <x:c r="O113" s="20" t="n">
        <x:v>49532.1</x:v>
      </x:c>
      <x:c r="P113" s="20" t="n">
        <x:v>0</x:v>
      </x:c>
      <x:c r="Q113" s="10" t="str">
        <x:v>Pago</x:v>
      </x:c>
      <x:c r="R113" s="10" t="str">
        <x:v>Boleto</x:v>
      </x:c>
      <x:c r="S113" s="10" t="str">
        <x:v>2024-09</x:v>
      </x:c>
      <x:c r="T113" s="10" t="n">
        <x:v>0</x:v>
      </x:c>
      <x:c r="U113" s="10" t="str">
        <x:v>Liquidado</x:v>
      </x:c>
      <x:c r="V113" s="10" t="str">
        <x:v>UND001</x:v>
      </x:c>
    </x:row>
    <x:row r="114" ht="18" customHeight="1">
      <x:c r="A114" s="10" t="str">
        <x:v>PAG00113</x:v>
      </x:c>
      <x:c r="B114" s="10" t="str">
        <x:v>EMP002</x:v>
      </x:c>
      <x:c r="C114" s="10" t="str">
        <x:v>FOR021</x:v>
      </x:c>
      <x:c r="D114" s="10" t="str">
        <x:v>CC007</x:v>
      </x:c>
      <x:c r="E114" s="10" t="str">
        <x:v>CAT011</x:v>
      </x:c>
      <x:c r="F114" s="10" t="str">
        <x:v>CTA003</x:v>
      </x:c>
      <x:c r="G114" s="10" t="str">
        <x:v>NF-100113</x:v>
      </x:c>
      <x:c r="H114" s="10" t="str">
        <x:v>Contrato recorrente</x:v>
      </x:c>
      <x:c r="I114" s="16" t="n">
        <x:v>45776.352295729164</x:v>
      </x:c>
      <x:c r="J114" s="16" t="n">
        <x:v>45851.352295729164</x:v>
      </x:c>
      <x:c r="K114" s="16" t="n">
        <x:v>45857.352295729164</x:v>
      </x:c>
      <x:c r="L114" s="20" t="n">
        <x:v>28137.03</x:v>
      </x:c>
      <x:c r="M114" s="20" t="n">
        <x:v>118.18</x:v>
      </x:c>
      <x:c r="N114" s="20" t="n">
        <x:v>0</x:v>
      </x:c>
      <x:c r="O114" s="20" t="n">
        <x:v>28255.21</x:v>
      </x:c>
      <x:c r="P114" s="20" t="n">
        <x:v>0</x:v>
      </x:c>
      <x:c r="Q114" s="10" t="str">
        <x:v>Pago</x:v>
      </x:c>
      <x:c r="R114" s="10" t="str">
        <x:v>Cartão Corporativo</x:v>
      </x:c>
      <x:c r="S114" s="10" t="str">
        <x:v>2025-04</x:v>
      </x:c>
      <x:c r="T114" s="10" t="n">
        <x:v>0</x:v>
      </x:c>
      <x:c r="U114" s="10" t="str">
        <x:v>Liquidado</x:v>
      </x:c>
      <x:c r="V114" s="10" t="str">
        <x:v>UND003</x:v>
      </x:c>
    </x:row>
    <x:row r="115" ht="18" customHeight="1">
      <x:c r="A115" s="10" t="str">
        <x:v>PAG00114</x:v>
      </x:c>
      <x:c r="B115" s="10" t="str">
        <x:v>EMP001</x:v>
      </x:c>
      <x:c r="C115" s="10" t="str">
        <x:v>FOR040</x:v>
      </x:c>
      <x:c r="D115" s="10" t="str">
        <x:v>CC007</x:v>
      </x:c>
      <x:c r="E115" s="10" t="str">
        <x:v>CAT018</x:v>
      </x:c>
      <x:c r="F115" s="10" t="str">
        <x:v>CTA001</x:v>
      </x:c>
      <x:c r="G115" s="10" t="str">
        <x:v>NF-100114</x:v>
      </x:c>
      <x:c r="H115" s="10" t="str">
        <x:v>Compra de materiais</x:v>
      </x:c>
      <x:c r="I115" s="16" t="n">
        <x:v>45561.74409579861</x:v>
      </x:c>
      <x:c r="J115" s="16" t="n">
        <x:v>45621.74409579861</x:v>
      </x:c>
      <x:c r="K115" s="16" t="n">
        <x:v>45619.74409579861</x:v>
      </x:c>
      <x:c r="L115" s="20" t="n">
        <x:v>72985.81</x:v>
      </x:c>
      <x:c r="M115" s="20" t="n">
        <x:v>0</x:v>
      </x:c>
      <x:c r="N115" s="20" t="n">
        <x:v>0</x:v>
      </x:c>
      <x:c r="O115" s="20" t="n">
        <x:v>72985.81</x:v>
      </x:c>
      <x:c r="P115" s="20" t="n">
        <x:v>0</x:v>
      </x:c>
      <x:c r="Q115" s="10" t="str">
        <x:v>Pago</x:v>
      </x:c>
      <x:c r="R115" s="10" t="str">
        <x:v>TED</x:v>
      </x:c>
      <x:c r="S115" s="10" t="str">
        <x:v>2024-09</x:v>
      </x:c>
      <x:c r="T115" s="10" t="n">
        <x:v>0</x:v>
      </x:c>
      <x:c r="U115" s="10" t="str">
        <x:v>Liquidado</x:v>
      </x:c>
      <x:c r="V115" s="10" t="str">
        <x:v>UND002</x:v>
      </x:c>
    </x:row>
    <x:row r="116" ht="18" customHeight="1">
      <x:c r="A116" s="10" t="str">
        <x:v>PAG00115</x:v>
      </x:c>
      <x:c r="B116" s="10" t="str">
        <x:v>EMP003</x:v>
      </x:c>
      <x:c r="C116" s="10" t="str">
        <x:v>FOR037</x:v>
      </x:c>
      <x:c r="D116" s="10" t="str">
        <x:v>CC008</x:v>
      </x:c>
      <x:c r="E116" s="10" t="str">
        <x:v>CAT007</x:v>
      </x:c>
      <x:c r="F116" s="10" t="str">
        <x:v>CTA006</x:v>
      </x:c>
      <x:c r="G116" s="10" t="str">
        <x:v>NF-100115</x:v>
      </x:c>
      <x:c r="H116" s="10" t="str">
        <x:v>Tributos e taxas</x:v>
      </x:c>
      <x:c r="I116" s="16" t="n">
        <x:v>45786.9739294213</x:v>
      </x:c>
      <x:c r="J116" s="16" t="n">
        <x:v>45801.9739294213</x:v>
      </x:c>
      <x:c r="K116" s="16" t="n">
        <x:v>45793.9739294213</x:v>
      </x:c>
      <x:c r="L116" s="20" t="n">
        <x:v>89516.42</x:v>
      </x:c>
      <x:c r="M116" s="20" t="n">
        <x:v>0</x:v>
      </x:c>
      <x:c r="N116" s="20" t="n">
        <x:v>447.58</x:v>
      </x:c>
      <x:c r="O116" s="20" t="n">
        <x:v>89068.84</x:v>
      </x:c>
      <x:c r="P116" s="20" t="n">
        <x:v>0</x:v>
      </x:c>
      <x:c r="Q116" s="10" t="str">
        <x:v>Pago</x:v>
      </x:c>
      <x:c r="R116" s="10" t="str">
        <x:v>Boleto</x:v>
      </x:c>
      <x:c r="S116" s="10" t="str">
        <x:v>2025-05</x:v>
      </x:c>
      <x:c r="T116" s="10" t="n">
        <x:v>0</x:v>
      </x:c>
      <x:c r="U116" s="10" t="str">
        <x:v>Liquidado</x:v>
      </x:c>
      <x:c r="V116" s="10" t="str">
        <x:v>UND004</x:v>
      </x:c>
    </x:row>
    <x:row r="117" ht="18" customHeight="1">
      <x:c r="A117" s="10" t="str">
        <x:v>PAG00116</x:v>
      </x:c>
      <x:c r="B117" s="10" t="str">
        <x:v>EMP001</x:v>
      </x:c>
      <x:c r="C117" s="10" t="str">
        <x:v>FOR016</x:v>
      </x:c>
      <x:c r="D117" s="10" t="str">
        <x:v>CC007</x:v>
      </x:c>
      <x:c r="E117" s="10" t="str">
        <x:v>CAT015</x:v>
      </x:c>
      <x:c r="F117" s="10" t="str">
        <x:v>CTA002</x:v>
      </x:c>
      <x:c r="G117" s="10" t="str">
        <x:v>NF-100116</x:v>
      </x:c>
      <x:c r="H117" s="10" t="str">
        <x:v>Despesa operacional</x:v>
      </x:c>
      <x:c r="I117" s="16" t="n">
        <x:v>45968.04243482639</x:v>
      </x:c>
      <x:c r="J117" s="16" t="n">
        <x:v>46013.04243482639</x:v>
      </x:c>
      <x:c r="K117" s="16"/>
      <x:c r="L117" s="20" t="n">
        <x:v>71943.69</x:v>
      </x:c>
      <x:c r="M117" s="20" t="n">
        <x:v>0</x:v>
      </x:c>
      <x:c r="N117" s="20" t="n">
        <x:v>0</x:v>
      </x:c>
      <x:c r="O117" s="20" t="n">
        <x:v>0</x:v>
      </x:c>
      <x:c r="P117" s="20" t="n">
        <x:v>0</x:v>
      </x:c>
      <x:c r="Q117" s="10" t="str">
        <x:v>Cancelado</x:v>
      </x:c>
      <x:c r="R117" s="10" t="str">
        <x:v>PIX</x:v>
      </x:c>
      <x:c r="S117" s="10" t="str">
        <x:v>2025-11</x:v>
      </x:c>
      <x:c r="T117" s="10" t="n">
        <x:v>0</x:v>
      </x:c>
      <x:c r="U117" s="10" t="str">
        <x:v>Cancelado</x:v>
      </x:c>
      <x:c r="V117" s="10" t="str">
        <x:v>UND001</x:v>
      </x:c>
    </x:row>
    <x:row r="118" ht="18" customHeight="1">
      <x:c r="A118" s="10" t="str">
        <x:v>PAG00117</x:v>
      </x:c>
      <x:c r="B118" s="10" t="str">
        <x:v>EMP001</x:v>
      </x:c>
      <x:c r="C118" s="10" t="str">
        <x:v>FOR048</x:v>
      </x:c>
      <x:c r="D118" s="10" t="str">
        <x:v>CC003</x:v>
      </x:c>
      <x:c r="E118" s="10" t="str">
        <x:v>CAT015</x:v>
      </x:c>
      <x:c r="F118" s="10" t="str">
        <x:v>CTA002</x:v>
      </x:c>
      <x:c r="G118" s="10" t="str">
        <x:v>NF-100117</x:v>
      </x:c>
      <x:c r="H118" s="10" t="str">
        <x:v>Despesa operacional</x:v>
      </x:c>
      <x:c r="I118" s="16" t="n">
        <x:v>45462.91571111111</x:v>
      </x:c>
      <x:c r="J118" s="16" t="n">
        <x:v>45482.91571111111</x:v>
      </x:c>
      <x:c r="K118" s="16" t="n">
        <x:v>45493.91571111111</x:v>
      </x:c>
      <x:c r="L118" s="20" t="n">
        <x:v>106323.53</x:v>
      </x:c>
      <x:c r="M118" s="20" t="n">
        <x:v>818.69</x:v>
      </x:c>
      <x:c r="N118" s="20" t="n">
        <x:v>0</x:v>
      </x:c>
      <x:c r="O118" s="20" t="n">
        <x:v>107142.22</x:v>
      </x:c>
      <x:c r="P118" s="20" t="n">
        <x:v>0</x:v>
      </x:c>
      <x:c r="Q118" s="10" t="str">
        <x:v>Pago</x:v>
      </x:c>
      <x:c r="R118" s="10" t="str">
        <x:v>Débito Automático</x:v>
      </x:c>
      <x:c r="S118" s="10" t="str">
        <x:v>2024-06</x:v>
      </x:c>
      <x:c r="T118" s="10" t="n">
        <x:v>0</x:v>
      </x:c>
      <x:c r="U118" s="10" t="str">
        <x:v>Liquidado</x:v>
      </x:c>
      <x:c r="V118" s="10" t="str">
        <x:v>UND002</x:v>
      </x:c>
    </x:row>
    <x:row r="119" ht="18" customHeight="1">
      <x:c r="A119" s="10" t="str">
        <x:v>PAG00118</x:v>
      </x:c>
      <x:c r="B119" s="10" t="str">
        <x:v>EMP002</x:v>
      </x:c>
      <x:c r="C119" s="10" t="str">
        <x:v>FOR045</x:v>
      </x:c>
      <x:c r="D119" s="10" t="str">
        <x:v>CC002</x:v>
      </x:c>
      <x:c r="E119" s="10" t="str">
        <x:v>CAT012</x:v>
      </x:c>
      <x:c r="F119" s="10" t="str">
        <x:v>CTA003</x:v>
      </x:c>
      <x:c r="G119" s="10" t="str">
        <x:v>NF-100118</x:v>
      </x:c>
      <x:c r="H119" s="10" t="str">
        <x:v>Prestação de serviços</x:v>
      </x:c>
      <x:c r="I119" s="16" t="n">
        <x:v>45437.28353587963</x:v>
      </x:c>
      <x:c r="J119" s="16" t="n">
        <x:v>45472.28353587963</x:v>
      </x:c>
      <x:c r="K119" s="16" t="n">
        <x:v>45466.28353587963</x:v>
      </x:c>
      <x:c r="L119" s="20" t="n">
        <x:v>75621.78</x:v>
      </x:c>
      <x:c r="M119" s="20" t="n">
        <x:v>0</x:v>
      </x:c>
      <x:c r="N119" s="20" t="n">
        <x:v>0</x:v>
      </x:c>
      <x:c r="O119" s="20" t="n">
        <x:v>75621.78</x:v>
      </x:c>
      <x:c r="P119" s="20" t="n">
        <x:v>0</x:v>
      </x:c>
      <x:c r="Q119" s="10" t="str">
        <x:v>Pago</x:v>
      </x:c>
      <x:c r="R119" s="10" t="str">
        <x:v>Boleto</x:v>
      </x:c>
      <x:c r="S119" s="10" t="str">
        <x:v>2024-05</x:v>
      </x:c>
      <x:c r="T119" s="10" t="n">
        <x:v>0</x:v>
      </x:c>
      <x:c r="U119" s="10" t="str">
        <x:v>Liquidado</x:v>
      </x:c>
      <x:c r="V119" s="10" t="str">
        <x:v>UND003</x:v>
      </x:c>
    </x:row>
    <x:row r="120" ht="18" customHeight="1">
      <x:c r="A120" s="10" t="str">
        <x:v>PAG00119</x:v>
      </x:c>
      <x:c r="B120" s="10" t="str">
        <x:v>EMP003</x:v>
      </x:c>
      <x:c r="C120" s="10" t="str">
        <x:v>FOR041</x:v>
      </x:c>
      <x:c r="D120" s="10" t="str">
        <x:v>CC006</x:v>
      </x:c>
      <x:c r="E120" s="10" t="str">
        <x:v>CAT010</x:v>
      </x:c>
      <x:c r="F120" s="10" t="str">
        <x:v>CTA006</x:v>
      </x:c>
      <x:c r="G120" s="10" t="str">
        <x:v>NF-100119</x:v>
      </x:c>
      <x:c r="H120" s="10" t="str">
        <x:v>Prestação de serviços</x:v>
      </x:c>
      <x:c r="I120" s="16" t="n">
        <x:v>45409.39989680555</x:v>
      </x:c>
      <x:c r="J120" s="16" t="n">
        <x:v>45439.39989680555</x:v>
      </x:c>
      <x:c r="K120" s="16" t="n">
        <x:v>45431.39989680555</x:v>
      </x:c>
      <x:c r="L120" s="20" t="n">
        <x:v>10507.32</x:v>
      </x:c>
      <x:c r="M120" s="20" t="n">
        <x:v>0</x:v>
      </x:c>
      <x:c r="N120" s="20" t="n">
        <x:v>0</x:v>
      </x:c>
      <x:c r="O120" s="20" t="n">
        <x:v>10507.32</x:v>
      </x:c>
      <x:c r="P120" s="20" t="n">
        <x:v>0</x:v>
      </x:c>
      <x:c r="Q120" s="10" t="str">
        <x:v>Pago</x:v>
      </x:c>
      <x:c r="R120" s="10" t="str">
        <x:v>Débito Automático</x:v>
      </x:c>
      <x:c r="S120" s="10" t="str">
        <x:v>2024-04</x:v>
      </x:c>
      <x:c r="T120" s="10" t="n">
        <x:v>0</x:v>
      </x:c>
      <x:c r="U120" s="10" t="str">
        <x:v>Liquidado</x:v>
      </x:c>
      <x:c r="V120" s="10" t="str">
        <x:v>UND004</x:v>
      </x:c>
    </x:row>
    <x:row r="121" ht="18" customHeight="1">
      <x:c r="A121" s="10" t="str">
        <x:v>PAG00120</x:v>
      </x:c>
      <x:c r="B121" s="10" t="str">
        <x:v>EMP003</x:v>
      </x:c>
      <x:c r="C121" s="10" t="str">
        <x:v>FOR036</x:v>
      </x:c>
      <x:c r="D121" s="10" t="str">
        <x:v>CC007</x:v>
      </x:c>
      <x:c r="E121" s="10" t="str">
        <x:v>CAT006</x:v>
      </x:c>
      <x:c r="F121" s="10" t="str">
        <x:v>CTA005</x:v>
      </x:c>
      <x:c r="G121" s="10" t="str">
        <x:v>NF-100120</x:v>
      </x:c>
      <x:c r="H121" s="10" t="str">
        <x:v>Despesa operacional</x:v>
      </x:c>
      <x:c r="I121" s="16" t="n">
        <x:v>45459.97348238426</x:v>
      </x:c>
      <x:c r="J121" s="16" t="n">
        <x:v>45474.97348238426</x:v>
      </x:c>
      <x:c r="K121" s="16"/>
      <x:c r="L121" s="20" t="n">
        <x:v>18252.99</x:v>
      </x:c>
      <x:c r="M121" s="20" t="n">
        <x:v>0</x:v>
      </x:c>
      <x:c r="N121" s="20" t="n">
        <x:v>0</x:v>
      </x:c>
      <x:c r="O121" s="20" t="n">
        <x:v>0</x:v>
      </x:c>
      <x:c r="P121" s="20" t="n">
        <x:v>18252.99</x:v>
      </x:c>
      <x:c r="Q121" s="10" t="str">
        <x:v>Vencido</x:v>
      </x:c>
      <x:c r="R121" s="10" t="str">
        <x:v>Cartão Corporativo</x:v>
      </x:c>
      <x:c r="S121" s="10" t="str">
        <x:v>2024-06</x:v>
      </x:c>
      <x:c r="T121" s="10" t="n">
        <x:v>547</x:v>
      </x:c>
      <x:c r="U121" s="10" t="str">
        <x:v>&gt; 120 dias</x:v>
      </x:c>
      <x:c r="V121" s="10" t="str">
        <x:v>UND004</x:v>
      </x:c>
    </x:row>
    <x:row r="122" ht="18" customHeight="1">
      <x:c r="A122" s="10" t="str">
        <x:v>PAG00121</x:v>
      </x:c>
      <x:c r="B122" s="10" t="str">
        <x:v>EMP003</x:v>
      </x:c>
      <x:c r="C122" s="10" t="str">
        <x:v>FOR003</x:v>
      </x:c>
      <x:c r="D122" s="10" t="str">
        <x:v>CC006</x:v>
      </x:c>
      <x:c r="E122" s="10" t="str">
        <x:v>CAT014</x:v>
      </x:c>
      <x:c r="F122" s="10" t="str">
        <x:v>CTA005</x:v>
      </x:c>
      <x:c r="G122" s="10" t="str">
        <x:v>NF-100121</x:v>
      </x:c>
      <x:c r="H122" s="10" t="str">
        <x:v>Despesa operacional</x:v>
      </x:c>
      <x:c r="I122" s="16" t="n">
        <x:v>45957.25795734954</x:v>
      </x:c>
      <x:c r="J122" s="16" t="n">
        <x:v>46017.25795734954</x:v>
      </x:c>
      <x:c r="K122" s="16"/>
      <x:c r="L122" s="20" t="n">
        <x:v>877.85</x:v>
      </x:c>
      <x:c r="M122" s="20" t="n">
        <x:v>0</x:v>
      </x:c>
      <x:c r="N122" s="20" t="n">
        <x:v>0</x:v>
      </x:c>
      <x:c r="O122" s="20" t="n">
        <x:v>0</x:v>
      </x:c>
      <x:c r="P122" s="20" t="n">
        <x:v>877.85</x:v>
      </x:c>
      <x:c r="Q122" s="10" t="str">
        <x:v>Vencido</x:v>
      </x:c>
      <x:c r="R122" s="10" t="str">
        <x:v>TED</x:v>
      </x:c>
      <x:c r="S122" s="10" t="str">
        <x:v>2025-10</x:v>
      </x:c>
      <x:c r="T122" s="10" t="n">
        <x:v>4</x:v>
      </x:c>
      <x:c r="U122" s="10" t="str">
        <x:v>1 a 30 dias</x:v>
      </x:c>
      <x:c r="V122" s="10" t="str">
        <x:v>UND004</x:v>
      </x:c>
    </x:row>
    <x:row r="123" ht="18" customHeight="1">
      <x:c r="A123" s="10" t="str">
        <x:v>PAG00122</x:v>
      </x:c>
      <x:c r="B123" s="10" t="str">
        <x:v>EMP003</x:v>
      </x:c>
      <x:c r="C123" s="10" t="str">
        <x:v>FOR020</x:v>
      </x:c>
      <x:c r="D123" s="10" t="str">
        <x:v>CC002</x:v>
      </x:c>
      <x:c r="E123" s="10" t="str">
        <x:v>CAT017</x:v>
      </x:c>
      <x:c r="F123" s="10" t="str">
        <x:v>CTA005</x:v>
      </x:c>
      <x:c r="G123" s="10" t="str">
        <x:v>NF-100122</x:v>
      </x:c>
      <x:c r="H123" s="10" t="str">
        <x:v>Prestação de serviços</x:v>
      </x:c>
      <x:c r="I123" s="16" t="n">
        <x:v>45398.14072599537</x:v>
      </x:c>
      <x:c r="J123" s="16" t="n">
        <x:v>45418.14072599537</x:v>
      </x:c>
      <x:c r="K123" s="16" t="n">
        <x:v>45411.14072599537</x:v>
      </x:c>
      <x:c r="L123" s="20" t="n">
        <x:v>16596.17</x:v>
      </x:c>
      <x:c r="M123" s="20" t="n">
        <x:v>0</x:v>
      </x:c>
      <x:c r="N123" s="20" t="n">
        <x:v>165.96</x:v>
      </x:c>
      <x:c r="O123" s="20" t="n">
        <x:v>16430.21</x:v>
      </x:c>
      <x:c r="P123" s="20" t="n">
        <x:v>0</x:v>
      </x:c>
      <x:c r="Q123" s="10" t="str">
        <x:v>Pago</x:v>
      </x:c>
      <x:c r="R123" s="10" t="str">
        <x:v>Débito Automático</x:v>
      </x:c>
      <x:c r="S123" s="10" t="str">
        <x:v>2024-04</x:v>
      </x:c>
      <x:c r="T123" s="10" t="n">
        <x:v>0</x:v>
      </x:c>
      <x:c r="U123" s="10" t="str">
        <x:v>Liquidado</x:v>
      </x:c>
      <x:c r="V123" s="10" t="str">
        <x:v>UND004</x:v>
      </x:c>
    </x:row>
    <x:row r="124" ht="18" customHeight="1">
      <x:c r="A124" s="10" t="str">
        <x:v>PAG00123</x:v>
      </x:c>
      <x:c r="B124" s="10" t="str">
        <x:v>EMP002</x:v>
      </x:c>
      <x:c r="C124" s="10" t="str">
        <x:v>FOR023</x:v>
      </x:c>
      <x:c r="D124" s="10" t="str">
        <x:v>CC007</x:v>
      </x:c>
      <x:c r="E124" s="10" t="str">
        <x:v>CAT018</x:v>
      </x:c>
      <x:c r="F124" s="10" t="str">
        <x:v>CTA004</x:v>
      </x:c>
      <x:c r="G124" s="10" t="str">
        <x:v>NF-100123</x:v>
      </x:c>
      <x:c r="H124" s="10" t="str">
        <x:v>Contrato recorrente</x:v>
      </x:c>
      <x:c r="I124" s="16" t="n">
        <x:v>45644.36973443287</x:v>
      </x:c>
      <x:c r="J124" s="16" t="n">
        <x:v>45719.36973443287</x:v>
      </x:c>
      <x:c r="K124" s="16" t="n">
        <x:v>45713.36973443287</x:v>
      </x:c>
      <x:c r="L124" s="20" t="n">
        <x:v>1741.74</x:v>
      </x:c>
      <x:c r="M124" s="20" t="n">
        <x:v>0</x:v>
      </x:c>
      <x:c r="N124" s="20" t="n">
        <x:v>26.13</x:v>
      </x:c>
      <x:c r="O124" s="20" t="n">
        <x:v>1715.61</x:v>
      </x:c>
      <x:c r="P124" s="20" t="n">
        <x:v>0</x:v>
      </x:c>
      <x:c r="Q124" s="10" t="str">
        <x:v>Pago</x:v>
      </x:c>
      <x:c r="R124" s="10" t="str">
        <x:v>Boleto</x:v>
      </x:c>
      <x:c r="S124" s="10" t="str">
        <x:v>2024-12</x:v>
      </x:c>
      <x:c r="T124" s="10" t="n">
        <x:v>0</x:v>
      </x:c>
      <x:c r="U124" s="10" t="str">
        <x:v>Liquidado</x:v>
      </x:c>
      <x:c r="V124" s="10" t="str">
        <x:v>UND003</x:v>
      </x:c>
    </x:row>
    <x:row r="125" ht="18" customHeight="1">
      <x:c r="A125" s="10" t="str">
        <x:v>PAG00124</x:v>
      </x:c>
      <x:c r="B125" s="10" t="str">
        <x:v>EMP001</x:v>
      </x:c>
      <x:c r="C125" s="10" t="str">
        <x:v>FOR008</x:v>
      </x:c>
      <x:c r="D125" s="10" t="str">
        <x:v>CC007</x:v>
      </x:c>
      <x:c r="E125" s="10" t="str">
        <x:v>CAT016</x:v>
      </x:c>
      <x:c r="F125" s="10" t="str">
        <x:v>CTA001</x:v>
      </x:c>
      <x:c r="G125" s="10" t="str">
        <x:v>NF-100124</x:v>
      </x:c>
      <x:c r="H125" s="10" t="str">
        <x:v>Compra de materiais</x:v>
      </x:c>
      <x:c r="I125" s="16" t="n">
        <x:v>45532.90775032408</x:v>
      </x:c>
      <x:c r="J125" s="16" t="n">
        <x:v>45607.90775032408</x:v>
      </x:c>
      <x:c r="K125" s="16" t="n">
        <x:v>45606.90775032408</x:v>
      </x:c>
      <x:c r="L125" s="20" t="n">
        <x:v>37765.74</x:v>
      </x:c>
      <x:c r="M125" s="20" t="n">
        <x:v>0</x:v>
      </x:c>
      <x:c r="N125" s="20" t="n">
        <x:v>188.83</x:v>
      </x:c>
      <x:c r="O125" s="20" t="n">
        <x:v>37576.91</x:v>
      </x:c>
      <x:c r="P125" s="20" t="n">
        <x:v>0</x:v>
      </x:c>
      <x:c r="Q125" s="10" t="str">
        <x:v>Pago</x:v>
      </x:c>
      <x:c r="R125" s="10" t="str">
        <x:v>PIX</x:v>
      </x:c>
      <x:c r="S125" s="10" t="str">
        <x:v>2024-08</x:v>
      </x:c>
      <x:c r="T125" s="10" t="n">
        <x:v>0</x:v>
      </x:c>
      <x:c r="U125" s="10" t="str">
        <x:v>Liquidado</x:v>
      </x:c>
      <x:c r="V125" s="10" t="str">
        <x:v>UND001</x:v>
      </x:c>
    </x:row>
    <x:row r="126" ht="18" customHeight="1">
      <x:c r="A126" s="10" t="str">
        <x:v>PAG00125</x:v>
      </x:c>
      <x:c r="B126" s="10" t="str">
        <x:v>EMP001</x:v>
      </x:c>
      <x:c r="C126" s="10" t="str">
        <x:v>FOR025</x:v>
      </x:c>
      <x:c r="D126" s="10" t="str">
        <x:v>CC003</x:v>
      </x:c>
      <x:c r="E126" s="10" t="str">
        <x:v>CAT011</x:v>
      </x:c>
      <x:c r="F126" s="10" t="str">
        <x:v>CTA001</x:v>
      </x:c>
      <x:c r="G126" s="10" t="str">
        <x:v>NF-100125</x:v>
      </x:c>
      <x:c r="H126" s="10" t="str">
        <x:v>Prestação de serviços</x:v>
      </x:c>
      <x:c r="I126" s="16" t="n">
        <x:v>45528.58440206019</x:v>
      </x:c>
      <x:c r="J126" s="16" t="n">
        <x:v>45588.58440206019</x:v>
      </x:c>
      <x:c r="K126" s="16" t="n">
        <x:v>45590.58440206019</x:v>
      </x:c>
      <x:c r="L126" s="20" t="n">
        <x:v>23026.76</x:v>
      </x:c>
      <x:c r="M126" s="20" t="n">
        <x:v>32.24</x:v>
      </x:c>
      <x:c r="N126" s="20" t="n">
        <x:v>0</x:v>
      </x:c>
      <x:c r="O126" s="20" t="n">
        <x:v>23059</x:v>
      </x:c>
      <x:c r="P126" s="20" t="n">
        <x:v>0</x:v>
      </x:c>
      <x:c r="Q126" s="10" t="str">
        <x:v>Pago</x:v>
      </x:c>
      <x:c r="R126" s="10" t="str">
        <x:v>PIX</x:v>
      </x:c>
      <x:c r="S126" s="10" t="str">
        <x:v>2024-08</x:v>
      </x:c>
      <x:c r="T126" s="10" t="n">
        <x:v>0</x:v>
      </x:c>
      <x:c r="U126" s="10" t="str">
        <x:v>Liquidado</x:v>
      </x:c>
      <x:c r="V126" s="10" t="str">
        <x:v>UND002</x:v>
      </x:c>
    </x:row>
    <x:row r="127" ht="18" customHeight="1">
      <x:c r="A127" s="10" t="str">
        <x:v>PAG00126</x:v>
      </x:c>
      <x:c r="B127" s="10" t="str">
        <x:v>EMP001</x:v>
      </x:c>
      <x:c r="C127" s="10" t="str">
        <x:v>FOR047</x:v>
      </x:c>
      <x:c r="D127" s="10" t="str">
        <x:v>CC007</x:v>
      </x:c>
      <x:c r="E127" s="10" t="str">
        <x:v>CAT009</x:v>
      </x:c>
      <x:c r="F127" s="10" t="str">
        <x:v>CTA001</x:v>
      </x:c>
      <x:c r="G127" s="10" t="str">
        <x:v>NF-100126</x:v>
      </x:c>
      <x:c r="H127" s="10" t="str">
        <x:v>Contrato recorrente</x:v>
      </x:c>
      <x:c r="I127" s="16" t="n">
        <x:v>45986.97288318287</x:v>
      </x:c>
      <x:c r="J127" s="16" t="n">
        <x:v>46021.97288318287</x:v>
      </x:c>
      <x:c r="K127" s="16"/>
      <x:c r="L127" s="20" t="n">
        <x:v>98083.86</x:v>
      </x:c>
      <x:c r="M127" s="20" t="n">
        <x:v>0</x:v>
      </x:c>
      <x:c r="N127" s="20" t="n">
        <x:v>0</x:v>
      </x:c>
      <x:c r="O127" s="20" t="n">
        <x:v>0</x:v>
      </x:c>
      <x:c r="P127" s="20" t="n">
        <x:v>98083.86</x:v>
      </x:c>
      <x:c r="Q127" s="10" t="str">
        <x:v>Vencido</x:v>
      </x:c>
      <x:c r="R127" s="10" t="str">
        <x:v>Débito Automático</x:v>
      </x:c>
      <x:c r="S127" s="10" t="str">
        <x:v>2025-11</x:v>
      </x:c>
      <x:c r="T127" s="10" t="n">
        <x:v>0</x:v>
      </x:c>
      <x:c r="U127" s="10" t="str">
        <x:v>A vencer</x:v>
      </x:c>
      <x:c r="V127" s="10" t="str">
        <x:v>UND002</x:v>
      </x:c>
    </x:row>
    <x:row r="128" ht="18" customHeight="1">
      <x:c r="A128" s="10" t="str">
        <x:v>PAG00127</x:v>
      </x:c>
      <x:c r="B128" s="10" t="str">
        <x:v>EMP002</x:v>
      </x:c>
      <x:c r="C128" s="10" t="str">
        <x:v>FOR043</x:v>
      </x:c>
      <x:c r="D128" s="10" t="str">
        <x:v>CC006</x:v>
      </x:c>
      <x:c r="E128" s="10" t="str">
        <x:v>CAT016</x:v>
      </x:c>
      <x:c r="F128" s="10" t="str">
        <x:v>CTA003</x:v>
      </x:c>
      <x:c r="G128" s="10" t="str">
        <x:v>NF-100127</x:v>
      </x:c>
      <x:c r="H128" s="10" t="str">
        <x:v>Tributos e taxas</x:v>
      </x:c>
      <x:c r="I128" s="16" t="n">
        <x:v>45742.048196944444</x:v>
      </x:c>
      <x:c r="J128" s="16" t="n">
        <x:v>45817.048196944444</x:v>
      </x:c>
      <x:c r="K128" s="16"/>
      <x:c r="L128" s="20" t="n">
        <x:v>103544.48</x:v>
      </x:c>
      <x:c r="M128" s="20" t="n">
        <x:v>0</x:v>
      </x:c>
      <x:c r="N128" s="20" t="n">
        <x:v>0</x:v>
      </x:c>
      <x:c r="O128" s="20" t="n">
        <x:v>0</x:v>
      </x:c>
      <x:c r="P128" s="20" t="n">
        <x:v>103544.48</x:v>
      </x:c>
      <x:c r="Q128" s="10" t="str">
        <x:v>Vencido</x:v>
      </x:c>
      <x:c r="R128" s="10" t="str">
        <x:v>Débito Automático</x:v>
      </x:c>
      <x:c r="S128" s="10" t="str">
        <x:v>2025-03</x:v>
      </x:c>
      <x:c r="T128" s="10" t="n">
        <x:v>204</x:v>
      </x:c>
      <x:c r="U128" s="10" t="str">
        <x:v>&gt; 120 dias</x:v>
      </x:c>
      <x:c r="V128" s="10" t="str">
        <x:v>UND003</x:v>
      </x:c>
    </x:row>
    <x:row r="129" ht="18" customHeight="1">
      <x:c r="A129" s="10" t="str">
        <x:v>PAG00128</x:v>
      </x:c>
      <x:c r="B129" s="10" t="str">
        <x:v>EMP003</x:v>
      </x:c>
      <x:c r="C129" s="10" t="str">
        <x:v>FOR001</x:v>
      </x:c>
      <x:c r="D129" s="10" t="str">
        <x:v>CC007</x:v>
      </x:c>
      <x:c r="E129" s="10" t="str">
        <x:v>CAT011</x:v>
      </x:c>
      <x:c r="F129" s="10" t="str">
        <x:v>CTA006</x:v>
      </x:c>
      <x:c r="G129" s="10" t="str">
        <x:v>NF-100128</x:v>
      </x:c>
      <x:c r="H129" s="10" t="str">
        <x:v>Prestação de serviços</x:v>
      </x:c>
      <x:c r="I129" s="16" t="n">
        <x:v>45651.66792826389</x:v>
      </x:c>
      <x:c r="J129" s="16" t="n">
        <x:v>45671.66792826389</x:v>
      </x:c>
      <x:c r="K129" s="16"/>
      <x:c r="L129" s="20" t="n">
        <x:v>40509.64</x:v>
      </x:c>
      <x:c r="M129" s="20" t="n">
        <x:v>0</x:v>
      </x:c>
      <x:c r="N129" s="20" t="n">
        <x:v>0</x:v>
      </x:c>
      <x:c r="O129" s="20" t="n">
        <x:v>0</x:v>
      </x:c>
      <x:c r="P129" s="20" t="n">
        <x:v>40509.64</x:v>
      </x:c>
      <x:c r="Q129" s="10" t="str">
        <x:v>Vencido</x:v>
      </x:c>
      <x:c r="R129" s="10" t="str">
        <x:v>Boleto</x:v>
      </x:c>
      <x:c r="S129" s="10" t="str">
        <x:v>2024-12</x:v>
      </x:c>
      <x:c r="T129" s="10" t="n">
        <x:v>350</x:v>
      </x:c>
      <x:c r="U129" s="10" t="str">
        <x:v>&gt; 120 dias</x:v>
      </x:c>
      <x:c r="V129" s="10" t="str">
        <x:v>UND004</x:v>
      </x:c>
    </x:row>
    <x:row r="130" ht="18" customHeight="1">
      <x:c r="A130" s="10" t="str">
        <x:v>PAG00129</x:v>
      </x:c>
      <x:c r="B130" s="10" t="str">
        <x:v>EMP003</x:v>
      </x:c>
      <x:c r="C130" s="10" t="str">
        <x:v>FOR009</x:v>
      </x:c>
      <x:c r="D130" s="10" t="str">
        <x:v>CC006</x:v>
      </x:c>
      <x:c r="E130" s="10" t="str">
        <x:v>CAT017</x:v>
      </x:c>
      <x:c r="F130" s="10" t="str">
        <x:v>CTA005</x:v>
      </x:c>
      <x:c r="G130" s="10" t="str">
        <x:v>NF-100129</x:v>
      </x:c>
      <x:c r="H130" s="10" t="str">
        <x:v>Tributos e taxas</x:v>
      </x:c>
      <x:c r="I130" s="16" t="n">
        <x:v>45645.62083506944</x:v>
      </x:c>
      <x:c r="J130" s="16" t="n">
        <x:v>45675.62083506944</x:v>
      </x:c>
      <x:c r="K130" s="16" t="n">
        <x:v>45678.62083506944</x:v>
      </x:c>
      <x:c r="L130" s="20" t="n">
        <x:v>2118.17</x:v>
      </x:c>
      <x:c r="M130" s="20" t="n">
        <x:v>4.45</x:v>
      </x:c>
      <x:c r="N130" s="20" t="n">
        <x:v>0</x:v>
      </x:c>
      <x:c r="O130" s="20" t="n">
        <x:v>2122.62</x:v>
      </x:c>
      <x:c r="P130" s="20" t="n">
        <x:v>0</x:v>
      </x:c>
      <x:c r="Q130" s="10" t="str">
        <x:v>Pago</x:v>
      </x:c>
      <x:c r="R130" s="10" t="str">
        <x:v>Cartão Corporativo</x:v>
      </x:c>
      <x:c r="S130" s="10" t="str">
        <x:v>2024-12</x:v>
      </x:c>
      <x:c r="T130" s="10" t="n">
        <x:v>0</x:v>
      </x:c>
      <x:c r="U130" s="10" t="str">
        <x:v>Liquidado</x:v>
      </x:c>
      <x:c r="V130" s="10" t="str">
        <x:v>UND004</x:v>
      </x:c>
    </x:row>
    <x:row r="131" ht="18" customHeight="1">
      <x:c r="A131" s="10" t="str">
        <x:v>PAG00130</x:v>
      </x:c>
      <x:c r="B131" s="10" t="str">
        <x:v>EMP003</x:v>
      </x:c>
      <x:c r="C131" s="10" t="str">
        <x:v>FOR014</x:v>
      </x:c>
      <x:c r="D131" s="10" t="str">
        <x:v>CC002</x:v>
      </x:c>
      <x:c r="E131" s="10" t="str">
        <x:v>CAT005</x:v>
      </x:c>
      <x:c r="F131" s="10" t="str">
        <x:v>CTA005</x:v>
      </x:c>
      <x:c r="G131" s="10" t="str">
        <x:v>NF-100130</x:v>
      </x:c>
      <x:c r="H131" s="10" t="str">
        <x:v>Contrato recorrente</x:v>
      </x:c>
      <x:c r="I131" s="16" t="n">
        <x:v>45919.67478059028</x:v>
      </x:c>
      <x:c r="J131" s="16" t="n">
        <x:v>45964.67478059028</x:v>
      </x:c>
      <x:c r="K131" s="16" t="n">
        <x:v>45957.67478059028</x:v>
      </x:c>
      <x:c r="L131" s="20" t="n">
        <x:v>971.08</x:v>
      </x:c>
      <x:c r="M131" s="20" t="n">
        <x:v>0</x:v>
      </x:c>
      <x:c r="N131" s="20" t="n">
        <x:v>0</x:v>
      </x:c>
      <x:c r="O131" s="20" t="n">
        <x:v>971.08</x:v>
      </x:c>
      <x:c r="P131" s="20" t="n">
        <x:v>0</x:v>
      </x:c>
      <x:c r="Q131" s="10" t="str">
        <x:v>Pago</x:v>
      </x:c>
      <x:c r="R131" s="10" t="str">
        <x:v>Boleto</x:v>
      </x:c>
      <x:c r="S131" s="10" t="str">
        <x:v>2025-09</x:v>
      </x:c>
      <x:c r="T131" s="10" t="n">
        <x:v>0</x:v>
      </x:c>
      <x:c r="U131" s="10" t="str">
        <x:v>Liquidado</x:v>
      </x:c>
      <x:c r="V131" s="10" t="str">
        <x:v>UND004</x:v>
      </x:c>
    </x:row>
    <x:row r="132" ht="18" customHeight="1">
      <x:c r="A132" s="10" t="str">
        <x:v>PAG00131</x:v>
      </x:c>
      <x:c r="B132" s="10" t="str">
        <x:v>EMP001</x:v>
      </x:c>
      <x:c r="C132" s="10" t="str">
        <x:v>FOR031</x:v>
      </x:c>
      <x:c r="D132" s="10" t="str">
        <x:v>CC007</x:v>
      </x:c>
      <x:c r="E132" s="10" t="str">
        <x:v>CAT016</x:v>
      </x:c>
      <x:c r="F132" s="10" t="str">
        <x:v>CTA002</x:v>
      </x:c>
      <x:c r="G132" s="10" t="str">
        <x:v>NF-100131</x:v>
      </x:c>
      <x:c r="H132" s="10" t="str">
        <x:v>Compra de materiais</x:v>
      </x:c>
      <x:c r="I132" s="16" t="n">
        <x:v>45671.11477930556</x:v>
      </x:c>
      <x:c r="J132" s="16" t="n">
        <x:v>45731.11477930556</x:v>
      </x:c>
      <x:c r="K132" s="16"/>
      <x:c r="L132" s="20" t="n">
        <x:v>88103.99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10" t="str">
        <x:v>Cancelado</x:v>
      </x:c>
      <x:c r="R132" s="10" t="str">
        <x:v>Débito Automático</x:v>
      </x:c>
      <x:c r="S132" s="10" t="str">
        <x:v>2025-01</x:v>
      </x:c>
      <x:c r="T132" s="10" t="n">
        <x:v>0</x:v>
      </x:c>
      <x:c r="U132" s="10" t="str">
        <x:v>Cancelado</x:v>
      </x:c>
      <x:c r="V132" s="10" t="str">
        <x:v>UND002</x:v>
      </x:c>
    </x:row>
    <x:row r="133" ht="18" customHeight="1">
      <x:c r="A133" s="10" t="str">
        <x:v>PAG00132</x:v>
      </x:c>
      <x:c r="B133" s="10" t="str">
        <x:v>EMP002</x:v>
      </x:c>
      <x:c r="C133" s="10" t="str">
        <x:v>FOR057</x:v>
      </x:c>
      <x:c r="D133" s="10" t="str">
        <x:v>CC008</x:v>
      </x:c>
      <x:c r="E133" s="10" t="str">
        <x:v>CAT014</x:v>
      </x:c>
      <x:c r="F133" s="10" t="str">
        <x:v>CTA004</x:v>
      </x:c>
      <x:c r="G133" s="10" t="str">
        <x:v>NF-100132</x:v>
      </x:c>
      <x:c r="H133" s="10" t="str">
        <x:v>Despesa operacional</x:v>
      </x:c>
      <x:c r="I133" s="16" t="n">
        <x:v>45998.28010542824</x:v>
      </x:c>
      <x:c r="J133" s="16" t="n">
        <x:v>46026.28010542824</x:v>
      </x:c>
      <x:c r="K133" s="16"/>
      <x:c r="L133" s="20" t="n">
        <x:v>26810.54</x:v>
      </x:c>
      <x:c r="M133" s="20" t="n">
        <x:v>0</x:v>
      </x:c>
      <x:c r="N133" s="20" t="n">
        <x:v>0</x:v>
      </x:c>
      <x:c r="O133" s="20" t="n">
        <x:v>0</x:v>
      </x:c>
      <x:c r="P133" s="20" t="n">
        <x:v>26810.54</x:v>
      </x:c>
      <x:c r="Q133" s="10" t="str">
        <x:v>A vencer</x:v>
      </x:c>
      <x:c r="R133" s="10" t="str">
        <x:v>Débito Automático</x:v>
      </x:c>
      <x:c r="S133" s="10" t="str">
        <x:v>2025-12</x:v>
      </x:c>
      <x:c r="T133" s="10" t="n">
        <x:v>0</x:v>
      </x:c>
      <x:c r="U133" s="10" t="str">
        <x:v>A vencer</x:v>
      </x:c>
      <x:c r="V133" s="10" t="str">
        <x:v>UND003</x:v>
      </x:c>
    </x:row>
    <x:row r="134" ht="18" customHeight="1">
      <x:c r="A134" s="10" t="str">
        <x:v>PAG00133</x:v>
      </x:c>
      <x:c r="B134" s="10" t="str">
        <x:v>EMP002</x:v>
      </x:c>
      <x:c r="C134" s="10" t="str">
        <x:v>FOR049</x:v>
      </x:c>
      <x:c r="D134" s="10" t="str">
        <x:v>CC008</x:v>
      </x:c>
      <x:c r="E134" s="10" t="str">
        <x:v>CAT006</x:v>
      </x:c>
      <x:c r="F134" s="10" t="str">
        <x:v>CTA003</x:v>
      </x:c>
      <x:c r="G134" s="10" t="str">
        <x:v>NF-100133</x:v>
      </x:c>
      <x:c r="H134" s="10" t="str">
        <x:v>Prestação de serviços</x:v>
      </x:c>
      <x:c r="I134" s="16" t="n">
        <x:v>45832.7810165162</x:v>
      </x:c>
      <x:c r="J134" s="16" t="n">
        <x:v>45877.7810165162</x:v>
      </x:c>
      <x:c r="K134" s="16" t="n">
        <x:v>45886.7810165162</x:v>
      </x:c>
      <x:c r="L134" s="20" t="n">
        <x:v>35776.22</x:v>
      </x:c>
      <x:c r="M134" s="20" t="n">
        <x:v>225.39</x:v>
      </x:c>
      <x:c r="N134" s="20" t="n">
        <x:v>0</x:v>
      </x:c>
      <x:c r="O134" s="20" t="n">
        <x:v>36001.61</x:v>
      </x:c>
      <x:c r="P134" s="20" t="n">
        <x:v>0</x:v>
      </x:c>
      <x:c r="Q134" s="10" t="str">
        <x:v>Pago</x:v>
      </x:c>
      <x:c r="R134" s="10" t="str">
        <x:v>Boleto</x:v>
      </x:c>
      <x:c r="S134" s="10" t="str">
        <x:v>2025-06</x:v>
      </x:c>
      <x:c r="T134" s="10" t="n">
        <x:v>0</x:v>
      </x:c>
      <x:c r="U134" s="10" t="str">
        <x:v>Liquidado</x:v>
      </x:c>
      <x:c r="V134" s="10" t="str">
        <x:v>UND003</x:v>
      </x:c>
    </x:row>
    <x:row r="135" ht="18" customHeight="1">
      <x:c r="A135" s="10" t="str">
        <x:v>PAG00134</x:v>
      </x:c>
      <x:c r="B135" s="10" t="str">
        <x:v>EMP003</x:v>
      </x:c>
      <x:c r="C135" s="10" t="str">
        <x:v>FOR006</x:v>
      </x:c>
      <x:c r="D135" s="10" t="str">
        <x:v>CC003</x:v>
      </x:c>
      <x:c r="E135" s="10" t="str">
        <x:v>CAT009</x:v>
      </x:c>
      <x:c r="F135" s="10" t="str">
        <x:v>CTA006</x:v>
      </x:c>
      <x:c r="G135" s="10" t="str">
        <x:v>NF-100134</x:v>
      </x:c>
      <x:c r="H135" s="10" t="str">
        <x:v>Despesa operacional</x:v>
      </x:c>
      <x:c r="I135" s="16" t="n">
        <x:v>45335.52996421296</x:v>
      </x:c>
      <x:c r="J135" s="16" t="n">
        <x:v>45363.52996421296</x:v>
      </x:c>
      <x:c r="K135" s="16" t="n">
        <x:v>45368.52996421296</x:v>
      </x:c>
      <x:c r="L135" s="20" t="n">
        <x:v>54954.75</x:v>
      </x:c>
      <x:c r="M135" s="20" t="n">
        <x:v>192.34</x:v>
      </x:c>
      <x:c r="N135" s="20" t="n">
        <x:v>0</x:v>
      </x:c>
      <x:c r="O135" s="20" t="n">
        <x:v>55147.09</x:v>
      </x:c>
      <x:c r="P135" s="20" t="n">
        <x:v>0</x:v>
      </x:c>
      <x:c r="Q135" s="10" t="str">
        <x:v>Pago</x:v>
      </x:c>
      <x:c r="R135" s="10" t="str">
        <x:v>PIX</x:v>
      </x:c>
      <x:c r="S135" s="10" t="str">
        <x:v>2024-02</x:v>
      </x:c>
      <x:c r="T135" s="10" t="n">
        <x:v>0</x:v>
      </x:c>
      <x:c r="U135" s="10" t="str">
        <x:v>Liquidado</x:v>
      </x:c>
      <x:c r="V135" s="10" t="str">
        <x:v>UND004</x:v>
      </x:c>
    </x:row>
    <x:row r="136" ht="18" customHeight="1">
      <x:c r="A136" s="10" t="str">
        <x:v>PAG00135</x:v>
      </x:c>
      <x:c r="B136" s="10" t="str">
        <x:v>EMP001</x:v>
      </x:c>
      <x:c r="C136" s="10" t="str">
        <x:v>FOR027</x:v>
      </x:c>
      <x:c r="D136" s="10" t="str">
        <x:v>CC006</x:v>
      </x:c>
      <x:c r="E136" s="10" t="str">
        <x:v>CAT015</x:v>
      </x:c>
      <x:c r="F136" s="10" t="str">
        <x:v>CTA002</x:v>
      </x:c>
      <x:c r="G136" s="10" t="str">
        <x:v>NF-100135</x:v>
      </x:c>
      <x:c r="H136" s="10" t="str">
        <x:v>Tributos e taxas</x:v>
      </x:c>
      <x:c r="I136" s="16" t="n">
        <x:v>45862.058952997686</x:v>
      </x:c>
      <x:c r="J136" s="16" t="n">
        <x:v>45877.058952997686</x:v>
      </x:c>
      <x:c r="K136" s="16" t="n">
        <x:v>45889.058952997686</x:v>
      </x:c>
      <x:c r="L136" s="20" t="n">
        <x:v>48704.25</x:v>
      </x:c>
      <x:c r="M136" s="20" t="n">
        <x:v>409.12</x:v>
      </x:c>
      <x:c r="N136" s="20" t="n">
        <x:v>0</x:v>
      </x:c>
      <x:c r="O136" s="20" t="n">
        <x:v>49113.37</x:v>
      </x:c>
      <x:c r="P136" s="20" t="n">
        <x:v>0</x:v>
      </x:c>
      <x:c r="Q136" s="10" t="str">
        <x:v>Pago</x:v>
      </x:c>
      <x:c r="R136" s="10" t="str">
        <x:v>PIX</x:v>
      </x:c>
      <x:c r="S136" s="10" t="str">
        <x:v>2025-07</x:v>
      </x:c>
      <x:c r="T136" s="10" t="n">
        <x:v>0</x:v>
      </x:c>
      <x:c r="U136" s="10" t="str">
        <x:v>Liquidado</x:v>
      </x:c>
      <x:c r="V136" s="10" t="str">
        <x:v>UND001</x:v>
      </x:c>
    </x:row>
    <x:row r="137" ht="18" customHeight="1">
      <x:c r="A137" s="10" t="str">
        <x:v>PAG00136</x:v>
      </x:c>
      <x:c r="B137" s="10" t="str">
        <x:v>EMP003</x:v>
      </x:c>
      <x:c r="C137" s="10" t="str">
        <x:v>FOR029</x:v>
      </x:c>
      <x:c r="D137" s="10" t="str">
        <x:v>CC003</x:v>
      </x:c>
      <x:c r="E137" s="10" t="str">
        <x:v>CAT012</x:v>
      </x:c>
      <x:c r="F137" s="10" t="str">
        <x:v>CTA005</x:v>
      </x:c>
      <x:c r="G137" s="10" t="str">
        <x:v>NF-100136</x:v>
      </x:c>
      <x:c r="H137" s="10" t="str">
        <x:v>Tributos e taxas</x:v>
      </x:c>
      <x:c r="I137" s="16" t="n">
        <x:v>45524.53005537037</x:v>
      </x:c>
      <x:c r="J137" s="16" t="n">
        <x:v>45569.53005537037</x:v>
      </x:c>
      <x:c r="K137" s="16" t="n">
        <x:v>45561.53005537037</x:v>
      </x:c>
      <x:c r="L137" s="20" t="n">
        <x:v>41781.84</x:v>
      </x:c>
      <x:c r="M137" s="20" t="n">
        <x:v>0</x:v>
      </x:c>
      <x:c r="N137" s="20" t="n">
        <x:v>0</x:v>
      </x:c>
      <x:c r="O137" s="20" t="n">
        <x:v>41781.84</x:v>
      </x:c>
      <x:c r="P137" s="20" t="n">
        <x:v>0</x:v>
      </x:c>
      <x:c r="Q137" s="10" t="str">
        <x:v>Pago</x:v>
      </x:c>
      <x:c r="R137" s="10" t="str">
        <x:v>PIX</x:v>
      </x:c>
      <x:c r="S137" s="10" t="str">
        <x:v>2024-08</x:v>
      </x:c>
      <x:c r="T137" s="10" t="n">
        <x:v>0</x:v>
      </x:c>
      <x:c r="U137" s="10" t="str">
        <x:v>Liquidado</x:v>
      </x:c>
      <x:c r="V137" s="10" t="str">
        <x:v>UND004</x:v>
      </x:c>
    </x:row>
    <x:row r="138" ht="18" customHeight="1">
      <x:c r="A138" s="10" t="str">
        <x:v>PAG00137</x:v>
      </x:c>
      <x:c r="B138" s="10" t="str">
        <x:v>EMP001</x:v>
      </x:c>
      <x:c r="C138" s="10" t="str">
        <x:v>FOR037</x:v>
      </x:c>
      <x:c r="D138" s="10" t="str">
        <x:v>CC006</x:v>
      </x:c>
      <x:c r="E138" s="10" t="str">
        <x:v>CAT008</x:v>
      </x:c>
      <x:c r="F138" s="10" t="str">
        <x:v>CTA002</x:v>
      </x:c>
      <x:c r="G138" s="10" t="str">
        <x:v>NF-100137</x:v>
      </x:c>
      <x:c r="H138" s="10" t="str">
        <x:v>Despesa operacional</x:v>
      </x:c>
      <x:c r="I138" s="16" t="n">
        <x:v>45869.86195265046</x:v>
      </x:c>
      <x:c r="J138" s="16" t="n">
        <x:v>45899.86195265046</x:v>
      </x:c>
      <x:c r="K138" s="16" t="n">
        <x:v>45903.86195265046</x:v>
      </x:c>
      <x:c r="L138" s="20" t="n">
        <x:v>85903.66</x:v>
      </x:c>
      <x:c r="M138" s="20" t="n">
        <x:v>240.53</x:v>
      </x:c>
      <x:c r="N138" s="20" t="n">
        <x:v>0</x:v>
      </x:c>
      <x:c r="O138" s="20" t="n">
        <x:v>86144.19</x:v>
      </x:c>
      <x:c r="P138" s="20" t="n">
        <x:v>0</x:v>
      </x:c>
      <x:c r="Q138" s="10" t="str">
        <x:v>Pago</x:v>
      </x:c>
      <x:c r="R138" s="10" t="str">
        <x:v>Cartão Corporativo</x:v>
      </x:c>
      <x:c r="S138" s="10" t="str">
        <x:v>2025-07</x:v>
      </x:c>
      <x:c r="T138" s="10" t="n">
        <x:v>0</x:v>
      </x:c>
      <x:c r="U138" s="10" t="str">
        <x:v>Liquidado</x:v>
      </x:c>
      <x:c r="V138" s="10" t="str">
        <x:v>UND001</x:v>
      </x:c>
    </x:row>
    <x:row r="139" ht="18" customHeight="1">
      <x:c r="A139" s="10" t="str">
        <x:v>PAG00138</x:v>
      </x:c>
      <x:c r="B139" s="10" t="str">
        <x:v>EMP002</x:v>
      </x:c>
      <x:c r="C139" s="10" t="str">
        <x:v>FOR003</x:v>
      </x:c>
      <x:c r="D139" s="10" t="str">
        <x:v>CC002</x:v>
      </x:c>
      <x:c r="E139" s="10" t="str">
        <x:v>CAT018</x:v>
      </x:c>
      <x:c r="F139" s="10" t="str">
        <x:v>CTA003</x:v>
      </x:c>
      <x:c r="G139" s="10" t="str">
        <x:v>NF-100138</x:v>
      </x:c>
      <x:c r="H139" s="10" t="str">
        <x:v>Compra de materiais</x:v>
      </x:c>
      <x:c r="I139" s="16" t="n">
        <x:v>45700.08945869213</x:v>
      </x:c>
      <x:c r="J139" s="16" t="n">
        <x:v>45735.08945869213</x:v>
      </x:c>
      <x:c r="K139" s="16" t="n">
        <x:v>45734.08945869213</x:v>
      </x:c>
      <x:c r="L139" s="20" t="n">
        <x:v>78419.04</x:v>
      </x:c>
      <x:c r="M139" s="20" t="n">
        <x:v>0</x:v>
      </x:c>
      <x:c r="N139" s="20" t="n">
        <x:v>0</x:v>
      </x:c>
      <x:c r="O139" s="20" t="n">
        <x:v>78419.04</x:v>
      </x:c>
      <x:c r="P139" s="20" t="n">
        <x:v>0</x:v>
      </x:c>
      <x:c r="Q139" s="10" t="str">
        <x:v>Pago</x:v>
      </x:c>
      <x:c r="R139" s="10" t="str">
        <x:v>PIX</x:v>
      </x:c>
      <x:c r="S139" s="10" t="str">
        <x:v>2025-02</x:v>
      </x:c>
      <x:c r="T139" s="10" t="n">
        <x:v>0</x:v>
      </x:c>
      <x:c r="U139" s="10" t="str">
        <x:v>Liquidado</x:v>
      </x:c>
      <x:c r="V139" s="10" t="str">
        <x:v>UND003</x:v>
      </x:c>
    </x:row>
    <x:row r="140" ht="18" customHeight="1">
      <x:c r="A140" s="10" t="str">
        <x:v>PAG00139</x:v>
      </x:c>
      <x:c r="B140" s="10" t="str">
        <x:v>EMP001</x:v>
      </x:c>
      <x:c r="C140" s="10" t="str">
        <x:v>FOR016</x:v>
      </x:c>
      <x:c r="D140" s="10" t="str">
        <x:v>CC008</x:v>
      </x:c>
      <x:c r="E140" s="10" t="str">
        <x:v>CAT018</x:v>
      </x:c>
      <x:c r="F140" s="10" t="str">
        <x:v>CTA002</x:v>
      </x:c>
      <x:c r="G140" s="10" t="str">
        <x:v>NF-100139</x:v>
      </x:c>
      <x:c r="H140" s="10" t="str">
        <x:v>Contrato recorrente</x:v>
      </x:c>
      <x:c r="I140" s="16" t="n">
        <x:v>45310.66119076389</x:v>
      </x:c>
      <x:c r="J140" s="16" t="n">
        <x:v>45345.66119076389</x:v>
      </x:c>
      <x:c r="K140" s="16"/>
      <x:c r="L140" s="20" t="n">
        <x:v>44224.2</x:v>
      </x:c>
      <x:c r="M140" s="20" t="n">
        <x:v>0</x:v>
      </x:c>
      <x:c r="N140" s="20" t="n">
        <x:v>0</x:v>
      </x:c>
      <x:c r="O140" s="20" t="n">
        <x:v>0</x:v>
      </x:c>
      <x:c r="P140" s="20" t="n">
        <x:v>0</x:v>
      </x:c>
      <x:c r="Q140" s="10" t="str">
        <x:v>Cancelado</x:v>
      </x:c>
      <x:c r="R140" s="10" t="str">
        <x:v>Débito Automático</x:v>
      </x:c>
      <x:c r="S140" s="10" t="str">
        <x:v>2024-01</x:v>
      </x:c>
      <x:c r="T140" s="10" t="n">
        <x:v>0</x:v>
      </x:c>
      <x:c r="U140" s="10" t="str">
        <x:v>Cancelado</x:v>
      </x:c>
      <x:c r="V140" s="10" t="str">
        <x:v>UND001</x:v>
      </x:c>
    </x:row>
    <x:row r="141" ht="18" customHeight="1">
      <x:c r="A141" s="10" t="str">
        <x:v>PAG00140</x:v>
      </x:c>
      <x:c r="B141" s="10" t="str">
        <x:v>EMP001</x:v>
      </x:c>
      <x:c r="C141" s="10" t="str">
        <x:v>FOR012</x:v>
      </x:c>
      <x:c r="D141" s="10" t="str">
        <x:v>CC008</x:v>
      </x:c>
      <x:c r="E141" s="10" t="str">
        <x:v>CAT013</x:v>
      </x:c>
      <x:c r="F141" s="10" t="str">
        <x:v>CTA001</x:v>
      </x:c>
      <x:c r="G141" s="10" t="str">
        <x:v>NF-100140</x:v>
      </x:c>
      <x:c r="H141" s="10" t="str">
        <x:v>Despesa operacional</x:v>
      </x:c>
      <x:c r="I141" s="16" t="n">
        <x:v>45902.437987314814</x:v>
      </x:c>
      <x:c r="J141" s="16" t="n">
        <x:v>45932.437987314814</x:v>
      </x:c>
      <x:c r="K141" s="16" t="n">
        <x:v>45924.437987314814</x:v>
      </x:c>
      <x:c r="L141" s="20" t="n">
        <x:v>15450.73</x:v>
      </x:c>
      <x:c r="M141" s="20" t="n">
        <x:v>0</x:v>
      </x:c>
      <x:c r="N141" s="20" t="n">
        <x:v>231.76</x:v>
      </x:c>
      <x:c r="O141" s="20" t="n">
        <x:v>15218.97</x:v>
      </x:c>
      <x:c r="P141" s="20" t="n">
        <x:v>0</x:v>
      </x:c>
      <x:c r="Q141" s="10" t="str">
        <x:v>Pago</x:v>
      </x:c>
      <x:c r="R141" s="10" t="str">
        <x:v>TED</x:v>
      </x:c>
      <x:c r="S141" s="10" t="str">
        <x:v>2025-09</x:v>
      </x:c>
      <x:c r="T141" s="10" t="n">
        <x:v>0</x:v>
      </x:c>
      <x:c r="U141" s="10" t="str">
        <x:v>Liquidado</x:v>
      </x:c>
      <x:c r="V141" s="10" t="str">
        <x:v>UND002</x:v>
      </x:c>
    </x:row>
    <x:row r="142" ht="18" customHeight="1">
      <x:c r="A142" s="10" t="str">
        <x:v>PAG00141</x:v>
      </x:c>
      <x:c r="B142" s="10" t="str">
        <x:v>EMP003</x:v>
      </x:c>
      <x:c r="C142" s="10" t="str">
        <x:v>FOR003</x:v>
      </x:c>
      <x:c r="D142" s="10" t="str">
        <x:v>CC004</x:v>
      </x:c>
      <x:c r="E142" s="10" t="str">
        <x:v>CAT018</x:v>
      </x:c>
      <x:c r="F142" s="10" t="str">
        <x:v>CTA006</x:v>
      </x:c>
      <x:c r="G142" s="10" t="str">
        <x:v>NF-100141</x:v>
      </x:c>
      <x:c r="H142" s="10" t="str">
        <x:v>Compra de materiais</x:v>
      </x:c>
      <x:c r="I142" s="16" t="n">
        <x:v>45410.8433384838</x:v>
      </x:c>
      <x:c r="J142" s="16" t="n">
        <x:v>45455.8433384838</x:v>
      </x:c>
      <x:c r="K142" s="16" t="n">
        <x:v>45462.8433384838</x:v>
      </x:c>
      <x:c r="L142" s="20" t="n">
        <x:v>44870.59</x:v>
      </x:c>
      <x:c r="M142" s="20" t="n">
        <x:v>219.87</x:v>
      </x:c>
      <x:c r="N142" s="20" t="n">
        <x:v>0</x:v>
      </x:c>
      <x:c r="O142" s="20" t="n">
        <x:v>45090.46</x:v>
      </x:c>
      <x:c r="P142" s="20" t="n">
        <x:v>0</x:v>
      </x:c>
      <x:c r="Q142" s="10" t="str">
        <x:v>Pago</x:v>
      </x:c>
      <x:c r="R142" s="10" t="str">
        <x:v>PIX</x:v>
      </x:c>
      <x:c r="S142" s="10" t="str">
        <x:v>2024-04</x:v>
      </x:c>
      <x:c r="T142" s="10" t="n">
        <x:v>0</x:v>
      </x:c>
      <x:c r="U142" s="10" t="str">
        <x:v>Liquidado</x:v>
      </x:c>
      <x:c r="V142" s="10" t="str">
        <x:v>UND004</x:v>
      </x:c>
    </x:row>
    <x:row r="143" ht="18" customHeight="1">
      <x:c r="A143" s="10" t="str">
        <x:v>PAG00142</x:v>
      </x:c>
      <x:c r="B143" s="10" t="str">
        <x:v>EMP003</x:v>
      </x:c>
      <x:c r="C143" s="10" t="str">
        <x:v>FOR048</x:v>
      </x:c>
      <x:c r="D143" s="10" t="str">
        <x:v>CC007</x:v>
      </x:c>
      <x:c r="E143" s="10" t="str">
        <x:v>CAT010</x:v>
      </x:c>
      <x:c r="F143" s="10" t="str">
        <x:v>CTA005</x:v>
      </x:c>
      <x:c r="G143" s="10" t="str">
        <x:v>NF-100142</x:v>
      </x:c>
      <x:c r="H143" s="10" t="str">
        <x:v>Tributos e taxas</x:v>
      </x:c>
      <x:c r="I143" s="16" t="n">
        <x:v>45783.632278206016</x:v>
      </x:c>
      <x:c r="J143" s="16" t="n">
        <x:v>45803.632278206016</x:v>
      </x:c>
      <x:c r="K143" s="16" t="n">
        <x:v>45830.632278206016</x:v>
      </x:c>
      <x:c r="L143" s="20" t="n">
        <x:v>49802.01</x:v>
      </x:c>
      <x:c r="M143" s="20" t="n">
        <x:v>941.26</x:v>
      </x:c>
      <x:c r="N143" s="20" t="n">
        <x:v>0</x:v>
      </x:c>
      <x:c r="O143" s="20" t="n">
        <x:v>50743.27</x:v>
      </x:c>
      <x:c r="P143" s="20" t="n">
        <x:v>0</x:v>
      </x:c>
      <x:c r="Q143" s="10" t="str">
        <x:v>Pago</x:v>
      </x:c>
      <x:c r="R143" s="10" t="str">
        <x:v>PIX</x:v>
      </x:c>
      <x:c r="S143" s="10" t="str">
        <x:v>2025-05</x:v>
      </x:c>
      <x:c r="T143" s="10" t="n">
        <x:v>0</x:v>
      </x:c>
      <x:c r="U143" s="10" t="str">
        <x:v>Liquidado</x:v>
      </x:c>
      <x:c r="V143" s="10" t="str">
        <x:v>UND004</x:v>
      </x:c>
    </x:row>
    <x:row r="144" ht="18" customHeight="1">
      <x:c r="A144" s="10" t="str">
        <x:v>PAG00143</x:v>
      </x:c>
      <x:c r="B144" s="10" t="str">
        <x:v>EMP003</x:v>
      </x:c>
      <x:c r="C144" s="10" t="str">
        <x:v>FOR024</x:v>
      </x:c>
      <x:c r="D144" s="10" t="str">
        <x:v>CC001</x:v>
      </x:c>
      <x:c r="E144" s="10" t="str">
        <x:v>CAT012</x:v>
      </x:c>
      <x:c r="F144" s="10" t="str">
        <x:v>CTA005</x:v>
      </x:c>
      <x:c r="G144" s="10" t="str">
        <x:v>NF-100143</x:v>
      </x:c>
      <x:c r="H144" s="10" t="str">
        <x:v>Tributos e taxas</x:v>
      </x:c>
      <x:c r="I144" s="16" t="n">
        <x:v>45453.574961631944</x:v>
      </x:c>
      <x:c r="J144" s="16" t="n">
        <x:v>45528.574961631944</x:v>
      </x:c>
      <x:c r="K144" s="16" t="n">
        <x:v>45536.574961631944</x:v>
      </x:c>
      <x:c r="L144" s="20" t="n">
        <x:v>38175.7</x:v>
      </x:c>
      <x:c r="M144" s="20" t="n">
        <x:v>213.78</x:v>
      </x:c>
      <x:c r="N144" s="20" t="n">
        <x:v>0</x:v>
      </x:c>
      <x:c r="O144" s="20" t="n">
        <x:v>38389.48</x:v>
      </x:c>
      <x:c r="P144" s="20" t="n">
        <x:v>0</x:v>
      </x:c>
      <x:c r="Q144" s="10" t="str">
        <x:v>Pago</x:v>
      </x:c>
      <x:c r="R144" s="10" t="str">
        <x:v>Cartão Corporativo</x:v>
      </x:c>
      <x:c r="S144" s="10" t="str">
        <x:v>2024-06</x:v>
      </x:c>
      <x:c r="T144" s="10" t="n">
        <x:v>0</x:v>
      </x:c>
      <x:c r="U144" s="10" t="str">
        <x:v>Liquidado</x:v>
      </x:c>
      <x:c r="V144" s="10" t="str">
        <x:v>UND004</x:v>
      </x:c>
    </x:row>
    <x:row r="145" ht="18" customHeight="1">
      <x:c r="A145" s="10" t="str">
        <x:v>PAG00144</x:v>
      </x:c>
      <x:c r="B145" s="10" t="str">
        <x:v>EMP003</x:v>
      </x:c>
      <x:c r="C145" s="10" t="str">
        <x:v>FOR042</x:v>
      </x:c>
      <x:c r="D145" s="10" t="str">
        <x:v>CC008</x:v>
      </x:c>
      <x:c r="E145" s="10" t="str">
        <x:v>CAT006</x:v>
      </x:c>
      <x:c r="F145" s="10" t="str">
        <x:v>CTA005</x:v>
      </x:c>
      <x:c r="G145" s="10" t="str">
        <x:v>NF-100144</x:v>
      </x:c>
      <x:c r="H145" s="10" t="str">
        <x:v>Contrato recorrente</x:v>
      </x:c>
      <x:c r="I145" s="16" t="n">
        <x:v>45827.11836483797</x:v>
      </x:c>
      <x:c r="J145" s="16" t="n">
        <x:v>45902.11836483797</x:v>
      </x:c>
      <x:c r="K145" s="16" t="n">
        <x:v>45897.11836483797</x:v>
      </x:c>
      <x:c r="L145" s="20" t="n">
        <x:v>23396.96</x:v>
      </x:c>
      <x:c r="M145" s="20" t="n">
        <x:v>0</x:v>
      </x:c>
      <x:c r="N145" s="20" t="n">
        <x:v>0</x:v>
      </x:c>
      <x:c r="O145" s="20" t="n">
        <x:v>23396.96</x:v>
      </x:c>
      <x:c r="P145" s="20" t="n">
        <x:v>0</x:v>
      </x:c>
      <x:c r="Q145" s="10" t="str">
        <x:v>Pago</x:v>
      </x:c>
      <x:c r="R145" s="10" t="str">
        <x:v>Boleto</x:v>
      </x:c>
      <x:c r="S145" s="10" t="str">
        <x:v>2025-06</x:v>
      </x:c>
      <x:c r="T145" s="10" t="n">
        <x:v>0</x:v>
      </x:c>
      <x:c r="U145" s="10" t="str">
        <x:v>Liquidado</x:v>
      </x:c>
      <x:c r="V145" s="10" t="str">
        <x:v>UND004</x:v>
      </x:c>
    </x:row>
    <x:row r="146" ht="18" customHeight="1">
      <x:c r="A146" s="10" t="str">
        <x:v>PAG00145</x:v>
      </x:c>
      <x:c r="B146" s="10" t="str">
        <x:v>EMP001</x:v>
      </x:c>
      <x:c r="C146" s="10" t="str">
        <x:v>FOR017</x:v>
      </x:c>
      <x:c r="D146" s="10" t="str">
        <x:v>CC005</x:v>
      </x:c>
      <x:c r="E146" s="10" t="str">
        <x:v>CAT009</x:v>
      </x:c>
      <x:c r="F146" s="10" t="str">
        <x:v>CTA002</x:v>
      </x:c>
      <x:c r="G146" s="10" t="str">
        <x:v>NF-100145</x:v>
      </x:c>
      <x:c r="H146" s="10" t="str">
        <x:v>Contrato recorrente</x:v>
      </x:c>
      <x:c r="I146" s="16" t="n">
        <x:v>45323.70342305556</x:v>
      </x:c>
      <x:c r="J146" s="16" t="n">
        <x:v>45353.70342305556</x:v>
      </x:c>
      <x:c r="K146" s="16" t="n">
        <x:v>45350.70342305556</x:v>
      </x:c>
      <x:c r="L146" s="20" t="n">
        <x:v>786.9</x:v>
      </x:c>
      <x:c r="M146" s="20" t="n">
        <x:v>0</x:v>
      </x:c>
      <x:c r="N146" s="20" t="n">
        <x:v>0</x:v>
      </x:c>
      <x:c r="O146" s="20" t="n">
        <x:v>786.9</x:v>
      </x:c>
      <x:c r="P146" s="20" t="n">
        <x:v>0</x:v>
      </x:c>
      <x:c r="Q146" s="10" t="str">
        <x:v>Pago</x:v>
      </x:c>
      <x:c r="R146" s="10" t="str">
        <x:v>PIX</x:v>
      </x:c>
      <x:c r="S146" s="10" t="str">
        <x:v>2024-02</x:v>
      </x:c>
      <x:c r="T146" s="10" t="n">
        <x:v>0</x:v>
      </x:c>
      <x:c r="U146" s="10" t="str">
        <x:v>Liquidado</x:v>
      </x:c>
      <x:c r="V146" s="10" t="str">
        <x:v>UND001</x:v>
      </x:c>
    </x:row>
    <x:row r="147" ht="18" customHeight="1">
      <x:c r="A147" s="10" t="str">
        <x:v>PAG00146</x:v>
      </x:c>
      <x:c r="B147" s="10" t="str">
        <x:v>EMP003</x:v>
      </x:c>
      <x:c r="C147" s="10" t="str">
        <x:v>FOR050</x:v>
      </x:c>
      <x:c r="D147" s="10" t="str">
        <x:v>CC003</x:v>
      </x:c>
      <x:c r="E147" s="10" t="str">
        <x:v>CAT005</x:v>
      </x:c>
      <x:c r="F147" s="10" t="str">
        <x:v>CTA006</x:v>
      </x:c>
      <x:c r="G147" s="10" t="str">
        <x:v>NF-100146</x:v>
      </x:c>
      <x:c r="H147" s="10" t="str">
        <x:v>Compra de materiais</x:v>
      </x:c>
      <x:c r="I147" s="16" t="n">
        <x:v>45757.58962240741</x:v>
      </x:c>
      <x:c r="J147" s="16" t="n">
        <x:v>45787.58962240741</x:v>
      </x:c>
      <x:c r="K147" s="16" t="n">
        <x:v>45791.58962240741</x:v>
      </x:c>
      <x:c r="L147" s="20" t="n">
        <x:v>16287.31</x:v>
      </x:c>
      <x:c r="M147" s="20" t="n">
        <x:v>45.6</x:v>
      </x:c>
      <x:c r="N147" s="20" t="n">
        <x:v>0</x:v>
      </x:c>
      <x:c r="O147" s="20" t="n">
        <x:v>16332.91</x:v>
      </x:c>
      <x:c r="P147" s="20" t="n">
        <x:v>0</x:v>
      </x:c>
      <x:c r="Q147" s="10" t="str">
        <x:v>Pago</x:v>
      </x:c>
      <x:c r="R147" s="10" t="str">
        <x:v>Débito Automático</x:v>
      </x:c>
      <x:c r="S147" s="10" t="str">
        <x:v>2025-04</x:v>
      </x:c>
      <x:c r="T147" s="10" t="n">
        <x:v>0</x:v>
      </x:c>
      <x:c r="U147" s="10" t="str">
        <x:v>Liquidado</x:v>
      </x:c>
      <x:c r="V147" s="10" t="str">
        <x:v>UND004</x:v>
      </x:c>
    </x:row>
    <x:row r="148" ht="18" customHeight="1">
      <x:c r="A148" s="10" t="str">
        <x:v>PAG00147</x:v>
      </x:c>
      <x:c r="B148" s="10" t="str">
        <x:v>EMP001</x:v>
      </x:c>
      <x:c r="C148" s="10" t="str">
        <x:v>FOR034</x:v>
      </x:c>
      <x:c r="D148" s="10" t="str">
        <x:v>CC006</x:v>
      </x:c>
      <x:c r="E148" s="10" t="str">
        <x:v>CAT014</x:v>
      </x:c>
      <x:c r="F148" s="10" t="str">
        <x:v>CTA002</x:v>
      </x:c>
      <x:c r="G148" s="10" t="str">
        <x:v>NF-100147</x:v>
      </x:c>
      <x:c r="H148" s="10" t="str">
        <x:v>Compra de materiais</x:v>
      </x:c>
      <x:c r="I148" s="16" t="n">
        <x:v>45352.72362070602</x:v>
      </x:c>
      <x:c r="J148" s="16" t="n">
        <x:v>45427.72362070602</x:v>
      </x:c>
      <x:c r="K148" s="16" t="n">
        <x:v>45421.72362070602</x:v>
      </x:c>
      <x:c r="L148" s="20" t="n">
        <x:v>74144.5</x:v>
      </x:c>
      <x:c r="M148" s="20" t="n">
        <x:v>0</x:v>
      </x:c>
      <x:c r="N148" s="20" t="n">
        <x:v>0</x:v>
      </x:c>
      <x:c r="O148" s="20" t="n">
        <x:v>74144.5</x:v>
      </x:c>
      <x:c r="P148" s="20" t="n">
        <x:v>0</x:v>
      </x:c>
      <x:c r="Q148" s="10" t="str">
        <x:v>Pago</x:v>
      </x:c>
      <x:c r="R148" s="10" t="str">
        <x:v>Débito Automático</x:v>
      </x:c>
      <x:c r="S148" s="10" t="str">
        <x:v>2024-03</x:v>
      </x:c>
      <x:c r="T148" s="10" t="n">
        <x:v>0</x:v>
      </x:c>
      <x:c r="U148" s="10" t="str">
        <x:v>Liquidado</x:v>
      </x:c>
      <x:c r="V148" s="10" t="str">
        <x:v>UND002</x:v>
      </x:c>
    </x:row>
    <x:row r="149" ht="18" customHeight="1">
      <x:c r="A149" s="10" t="str">
        <x:v>PAG00148</x:v>
      </x:c>
      <x:c r="B149" s="10" t="str">
        <x:v>EMP003</x:v>
      </x:c>
      <x:c r="C149" s="10" t="str">
        <x:v>FOR049</x:v>
      </x:c>
      <x:c r="D149" s="10" t="str">
        <x:v>CC006</x:v>
      </x:c>
      <x:c r="E149" s="10" t="str">
        <x:v>CAT007</x:v>
      </x:c>
      <x:c r="F149" s="10" t="str">
        <x:v>CTA005</x:v>
      </x:c>
      <x:c r="G149" s="10" t="str">
        <x:v>NF-100148</x:v>
      </x:c>
      <x:c r="H149" s="10" t="str">
        <x:v>Prestação de serviços</x:v>
      </x:c>
      <x:c r="I149" s="16" t="n">
        <x:v>45340.58473763889</x:v>
      </x:c>
      <x:c r="J149" s="16" t="n">
        <x:v>45375.58473763889</x:v>
      </x:c>
      <x:c r="K149" s="16" t="n">
        <x:v>45367.58473763889</x:v>
      </x:c>
      <x:c r="L149" s="20" t="n">
        <x:v>89414.71</x:v>
      </x:c>
      <x:c r="M149" s="20" t="n">
        <x:v>0</x:v>
      </x:c>
      <x:c r="N149" s="20" t="n">
        <x:v>0</x:v>
      </x:c>
      <x:c r="O149" s="20" t="n">
        <x:v>89414.71</x:v>
      </x:c>
      <x:c r="P149" s="20" t="n">
        <x:v>0</x:v>
      </x:c>
      <x:c r="Q149" s="10" t="str">
        <x:v>Pago</x:v>
      </x:c>
      <x:c r="R149" s="10" t="str">
        <x:v>Boleto</x:v>
      </x:c>
      <x:c r="S149" s="10" t="str">
        <x:v>2024-02</x:v>
      </x:c>
      <x:c r="T149" s="10" t="n">
        <x:v>0</x:v>
      </x:c>
      <x:c r="U149" s="10" t="str">
        <x:v>Liquidado</x:v>
      </x:c>
      <x:c r="V149" s="10" t="str">
        <x:v>UND004</x:v>
      </x:c>
    </x:row>
    <x:row r="150" ht="18" customHeight="1">
      <x:c r="A150" s="10" t="str">
        <x:v>PAG00149</x:v>
      </x:c>
      <x:c r="B150" s="10" t="str">
        <x:v>EMP001</x:v>
      </x:c>
      <x:c r="C150" s="10" t="str">
        <x:v>FOR056</x:v>
      </x:c>
      <x:c r="D150" s="10" t="str">
        <x:v>CC002</x:v>
      </x:c>
      <x:c r="E150" s="10" t="str">
        <x:v>CAT009</x:v>
      </x:c>
      <x:c r="F150" s="10" t="str">
        <x:v>CTA002</x:v>
      </x:c>
      <x:c r="G150" s="10" t="str">
        <x:v>NF-100149</x:v>
      </x:c>
      <x:c r="H150" s="10" t="str">
        <x:v>Contrato recorrente</x:v>
      </x:c>
      <x:c r="I150" s="16" t="n">
        <x:v>45991.613348356484</x:v>
      </x:c>
      <x:c r="J150" s="16" t="n">
        <x:v>46036.613348356484</x:v>
      </x:c>
      <x:c r="K150" s="16"/>
      <x:c r="L150" s="20" t="n">
        <x:v>17316.26</x:v>
      </x:c>
      <x:c r="M150" s="20" t="n">
        <x:v>0</x:v>
      </x:c>
      <x:c r="N150" s="20" t="n">
        <x:v>0</x:v>
      </x:c>
      <x:c r="O150" s="20" t="n">
        <x:v>0</x:v>
      </x:c>
      <x:c r="P150" s="20" t="n">
        <x:v>17316.26</x:v>
      </x:c>
      <x:c r="Q150" s="10" t="str">
        <x:v>A vencer</x:v>
      </x:c>
      <x:c r="R150" s="10" t="str">
        <x:v>Boleto</x:v>
      </x:c>
      <x:c r="S150" s="10" t="str">
        <x:v>2025-11</x:v>
      </x:c>
      <x:c r="T150" s="10" t="n">
        <x:v>0</x:v>
      </x:c>
      <x:c r="U150" s="10" t="str">
        <x:v>A vencer</x:v>
      </x:c>
      <x:c r="V150" s="10" t="str">
        <x:v>UND001</x:v>
      </x:c>
    </x:row>
    <x:row r="151" ht="18" customHeight="1">
      <x:c r="A151" s="10" t="str">
        <x:v>PAG00150</x:v>
      </x:c>
      <x:c r="B151" s="10" t="str">
        <x:v>EMP003</x:v>
      </x:c>
      <x:c r="C151" s="10" t="str">
        <x:v>FOR053</x:v>
      </x:c>
      <x:c r="D151" s="10" t="str">
        <x:v>CC007</x:v>
      </x:c>
      <x:c r="E151" s="10" t="str">
        <x:v>CAT005</x:v>
      </x:c>
      <x:c r="F151" s="10" t="str">
        <x:v>CTA006</x:v>
      </x:c>
      <x:c r="G151" s="10" t="str">
        <x:v>NF-100150</x:v>
      </x:c>
      <x:c r="H151" s="10" t="str">
        <x:v>Contrato recorrente</x:v>
      </x:c>
      <x:c r="I151" s="16" t="n">
        <x:v>45564.18357696759</x:v>
      </x:c>
      <x:c r="J151" s="16" t="n">
        <x:v>45579.18357696759</x:v>
      </x:c>
      <x:c r="K151" s="16" t="n">
        <x:v>45588.18357696759</x:v>
      </x:c>
      <x:c r="L151" s="20" t="n">
        <x:v>1780.16</x:v>
      </x:c>
      <x:c r="M151" s="20" t="n">
        <x:v>11.22</x:v>
      </x:c>
      <x:c r="N151" s="20" t="n">
        <x:v>0</x:v>
      </x:c>
      <x:c r="O151" s="20" t="n">
        <x:v>1791.38</x:v>
      </x:c>
      <x:c r="P151" s="20" t="n">
        <x:v>0</x:v>
      </x:c>
      <x:c r="Q151" s="10" t="str">
        <x:v>Pago</x:v>
      </x:c>
      <x:c r="R151" s="10" t="str">
        <x:v>Cartão Corporativo</x:v>
      </x:c>
      <x:c r="S151" s="10" t="str">
        <x:v>2024-09</x:v>
      </x:c>
      <x:c r="T151" s="10" t="n">
        <x:v>0</x:v>
      </x:c>
      <x:c r="U151" s="10" t="str">
        <x:v>Liquidado</x:v>
      </x:c>
      <x:c r="V151" s="10" t="str">
        <x:v>UND004</x:v>
      </x:c>
    </x:row>
    <x:row r="152" ht="18" customHeight="1">
      <x:c r="A152" s="10" t="str">
        <x:v>PAG00151</x:v>
      </x:c>
      <x:c r="B152" s="10" t="str">
        <x:v>EMP002</x:v>
      </x:c>
      <x:c r="C152" s="10" t="str">
        <x:v>FOR044</x:v>
      </x:c>
      <x:c r="D152" s="10" t="str">
        <x:v>CC001</x:v>
      </x:c>
      <x:c r="E152" s="10" t="str">
        <x:v>CAT016</x:v>
      </x:c>
      <x:c r="F152" s="10" t="str">
        <x:v>CTA003</x:v>
      </x:c>
      <x:c r="G152" s="10" t="str">
        <x:v>NF-100151</x:v>
      </x:c>
      <x:c r="H152" s="10" t="str">
        <x:v>Prestação de serviços</x:v>
      </x:c>
      <x:c r="I152" s="16" t="n">
        <x:v>45680.205196030096</x:v>
      </x:c>
      <x:c r="J152" s="16" t="n">
        <x:v>45708.205196030096</x:v>
      </x:c>
      <x:c r="K152" s="16" t="n">
        <x:v>45718.205196030096</x:v>
      </x:c>
      <x:c r="L152" s="20" t="n">
        <x:v>63555.76</x:v>
      </x:c>
      <x:c r="M152" s="20" t="n">
        <x:v>444.89</x:v>
      </x:c>
      <x:c r="N152" s="20" t="n">
        <x:v>0</x:v>
      </x:c>
      <x:c r="O152" s="20" t="n">
        <x:v>64000.65</x:v>
      </x:c>
      <x:c r="P152" s="20" t="n">
        <x:v>0</x:v>
      </x:c>
      <x:c r="Q152" s="10" t="str">
        <x:v>Pago</x:v>
      </x:c>
      <x:c r="R152" s="10" t="str">
        <x:v>PIX</x:v>
      </x:c>
      <x:c r="S152" s="10" t="str">
        <x:v>2025-01</x:v>
      </x:c>
      <x:c r="T152" s="10" t="n">
        <x:v>0</x:v>
      </x:c>
      <x:c r="U152" s="10" t="str">
        <x:v>Liquidado</x:v>
      </x:c>
      <x:c r="V152" s="10" t="str">
        <x:v>UND003</x:v>
      </x:c>
    </x:row>
    <x:row r="153" ht="18" customHeight="1">
      <x:c r="A153" s="10" t="str">
        <x:v>PAG00152</x:v>
      </x:c>
      <x:c r="B153" s="10" t="str">
        <x:v>EMP003</x:v>
      </x:c>
      <x:c r="C153" s="10" t="str">
        <x:v>FOR013</x:v>
      </x:c>
      <x:c r="D153" s="10" t="str">
        <x:v>CC007</x:v>
      </x:c>
      <x:c r="E153" s="10" t="str">
        <x:v>CAT005</x:v>
      </x:c>
      <x:c r="F153" s="10" t="str">
        <x:v>CTA005</x:v>
      </x:c>
      <x:c r="G153" s="10" t="str">
        <x:v>NF-100152</x:v>
      </x:c>
      <x:c r="H153" s="10" t="str">
        <x:v>Contrato recorrente</x:v>
      </x:c>
      <x:c r="I153" s="16" t="n">
        <x:v>45838.263488449076</x:v>
      </x:c>
      <x:c r="J153" s="16" t="n">
        <x:v>45873.263488449076</x:v>
      </x:c>
      <x:c r="K153" s="16" t="n">
        <x:v>45867.263488449076</x:v>
      </x:c>
      <x:c r="L153" s="20" t="n">
        <x:v>12748.86</x:v>
      </x:c>
      <x:c r="M153" s="20" t="n">
        <x:v>0</x:v>
      </x:c>
      <x:c r="N153" s="20" t="n">
        <x:v>0</x:v>
      </x:c>
      <x:c r="O153" s="20" t="n">
        <x:v>12748.86</x:v>
      </x:c>
      <x:c r="P153" s="20" t="n">
        <x:v>0</x:v>
      </x:c>
      <x:c r="Q153" s="10" t="str">
        <x:v>Pago</x:v>
      </x:c>
      <x:c r="R153" s="10" t="str">
        <x:v>Boleto</x:v>
      </x:c>
      <x:c r="S153" s="10" t="str">
        <x:v>2025-06</x:v>
      </x:c>
      <x:c r="T153" s="10" t="n">
        <x:v>0</x:v>
      </x:c>
      <x:c r="U153" s="10" t="str">
        <x:v>Liquidado</x:v>
      </x:c>
      <x:c r="V153" s="10" t="str">
        <x:v>UND004</x:v>
      </x:c>
    </x:row>
    <x:row r="154" ht="18" customHeight="1">
      <x:c r="A154" s="10" t="str">
        <x:v>PAG00153</x:v>
      </x:c>
      <x:c r="B154" s="10" t="str">
        <x:v>EMP001</x:v>
      </x:c>
      <x:c r="C154" s="10" t="str">
        <x:v>FOR049</x:v>
      </x:c>
      <x:c r="D154" s="10" t="str">
        <x:v>CC004</x:v>
      </x:c>
      <x:c r="E154" s="10" t="str">
        <x:v>CAT009</x:v>
      </x:c>
      <x:c r="F154" s="10" t="str">
        <x:v>CTA002</x:v>
      </x:c>
      <x:c r="G154" s="10" t="str">
        <x:v>NF-100153</x:v>
      </x:c>
      <x:c r="H154" s="10" t="str">
        <x:v>Despesa operacional</x:v>
      </x:c>
      <x:c r="I154" s="16" t="n">
        <x:v>45673.947084907406</x:v>
      </x:c>
      <x:c r="J154" s="16" t="n">
        <x:v>45708.947084907406</x:v>
      </x:c>
      <x:c r="K154" s="16" t="n">
        <x:v>45702.947084907406</x:v>
      </x:c>
      <x:c r="L154" s="20" t="n">
        <x:v>46245.74</x:v>
      </x:c>
      <x:c r="M154" s="20" t="n">
        <x:v>0</x:v>
      </x:c>
      <x:c r="N154" s="20" t="n">
        <x:v>231.23</x:v>
      </x:c>
      <x:c r="O154" s="20" t="n">
        <x:v>46014.51</x:v>
      </x:c>
      <x:c r="P154" s="20" t="n">
        <x:v>0</x:v>
      </x:c>
      <x:c r="Q154" s="10" t="str">
        <x:v>Pago</x:v>
      </x:c>
      <x:c r="R154" s="10" t="str">
        <x:v>Cartão Corporativo</x:v>
      </x:c>
      <x:c r="S154" s="10" t="str">
        <x:v>2025-01</x:v>
      </x:c>
      <x:c r="T154" s="10" t="n">
        <x:v>0</x:v>
      </x:c>
      <x:c r="U154" s="10" t="str">
        <x:v>Liquidado</x:v>
      </x:c>
      <x:c r="V154" s="10" t="str">
        <x:v>UND001</x:v>
      </x:c>
    </x:row>
    <x:row r="155" ht="18" customHeight="1">
      <x:c r="A155" s="10" t="str">
        <x:v>PAG00154</x:v>
      </x:c>
      <x:c r="B155" s="10" t="str">
        <x:v>EMP001</x:v>
      </x:c>
      <x:c r="C155" s="10" t="str">
        <x:v>FOR017</x:v>
      </x:c>
      <x:c r="D155" s="10" t="str">
        <x:v>CC007</x:v>
      </x:c>
      <x:c r="E155" s="10" t="str">
        <x:v>CAT007</x:v>
      </x:c>
      <x:c r="F155" s="10" t="str">
        <x:v>CTA001</x:v>
      </x:c>
      <x:c r="G155" s="10" t="str">
        <x:v>NF-100154</x:v>
      </x:c>
      <x:c r="H155" s="10" t="str">
        <x:v>Contrato recorrente</x:v>
      </x:c>
      <x:c r="I155" s="16" t="n">
        <x:v>45409.673062361115</x:v>
      </x:c>
      <x:c r="J155" s="16" t="n">
        <x:v>45439.673062361115</x:v>
      </x:c>
      <x:c r="K155" s="16" t="n">
        <x:v>45436.673062361115</x:v>
      </x:c>
      <x:c r="L155" s="20" t="n">
        <x:v>16132.55</x:v>
      </x:c>
      <x:c r="M155" s="20" t="n">
        <x:v>0</x:v>
      </x:c>
      <x:c r="N155" s="20" t="n">
        <x:v>0</x:v>
      </x:c>
      <x:c r="O155" s="20" t="n">
        <x:v>16132.55</x:v>
      </x:c>
      <x:c r="P155" s="20" t="n">
        <x:v>0</x:v>
      </x:c>
      <x:c r="Q155" s="10" t="str">
        <x:v>Pago</x:v>
      </x:c>
      <x:c r="R155" s="10" t="str">
        <x:v>Débito Automático</x:v>
      </x:c>
      <x:c r="S155" s="10" t="str">
        <x:v>2024-04</x:v>
      </x:c>
      <x:c r="T155" s="10" t="n">
        <x:v>0</x:v>
      </x:c>
      <x:c r="U155" s="10" t="str">
        <x:v>Liquidado</x:v>
      </x:c>
      <x:c r="V155" s="10" t="str">
        <x:v>UND001</x:v>
      </x:c>
    </x:row>
    <x:row r="156" ht="18" customHeight="1">
      <x:c r="A156" s="10" t="str">
        <x:v>PAG00155</x:v>
      </x:c>
      <x:c r="B156" s="10" t="str">
        <x:v>EMP003</x:v>
      </x:c>
      <x:c r="C156" s="10" t="str">
        <x:v>FOR023</x:v>
      </x:c>
      <x:c r="D156" s="10" t="str">
        <x:v>CC002</x:v>
      </x:c>
      <x:c r="E156" s="10" t="str">
        <x:v>CAT012</x:v>
      </x:c>
      <x:c r="F156" s="10" t="str">
        <x:v>CTA005</x:v>
      </x:c>
      <x:c r="G156" s="10" t="str">
        <x:v>NF-100155</x:v>
      </x:c>
      <x:c r="H156" s="10" t="str">
        <x:v>Compra de materiais</x:v>
      </x:c>
      <x:c r="I156" s="16" t="n">
        <x:v>45462.174492708335</x:v>
      </x:c>
      <x:c r="J156" s="16" t="n">
        <x:v>45492.174492708335</x:v>
      </x:c>
      <x:c r="K156" s="16" t="n">
        <x:v>45496.174492708335</x:v>
      </x:c>
      <x:c r="L156" s="20" t="n">
        <x:v>3202.38</x:v>
      </x:c>
      <x:c r="M156" s="20" t="n">
        <x:v>8.97</x:v>
      </x:c>
      <x:c r="N156" s="20" t="n">
        <x:v>0</x:v>
      </x:c>
      <x:c r="O156" s="20" t="n">
        <x:v>3211.35</x:v>
      </x:c>
      <x:c r="P156" s="20" t="n">
        <x:v>0</x:v>
      </x:c>
      <x:c r="Q156" s="10" t="str">
        <x:v>Pago</x:v>
      </x:c>
      <x:c r="R156" s="10" t="str">
        <x:v>Débito Automático</x:v>
      </x:c>
      <x:c r="S156" s="10" t="str">
        <x:v>2024-06</x:v>
      </x:c>
      <x:c r="T156" s="10" t="n">
        <x:v>0</x:v>
      </x:c>
      <x:c r="U156" s="10" t="str">
        <x:v>Liquidado</x:v>
      </x:c>
      <x:c r="V156" s="10" t="str">
        <x:v>UND004</x:v>
      </x:c>
    </x:row>
    <x:row r="157" ht="18" customHeight="1">
      <x:c r="A157" s="10" t="str">
        <x:v>PAG00156</x:v>
      </x:c>
      <x:c r="B157" s="10" t="str">
        <x:v>EMP002</x:v>
      </x:c>
      <x:c r="C157" s="10" t="str">
        <x:v>FOR037</x:v>
      </x:c>
      <x:c r="D157" s="10" t="str">
        <x:v>CC008</x:v>
      </x:c>
      <x:c r="E157" s="10" t="str">
        <x:v>CAT018</x:v>
      </x:c>
      <x:c r="F157" s="10" t="str">
        <x:v>CTA004</x:v>
      </x:c>
      <x:c r="G157" s="10" t="str">
        <x:v>NF-100156</x:v>
      </x:c>
      <x:c r="H157" s="10" t="str">
        <x:v>Tributos e taxas</x:v>
      </x:c>
      <x:c r="I157" s="16" t="n">
        <x:v>45994.28494671296</x:v>
      </x:c>
      <x:c r="J157" s="16" t="n">
        <x:v>46009.28494671296</x:v>
      </x:c>
      <x:c r="K157" s="16" t="n">
        <x:v>46006.28494671296</x:v>
      </x:c>
      <x:c r="L157" s="20" t="n">
        <x:v>7450.55</x:v>
      </x:c>
      <x:c r="M157" s="20" t="n">
        <x:v>0</x:v>
      </x:c>
      <x:c r="N157" s="20" t="n">
        <x:v>0</x:v>
      </x:c>
      <x:c r="O157" s="20" t="n">
        <x:v>7450.55</x:v>
      </x:c>
      <x:c r="P157" s="20" t="n">
        <x:v>0</x:v>
      </x:c>
      <x:c r="Q157" s="10" t="str">
        <x:v>Pago</x:v>
      </x:c>
      <x:c r="R157" s="10" t="str">
        <x:v>Cartão Corporativo</x:v>
      </x:c>
      <x:c r="S157" s="10" t="str">
        <x:v>2025-12</x:v>
      </x:c>
      <x:c r="T157" s="10" t="n">
        <x:v>0</x:v>
      </x:c>
      <x:c r="U157" s="10" t="str">
        <x:v>Liquidado</x:v>
      </x:c>
      <x:c r="V157" s="10" t="str">
        <x:v>UND003</x:v>
      </x:c>
    </x:row>
    <x:row r="158" ht="18" customHeight="1">
      <x:c r="A158" s="10" t="str">
        <x:v>PAG00157</x:v>
      </x:c>
      <x:c r="B158" s="10" t="str">
        <x:v>EMP001</x:v>
      </x:c>
      <x:c r="C158" s="10" t="str">
        <x:v>FOR013</x:v>
      </x:c>
      <x:c r="D158" s="10" t="str">
        <x:v>CC006</x:v>
      </x:c>
      <x:c r="E158" s="10" t="str">
        <x:v>CAT015</x:v>
      </x:c>
      <x:c r="F158" s="10" t="str">
        <x:v>CTA002</x:v>
      </x:c>
      <x:c r="G158" s="10" t="str">
        <x:v>NF-100157</x:v>
      </x:c>
      <x:c r="H158" s="10" t="str">
        <x:v>Despesa operacional</x:v>
      </x:c>
      <x:c r="I158" s="16" t="n">
        <x:v>45350.47641335648</x:v>
      </x:c>
      <x:c r="J158" s="16" t="n">
        <x:v>45425.47641335648</x:v>
      </x:c>
      <x:c r="K158" s="16" t="n">
        <x:v>45431.47641335648</x:v>
      </x:c>
      <x:c r="L158" s="20" t="n">
        <x:v>21487.98</x:v>
      </x:c>
      <x:c r="M158" s="20" t="n">
        <x:v>90.25</x:v>
      </x:c>
      <x:c r="N158" s="20" t="n">
        <x:v>0</x:v>
      </x:c>
      <x:c r="O158" s="20" t="n">
        <x:v>21578.23</x:v>
      </x:c>
      <x:c r="P158" s="20" t="n">
        <x:v>0</x:v>
      </x:c>
      <x:c r="Q158" s="10" t="str">
        <x:v>Pago</x:v>
      </x:c>
      <x:c r="R158" s="10" t="str">
        <x:v>PIX</x:v>
      </x:c>
      <x:c r="S158" s="10" t="str">
        <x:v>2024-02</x:v>
      </x:c>
      <x:c r="T158" s="10" t="n">
        <x:v>0</x:v>
      </x:c>
      <x:c r="U158" s="10" t="str">
        <x:v>Liquidado</x:v>
      </x:c>
      <x:c r="V158" s="10" t="str">
        <x:v>UND002</x:v>
      </x:c>
    </x:row>
    <x:row r="159" ht="18" customHeight="1">
      <x:c r="A159" s="10" t="str">
        <x:v>PAG00158</x:v>
      </x:c>
      <x:c r="B159" s="10" t="str">
        <x:v>EMP002</x:v>
      </x:c>
      <x:c r="C159" s="10" t="str">
        <x:v>FOR002</x:v>
      </x:c>
      <x:c r="D159" s="10" t="str">
        <x:v>CC001</x:v>
      </x:c>
      <x:c r="E159" s="10" t="str">
        <x:v>CAT014</x:v>
      </x:c>
      <x:c r="F159" s="10" t="str">
        <x:v>CTA004</x:v>
      </x:c>
      <x:c r="G159" s="10" t="str">
        <x:v>NF-100158</x:v>
      </x:c>
      <x:c r="H159" s="10" t="str">
        <x:v>Despesa operacional</x:v>
      </x:c>
      <x:c r="I159" s="16" t="n">
        <x:v>45738.055443171295</x:v>
      </x:c>
      <x:c r="J159" s="16" t="n">
        <x:v>45813.055443171295</x:v>
      </x:c>
      <x:c r="K159" s="16" t="n">
        <x:v>45809.055443171295</x:v>
      </x:c>
      <x:c r="L159" s="20" t="n">
        <x:v>11624.72</x:v>
      </x:c>
      <x:c r="M159" s="20" t="n">
        <x:v>0</x:v>
      </x:c>
      <x:c r="N159" s="20" t="n">
        <x:v>174.37</x:v>
      </x:c>
      <x:c r="O159" s="20" t="n">
        <x:v>11450.35</x:v>
      </x:c>
      <x:c r="P159" s="20" t="n">
        <x:v>0</x:v>
      </x:c>
      <x:c r="Q159" s="10" t="str">
        <x:v>Pago</x:v>
      </x:c>
      <x:c r="R159" s="10" t="str">
        <x:v>Débito Automático</x:v>
      </x:c>
      <x:c r="S159" s="10" t="str">
        <x:v>2025-03</x:v>
      </x:c>
      <x:c r="T159" s="10" t="n">
        <x:v>0</x:v>
      </x:c>
      <x:c r="U159" s="10" t="str">
        <x:v>Liquidado</x:v>
      </x:c>
      <x:c r="V159" s="10" t="str">
        <x:v>UND003</x:v>
      </x:c>
    </x:row>
    <x:row r="160" ht="18" customHeight="1">
      <x:c r="A160" s="10" t="str">
        <x:v>PAG00159</x:v>
      </x:c>
      <x:c r="B160" s="10" t="str">
        <x:v>EMP002</x:v>
      </x:c>
      <x:c r="C160" s="10" t="str">
        <x:v>FOR028</x:v>
      </x:c>
      <x:c r="D160" s="10" t="str">
        <x:v>CC004</x:v>
      </x:c>
      <x:c r="E160" s="10" t="str">
        <x:v>CAT018</x:v>
      </x:c>
      <x:c r="F160" s="10" t="str">
        <x:v>CTA003</x:v>
      </x:c>
      <x:c r="G160" s="10" t="str">
        <x:v>NF-100159</x:v>
      </x:c>
      <x:c r="H160" s="10" t="str">
        <x:v>Contrato recorrente</x:v>
      </x:c>
      <x:c r="I160" s="16" t="n">
        <x:v>45414.4681221875</x:v>
      </x:c>
      <x:c r="J160" s="16" t="n">
        <x:v>45489.4681221875</x:v>
      </x:c>
      <x:c r="K160" s="16" t="n">
        <x:v>45500.4681221875</x:v>
      </x:c>
      <x:c r="L160" s="20" t="n">
        <x:v>16162.32</x:v>
      </x:c>
      <x:c r="M160" s="20" t="n">
        <x:v>124.45</x:v>
      </x:c>
      <x:c r="N160" s="20" t="n">
        <x:v>0</x:v>
      </x:c>
      <x:c r="O160" s="20" t="n">
        <x:v>16286.77</x:v>
      </x:c>
      <x:c r="P160" s="20" t="n">
        <x:v>0</x:v>
      </x:c>
      <x:c r="Q160" s="10" t="str">
        <x:v>Pago</x:v>
      </x:c>
      <x:c r="R160" s="10" t="str">
        <x:v>Cartão Corporativo</x:v>
      </x:c>
      <x:c r="S160" s="10" t="str">
        <x:v>2024-05</x:v>
      </x:c>
      <x:c r="T160" s="10" t="n">
        <x:v>0</x:v>
      </x:c>
      <x:c r="U160" s="10" t="str">
        <x:v>Liquidado</x:v>
      </x:c>
      <x:c r="V160" s="10" t="str">
        <x:v>UND003</x:v>
      </x:c>
    </x:row>
    <x:row r="161" ht="18" customHeight="1">
      <x:c r="A161" s="10" t="str">
        <x:v>PAG00160</x:v>
      </x:c>
      <x:c r="B161" s="10" t="str">
        <x:v>EMP001</x:v>
      </x:c>
      <x:c r="C161" s="10" t="str">
        <x:v>FOR059</x:v>
      </x:c>
      <x:c r="D161" s="10" t="str">
        <x:v>CC006</x:v>
      </x:c>
      <x:c r="E161" s="10" t="str">
        <x:v>CAT007</x:v>
      </x:c>
      <x:c r="F161" s="10" t="str">
        <x:v>CTA001</x:v>
      </x:c>
      <x:c r="G161" s="10" t="str">
        <x:v>NF-100160</x:v>
      </x:c>
      <x:c r="H161" s="10" t="str">
        <x:v>Contrato recorrente</x:v>
      </x:c>
      <x:c r="I161" s="16" t="n">
        <x:v>45404.790857395834</x:v>
      </x:c>
      <x:c r="J161" s="16" t="n">
        <x:v>45432.790857395834</x:v>
      </x:c>
      <x:c r="K161" s="16" t="n">
        <x:v>45433.790857395834</x:v>
      </x:c>
      <x:c r="L161" s="20" t="n">
        <x:v>40240.42</x:v>
      </x:c>
      <x:c r="M161" s="20" t="n">
        <x:v>28.17</x:v>
      </x:c>
      <x:c r="N161" s="20" t="n">
        <x:v>0</x:v>
      </x:c>
      <x:c r="O161" s="20" t="n">
        <x:v>40268.59</x:v>
      </x:c>
      <x:c r="P161" s="20" t="n">
        <x:v>0</x:v>
      </x:c>
      <x:c r="Q161" s="10" t="str">
        <x:v>Pago</x:v>
      </x:c>
      <x:c r="R161" s="10" t="str">
        <x:v>Débito Automático</x:v>
      </x:c>
      <x:c r="S161" s="10" t="str">
        <x:v>2024-04</x:v>
      </x:c>
      <x:c r="T161" s="10" t="n">
        <x:v>0</x:v>
      </x:c>
      <x:c r="U161" s="10" t="str">
        <x:v>Liquidado</x:v>
      </x:c>
      <x:c r="V161" s="10" t="str">
        <x:v>UND001</x:v>
      </x:c>
    </x:row>
    <x:row r="162" ht="18" customHeight="1">
      <x:c r="A162" s="10" t="str">
        <x:v>PAG00161</x:v>
      </x:c>
      <x:c r="B162" s="10" t="str">
        <x:v>EMP003</x:v>
      </x:c>
      <x:c r="C162" s="10" t="str">
        <x:v>FOR020</x:v>
      </x:c>
      <x:c r="D162" s="10" t="str">
        <x:v>CC003</x:v>
      </x:c>
      <x:c r="E162" s="10" t="str">
        <x:v>CAT015</x:v>
      </x:c>
      <x:c r="F162" s="10" t="str">
        <x:v>CTA005</x:v>
      </x:c>
      <x:c r="G162" s="10" t="str">
        <x:v>NF-100161</x:v>
      </x:c>
      <x:c r="H162" s="10" t="str">
        <x:v>Despesa operacional</x:v>
      </x:c>
      <x:c r="I162" s="16" t="n">
        <x:v>45649.45765192129</x:v>
      </x:c>
      <x:c r="J162" s="16" t="n">
        <x:v>45677.45765192129</x:v>
      </x:c>
      <x:c r="K162" s="16" t="n">
        <x:v>45689.45765192129</x:v>
      </x:c>
      <x:c r="L162" s="20" t="n">
        <x:v>27488.91</x:v>
      </x:c>
      <x:c r="M162" s="20" t="n">
        <x:v>230.91</x:v>
      </x:c>
      <x:c r="N162" s="20" t="n">
        <x:v>0</x:v>
      </x:c>
      <x:c r="O162" s="20" t="n">
        <x:v>27719.82</x:v>
      </x:c>
      <x:c r="P162" s="20" t="n">
        <x:v>0</x:v>
      </x:c>
      <x:c r="Q162" s="10" t="str">
        <x:v>Pago</x:v>
      </x:c>
      <x:c r="R162" s="10" t="str">
        <x:v>Boleto</x:v>
      </x:c>
      <x:c r="S162" s="10" t="str">
        <x:v>2024-12</x:v>
      </x:c>
      <x:c r="T162" s="10" t="n">
        <x:v>0</x:v>
      </x:c>
      <x:c r="U162" s="10" t="str">
        <x:v>Liquidado</x:v>
      </x:c>
      <x:c r="V162" s="10" t="str">
        <x:v>UND004</x:v>
      </x:c>
    </x:row>
    <x:row r="163" ht="18" customHeight="1">
      <x:c r="A163" s="10" t="str">
        <x:v>PAG00162</x:v>
      </x:c>
      <x:c r="B163" s="10" t="str">
        <x:v>EMP003</x:v>
      </x:c>
      <x:c r="C163" s="10" t="str">
        <x:v>FOR004</x:v>
      </x:c>
      <x:c r="D163" s="10" t="str">
        <x:v>CC003</x:v>
      </x:c>
      <x:c r="E163" s="10" t="str">
        <x:v>CAT015</x:v>
      </x:c>
      <x:c r="F163" s="10" t="str">
        <x:v>CTA005</x:v>
      </x:c>
      <x:c r="G163" s="10" t="str">
        <x:v>NF-100162</x:v>
      </x:c>
      <x:c r="H163" s="10" t="str">
        <x:v>Contrato recorrente</x:v>
      </x:c>
      <x:c r="I163" s="16" t="n">
        <x:v>45392.869504675924</x:v>
      </x:c>
      <x:c r="J163" s="16" t="n">
        <x:v>45422.869504675924</x:v>
      </x:c>
      <x:c r="K163" s="16" t="n">
        <x:v>45445.869504675924</x:v>
      </x:c>
      <x:c r="L163" s="20" t="n">
        <x:v>43470.92</x:v>
      </x:c>
      <x:c r="M163" s="20" t="n">
        <x:v>699.88</x:v>
      </x:c>
      <x:c r="N163" s="20" t="n">
        <x:v>0</x:v>
      </x:c>
      <x:c r="O163" s="20" t="n">
        <x:v>44170.8</x:v>
      </x:c>
      <x:c r="P163" s="20" t="n">
        <x:v>0</x:v>
      </x:c>
      <x:c r="Q163" s="10" t="str">
        <x:v>Pago</x:v>
      </x:c>
      <x:c r="R163" s="10" t="str">
        <x:v>Débito Automático</x:v>
      </x:c>
      <x:c r="S163" s="10" t="str">
        <x:v>2024-04</x:v>
      </x:c>
      <x:c r="T163" s="10" t="n">
        <x:v>0</x:v>
      </x:c>
      <x:c r="U163" s="10" t="str">
        <x:v>Liquidado</x:v>
      </x:c>
      <x:c r="V163" s="10" t="str">
        <x:v>UND004</x:v>
      </x:c>
    </x:row>
    <x:row r="164" ht="18" customHeight="1">
      <x:c r="A164" s="10" t="str">
        <x:v>PAG00163</x:v>
      </x:c>
      <x:c r="B164" s="10" t="str">
        <x:v>EMP003</x:v>
      </x:c>
      <x:c r="C164" s="10" t="str">
        <x:v>FOR036</x:v>
      </x:c>
      <x:c r="D164" s="10" t="str">
        <x:v>CC008</x:v>
      </x:c>
      <x:c r="E164" s="10" t="str">
        <x:v>CAT010</x:v>
      </x:c>
      <x:c r="F164" s="10" t="str">
        <x:v>CTA006</x:v>
      </x:c>
      <x:c r="G164" s="10" t="str">
        <x:v>NF-100163</x:v>
      </x:c>
      <x:c r="H164" s="10" t="str">
        <x:v>Prestação de serviços</x:v>
      </x:c>
      <x:c r="I164" s="16" t="n">
        <x:v>45785.54795680555</x:v>
      </x:c>
      <x:c r="J164" s="16" t="n">
        <x:v>45815.54795680555</x:v>
      </x:c>
      <x:c r="K164" s="16" t="n">
        <x:v>45823.54795680555</x:v>
      </x:c>
      <x:c r="L164" s="20" t="n">
        <x:v>20125.5</x:v>
      </x:c>
      <x:c r="M164" s="20" t="n">
        <x:v>112.7</x:v>
      </x:c>
      <x:c r="N164" s="20" t="n">
        <x:v>0</x:v>
      </x:c>
      <x:c r="O164" s="20" t="n">
        <x:v>20238.2</x:v>
      </x:c>
      <x:c r="P164" s="20" t="n">
        <x:v>0</x:v>
      </x:c>
      <x:c r="Q164" s="10" t="str">
        <x:v>Pago</x:v>
      </x:c>
      <x:c r="R164" s="10" t="str">
        <x:v>TED</x:v>
      </x:c>
      <x:c r="S164" s="10" t="str">
        <x:v>2025-05</x:v>
      </x:c>
      <x:c r="T164" s="10" t="n">
        <x:v>0</x:v>
      </x:c>
      <x:c r="U164" s="10" t="str">
        <x:v>Liquidado</x:v>
      </x:c>
      <x:c r="V164" s="10" t="str">
        <x:v>UND004</x:v>
      </x:c>
    </x:row>
    <x:row r="165" ht="18" customHeight="1">
      <x:c r="A165" s="10" t="str">
        <x:v>PAG00164</x:v>
      </x:c>
      <x:c r="B165" s="10" t="str">
        <x:v>EMP002</x:v>
      </x:c>
      <x:c r="C165" s="10" t="str">
        <x:v>FOR028</x:v>
      </x:c>
      <x:c r="D165" s="10" t="str">
        <x:v>CC004</x:v>
      </x:c>
      <x:c r="E165" s="10" t="str">
        <x:v>CAT007</x:v>
      </x:c>
      <x:c r="F165" s="10" t="str">
        <x:v>CTA003</x:v>
      </x:c>
      <x:c r="G165" s="10" t="str">
        <x:v>NF-100164</x:v>
      </x:c>
      <x:c r="H165" s="10" t="str">
        <x:v>Tributos e taxas</x:v>
      </x:c>
      <x:c r="I165" s="16" t="n">
        <x:v>45871.4959687963</x:v>
      </x:c>
      <x:c r="J165" s="16" t="n">
        <x:v>45899.4959687963</x:v>
      </x:c>
      <x:c r="K165" s="16" t="n">
        <x:v>45917.4959687963</x:v>
      </x:c>
      <x:c r="L165" s="20" t="n">
        <x:v>56616.11</x:v>
      </x:c>
      <x:c r="M165" s="20" t="n">
        <x:v>713.36</x:v>
      </x:c>
      <x:c r="N165" s="20" t="n">
        <x:v>0</x:v>
      </x:c>
      <x:c r="O165" s="20" t="n">
        <x:v>57329.47</x:v>
      </x:c>
      <x:c r="P165" s="20" t="n">
        <x:v>0</x:v>
      </x:c>
      <x:c r="Q165" s="10" t="str">
        <x:v>Pago</x:v>
      </x:c>
      <x:c r="R165" s="10" t="str">
        <x:v>Cartão Corporativo</x:v>
      </x:c>
      <x:c r="S165" s="10" t="str">
        <x:v>2025-08</x:v>
      </x:c>
      <x:c r="T165" s="10" t="n">
        <x:v>0</x:v>
      </x:c>
      <x:c r="U165" s="10" t="str">
        <x:v>Liquidado</x:v>
      </x:c>
      <x:c r="V165" s="10" t="str">
        <x:v>UND003</x:v>
      </x:c>
    </x:row>
    <x:row r="166" ht="18" customHeight="1">
      <x:c r="A166" s="10" t="str">
        <x:v>PAG00165</x:v>
      </x:c>
      <x:c r="B166" s="10" t="str">
        <x:v>EMP001</x:v>
      </x:c>
      <x:c r="C166" s="10" t="str">
        <x:v>FOR009</x:v>
      </x:c>
      <x:c r="D166" s="10" t="str">
        <x:v>CC001</x:v>
      </x:c>
      <x:c r="E166" s="10" t="str">
        <x:v>CAT018</x:v>
      </x:c>
      <x:c r="F166" s="10" t="str">
        <x:v>CTA002</x:v>
      </x:c>
      <x:c r="G166" s="10" t="str">
        <x:v>NF-100165</x:v>
      </x:c>
      <x:c r="H166" s="10" t="str">
        <x:v>Contrato recorrente</x:v>
      </x:c>
      <x:c r="I166" s="16" t="n">
        <x:v>45329.83394133102</x:v>
      </x:c>
      <x:c r="J166" s="16" t="n">
        <x:v>45404.83394133102</x:v>
      </x:c>
      <x:c r="K166" s="16" t="n">
        <x:v>45400.83394133102</x:v>
      </x:c>
      <x:c r="L166" s="20" t="n">
        <x:v>14764.58</x:v>
      </x:c>
      <x:c r="M166" s="20" t="n">
        <x:v>0</x:v>
      </x:c>
      <x:c r="N166" s="20" t="n">
        <x:v>221.47</x:v>
      </x:c>
      <x:c r="O166" s="20" t="n">
        <x:v>14543.11</x:v>
      </x:c>
      <x:c r="P166" s="20" t="n">
        <x:v>0</x:v>
      </x:c>
      <x:c r="Q166" s="10" t="str">
        <x:v>Pago</x:v>
      </x:c>
      <x:c r="R166" s="10" t="str">
        <x:v>PIX</x:v>
      </x:c>
      <x:c r="S166" s="10" t="str">
        <x:v>2024-02</x:v>
      </x:c>
      <x:c r="T166" s="10" t="n">
        <x:v>0</x:v>
      </x:c>
      <x:c r="U166" s="10" t="str">
        <x:v>Liquidado</x:v>
      </x:c>
      <x:c r="V166" s="10" t="str">
        <x:v>UND001</x:v>
      </x:c>
    </x:row>
    <x:row r="167" ht="18" customHeight="1">
      <x:c r="A167" s="10" t="str">
        <x:v>PAG00166</x:v>
      </x:c>
      <x:c r="B167" s="10" t="str">
        <x:v>EMP002</x:v>
      </x:c>
      <x:c r="C167" s="10" t="str">
        <x:v>FOR021</x:v>
      </x:c>
      <x:c r="D167" s="10" t="str">
        <x:v>CC006</x:v>
      </x:c>
      <x:c r="E167" s="10" t="str">
        <x:v>CAT017</x:v>
      </x:c>
      <x:c r="F167" s="10" t="str">
        <x:v>CTA004</x:v>
      </x:c>
      <x:c r="G167" s="10" t="str">
        <x:v>NF-100166</x:v>
      </x:c>
      <x:c r="H167" s="10" t="str">
        <x:v>Prestação de serviços</x:v>
      </x:c>
      <x:c r="I167" s="16" t="n">
        <x:v>45307.32086136574</x:v>
      </x:c>
      <x:c r="J167" s="16" t="n">
        <x:v>45382.32086136574</x:v>
      </x:c>
      <x:c r="K167" s="16" t="n">
        <x:v>45404.32086136574</x:v>
      </x:c>
      <x:c r="L167" s="20" t="n">
        <x:v>34985.53</x:v>
      </x:c>
      <x:c r="M167" s="20" t="n">
        <x:v>538.78</x:v>
      </x:c>
      <x:c r="N167" s="20" t="n">
        <x:v>0</x:v>
      </x:c>
      <x:c r="O167" s="20" t="n">
        <x:v>35524.31</x:v>
      </x:c>
      <x:c r="P167" s="20" t="n">
        <x:v>0</x:v>
      </x:c>
      <x:c r="Q167" s="10" t="str">
        <x:v>Pago</x:v>
      </x:c>
      <x:c r="R167" s="10" t="str">
        <x:v>Débito Automático</x:v>
      </x:c>
      <x:c r="S167" s="10" t="str">
        <x:v>2024-01</x:v>
      </x:c>
      <x:c r="T167" s="10" t="n">
        <x:v>0</x:v>
      </x:c>
      <x:c r="U167" s="10" t="str">
        <x:v>Liquidado</x:v>
      </x:c>
      <x:c r="V167" s="10" t="str">
        <x:v>UND003</x:v>
      </x:c>
    </x:row>
    <x:row r="168" ht="18" customHeight="1">
      <x:c r="A168" s="10" t="str">
        <x:v>PAG00167</x:v>
      </x:c>
      <x:c r="B168" s="10" t="str">
        <x:v>EMP001</x:v>
      </x:c>
      <x:c r="C168" s="10" t="str">
        <x:v>FOR035</x:v>
      </x:c>
      <x:c r="D168" s="10" t="str">
        <x:v>CC008</x:v>
      </x:c>
      <x:c r="E168" s="10" t="str">
        <x:v>CAT008</x:v>
      </x:c>
      <x:c r="F168" s="10" t="str">
        <x:v>CTA001</x:v>
      </x:c>
      <x:c r="G168" s="10" t="str">
        <x:v>NF-100167</x:v>
      </x:c>
      <x:c r="H168" s="10" t="str">
        <x:v>Compra de materiais</x:v>
      </x:c>
      <x:c r="I168" s="16" t="n">
        <x:v>46005.260674247686</x:v>
      </x:c>
      <x:c r="J168" s="16" t="n">
        <x:v>46050.260674247686</x:v>
      </x:c>
      <x:c r="K168" s="16"/>
      <x:c r="L168" s="20" t="n">
        <x:v>29884.88</x:v>
      </x:c>
      <x:c r="M168" s="20" t="n">
        <x:v>0</x:v>
      </x:c>
      <x:c r="N168" s="20" t="n">
        <x:v>0</x:v>
      </x:c>
      <x:c r="O168" s="20" t="n">
        <x:v>0</x:v>
      </x:c>
      <x:c r="P168" s="20" t="n">
        <x:v>29884.88</x:v>
      </x:c>
      <x:c r="Q168" s="10" t="str">
        <x:v>A vencer</x:v>
      </x:c>
      <x:c r="R168" s="10" t="str">
        <x:v>Cartão Corporativo</x:v>
      </x:c>
      <x:c r="S168" s="10" t="str">
        <x:v>2025-12</x:v>
      </x:c>
      <x:c r="T168" s="10" t="n">
        <x:v>0</x:v>
      </x:c>
      <x:c r="U168" s="10" t="str">
        <x:v>A vencer</x:v>
      </x:c>
      <x:c r="V168" s="10" t="str">
        <x:v>UND001</x:v>
      </x:c>
    </x:row>
    <x:row r="169" ht="18" customHeight="1">
      <x:c r="A169" s="10" t="str">
        <x:v>PAG00168</x:v>
      </x:c>
      <x:c r="B169" s="10" t="str">
        <x:v>EMP001</x:v>
      </x:c>
      <x:c r="C169" s="10" t="str">
        <x:v>FOR008</x:v>
      </x:c>
      <x:c r="D169" s="10" t="str">
        <x:v>CC001</x:v>
      </x:c>
      <x:c r="E169" s="10" t="str">
        <x:v>CAT016</x:v>
      </x:c>
      <x:c r="F169" s="10" t="str">
        <x:v>CTA002</x:v>
      </x:c>
      <x:c r="G169" s="10" t="str">
        <x:v>NF-100168</x:v>
      </x:c>
      <x:c r="H169" s="10" t="str">
        <x:v>Prestação de serviços</x:v>
      </x:c>
      <x:c r="I169" s="16" t="n">
        <x:v>45379.08030299769</x:v>
      </x:c>
      <x:c r="J169" s="16" t="n">
        <x:v>45409.08030299769</x:v>
      </x:c>
      <x:c r="K169" s="16" t="n">
        <x:v>45402.08030299769</x:v>
      </x:c>
      <x:c r="L169" s="20" t="n">
        <x:v>99644.19</x:v>
      </x:c>
      <x:c r="M169" s="20" t="n">
        <x:v>0</x:v>
      </x:c>
      <x:c r="N169" s="20" t="n">
        <x:v>498.22</x:v>
      </x:c>
      <x:c r="O169" s="20" t="n">
        <x:v>99145.97</x:v>
      </x:c>
      <x:c r="P169" s="20" t="n">
        <x:v>0</x:v>
      </x:c>
      <x:c r="Q169" s="10" t="str">
        <x:v>Pago</x:v>
      </x:c>
      <x:c r="R169" s="10" t="str">
        <x:v>Boleto</x:v>
      </x:c>
      <x:c r="S169" s="10" t="str">
        <x:v>2024-03</x:v>
      </x:c>
      <x:c r="T169" s="10" t="n">
        <x:v>0</x:v>
      </x:c>
      <x:c r="U169" s="10" t="str">
        <x:v>Liquidado</x:v>
      </x:c>
      <x:c r="V169" s="10" t="str">
        <x:v>UND002</x:v>
      </x:c>
    </x:row>
    <x:row r="170" ht="18" customHeight="1">
      <x:c r="A170" s="10" t="str">
        <x:v>PAG00169</x:v>
      </x:c>
      <x:c r="B170" s="10" t="str">
        <x:v>EMP003</x:v>
      </x:c>
      <x:c r="C170" s="10" t="str">
        <x:v>FOR049</x:v>
      </x:c>
      <x:c r="D170" s="10" t="str">
        <x:v>CC007</x:v>
      </x:c>
      <x:c r="E170" s="10" t="str">
        <x:v>CAT015</x:v>
      </x:c>
      <x:c r="F170" s="10" t="str">
        <x:v>CTA006</x:v>
      </x:c>
      <x:c r="G170" s="10" t="str">
        <x:v>NF-100169</x:v>
      </x:c>
      <x:c r="H170" s="10" t="str">
        <x:v>Contrato recorrente</x:v>
      </x:c>
      <x:c r="I170" s="16" t="n">
        <x:v>45842.71525486111</x:v>
      </x:c>
      <x:c r="J170" s="16" t="n">
        <x:v>45872.71525486111</x:v>
      </x:c>
      <x:c r="K170" s="16" t="n">
        <x:v>45874.71525486111</x:v>
      </x:c>
      <x:c r="L170" s="20" t="n">
        <x:v>14438.6</x:v>
      </x:c>
      <x:c r="M170" s="20" t="n">
        <x:v>20.21</x:v>
      </x:c>
      <x:c r="N170" s="20" t="n">
        <x:v>0</x:v>
      </x:c>
      <x:c r="O170" s="20" t="n">
        <x:v>14458.81</x:v>
      </x:c>
      <x:c r="P170" s="20" t="n">
        <x:v>0</x:v>
      </x:c>
      <x:c r="Q170" s="10" t="str">
        <x:v>Pago</x:v>
      </x:c>
      <x:c r="R170" s="10" t="str">
        <x:v>TED</x:v>
      </x:c>
      <x:c r="S170" s="10" t="str">
        <x:v>2025-07</x:v>
      </x:c>
      <x:c r="T170" s="10" t="n">
        <x:v>0</x:v>
      </x:c>
      <x:c r="U170" s="10" t="str">
        <x:v>Liquidado</x:v>
      </x:c>
      <x:c r="V170" s="10" t="str">
        <x:v>UND004</x:v>
      </x:c>
    </x:row>
    <x:row r="171" ht="18" customHeight="1">
      <x:c r="A171" s="10" t="str">
        <x:v>PAG00170</x:v>
      </x:c>
      <x:c r="B171" s="10" t="str">
        <x:v>EMP002</x:v>
      </x:c>
      <x:c r="C171" s="10" t="str">
        <x:v>FOR041</x:v>
      </x:c>
      <x:c r="D171" s="10" t="str">
        <x:v>CC002</x:v>
      </x:c>
      <x:c r="E171" s="10" t="str">
        <x:v>CAT014</x:v>
      </x:c>
      <x:c r="F171" s="10" t="str">
        <x:v>CTA003</x:v>
      </x:c>
      <x:c r="G171" s="10" t="str">
        <x:v>NF-100170</x:v>
      </x:c>
      <x:c r="H171" s="10" t="str">
        <x:v>Despesa operacional</x:v>
      </x:c>
      <x:c r="I171" s="16" t="n">
        <x:v>45968.72917371528</x:v>
      </x:c>
      <x:c r="J171" s="16" t="n">
        <x:v>46028.72917371528</x:v>
      </x:c>
      <x:c r="K171" s="16"/>
      <x:c r="L171" s="20" t="n">
        <x:v>97099.71</x:v>
      </x:c>
      <x:c r="M171" s="20" t="n">
        <x:v>0</x:v>
      </x:c>
      <x:c r="N171" s="20" t="n">
        <x:v>0</x:v>
      </x:c>
      <x:c r="O171" s="20" t="n">
        <x:v>0</x:v>
      </x:c>
      <x:c r="P171" s="20" t="n">
        <x:v>97099.71</x:v>
      </x:c>
      <x:c r="Q171" s="10" t="str">
        <x:v>A vencer</x:v>
      </x:c>
      <x:c r="R171" s="10" t="str">
        <x:v>Boleto</x:v>
      </x:c>
      <x:c r="S171" s="10" t="str">
        <x:v>2025-11</x:v>
      </x:c>
      <x:c r="T171" s="10" t="n">
        <x:v>0</x:v>
      </x:c>
      <x:c r="U171" s="10" t="str">
        <x:v>A vencer</x:v>
      </x:c>
      <x:c r="V171" s="10" t="str">
        <x:v>UND003</x:v>
      </x:c>
    </x:row>
    <x:row r="172" ht="18" customHeight="1">
      <x:c r="A172" s="10" t="str">
        <x:v>PAG00171</x:v>
      </x:c>
      <x:c r="B172" s="10" t="str">
        <x:v>EMP003</x:v>
      </x:c>
      <x:c r="C172" s="10" t="str">
        <x:v>FOR058</x:v>
      </x:c>
      <x:c r="D172" s="10" t="str">
        <x:v>CC007</x:v>
      </x:c>
      <x:c r="E172" s="10" t="str">
        <x:v>CAT015</x:v>
      </x:c>
      <x:c r="F172" s="10" t="str">
        <x:v>CTA005</x:v>
      </x:c>
      <x:c r="G172" s="10" t="str">
        <x:v>NF-100171</x:v>
      </x:c>
      <x:c r="H172" s="10" t="str">
        <x:v>Tributos e taxas</x:v>
      </x:c>
      <x:c r="I172" s="16" t="n">
        <x:v>45668.45897076389</x:v>
      </x:c>
      <x:c r="J172" s="16" t="n">
        <x:v>45698.45897076389</x:v>
      </x:c>
      <x:c r="K172" s="16" t="n">
        <x:v>45690.45897076389</x:v>
      </x:c>
      <x:c r="L172" s="20" t="n">
        <x:v>101580.15</x:v>
      </x:c>
      <x:c r="M172" s="20" t="n">
        <x:v>0</x:v>
      </x:c>
      <x:c r="N172" s="20" t="n">
        <x:v>1015.8</x:v>
      </x:c>
      <x:c r="O172" s="20" t="n">
        <x:v>100564.35</x:v>
      </x:c>
      <x:c r="P172" s="20" t="n">
        <x:v>0</x:v>
      </x:c>
      <x:c r="Q172" s="10" t="str">
        <x:v>Pago</x:v>
      </x:c>
      <x:c r="R172" s="10" t="str">
        <x:v>TED</x:v>
      </x:c>
      <x:c r="S172" s="10" t="str">
        <x:v>2025-01</x:v>
      </x:c>
      <x:c r="T172" s="10" t="n">
        <x:v>0</x:v>
      </x:c>
      <x:c r="U172" s="10" t="str">
        <x:v>Liquidado</x:v>
      </x:c>
      <x:c r="V172" s="10" t="str">
        <x:v>UND004</x:v>
      </x:c>
    </x:row>
    <x:row r="173" ht="18" customHeight="1">
      <x:c r="A173" s="10" t="str">
        <x:v>PAG00172</x:v>
      </x:c>
      <x:c r="B173" s="10" t="str">
        <x:v>EMP001</x:v>
      </x:c>
      <x:c r="C173" s="10" t="str">
        <x:v>FOR016</x:v>
      </x:c>
      <x:c r="D173" s="10" t="str">
        <x:v>CC002</x:v>
      </x:c>
      <x:c r="E173" s="10" t="str">
        <x:v>CAT017</x:v>
      </x:c>
      <x:c r="F173" s="10" t="str">
        <x:v>CTA001</x:v>
      </x:c>
      <x:c r="G173" s="10" t="str">
        <x:v>NF-100172</x:v>
      </x:c>
      <x:c r="H173" s="10" t="str">
        <x:v>Compra de materiais</x:v>
      </x:c>
      <x:c r="I173" s="16" t="n">
        <x:v>45412.748425046295</x:v>
      </x:c>
      <x:c r="J173" s="16" t="n">
        <x:v>45472.748425046295</x:v>
      </x:c>
      <x:c r="K173" s="16" t="n">
        <x:v>45493.748425046295</x:v>
      </x:c>
      <x:c r="L173" s="20" t="n">
        <x:v>5783.92</x:v>
      </x:c>
      <x:c r="M173" s="20" t="n">
        <x:v>85.02</x:v>
      </x:c>
      <x:c r="N173" s="20" t="n">
        <x:v>0</x:v>
      </x:c>
      <x:c r="O173" s="20" t="n">
        <x:v>5868.94</x:v>
      </x:c>
      <x:c r="P173" s="20" t="n">
        <x:v>0</x:v>
      </x:c>
      <x:c r="Q173" s="10" t="str">
        <x:v>Pago</x:v>
      </x:c>
      <x:c r="R173" s="10" t="str">
        <x:v>TED</x:v>
      </x:c>
      <x:c r="S173" s="10" t="str">
        <x:v>2024-04</x:v>
      </x:c>
      <x:c r="T173" s="10" t="n">
        <x:v>0</x:v>
      </x:c>
      <x:c r="U173" s="10" t="str">
        <x:v>Liquidado</x:v>
      </x:c>
      <x:c r="V173" s="10" t="str">
        <x:v>UND002</x:v>
      </x:c>
    </x:row>
    <x:row r="174" ht="18" customHeight="1">
      <x:c r="A174" s="10" t="str">
        <x:v>PAG00173</x:v>
      </x:c>
      <x:c r="B174" s="10" t="str">
        <x:v>EMP002</x:v>
      </x:c>
      <x:c r="C174" s="10" t="str">
        <x:v>FOR013</x:v>
      </x:c>
      <x:c r="D174" s="10" t="str">
        <x:v>CC005</x:v>
      </x:c>
      <x:c r="E174" s="10" t="str">
        <x:v>CAT011</x:v>
      </x:c>
      <x:c r="F174" s="10" t="str">
        <x:v>CTA004</x:v>
      </x:c>
      <x:c r="G174" s="10" t="str">
        <x:v>NF-100173</x:v>
      </x:c>
      <x:c r="H174" s="10" t="str">
        <x:v>Tributos e taxas</x:v>
      </x:c>
      <x:c r="I174" s="16" t="n">
        <x:v>45386.13485603009</x:v>
      </x:c>
      <x:c r="J174" s="16" t="n">
        <x:v>45406.13485603009</x:v>
      </x:c>
      <x:c r="K174" s="16" t="n">
        <x:v>45411.13485603009</x:v>
      </x:c>
      <x:c r="L174" s="20" t="n">
        <x:v>62206.54</x:v>
      </x:c>
      <x:c r="M174" s="20" t="n">
        <x:v>217.72</x:v>
      </x:c>
      <x:c r="N174" s="20" t="n">
        <x:v>0</x:v>
      </x:c>
      <x:c r="O174" s="20" t="n">
        <x:v>62424.26</x:v>
      </x:c>
      <x:c r="P174" s="20" t="n">
        <x:v>0</x:v>
      </x:c>
      <x:c r="Q174" s="10" t="str">
        <x:v>Pago</x:v>
      </x:c>
      <x:c r="R174" s="10" t="str">
        <x:v>TED</x:v>
      </x:c>
      <x:c r="S174" s="10" t="str">
        <x:v>2024-04</x:v>
      </x:c>
      <x:c r="T174" s="10" t="n">
        <x:v>0</x:v>
      </x:c>
      <x:c r="U174" s="10" t="str">
        <x:v>Liquidado</x:v>
      </x:c>
      <x:c r="V174" s="10" t="str">
        <x:v>UND003</x:v>
      </x:c>
    </x:row>
    <x:row r="175" ht="18" customHeight="1">
      <x:c r="A175" s="10" t="str">
        <x:v>PAG00174</x:v>
      </x:c>
      <x:c r="B175" s="10" t="str">
        <x:v>EMP003</x:v>
      </x:c>
      <x:c r="C175" s="10" t="str">
        <x:v>FOR048</x:v>
      </x:c>
      <x:c r="D175" s="10" t="str">
        <x:v>CC007</x:v>
      </x:c>
      <x:c r="E175" s="10" t="str">
        <x:v>CAT010</x:v>
      </x:c>
      <x:c r="F175" s="10" t="str">
        <x:v>CTA006</x:v>
      </x:c>
      <x:c r="G175" s="10" t="str">
        <x:v>NF-100174</x:v>
      </x:c>
      <x:c r="H175" s="10" t="str">
        <x:v>Prestação de serviços</x:v>
      </x:c>
      <x:c r="I175" s="16" t="n">
        <x:v>45309.191293958334</x:v>
      </x:c>
      <x:c r="J175" s="16" t="n">
        <x:v>45329.191293958334</x:v>
      </x:c>
      <x:c r="K175" s="16" t="n">
        <x:v>45339.191293958334</x:v>
      </x:c>
      <x:c r="L175" s="20" t="n">
        <x:v>102650.06</x:v>
      </x:c>
      <x:c r="M175" s="20" t="n">
        <x:v>718.55</x:v>
      </x:c>
      <x:c r="N175" s="20" t="n">
        <x:v>0</x:v>
      </x:c>
      <x:c r="O175" s="20" t="n">
        <x:v>103368.61</x:v>
      </x:c>
      <x:c r="P175" s="20" t="n">
        <x:v>0</x:v>
      </x:c>
      <x:c r="Q175" s="10" t="str">
        <x:v>Pago</x:v>
      </x:c>
      <x:c r="R175" s="10" t="str">
        <x:v>TED</x:v>
      </x:c>
      <x:c r="S175" s="10" t="str">
        <x:v>2024-01</x:v>
      </x:c>
      <x:c r="T175" s="10" t="n">
        <x:v>0</x:v>
      </x:c>
      <x:c r="U175" s="10" t="str">
        <x:v>Liquidado</x:v>
      </x:c>
      <x:c r="V175" s="10" t="str">
        <x:v>UND004</x:v>
      </x:c>
    </x:row>
    <x:row r="176" ht="18" customHeight="1">
      <x:c r="A176" s="10" t="str">
        <x:v>PAG00175</x:v>
      </x:c>
      <x:c r="B176" s="10" t="str">
        <x:v>EMP001</x:v>
      </x:c>
      <x:c r="C176" s="10" t="str">
        <x:v>FOR041</x:v>
      </x:c>
      <x:c r="D176" s="10" t="str">
        <x:v>CC003</x:v>
      </x:c>
      <x:c r="E176" s="10" t="str">
        <x:v>CAT007</x:v>
      </x:c>
      <x:c r="F176" s="10" t="str">
        <x:v>CTA001</x:v>
      </x:c>
      <x:c r="G176" s="10" t="str">
        <x:v>NF-100175</x:v>
      </x:c>
      <x:c r="H176" s="10" t="str">
        <x:v>Compra de materiais</x:v>
      </x:c>
      <x:c r="I176" s="16" t="n">
        <x:v>45807.90561130787</x:v>
      </x:c>
      <x:c r="J176" s="16" t="n">
        <x:v>45852.90561130787</x:v>
      </x:c>
      <x:c r="K176" s="16" t="n">
        <x:v>45855.90561130787</x:v>
      </x:c>
      <x:c r="L176" s="20" t="n">
        <x:v>1405.62</x:v>
      </x:c>
      <x:c r="M176" s="20" t="n">
        <x:v>2.95</x:v>
      </x:c>
      <x:c r="N176" s="20" t="n">
        <x:v>0</x:v>
      </x:c>
      <x:c r="O176" s="20" t="n">
        <x:v>1408.57</x:v>
      </x:c>
      <x:c r="P176" s="20" t="n">
        <x:v>0</x:v>
      </x:c>
      <x:c r="Q176" s="10" t="str">
        <x:v>Pago</x:v>
      </x:c>
      <x:c r="R176" s="10" t="str">
        <x:v>Cartão Corporativo</x:v>
      </x:c>
      <x:c r="S176" s="10" t="str">
        <x:v>2025-05</x:v>
      </x:c>
      <x:c r="T176" s="10" t="n">
        <x:v>0</x:v>
      </x:c>
      <x:c r="U176" s="10" t="str">
        <x:v>Liquidado</x:v>
      </x:c>
      <x:c r="V176" s="10" t="str">
        <x:v>UND001</x:v>
      </x:c>
    </x:row>
    <x:row r="177" ht="18" customHeight="1">
      <x:c r="A177" s="10" t="str">
        <x:v>PAG00176</x:v>
      </x:c>
      <x:c r="B177" s="10" t="str">
        <x:v>EMP001</x:v>
      </x:c>
      <x:c r="C177" s="10" t="str">
        <x:v>FOR052</x:v>
      </x:c>
      <x:c r="D177" s="10" t="str">
        <x:v>CC003</x:v>
      </x:c>
      <x:c r="E177" s="10" t="str">
        <x:v>CAT017</x:v>
      </x:c>
      <x:c r="F177" s="10" t="str">
        <x:v>CTA002</x:v>
      </x:c>
      <x:c r="G177" s="10" t="str">
        <x:v>NF-100176</x:v>
      </x:c>
      <x:c r="H177" s="10" t="str">
        <x:v>Despesa operacional</x:v>
      </x:c>
      <x:c r="I177" s="16" t="n">
        <x:v>45759.476344386574</x:v>
      </x:c>
      <x:c r="J177" s="16" t="n">
        <x:v>45819.476344386574</x:v>
      </x:c>
      <x:c r="K177" s="16" t="n">
        <x:v>45830.476344386574</x:v>
      </x:c>
      <x:c r="L177" s="20" t="n">
        <x:v>8453.4</x:v>
      </x:c>
      <x:c r="M177" s="20" t="n">
        <x:v>65.09</x:v>
      </x:c>
      <x:c r="N177" s="20" t="n">
        <x:v>0</x:v>
      </x:c>
      <x:c r="O177" s="20" t="n">
        <x:v>8518.49</x:v>
      </x:c>
      <x:c r="P177" s="20" t="n">
        <x:v>0</x:v>
      </x:c>
      <x:c r="Q177" s="10" t="str">
        <x:v>Pago</x:v>
      </x:c>
      <x:c r="R177" s="10" t="str">
        <x:v>Débito Automático</x:v>
      </x:c>
      <x:c r="S177" s="10" t="str">
        <x:v>2025-04</x:v>
      </x:c>
      <x:c r="T177" s="10" t="n">
        <x:v>0</x:v>
      </x:c>
      <x:c r="U177" s="10" t="str">
        <x:v>Liquidado</x:v>
      </x:c>
      <x:c r="V177" s="10" t="str">
        <x:v>UND001</x:v>
      </x:c>
    </x:row>
    <x:row r="178" ht="18" customHeight="1">
      <x:c r="A178" s="10" t="str">
        <x:v>PAG00177</x:v>
      </x:c>
      <x:c r="B178" s="10" t="str">
        <x:v>EMP003</x:v>
      </x:c>
      <x:c r="C178" s="10" t="str">
        <x:v>FOR048</x:v>
      </x:c>
      <x:c r="D178" s="10" t="str">
        <x:v>CC002</x:v>
      </x:c>
      <x:c r="E178" s="10" t="str">
        <x:v>CAT009</x:v>
      </x:c>
      <x:c r="F178" s="10" t="str">
        <x:v>CTA006</x:v>
      </x:c>
      <x:c r="G178" s="10" t="str">
        <x:v>NF-100177</x:v>
      </x:c>
      <x:c r="H178" s="10" t="str">
        <x:v>Despesa operacional</x:v>
      </x:c>
      <x:c r="I178" s="16" t="n">
        <x:v>45938.549903356485</x:v>
      </x:c>
      <x:c r="J178" s="16" t="n">
        <x:v>45998.549903356485</x:v>
      </x:c>
      <x:c r="K178" s="16"/>
      <x:c r="L178" s="20" t="n">
        <x:v>14157.1</x:v>
      </x:c>
      <x:c r="M178" s="20" t="n">
        <x:v>0</x:v>
      </x:c>
      <x:c r="N178" s="20" t="n">
        <x:v>0</x:v>
      </x:c>
      <x:c r="O178" s="20" t="n">
        <x:v>0</x:v>
      </x:c>
      <x:c r="P178" s="20" t="n">
        <x:v>14157.1</x:v>
      </x:c>
      <x:c r="Q178" s="10" t="str">
        <x:v>Vencido</x:v>
      </x:c>
      <x:c r="R178" s="10" t="str">
        <x:v>Débito Automático</x:v>
      </x:c>
      <x:c r="S178" s="10" t="str">
        <x:v>2025-10</x:v>
      </x:c>
      <x:c r="T178" s="10" t="n">
        <x:v>23</x:v>
      </x:c>
      <x:c r="U178" s="10" t="str">
        <x:v>1 a 30 dias</x:v>
      </x:c>
      <x:c r="V178" s="10" t="str">
        <x:v>UND004</x:v>
      </x:c>
    </x:row>
    <x:row r="179" ht="18" customHeight="1">
      <x:c r="A179" s="10" t="str">
        <x:v>PAG00178</x:v>
      </x:c>
      <x:c r="B179" s="10" t="str">
        <x:v>EMP002</x:v>
      </x:c>
      <x:c r="C179" s="10" t="str">
        <x:v>FOR019</x:v>
      </x:c>
      <x:c r="D179" s="10" t="str">
        <x:v>CC003</x:v>
      </x:c>
      <x:c r="E179" s="10" t="str">
        <x:v>CAT009</x:v>
      </x:c>
      <x:c r="F179" s="10" t="str">
        <x:v>CTA003</x:v>
      </x:c>
      <x:c r="G179" s="10" t="str">
        <x:v>NF-100178</x:v>
      </x:c>
      <x:c r="H179" s="10" t="str">
        <x:v>Prestação de serviços</x:v>
      </x:c>
      <x:c r="I179" s="16" t="n">
        <x:v>45792.425637939814</x:v>
      </x:c>
      <x:c r="J179" s="16" t="n">
        <x:v>45807.425637939814</x:v>
      </x:c>
      <x:c r="K179" s="16"/>
      <x:c r="L179" s="20" t="n">
        <x:v>63768.26</x:v>
      </x:c>
      <x:c r="M179" s="20" t="n">
        <x:v>0</x:v>
      </x:c>
      <x:c r="N179" s="20" t="n">
        <x:v>0</x:v>
      </x:c>
      <x:c r="O179" s="20" t="n">
        <x:v>0</x:v>
      </x:c>
      <x:c r="P179" s="20" t="n">
        <x:v>63768.26</x:v>
      </x:c>
      <x:c r="Q179" s="10" t="str">
        <x:v>Vencido</x:v>
      </x:c>
      <x:c r="R179" s="10" t="str">
        <x:v>TED</x:v>
      </x:c>
      <x:c r="S179" s="10" t="str">
        <x:v>2025-05</x:v>
      </x:c>
      <x:c r="T179" s="10" t="n">
        <x:v>214</x:v>
      </x:c>
      <x:c r="U179" s="10" t="str">
        <x:v>&gt; 120 dias</x:v>
      </x:c>
      <x:c r="V179" s="10" t="str">
        <x:v>UND003</x:v>
      </x:c>
    </x:row>
    <x:row r="180" ht="18" customHeight="1">
      <x:c r="A180" s="10" t="str">
        <x:v>PAG00179</x:v>
      </x:c>
      <x:c r="B180" s="10" t="str">
        <x:v>EMP003</x:v>
      </x:c>
      <x:c r="C180" s="10" t="str">
        <x:v>FOR022</x:v>
      </x:c>
      <x:c r="D180" s="10" t="str">
        <x:v>CC008</x:v>
      </x:c>
      <x:c r="E180" s="10" t="str">
        <x:v>CAT016</x:v>
      </x:c>
      <x:c r="F180" s="10" t="str">
        <x:v>CTA005</x:v>
      </x:c>
      <x:c r="G180" s="10" t="str">
        <x:v>NF-100179</x:v>
      </x:c>
      <x:c r="H180" s="10" t="str">
        <x:v>Compra de materiais</x:v>
      </x:c>
      <x:c r="I180" s="16" t="n">
        <x:v>45687.37441434028</x:v>
      </x:c>
      <x:c r="J180" s="16" t="n">
        <x:v>45747.37441434028</x:v>
      </x:c>
      <x:c r="K180" s="16"/>
      <x:c r="L180" s="20" t="n">
        <x:v>8392.2</x:v>
      </x:c>
      <x:c r="M180" s="20" t="n">
        <x:v>0</x:v>
      </x:c>
      <x:c r="N180" s="20" t="n">
        <x:v>0</x:v>
      </x:c>
      <x:c r="O180" s="20" t="n">
        <x:v>0</x:v>
      </x:c>
      <x:c r="P180" s="20" t="n">
        <x:v>8392.2</x:v>
      </x:c>
      <x:c r="Q180" s="10" t="str">
        <x:v>Vencido</x:v>
      </x:c>
      <x:c r="R180" s="10" t="str">
        <x:v>TED</x:v>
      </x:c>
      <x:c r="S180" s="10" t="str">
        <x:v>2025-01</x:v>
      </x:c>
      <x:c r="T180" s="10" t="n">
        <x:v>274</x:v>
      </x:c>
      <x:c r="U180" s="10" t="str">
        <x:v>&gt; 120 dias</x:v>
      </x:c>
      <x:c r="V180" s="10" t="str">
        <x:v>UND004</x:v>
      </x:c>
    </x:row>
    <x:row r="181" ht="18" customHeight="1">
      <x:c r="A181" s="10" t="str">
        <x:v>PAG00180</x:v>
      </x:c>
      <x:c r="B181" s="10" t="str">
        <x:v>EMP002</x:v>
      </x:c>
      <x:c r="C181" s="10" t="str">
        <x:v>FOR028</x:v>
      </x:c>
      <x:c r="D181" s="10" t="str">
        <x:v>CC003</x:v>
      </x:c>
      <x:c r="E181" s="10" t="str">
        <x:v>CAT015</x:v>
      </x:c>
      <x:c r="F181" s="10" t="str">
        <x:v>CTA003</x:v>
      </x:c>
      <x:c r="G181" s="10" t="str">
        <x:v>NF-100180</x:v>
      </x:c>
      <x:c r="H181" s="10" t="str">
        <x:v>Prestação de serviços</x:v>
      </x:c>
      <x:c r="I181" s="16" t="n">
        <x:v>45764.39947684028</x:v>
      </x:c>
      <x:c r="J181" s="16" t="n">
        <x:v>45784.39947684028</x:v>
      </x:c>
      <x:c r="K181" s="16" t="n">
        <x:v>45794.39947684028</x:v>
      </x:c>
      <x:c r="L181" s="20" t="n">
        <x:v>5727.29</x:v>
      </x:c>
      <x:c r="M181" s="20" t="n">
        <x:v>40.09</x:v>
      </x:c>
      <x:c r="N181" s="20" t="n">
        <x:v>0</x:v>
      </x:c>
      <x:c r="O181" s="20" t="n">
        <x:v>5767.38</x:v>
      </x:c>
      <x:c r="P181" s="20" t="n">
        <x:v>0</x:v>
      </x:c>
      <x:c r="Q181" s="10" t="str">
        <x:v>Pago</x:v>
      </x:c>
      <x:c r="R181" s="10" t="str">
        <x:v>Débito Automático</x:v>
      </x:c>
      <x:c r="S181" s="10" t="str">
        <x:v>2025-04</x:v>
      </x:c>
      <x:c r="T181" s="10" t="n">
        <x:v>0</x:v>
      </x:c>
      <x:c r="U181" s="10" t="str">
        <x:v>Liquidado</x:v>
      </x:c>
      <x:c r="V181" s="10" t="str">
        <x:v>UND003</x:v>
      </x:c>
    </x:row>
    <x:row r="182" ht="18" customHeight="1">
      <x:c r="A182" s="10" t="str">
        <x:v>PAG00181</x:v>
      </x:c>
      <x:c r="B182" s="10" t="str">
        <x:v>EMP003</x:v>
      </x:c>
      <x:c r="C182" s="10" t="str">
        <x:v>FOR041</x:v>
      </x:c>
      <x:c r="D182" s="10" t="str">
        <x:v>CC008</x:v>
      </x:c>
      <x:c r="E182" s="10" t="str">
        <x:v>CAT008</x:v>
      </x:c>
      <x:c r="F182" s="10" t="str">
        <x:v>CTA005</x:v>
      </x:c>
      <x:c r="G182" s="10" t="str">
        <x:v>NF-100181</x:v>
      </x:c>
      <x:c r="H182" s="10" t="str">
        <x:v>Tributos e taxas</x:v>
      </x:c>
      <x:c r="I182" s="16" t="n">
        <x:v>45465.52665399305</x:v>
      </x:c>
      <x:c r="J182" s="16" t="n">
        <x:v>45485.52665399305</x:v>
      </x:c>
      <x:c r="K182" s="16" t="n">
        <x:v>45494.52665399305</x:v>
      </x:c>
      <x:c r="L182" s="20" t="n">
        <x:v>1275.32</x:v>
      </x:c>
      <x:c r="M182" s="20" t="n">
        <x:v>8.03</x:v>
      </x:c>
      <x:c r="N182" s="20" t="n">
        <x:v>0</x:v>
      </x:c>
      <x:c r="O182" s="20" t="n">
        <x:v>1283.35</x:v>
      </x:c>
      <x:c r="P182" s="20" t="n">
        <x:v>0</x:v>
      </x:c>
      <x:c r="Q182" s="10" t="str">
        <x:v>Pago</x:v>
      </x:c>
      <x:c r="R182" s="10" t="str">
        <x:v>PIX</x:v>
      </x:c>
      <x:c r="S182" s="10" t="str">
        <x:v>2024-06</x:v>
      </x:c>
      <x:c r="T182" s="10" t="n">
        <x:v>0</x:v>
      </x:c>
      <x:c r="U182" s="10" t="str">
        <x:v>Liquidado</x:v>
      </x:c>
      <x:c r="V182" s="10" t="str">
        <x:v>UND004</x:v>
      </x:c>
    </x:row>
    <x:row r="183" ht="18" customHeight="1">
      <x:c r="A183" s="10" t="str">
        <x:v>PAG00182</x:v>
      </x:c>
      <x:c r="B183" s="10" t="str">
        <x:v>EMP002</x:v>
      </x:c>
      <x:c r="C183" s="10" t="str">
        <x:v>FOR010</x:v>
      </x:c>
      <x:c r="D183" s="10" t="str">
        <x:v>CC001</x:v>
      </x:c>
      <x:c r="E183" s="10" t="str">
        <x:v>CAT017</x:v>
      </x:c>
      <x:c r="F183" s="10" t="str">
        <x:v>CTA003</x:v>
      </x:c>
      <x:c r="G183" s="10" t="str">
        <x:v>NF-100182</x:v>
      </x:c>
      <x:c r="H183" s="10" t="str">
        <x:v>Contrato recorrente</x:v>
      </x:c>
      <x:c r="I183" s="16" t="n">
        <x:v>45758.955366180555</x:v>
      </x:c>
      <x:c r="J183" s="16" t="n">
        <x:v>45778.955366180555</x:v>
      </x:c>
      <x:c r="K183" s="16" t="n">
        <x:v>45777.955366180555</x:v>
      </x:c>
      <x:c r="L183" s="20" t="n">
        <x:v>108684.39</x:v>
      </x:c>
      <x:c r="M183" s="20" t="n">
        <x:v>0</x:v>
      </x:c>
      <x:c r="N183" s="20" t="n">
        <x:v>0</x:v>
      </x:c>
      <x:c r="O183" s="20" t="n">
        <x:v>108684.39</x:v>
      </x:c>
      <x:c r="P183" s="20" t="n">
        <x:v>0</x:v>
      </x:c>
      <x:c r="Q183" s="10" t="str">
        <x:v>Pago</x:v>
      </x:c>
      <x:c r="R183" s="10" t="str">
        <x:v>PIX</x:v>
      </x:c>
      <x:c r="S183" s="10" t="str">
        <x:v>2025-04</x:v>
      </x:c>
      <x:c r="T183" s="10" t="n">
        <x:v>0</x:v>
      </x:c>
      <x:c r="U183" s="10" t="str">
        <x:v>Liquidado</x:v>
      </x:c>
      <x:c r="V183" s="10" t="str">
        <x:v>UND003</x:v>
      </x:c>
    </x:row>
    <x:row r="184" ht="18" customHeight="1">
      <x:c r="A184" s="10" t="str">
        <x:v>PAG00183</x:v>
      </x:c>
      <x:c r="B184" s="10" t="str">
        <x:v>EMP003</x:v>
      </x:c>
      <x:c r="C184" s="10" t="str">
        <x:v>FOR016</x:v>
      </x:c>
      <x:c r="D184" s="10" t="str">
        <x:v>CC003</x:v>
      </x:c>
      <x:c r="E184" s="10" t="str">
        <x:v>CAT008</x:v>
      </x:c>
      <x:c r="F184" s="10" t="str">
        <x:v>CTA006</x:v>
      </x:c>
      <x:c r="G184" s="10" t="str">
        <x:v>NF-100183</x:v>
      </x:c>
      <x:c r="H184" s="10" t="str">
        <x:v>Contrato recorrente</x:v>
      </x:c>
      <x:c r="I184" s="16" t="n">
        <x:v>45711.33184222222</x:v>
      </x:c>
      <x:c r="J184" s="16" t="n">
        <x:v>45756.33184222222</x:v>
      </x:c>
      <x:c r="K184" s="16" t="n">
        <x:v>45768.33184222222</x:v>
      </x:c>
      <x:c r="L184" s="20" t="n">
        <x:v>58715.61</x:v>
      </x:c>
      <x:c r="M184" s="20" t="n">
        <x:v>493.21</x:v>
      </x:c>
      <x:c r="N184" s="20" t="n">
        <x:v>0</x:v>
      </x:c>
      <x:c r="O184" s="20" t="n">
        <x:v>59208.82</x:v>
      </x:c>
      <x:c r="P184" s="20" t="n">
        <x:v>0</x:v>
      </x:c>
      <x:c r="Q184" s="10" t="str">
        <x:v>Pago</x:v>
      </x:c>
      <x:c r="R184" s="10" t="str">
        <x:v>PIX</x:v>
      </x:c>
      <x:c r="S184" s="10" t="str">
        <x:v>2025-02</x:v>
      </x:c>
      <x:c r="T184" s="10" t="n">
        <x:v>0</x:v>
      </x:c>
      <x:c r="U184" s="10" t="str">
        <x:v>Liquidado</x:v>
      </x:c>
      <x:c r="V184" s="10" t="str">
        <x:v>UND004</x:v>
      </x:c>
    </x:row>
    <x:row r="185" ht="18" customHeight="1">
      <x:c r="A185" s="10" t="str">
        <x:v>PAG00184</x:v>
      </x:c>
      <x:c r="B185" s="10" t="str">
        <x:v>EMP003</x:v>
      </x:c>
      <x:c r="C185" s="10" t="str">
        <x:v>FOR053</x:v>
      </x:c>
      <x:c r="D185" s="10" t="str">
        <x:v>CC008</x:v>
      </x:c>
      <x:c r="E185" s="10" t="str">
        <x:v>CAT009</x:v>
      </x:c>
      <x:c r="F185" s="10" t="str">
        <x:v>CTA005</x:v>
      </x:c>
      <x:c r="G185" s="10" t="str">
        <x:v>NF-100184</x:v>
      </x:c>
      <x:c r="H185" s="10" t="str">
        <x:v>Compra de materiais</x:v>
      </x:c>
      <x:c r="I185" s="16" t="n">
        <x:v>45493.619173113424</x:v>
      </x:c>
      <x:c r="J185" s="16" t="n">
        <x:v>45523.619173113424</x:v>
      </x:c>
      <x:c r="K185" s="16" t="n">
        <x:v>45530.619173113424</x:v>
      </x:c>
      <x:c r="L185" s="20" t="n">
        <x:v>1188.94</x:v>
      </x:c>
      <x:c r="M185" s="20" t="n">
        <x:v>5.83</x:v>
      </x:c>
      <x:c r="N185" s="20" t="n">
        <x:v>0</x:v>
      </x:c>
      <x:c r="O185" s="20" t="n">
        <x:v>1194.77</x:v>
      </x:c>
      <x:c r="P185" s="20" t="n">
        <x:v>0</x:v>
      </x:c>
      <x:c r="Q185" s="10" t="str">
        <x:v>Pago</x:v>
      </x:c>
      <x:c r="R185" s="10" t="str">
        <x:v>TED</x:v>
      </x:c>
      <x:c r="S185" s="10" t="str">
        <x:v>2024-07</x:v>
      </x:c>
      <x:c r="T185" s="10" t="n">
        <x:v>0</x:v>
      </x:c>
      <x:c r="U185" s="10" t="str">
        <x:v>Liquidado</x:v>
      </x:c>
      <x:c r="V185" s="10" t="str">
        <x:v>UND004</x:v>
      </x:c>
    </x:row>
    <x:row r="186" ht="18" customHeight="1">
      <x:c r="A186" s="10" t="str">
        <x:v>PAG00185</x:v>
      </x:c>
      <x:c r="B186" s="10" t="str">
        <x:v>EMP003</x:v>
      </x:c>
      <x:c r="C186" s="10" t="str">
        <x:v>FOR028</x:v>
      </x:c>
      <x:c r="D186" s="10" t="str">
        <x:v>CC007</x:v>
      </x:c>
      <x:c r="E186" s="10" t="str">
        <x:v>CAT010</x:v>
      </x:c>
      <x:c r="F186" s="10" t="str">
        <x:v>CTA006</x:v>
      </x:c>
      <x:c r="G186" s="10" t="str">
        <x:v>NF-100185</x:v>
      </x:c>
      <x:c r="H186" s="10" t="str">
        <x:v>Despesa operacional</x:v>
      </x:c>
      <x:c r="I186" s="16" t="n">
        <x:v>45355.07631480324</x:v>
      </x:c>
      <x:c r="J186" s="16" t="n">
        <x:v>45415.07631480324</x:v>
      </x:c>
      <x:c r="K186" s="16" t="n">
        <x:v>45449.07631480324</x:v>
      </x:c>
      <x:c r="L186" s="20" t="n">
        <x:v>20196.47</x:v>
      </x:c>
      <x:c r="M186" s="20" t="n">
        <x:v>480.68</x:v>
      </x:c>
      <x:c r="N186" s="20" t="n">
        <x:v>0</x:v>
      </x:c>
      <x:c r="O186" s="20" t="n">
        <x:v>20677.15</x:v>
      </x:c>
      <x:c r="P186" s="20" t="n">
        <x:v>0</x:v>
      </x:c>
      <x:c r="Q186" s="10" t="str">
        <x:v>Pago</x:v>
      </x:c>
      <x:c r="R186" s="10" t="str">
        <x:v>Boleto</x:v>
      </x:c>
      <x:c r="S186" s="10" t="str">
        <x:v>2024-03</x:v>
      </x:c>
      <x:c r="T186" s="10" t="n">
        <x:v>0</x:v>
      </x:c>
      <x:c r="U186" s="10" t="str">
        <x:v>Liquidado</x:v>
      </x:c>
      <x:c r="V186" s="10" t="str">
        <x:v>UND004</x:v>
      </x:c>
    </x:row>
    <x:row r="187" ht="18" customHeight="1">
      <x:c r="A187" s="10" t="str">
        <x:v>PAG00186</x:v>
      </x:c>
      <x:c r="B187" s="10" t="str">
        <x:v>EMP003</x:v>
      </x:c>
      <x:c r="C187" s="10" t="str">
        <x:v>FOR005</x:v>
      </x:c>
      <x:c r="D187" s="10" t="str">
        <x:v>CC008</x:v>
      </x:c>
      <x:c r="E187" s="10" t="str">
        <x:v>CAT010</x:v>
      </x:c>
      <x:c r="F187" s="10" t="str">
        <x:v>CTA005</x:v>
      </x:c>
      <x:c r="G187" s="10" t="str">
        <x:v>NF-100186</x:v>
      </x:c>
      <x:c r="H187" s="10" t="str">
        <x:v>Prestação de serviços</x:v>
      </x:c>
      <x:c r="I187" s="16" t="n">
        <x:v>45982.96741204861</x:v>
      </x:c>
      <x:c r="J187" s="16" t="n">
        <x:v>46017.96741204861</x:v>
      </x:c>
      <x:c r="K187" s="16"/>
      <x:c r="L187" s="20" t="n">
        <x:v>56806.74</x:v>
      </x:c>
      <x:c r="M187" s="20" t="n">
        <x:v>0</x:v>
      </x:c>
      <x:c r="N187" s="20" t="n">
        <x:v>0</x:v>
      </x:c>
      <x:c r="O187" s="20" t="n">
        <x:v>0</x:v>
      </x:c>
      <x:c r="P187" s="20" t="n">
        <x:v>56806.74</x:v>
      </x:c>
      <x:c r="Q187" s="10" t="str">
        <x:v>Vencido</x:v>
      </x:c>
      <x:c r="R187" s="10" t="str">
        <x:v>PIX</x:v>
      </x:c>
      <x:c r="S187" s="10" t="str">
        <x:v>2025-11</x:v>
      </x:c>
      <x:c r="T187" s="10" t="n">
        <x:v>4</x:v>
      </x:c>
      <x:c r="U187" s="10" t="str">
        <x:v>1 a 30 dias</x:v>
      </x:c>
      <x:c r="V187" s="10" t="str">
        <x:v>UND004</x:v>
      </x:c>
    </x:row>
    <x:row r="188" ht="18" customHeight="1">
      <x:c r="A188" s="10" t="str">
        <x:v>PAG00187</x:v>
      </x:c>
      <x:c r="B188" s="10" t="str">
        <x:v>EMP003</x:v>
      </x:c>
      <x:c r="C188" s="10" t="str">
        <x:v>FOR003</x:v>
      </x:c>
      <x:c r="D188" s="10" t="str">
        <x:v>CC002</x:v>
      </x:c>
      <x:c r="E188" s="10" t="str">
        <x:v>CAT016</x:v>
      </x:c>
      <x:c r="F188" s="10" t="str">
        <x:v>CTA006</x:v>
      </x:c>
      <x:c r="G188" s="10" t="str">
        <x:v>NF-100187</x:v>
      </x:c>
      <x:c r="H188" s="10" t="str">
        <x:v>Prestação de serviços</x:v>
      </x:c>
      <x:c r="I188" s="16" t="n">
        <x:v>45943.26200814815</x:v>
      </x:c>
      <x:c r="J188" s="16" t="n">
        <x:v>46018.26200814815</x:v>
      </x:c>
      <x:c r="K188" s="16" t="n">
        <x:v>46017.26200814815</x:v>
      </x:c>
      <x:c r="L188" s="20" t="n">
        <x:v>46914.21</x:v>
      </x:c>
      <x:c r="M188" s="20" t="n">
        <x:v>0</x:v>
      </x:c>
      <x:c r="N188" s="20" t="n">
        <x:v>0</x:v>
      </x:c>
      <x:c r="O188" s="20" t="n">
        <x:v>46914.21</x:v>
      </x:c>
      <x:c r="P188" s="20" t="n">
        <x:v>0</x:v>
      </x:c>
      <x:c r="Q188" s="10" t="str">
        <x:v>Pago</x:v>
      </x:c>
      <x:c r="R188" s="10" t="str">
        <x:v>Débito Automático</x:v>
      </x:c>
      <x:c r="S188" s="10" t="str">
        <x:v>2025-10</x:v>
      </x:c>
      <x:c r="T188" s="10" t="n">
        <x:v>0</x:v>
      </x:c>
      <x:c r="U188" s="10" t="str">
        <x:v>Liquidado</x:v>
      </x:c>
      <x:c r="V188" s="10" t="str">
        <x:v>UND004</x:v>
      </x:c>
    </x:row>
    <x:row r="189" ht="18" customHeight="1">
      <x:c r="A189" s="10" t="str">
        <x:v>PAG00188</x:v>
      </x:c>
      <x:c r="B189" s="10" t="str">
        <x:v>EMP001</x:v>
      </x:c>
      <x:c r="C189" s="10" t="str">
        <x:v>FOR034</x:v>
      </x:c>
      <x:c r="D189" s="10" t="str">
        <x:v>CC002</x:v>
      </x:c>
      <x:c r="E189" s="10" t="str">
        <x:v>CAT015</x:v>
      </x:c>
      <x:c r="F189" s="10" t="str">
        <x:v>CTA001</x:v>
      </x:c>
      <x:c r="G189" s="10" t="str">
        <x:v>NF-100188</x:v>
      </x:c>
      <x:c r="H189" s="10" t="str">
        <x:v>Tributos e taxas</x:v>
      </x:c>
      <x:c r="I189" s="16" t="n">
        <x:v>45885.164082476855</x:v>
      </x:c>
      <x:c r="J189" s="16" t="n">
        <x:v>45945.164082476855</x:v>
      </x:c>
      <x:c r="K189" s="16" t="n">
        <x:v>45945.164082476855</x:v>
      </x:c>
      <x:c r="L189" s="20" t="n">
        <x:v>107851.98</x:v>
      </x:c>
      <x:c r="M189" s="20" t="n">
        <x:v>0</x:v>
      </x:c>
      <x:c r="N189" s="20" t="n">
        <x:v>0</x:v>
      </x:c>
      <x:c r="O189" s="20" t="n">
        <x:v>107851.98</x:v>
      </x:c>
      <x:c r="P189" s="20" t="n">
        <x:v>0</x:v>
      </x:c>
      <x:c r="Q189" s="10" t="str">
        <x:v>Pago</x:v>
      </x:c>
      <x:c r="R189" s="10" t="str">
        <x:v>PIX</x:v>
      </x:c>
      <x:c r="S189" s="10" t="str">
        <x:v>2025-08</x:v>
      </x:c>
      <x:c r="T189" s="10" t="n">
        <x:v>0</x:v>
      </x:c>
      <x:c r="U189" s="10" t="str">
        <x:v>Liquidado</x:v>
      </x:c>
      <x:c r="V189" s="10" t="str">
        <x:v>UND001</x:v>
      </x:c>
    </x:row>
    <x:row r="190" ht="18" customHeight="1">
      <x:c r="A190" s="10" t="str">
        <x:v>PAG00189</x:v>
      </x:c>
      <x:c r="B190" s="10" t="str">
        <x:v>EMP001</x:v>
      </x:c>
      <x:c r="C190" s="10" t="str">
        <x:v>FOR051</x:v>
      </x:c>
      <x:c r="D190" s="10" t="str">
        <x:v>CC003</x:v>
      </x:c>
      <x:c r="E190" s="10" t="str">
        <x:v>CAT015</x:v>
      </x:c>
      <x:c r="F190" s="10" t="str">
        <x:v>CTA002</x:v>
      </x:c>
      <x:c r="G190" s="10" t="str">
        <x:v>NF-100189</x:v>
      </x:c>
      <x:c r="H190" s="10" t="str">
        <x:v>Tributos e taxas</x:v>
      </x:c>
      <x:c r="I190" s="16" t="n">
        <x:v>45584.07034396991</x:v>
      </x:c>
      <x:c r="J190" s="16" t="n">
        <x:v>45604.07034396991</x:v>
      </x:c>
      <x:c r="K190" s="16"/>
      <x:c r="L190" s="20" t="n">
        <x:v>600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10" t="str">
        <x:v>Cancelado</x:v>
      </x:c>
      <x:c r="R190" s="10" t="str">
        <x:v>Cartão Corporativo</x:v>
      </x:c>
      <x:c r="S190" s="10" t="str">
        <x:v>2024-10</x:v>
      </x:c>
      <x:c r="T190" s="10" t="n">
        <x:v>0</x:v>
      </x:c>
      <x:c r="U190" s="10" t="str">
        <x:v>Cancelado</x:v>
      </x:c>
      <x:c r="V190" s="10" t="str">
        <x:v>UND002</x:v>
      </x:c>
    </x:row>
    <x:row r="191" ht="18" customHeight="1">
      <x:c r="A191" s="10" t="str">
        <x:v>PAG00190</x:v>
      </x:c>
      <x:c r="B191" s="10" t="str">
        <x:v>EMP001</x:v>
      </x:c>
      <x:c r="C191" s="10" t="str">
        <x:v>FOR003</x:v>
      </x:c>
      <x:c r="D191" s="10" t="str">
        <x:v>CC001</x:v>
      </x:c>
      <x:c r="E191" s="10" t="str">
        <x:v>CAT008</x:v>
      </x:c>
      <x:c r="F191" s="10" t="str">
        <x:v>CTA001</x:v>
      </x:c>
      <x:c r="G191" s="10" t="str">
        <x:v>NF-100190</x:v>
      </x:c>
      <x:c r="H191" s="10" t="str">
        <x:v>Prestação de serviços</x:v>
      </x:c>
      <x:c r="I191" s="16" t="n">
        <x:v>45929.292808287035</x:v>
      </x:c>
      <x:c r="J191" s="16" t="n">
        <x:v>46004.292808287035</x:v>
      </x:c>
      <x:c r="K191" s="16" t="n">
        <x:v>46008.292808287035</x:v>
      </x:c>
      <x:c r="L191" s="20" t="n">
        <x:v>1035.18</x:v>
      </x:c>
      <x:c r="M191" s="20" t="n">
        <x:v>2.9</x:v>
      </x:c>
      <x:c r="N191" s="20" t="n">
        <x:v>0</x:v>
      </x:c>
      <x:c r="O191" s="20" t="n">
        <x:v>1038.08</x:v>
      </x:c>
      <x:c r="P191" s="20" t="n">
        <x:v>0</x:v>
      </x:c>
      <x:c r="Q191" s="10" t="str">
        <x:v>Pago</x:v>
      </x:c>
      <x:c r="R191" s="10" t="str">
        <x:v>Boleto</x:v>
      </x:c>
      <x:c r="S191" s="10" t="str">
        <x:v>2025-09</x:v>
      </x:c>
      <x:c r="T191" s="10" t="n">
        <x:v>0</x:v>
      </x:c>
      <x:c r="U191" s="10" t="str">
        <x:v>Liquidado</x:v>
      </x:c>
      <x:c r="V191" s="10" t="str">
        <x:v>UND002</x:v>
      </x:c>
    </x:row>
    <x:row r="192" ht="18" customHeight="1">
      <x:c r="A192" s="10" t="str">
        <x:v>PAG00191</x:v>
      </x:c>
      <x:c r="B192" s="10" t="str">
        <x:v>EMP002</x:v>
      </x:c>
      <x:c r="C192" s="10" t="str">
        <x:v>FOR060</x:v>
      </x:c>
      <x:c r="D192" s="10" t="str">
        <x:v>CC005</x:v>
      </x:c>
      <x:c r="E192" s="10" t="str">
        <x:v>CAT014</x:v>
      </x:c>
      <x:c r="F192" s="10" t="str">
        <x:v>CTA003</x:v>
      </x:c>
      <x:c r="G192" s="10" t="str">
        <x:v>NF-100191</x:v>
      </x:c>
      <x:c r="H192" s="10" t="str">
        <x:v>Despesa operacional</x:v>
      </x:c>
      <x:c r="I192" s="16" t="n">
        <x:v>45602.80020650463</x:v>
      </x:c>
      <x:c r="J192" s="16" t="n">
        <x:v>45677.80020650463</x:v>
      </x:c>
      <x:c r="K192" s="16" t="n">
        <x:v>45680.80020650463</x:v>
      </x:c>
      <x:c r="L192" s="20" t="n">
        <x:v>100484.95</x:v>
      </x:c>
      <x:c r="M192" s="20" t="n">
        <x:v>211.02</x:v>
      </x:c>
      <x:c r="N192" s="20" t="n">
        <x:v>0</x:v>
      </x:c>
      <x:c r="O192" s="20" t="n">
        <x:v>100695.97</x:v>
      </x:c>
      <x:c r="P192" s="20" t="n">
        <x:v>0</x:v>
      </x:c>
      <x:c r="Q192" s="10" t="str">
        <x:v>Pago</x:v>
      </x:c>
      <x:c r="R192" s="10" t="str">
        <x:v>PIX</x:v>
      </x:c>
      <x:c r="S192" s="10" t="str">
        <x:v>2024-11</x:v>
      </x:c>
      <x:c r="T192" s="10" t="n">
        <x:v>0</x:v>
      </x:c>
      <x:c r="U192" s="10" t="str">
        <x:v>Liquidado</x:v>
      </x:c>
      <x:c r="V192" s="10" t="str">
        <x:v>UND003</x:v>
      </x:c>
    </x:row>
    <x:row r="193" ht="18" customHeight="1">
      <x:c r="A193" s="10" t="str">
        <x:v>PAG00192</x:v>
      </x:c>
      <x:c r="B193" s="10" t="str">
        <x:v>EMP003</x:v>
      </x:c>
      <x:c r="C193" s="10" t="str">
        <x:v>FOR056</x:v>
      </x:c>
      <x:c r="D193" s="10" t="str">
        <x:v>CC001</x:v>
      </x:c>
      <x:c r="E193" s="10" t="str">
        <x:v>CAT012</x:v>
      </x:c>
      <x:c r="F193" s="10" t="str">
        <x:v>CTA006</x:v>
      </x:c>
      <x:c r="G193" s="10" t="str">
        <x:v>NF-100192</x:v>
      </x:c>
      <x:c r="H193" s="10" t="str">
        <x:v>Despesa operacional</x:v>
      </x:c>
      <x:c r="I193" s="16" t="n">
        <x:v>45999.900851516206</x:v>
      </x:c>
      <x:c r="J193" s="16" t="n">
        <x:v>46034.900851516206</x:v>
      </x:c>
      <x:c r="K193" s="16"/>
      <x:c r="L193" s="20" t="n">
        <x:v>107427.51</x:v>
      </x:c>
      <x:c r="M193" s="20" t="n">
        <x:v>0</x:v>
      </x:c>
      <x:c r="N193" s="20" t="n">
        <x:v>0</x:v>
      </x:c>
      <x:c r="O193" s="20" t="n">
        <x:v>0</x:v>
      </x:c>
      <x:c r="P193" s="20" t="n">
        <x:v>107427.51</x:v>
      </x:c>
      <x:c r="Q193" s="10" t="str">
        <x:v>A vencer</x:v>
      </x:c>
      <x:c r="R193" s="10" t="str">
        <x:v>Débito Automático</x:v>
      </x:c>
      <x:c r="S193" s="10" t="str">
        <x:v>2025-12</x:v>
      </x:c>
      <x:c r="T193" s="10" t="n">
        <x:v>0</x:v>
      </x:c>
      <x:c r="U193" s="10" t="str">
        <x:v>A vencer</x:v>
      </x:c>
      <x:c r="V193" s="10" t="str">
        <x:v>UND004</x:v>
      </x:c>
    </x:row>
    <x:row r="194" ht="18" customHeight="1">
      <x:c r="A194" s="10" t="str">
        <x:v>PAG00193</x:v>
      </x:c>
      <x:c r="B194" s="10" t="str">
        <x:v>EMP003</x:v>
      </x:c>
      <x:c r="C194" s="10" t="str">
        <x:v>FOR006</x:v>
      </x:c>
      <x:c r="D194" s="10" t="str">
        <x:v>CC007</x:v>
      </x:c>
      <x:c r="E194" s="10" t="str">
        <x:v>CAT012</x:v>
      </x:c>
      <x:c r="F194" s="10" t="str">
        <x:v>CTA006</x:v>
      </x:c>
      <x:c r="G194" s="10" t="str">
        <x:v>NF-100193</x:v>
      </x:c>
      <x:c r="H194" s="10" t="str">
        <x:v>Contrato recorrente</x:v>
      </x:c>
      <x:c r="I194" s="16" t="n">
        <x:v>45456.79125898148</x:v>
      </x:c>
      <x:c r="J194" s="16" t="n">
        <x:v>45501.79125898148</x:v>
      </x:c>
      <x:c r="K194" s="16" t="n">
        <x:v>45505.79125898148</x:v>
      </x:c>
      <x:c r="L194" s="20" t="n">
        <x:v>60486.04</x:v>
      </x:c>
      <x:c r="M194" s="20" t="n">
        <x:v>169.36</x:v>
      </x:c>
      <x:c r="N194" s="20" t="n">
        <x:v>0</x:v>
      </x:c>
      <x:c r="O194" s="20" t="n">
        <x:v>60655.4</x:v>
      </x:c>
      <x:c r="P194" s="20" t="n">
        <x:v>0</x:v>
      </x:c>
      <x:c r="Q194" s="10" t="str">
        <x:v>Pago</x:v>
      </x:c>
      <x:c r="R194" s="10" t="str">
        <x:v>Débito Automático</x:v>
      </x:c>
      <x:c r="S194" s="10" t="str">
        <x:v>2024-06</x:v>
      </x:c>
      <x:c r="T194" s="10" t="n">
        <x:v>0</x:v>
      </x:c>
      <x:c r="U194" s="10" t="str">
        <x:v>Liquidado</x:v>
      </x:c>
      <x:c r="V194" s="10" t="str">
        <x:v>UND004</x:v>
      </x:c>
    </x:row>
    <x:row r="195" ht="18" customHeight="1">
      <x:c r="A195" s="10" t="str">
        <x:v>PAG00194</x:v>
      </x:c>
      <x:c r="B195" s="10" t="str">
        <x:v>EMP002</x:v>
      </x:c>
      <x:c r="C195" s="10" t="str">
        <x:v>FOR026</x:v>
      </x:c>
      <x:c r="D195" s="10" t="str">
        <x:v>CC006</x:v>
      </x:c>
      <x:c r="E195" s="10" t="str">
        <x:v>CAT007</x:v>
      </x:c>
      <x:c r="F195" s="10" t="str">
        <x:v>CTA004</x:v>
      </x:c>
      <x:c r="G195" s="10" t="str">
        <x:v>NF-100194</x:v>
      </x:c>
      <x:c r="H195" s="10" t="str">
        <x:v>Tributos e taxas</x:v>
      </x:c>
      <x:c r="I195" s="16" t="n">
        <x:v>45306.29514206018</x:v>
      </x:c>
      <x:c r="J195" s="16" t="n">
        <x:v>45381.29514206018</x:v>
      </x:c>
      <x:c r="K195" s="16" t="n">
        <x:v>45376.29514206018</x:v>
      </x:c>
      <x:c r="L195" s="20" t="n">
        <x:v>10223.45</x:v>
      </x:c>
      <x:c r="M195" s="20" t="n">
        <x:v>0</x:v>
      </x:c>
      <x:c r="N195" s="20" t="n">
        <x:v>153.35</x:v>
      </x:c>
      <x:c r="O195" s="20" t="n">
        <x:v>10070.1</x:v>
      </x:c>
      <x:c r="P195" s="20" t="n">
        <x:v>0</x:v>
      </x:c>
      <x:c r="Q195" s="10" t="str">
        <x:v>Pago</x:v>
      </x:c>
      <x:c r="R195" s="10" t="str">
        <x:v>TED</x:v>
      </x:c>
      <x:c r="S195" s="10" t="str">
        <x:v>2024-01</x:v>
      </x:c>
      <x:c r="T195" s="10" t="n">
        <x:v>0</x:v>
      </x:c>
      <x:c r="U195" s="10" t="str">
        <x:v>Liquidado</x:v>
      </x:c>
      <x:c r="V195" s="10" t="str">
        <x:v>UND003</x:v>
      </x:c>
    </x:row>
    <x:row r="196" ht="18" customHeight="1">
      <x:c r="A196" s="10" t="str">
        <x:v>PAG00195</x:v>
      </x:c>
      <x:c r="B196" s="10" t="str">
        <x:v>EMP002</x:v>
      </x:c>
      <x:c r="C196" s="10" t="str">
        <x:v>FOR013</x:v>
      </x:c>
      <x:c r="D196" s="10" t="str">
        <x:v>CC006</x:v>
      </x:c>
      <x:c r="E196" s="10" t="str">
        <x:v>CAT017</x:v>
      </x:c>
      <x:c r="F196" s="10" t="str">
        <x:v>CTA004</x:v>
      </x:c>
      <x:c r="G196" s="10" t="str">
        <x:v>NF-100195</x:v>
      </x:c>
      <x:c r="H196" s="10" t="str">
        <x:v>Tributos e taxas</x:v>
      </x:c>
      <x:c r="I196" s="16" t="n">
        <x:v>45349.185211006945</x:v>
      </x:c>
      <x:c r="J196" s="16" t="n">
        <x:v>45377.185211006945</x:v>
      </x:c>
      <x:c r="K196" s="16" t="n">
        <x:v>45380.185211006945</x:v>
      </x:c>
      <x:c r="L196" s="20" t="n">
        <x:v>3371.57</x:v>
      </x:c>
      <x:c r="M196" s="20" t="n">
        <x:v>7.08</x:v>
      </x:c>
      <x:c r="N196" s="20" t="n">
        <x:v>0</x:v>
      </x:c>
      <x:c r="O196" s="20" t="n">
        <x:v>3378.65</x:v>
      </x:c>
      <x:c r="P196" s="20" t="n">
        <x:v>0</x:v>
      </x:c>
      <x:c r="Q196" s="10" t="str">
        <x:v>Pago</x:v>
      </x:c>
      <x:c r="R196" s="10" t="str">
        <x:v>Boleto</x:v>
      </x:c>
      <x:c r="S196" s="10" t="str">
        <x:v>2024-02</x:v>
      </x:c>
      <x:c r="T196" s="10" t="n">
        <x:v>0</x:v>
      </x:c>
      <x:c r="U196" s="10" t="str">
        <x:v>Liquidado</x:v>
      </x:c>
      <x:c r="V196" s="10" t="str">
        <x:v>UND003</x:v>
      </x:c>
    </x:row>
    <x:row r="197" ht="18" customHeight="1">
      <x:c r="A197" s="10" t="str">
        <x:v>PAG00196</x:v>
      </x:c>
      <x:c r="B197" s="10" t="str">
        <x:v>EMP001</x:v>
      </x:c>
      <x:c r="C197" s="10" t="str">
        <x:v>FOR022</x:v>
      </x:c>
      <x:c r="D197" s="10" t="str">
        <x:v>CC004</x:v>
      </x:c>
      <x:c r="E197" s="10" t="str">
        <x:v>CAT008</x:v>
      </x:c>
      <x:c r="F197" s="10" t="str">
        <x:v>CTA001</x:v>
      </x:c>
      <x:c r="G197" s="10" t="str">
        <x:v>NF-100196</x:v>
      </x:c>
      <x:c r="H197" s="10" t="str">
        <x:v>Compra de materiais</x:v>
      </x:c>
      <x:c r="I197" s="16" t="n">
        <x:v>45317.84226527778</x:v>
      </x:c>
      <x:c r="J197" s="16" t="n">
        <x:v>45352.84226527778</x:v>
      </x:c>
      <x:c r="K197" s="16" t="n">
        <x:v>45350.84226527778</x:v>
      </x:c>
      <x:c r="L197" s="20" t="n">
        <x:v>66539.67</x:v>
      </x:c>
      <x:c r="M197" s="20" t="n">
        <x:v>0</x:v>
      </x:c>
      <x:c r="N197" s="20" t="n">
        <x:v>0</x:v>
      </x:c>
      <x:c r="O197" s="20" t="n">
        <x:v>66539.67</x:v>
      </x:c>
      <x:c r="P197" s="20" t="n">
        <x:v>0</x:v>
      </x:c>
      <x:c r="Q197" s="10" t="str">
        <x:v>Pago</x:v>
      </x:c>
      <x:c r="R197" s="10" t="str">
        <x:v>Cartão Corporativo</x:v>
      </x:c>
      <x:c r="S197" s="10" t="str">
        <x:v>2024-01</x:v>
      </x:c>
      <x:c r="T197" s="10" t="n">
        <x:v>0</x:v>
      </x:c>
      <x:c r="U197" s="10" t="str">
        <x:v>Liquidado</x:v>
      </x:c>
      <x:c r="V197" s="10" t="str">
        <x:v>UND002</x:v>
      </x:c>
    </x:row>
    <x:row r="198" ht="18" customHeight="1">
      <x:c r="A198" s="10" t="str">
        <x:v>PAG00197</x:v>
      </x:c>
      <x:c r="B198" s="10" t="str">
        <x:v>EMP001</x:v>
      </x:c>
      <x:c r="C198" s="10" t="str">
        <x:v>FOR041</x:v>
      </x:c>
      <x:c r="D198" s="10" t="str">
        <x:v>CC001</x:v>
      </x:c>
      <x:c r="E198" s="10" t="str">
        <x:v>CAT008</x:v>
      </x:c>
      <x:c r="F198" s="10" t="str">
        <x:v>CTA002</x:v>
      </x:c>
      <x:c r="G198" s="10" t="str">
        <x:v>NF-100197</x:v>
      </x:c>
      <x:c r="H198" s="10" t="str">
        <x:v>Tributos e taxas</x:v>
      </x:c>
      <x:c r="I198" s="16" t="n">
        <x:v>45404.8610694213</x:v>
      </x:c>
      <x:c r="J198" s="16" t="n">
        <x:v>45434.8610694213</x:v>
      </x:c>
      <x:c r="K198" s="16" t="n">
        <x:v>45455.8610694213</x:v>
      </x:c>
      <x:c r="L198" s="20" t="n">
        <x:v>25807.97</x:v>
      </x:c>
      <x:c r="M198" s="20" t="n">
        <x:v>379.38</x:v>
      </x:c>
      <x:c r="N198" s="20" t="n">
        <x:v>0</x:v>
      </x:c>
      <x:c r="O198" s="20" t="n">
        <x:v>26187.35</x:v>
      </x:c>
      <x:c r="P198" s="20" t="n">
        <x:v>0</x:v>
      </x:c>
      <x:c r="Q198" s="10" t="str">
        <x:v>Pago</x:v>
      </x:c>
      <x:c r="R198" s="10" t="str">
        <x:v>PIX</x:v>
      </x:c>
      <x:c r="S198" s="10" t="str">
        <x:v>2024-04</x:v>
      </x:c>
      <x:c r="T198" s="10" t="n">
        <x:v>0</x:v>
      </x:c>
      <x:c r="U198" s="10" t="str">
        <x:v>Liquidado</x:v>
      </x:c>
      <x:c r="V198" s="10" t="str">
        <x:v>UND002</x:v>
      </x:c>
    </x:row>
    <x:row r="199" ht="18" customHeight="1">
      <x:c r="A199" s="10" t="str">
        <x:v>PAG00198</x:v>
      </x:c>
      <x:c r="B199" s="10" t="str">
        <x:v>EMP002</x:v>
      </x:c>
      <x:c r="C199" s="10" t="str">
        <x:v>FOR021</x:v>
      </x:c>
      <x:c r="D199" s="10" t="str">
        <x:v>CC005</x:v>
      </x:c>
      <x:c r="E199" s="10" t="str">
        <x:v>CAT005</x:v>
      </x:c>
      <x:c r="F199" s="10" t="str">
        <x:v>CTA003</x:v>
      </x:c>
      <x:c r="G199" s="10" t="str">
        <x:v>NF-100198</x:v>
      </x:c>
      <x:c r="H199" s="10" t="str">
        <x:v>Contrato recorrente</x:v>
      </x:c>
      <x:c r="I199" s="16" t="n">
        <x:v>45309.34579959491</x:v>
      </x:c>
      <x:c r="J199" s="16" t="n">
        <x:v>45344.34579959491</x:v>
      </x:c>
      <x:c r="K199" s="16" t="n">
        <x:v>45347.34579959491</x:v>
      </x:c>
      <x:c r="L199" s="20" t="n">
        <x:v>19019.42</x:v>
      </x:c>
      <x:c r="M199" s="20" t="n">
        <x:v>39.94</x:v>
      </x:c>
      <x:c r="N199" s="20" t="n">
        <x:v>0</x:v>
      </x:c>
      <x:c r="O199" s="20" t="n">
        <x:v>19059.36</x:v>
      </x:c>
      <x:c r="P199" s="20" t="n">
        <x:v>0</x:v>
      </x:c>
      <x:c r="Q199" s="10" t="str">
        <x:v>Pago</x:v>
      </x:c>
      <x:c r="R199" s="10" t="str">
        <x:v>Boleto</x:v>
      </x:c>
      <x:c r="S199" s="10" t="str">
        <x:v>2024-01</x:v>
      </x:c>
      <x:c r="T199" s="10" t="n">
        <x:v>0</x:v>
      </x:c>
      <x:c r="U199" s="10" t="str">
        <x:v>Liquidado</x:v>
      </x:c>
      <x:c r="V199" s="10" t="str">
        <x:v>UND003</x:v>
      </x:c>
    </x:row>
    <x:row r="200" ht="18" customHeight="1">
      <x:c r="A200" s="10" t="str">
        <x:v>PAG00199</x:v>
      </x:c>
      <x:c r="B200" s="10" t="str">
        <x:v>EMP003</x:v>
      </x:c>
      <x:c r="C200" s="10" t="str">
        <x:v>FOR053</x:v>
      </x:c>
      <x:c r="D200" s="10" t="str">
        <x:v>CC006</x:v>
      </x:c>
      <x:c r="E200" s="10" t="str">
        <x:v>CAT016</x:v>
      </x:c>
      <x:c r="F200" s="10" t="str">
        <x:v>CTA006</x:v>
      </x:c>
      <x:c r="G200" s="10" t="str">
        <x:v>NF-100199</x:v>
      </x:c>
      <x:c r="H200" s="10" t="str">
        <x:v>Contrato recorrente</x:v>
      </x:c>
      <x:c r="I200" s="16" t="n">
        <x:v>45836.238766979164</x:v>
      </x:c>
      <x:c r="J200" s="16" t="n">
        <x:v>45911.238766979164</x:v>
      </x:c>
      <x:c r="K200" s="16"/>
      <x:c r="L200" s="20" t="n">
        <x:v>99633.26</x:v>
      </x:c>
      <x:c r="M200" s="20" t="n">
        <x:v>0</x:v>
      </x:c>
      <x:c r="N200" s="20" t="n">
        <x:v>0</x:v>
      </x:c>
      <x:c r="O200" s="20" t="n">
        <x:v>0</x:v>
      </x:c>
      <x:c r="P200" s="20" t="n">
        <x:v>99633.26</x:v>
      </x:c>
      <x:c r="Q200" s="10" t="str">
        <x:v>Vencido</x:v>
      </x:c>
      <x:c r="R200" s="10" t="str">
        <x:v>PIX</x:v>
      </x:c>
      <x:c r="S200" s="10" t="str">
        <x:v>2025-06</x:v>
      </x:c>
      <x:c r="T200" s="10" t="n">
        <x:v>110</x:v>
      </x:c>
      <x:c r="U200" s="10" t="str">
        <x:v>91 a 120 dias</x:v>
      </x:c>
      <x:c r="V200" s="10" t="str">
        <x:v>UND004</x:v>
      </x:c>
    </x:row>
    <x:row r="201" ht="18" customHeight="1">
      <x:c r="A201" s="10" t="str">
        <x:v>PAG00200</x:v>
      </x:c>
      <x:c r="B201" s="10" t="str">
        <x:v>EMP003</x:v>
      </x:c>
      <x:c r="C201" s="10" t="str">
        <x:v>FOR015</x:v>
      </x:c>
      <x:c r="D201" s="10" t="str">
        <x:v>CC004</x:v>
      </x:c>
      <x:c r="E201" s="10" t="str">
        <x:v>CAT005</x:v>
      </x:c>
      <x:c r="F201" s="10" t="str">
        <x:v>CTA005</x:v>
      </x:c>
      <x:c r="G201" s="10" t="str">
        <x:v>NF-100200</x:v>
      </x:c>
      <x:c r="H201" s="10" t="str">
        <x:v>Tributos e taxas</x:v>
      </x:c>
      <x:c r="I201" s="16" t="n">
        <x:v>45456.1758871412</x:v>
      </x:c>
      <x:c r="J201" s="16" t="n">
        <x:v>45471.1758871412</x:v>
      </x:c>
      <x:c r="K201" s="16" t="n">
        <x:v>45476.1758871412</x:v>
      </x:c>
      <x:c r="L201" s="20" t="n">
        <x:v>40638.02</x:v>
      </x:c>
      <x:c r="M201" s="20" t="n">
        <x:v>142.23</x:v>
      </x:c>
      <x:c r="N201" s="20" t="n">
        <x:v>0</x:v>
      </x:c>
      <x:c r="O201" s="20" t="n">
        <x:v>40780.25</x:v>
      </x:c>
      <x:c r="P201" s="20" t="n">
        <x:v>0</x:v>
      </x:c>
      <x:c r="Q201" s="10" t="str">
        <x:v>Pago</x:v>
      </x:c>
      <x:c r="R201" s="10" t="str">
        <x:v>Débito Automático</x:v>
      </x:c>
      <x:c r="S201" s="10" t="str">
        <x:v>2024-06</x:v>
      </x:c>
      <x:c r="T201" s="10" t="n">
        <x:v>0</x:v>
      </x:c>
      <x:c r="U201" s="10" t="str">
        <x:v>Liquidado</x:v>
      </x:c>
      <x:c r="V201" s="10" t="str">
        <x:v>UND004</x:v>
      </x:c>
    </x:row>
    <x:row r="202" ht="18" customHeight="1">
      <x:c r="A202" s="10" t="str">
        <x:v>PAG00201</x:v>
      </x:c>
      <x:c r="B202" s="10" t="str">
        <x:v>EMP003</x:v>
      </x:c>
      <x:c r="C202" s="10" t="str">
        <x:v>FOR023</x:v>
      </x:c>
      <x:c r="D202" s="10" t="str">
        <x:v>CC004</x:v>
      </x:c>
      <x:c r="E202" s="10" t="str">
        <x:v>CAT007</x:v>
      </x:c>
      <x:c r="F202" s="10" t="str">
        <x:v>CTA006</x:v>
      </x:c>
      <x:c r="G202" s="10" t="str">
        <x:v>NF-100201</x:v>
      </x:c>
      <x:c r="H202" s="10" t="str">
        <x:v>Compra de materiais</x:v>
      </x:c>
      <x:c r="I202" s="16" t="n">
        <x:v>45780.107789340276</x:v>
      </x:c>
      <x:c r="J202" s="16" t="n">
        <x:v>45815.107789340276</x:v>
      </x:c>
      <x:c r="K202" s="16" t="n">
        <x:v>45811.107789340276</x:v>
      </x:c>
      <x:c r="L202" s="20" t="n">
        <x:v>26110.14</x:v>
      </x:c>
      <x:c r="M202" s="20" t="n">
        <x:v>0</x:v>
      </x:c>
      <x:c r="N202" s="20" t="n">
        <x:v>0</x:v>
      </x:c>
      <x:c r="O202" s="20" t="n">
        <x:v>26110.14</x:v>
      </x:c>
      <x:c r="P202" s="20" t="n">
        <x:v>0</x:v>
      </x:c>
      <x:c r="Q202" s="10" t="str">
        <x:v>Pago</x:v>
      </x:c>
      <x:c r="R202" s="10" t="str">
        <x:v>TED</x:v>
      </x:c>
      <x:c r="S202" s="10" t="str">
        <x:v>2025-05</x:v>
      </x:c>
      <x:c r="T202" s="10" t="n">
        <x:v>0</x:v>
      </x:c>
      <x:c r="U202" s="10" t="str">
        <x:v>Liquidado</x:v>
      </x:c>
      <x:c r="V202" s="10" t="str">
        <x:v>UND004</x:v>
      </x:c>
    </x:row>
    <x:row r="203" ht="18" customHeight="1">
      <x:c r="A203" s="10" t="str">
        <x:v>PAG00202</x:v>
      </x:c>
      <x:c r="B203" s="10" t="str">
        <x:v>EMP002</x:v>
      </x:c>
      <x:c r="C203" s="10" t="str">
        <x:v>FOR014</x:v>
      </x:c>
      <x:c r="D203" s="10" t="str">
        <x:v>CC008</x:v>
      </x:c>
      <x:c r="E203" s="10" t="str">
        <x:v>CAT012</x:v>
      </x:c>
      <x:c r="F203" s="10" t="str">
        <x:v>CTA004</x:v>
      </x:c>
      <x:c r="G203" s="10" t="str">
        <x:v>NF-100202</x:v>
      </x:c>
      <x:c r="H203" s="10" t="str">
        <x:v>Tributos e taxas</x:v>
      </x:c>
      <x:c r="I203" s="16" t="n">
        <x:v>45681.01852226852</x:v>
      </x:c>
      <x:c r="J203" s="16" t="n">
        <x:v>45716.01852226852</x:v>
      </x:c>
      <x:c r="K203" s="16" t="n">
        <x:v>45731.01852226852</x:v>
      </x:c>
      <x:c r="L203" s="20" t="n">
        <x:v>86997.02</x:v>
      </x:c>
      <x:c r="M203" s="20" t="n">
        <x:v>913.47</x:v>
      </x:c>
      <x:c r="N203" s="20" t="n">
        <x:v>0</x:v>
      </x:c>
      <x:c r="O203" s="20" t="n">
        <x:v>87910.49</x:v>
      </x:c>
      <x:c r="P203" s="20" t="n">
        <x:v>0</x:v>
      </x:c>
      <x:c r="Q203" s="10" t="str">
        <x:v>Pago</x:v>
      </x:c>
      <x:c r="R203" s="10" t="str">
        <x:v>Débito Automático</x:v>
      </x:c>
      <x:c r="S203" s="10" t="str">
        <x:v>2025-01</x:v>
      </x:c>
      <x:c r="T203" s="10" t="n">
        <x:v>0</x:v>
      </x:c>
      <x:c r="U203" s="10" t="str">
        <x:v>Liquidado</x:v>
      </x:c>
      <x:c r="V203" s="10" t="str">
        <x:v>UND003</x:v>
      </x:c>
    </x:row>
    <x:row r="204" ht="18" customHeight="1">
      <x:c r="A204" s="10" t="str">
        <x:v>PAG00203</x:v>
      </x:c>
      <x:c r="B204" s="10" t="str">
        <x:v>EMP001</x:v>
      </x:c>
      <x:c r="C204" s="10" t="str">
        <x:v>FOR028</x:v>
      </x:c>
      <x:c r="D204" s="10" t="str">
        <x:v>CC001</x:v>
      </x:c>
      <x:c r="E204" s="10" t="str">
        <x:v>CAT011</x:v>
      </x:c>
      <x:c r="F204" s="10" t="str">
        <x:v>CTA002</x:v>
      </x:c>
      <x:c r="G204" s="10" t="str">
        <x:v>NF-100203</x:v>
      </x:c>
      <x:c r="H204" s="10" t="str">
        <x:v>Contrato recorrente</x:v>
      </x:c>
      <x:c r="I204" s="16" t="n">
        <x:v>45742.81684847222</x:v>
      </x:c>
      <x:c r="J204" s="16" t="n">
        <x:v>45762.81684847222</x:v>
      </x:c>
      <x:c r="K204" s="16" t="n">
        <x:v>45759.81684847222</x:v>
      </x:c>
      <x:c r="L204" s="20" t="n">
        <x:v>33320.88</x:v>
      </x:c>
      <x:c r="M204" s="20" t="n">
        <x:v>0</x:v>
      </x:c>
      <x:c r="N204" s="20" t="n">
        <x:v>333.21</x:v>
      </x:c>
      <x:c r="O204" s="20" t="n">
        <x:v>32987.67</x:v>
      </x:c>
      <x:c r="P204" s="20" t="n">
        <x:v>0</x:v>
      </x:c>
      <x:c r="Q204" s="10" t="str">
        <x:v>Pago</x:v>
      </x:c>
      <x:c r="R204" s="10" t="str">
        <x:v>Boleto</x:v>
      </x:c>
      <x:c r="S204" s="10" t="str">
        <x:v>2025-03</x:v>
      </x:c>
      <x:c r="T204" s="10" t="n">
        <x:v>0</x:v>
      </x:c>
      <x:c r="U204" s="10" t="str">
        <x:v>Liquidado</x:v>
      </x:c>
      <x:c r="V204" s="10" t="str">
        <x:v>UND001</x:v>
      </x:c>
    </x:row>
    <x:row r="205" ht="18" customHeight="1">
      <x:c r="A205" s="10" t="str">
        <x:v>PAG00204</x:v>
      </x:c>
      <x:c r="B205" s="10" t="str">
        <x:v>EMP003</x:v>
      </x:c>
      <x:c r="C205" s="10" t="str">
        <x:v>FOR060</x:v>
      </x:c>
      <x:c r="D205" s="10" t="str">
        <x:v>CC003</x:v>
      </x:c>
      <x:c r="E205" s="10" t="str">
        <x:v>CAT016</x:v>
      </x:c>
      <x:c r="F205" s="10" t="str">
        <x:v>CTA006</x:v>
      </x:c>
      <x:c r="G205" s="10" t="str">
        <x:v>NF-100204</x:v>
      </x:c>
      <x:c r="H205" s="10" t="str">
        <x:v>Prestação de serviços</x:v>
      </x:c>
      <x:c r="I205" s="16" t="n">
        <x:v>45702.83014908565</x:v>
      </x:c>
      <x:c r="J205" s="16" t="n">
        <x:v>45717.83014908565</x:v>
      </x:c>
      <x:c r="K205" s="16" t="n">
        <x:v>45715.83014908565</x:v>
      </x:c>
      <x:c r="L205" s="20" t="n">
        <x:v>40080.51</x:v>
      </x:c>
      <x:c r="M205" s="20" t="n">
        <x:v>0</x:v>
      </x:c>
      <x:c r="N205" s="20" t="n">
        <x:v>0</x:v>
      </x:c>
      <x:c r="O205" s="20" t="n">
        <x:v>40080.51</x:v>
      </x:c>
      <x:c r="P205" s="20" t="n">
        <x:v>0</x:v>
      </x:c>
      <x:c r="Q205" s="10" t="str">
        <x:v>Pago</x:v>
      </x:c>
      <x:c r="R205" s="10" t="str">
        <x:v>TED</x:v>
      </x:c>
      <x:c r="S205" s="10" t="str">
        <x:v>2025-02</x:v>
      </x:c>
      <x:c r="T205" s="10" t="n">
        <x:v>0</x:v>
      </x:c>
      <x:c r="U205" s="10" t="str">
        <x:v>Liquidado</x:v>
      </x:c>
      <x:c r="V205" s="10" t="str">
        <x:v>UND004</x:v>
      </x:c>
    </x:row>
    <x:row r="206" ht="18" customHeight="1">
      <x:c r="A206" s="10" t="str">
        <x:v>PAG00205</x:v>
      </x:c>
      <x:c r="B206" s="10" t="str">
        <x:v>EMP001</x:v>
      </x:c>
      <x:c r="C206" s="10" t="str">
        <x:v>FOR031</x:v>
      </x:c>
      <x:c r="D206" s="10" t="str">
        <x:v>CC007</x:v>
      </x:c>
      <x:c r="E206" s="10" t="str">
        <x:v>CAT006</x:v>
      </x:c>
      <x:c r="F206" s="10" t="str">
        <x:v>CTA002</x:v>
      </x:c>
      <x:c r="G206" s="10" t="str">
        <x:v>NF-100205</x:v>
      </x:c>
      <x:c r="H206" s="10" t="str">
        <x:v>Tributos e taxas</x:v>
      </x:c>
      <x:c r="I206" s="16" t="n">
        <x:v>45333.98096185185</x:v>
      </x:c>
      <x:c r="J206" s="16" t="n">
        <x:v>45393.98096185185</x:v>
      </x:c>
      <x:c r="K206" s="16"/>
      <x:c r="L206" s="20" t="n">
        <x:v>6367.21</x:v>
      </x:c>
      <x:c r="M206" s="20" t="n">
        <x:v>0</x:v>
      </x:c>
      <x:c r="N206" s="20" t="n">
        <x:v>0</x:v>
      </x:c>
      <x:c r="O206" s="20" t="n">
        <x:v>0</x:v>
      </x:c>
      <x:c r="P206" s="20" t="n">
        <x:v>6367.21</x:v>
      </x:c>
      <x:c r="Q206" s="10" t="str">
        <x:v>Vencido</x:v>
      </x:c>
      <x:c r="R206" s="10" t="str">
        <x:v>Boleto</x:v>
      </x:c>
      <x:c r="S206" s="10" t="str">
        <x:v>2024-02</x:v>
      </x:c>
      <x:c r="T206" s="10" t="n">
        <x:v>628</x:v>
      </x:c>
      <x:c r="U206" s="10" t="str">
        <x:v>&gt; 120 dias</x:v>
      </x:c>
      <x:c r="V206" s="10" t="str">
        <x:v>UND001</x:v>
      </x:c>
    </x:row>
    <x:row r="207" ht="18" customHeight="1">
      <x:c r="A207" s="10" t="str">
        <x:v>PAG00206</x:v>
      </x:c>
      <x:c r="B207" s="10" t="str">
        <x:v>EMP003</x:v>
      </x:c>
      <x:c r="C207" s="10" t="str">
        <x:v>FOR006</x:v>
      </x:c>
      <x:c r="D207" s="10" t="str">
        <x:v>CC004</x:v>
      </x:c>
      <x:c r="E207" s="10" t="str">
        <x:v>CAT015</x:v>
      </x:c>
      <x:c r="F207" s="10" t="str">
        <x:v>CTA006</x:v>
      </x:c>
      <x:c r="G207" s="10" t="str">
        <x:v>NF-100206</x:v>
      </x:c>
      <x:c r="H207" s="10" t="str">
        <x:v>Tributos e taxas</x:v>
      </x:c>
      <x:c r="I207" s="16" t="n">
        <x:v>45474.89666436343</x:v>
      </x:c>
      <x:c r="J207" s="16" t="n">
        <x:v>45504.89666436343</x:v>
      </x:c>
      <x:c r="K207" s="16" t="n">
        <x:v>45539.89666436343</x:v>
      </x:c>
      <x:c r="L207" s="20" t="n">
        <x:v>52427.66</x:v>
      </x:c>
      <x:c r="M207" s="20" t="n">
        <x:v>1284.48</x:v>
      </x:c>
      <x:c r="N207" s="20" t="n">
        <x:v>0</x:v>
      </x:c>
      <x:c r="O207" s="20" t="n">
        <x:v>53712.14</x:v>
      </x:c>
      <x:c r="P207" s="20" t="n">
        <x:v>0</x:v>
      </x:c>
      <x:c r="Q207" s="10" t="str">
        <x:v>Pago</x:v>
      </x:c>
      <x:c r="R207" s="10" t="str">
        <x:v>Cartão Corporativo</x:v>
      </x:c>
      <x:c r="S207" s="10" t="str">
        <x:v>2024-07</x:v>
      </x:c>
      <x:c r="T207" s="10" t="n">
        <x:v>0</x:v>
      </x:c>
      <x:c r="U207" s="10" t="str">
        <x:v>Liquidado</x:v>
      </x:c>
      <x:c r="V207" s="10" t="str">
        <x:v>UND004</x:v>
      </x:c>
    </x:row>
    <x:row r="208" ht="18" customHeight="1">
      <x:c r="A208" s="10" t="str">
        <x:v>PAG00207</x:v>
      </x:c>
      <x:c r="B208" s="10" t="str">
        <x:v>EMP003</x:v>
      </x:c>
      <x:c r="C208" s="10" t="str">
        <x:v>FOR005</x:v>
      </x:c>
      <x:c r="D208" s="10" t="str">
        <x:v>CC002</x:v>
      </x:c>
      <x:c r="E208" s="10" t="str">
        <x:v>CAT010</x:v>
      </x:c>
      <x:c r="F208" s="10" t="str">
        <x:v>CTA006</x:v>
      </x:c>
      <x:c r="G208" s="10" t="str">
        <x:v>NF-100207</x:v>
      </x:c>
      <x:c r="H208" s="10" t="str">
        <x:v>Prestação de serviços</x:v>
      </x:c>
      <x:c r="I208" s="16" t="n">
        <x:v>45767.13894246528</x:v>
      </x:c>
      <x:c r="J208" s="16" t="n">
        <x:v>45797.13894246528</x:v>
      </x:c>
      <x:c r="K208" s="16" t="n">
        <x:v>45809.13894246528</x:v>
      </x:c>
      <x:c r="L208" s="20" t="n">
        <x:v>4775.75</x:v>
      </x:c>
      <x:c r="M208" s="20" t="n">
        <x:v>40.12</x:v>
      </x:c>
      <x:c r="N208" s="20" t="n">
        <x:v>0</x:v>
      </x:c>
      <x:c r="O208" s="20" t="n">
        <x:v>4815.87</x:v>
      </x:c>
      <x:c r="P208" s="20" t="n">
        <x:v>0</x:v>
      </x:c>
      <x:c r="Q208" s="10" t="str">
        <x:v>Pago</x:v>
      </x:c>
      <x:c r="R208" s="10" t="str">
        <x:v>Débito Automático</x:v>
      </x:c>
      <x:c r="S208" s="10" t="str">
        <x:v>2025-04</x:v>
      </x:c>
      <x:c r="T208" s="10" t="n">
        <x:v>0</x:v>
      </x:c>
      <x:c r="U208" s="10" t="str">
        <x:v>Liquidado</x:v>
      </x:c>
      <x:c r="V208" s="10" t="str">
        <x:v>UND004</x:v>
      </x:c>
    </x:row>
    <x:row r="209" ht="18" customHeight="1">
      <x:c r="A209" s="10" t="str">
        <x:v>PAG00208</x:v>
      </x:c>
      <x:c r="B209" s="10" t="str">
        <x:v>EMP002</x:v>
      </x:c>
      <x:c r="C209" s="10" t="str">
        <x:v>FOR021</x:v>
      </x:c>
      <x:c r="D209" s="10" t="str">
        <x:v>CC005</x:v>
      </x:c>
      <x:c r="E209" s="10" t="str">
        <x:v>CAT015</x:v>
      </x:c>
      <x:c r="F209" s="10" t="str">
        <x:v>CTA003</x:v>
      </x:c>
      <x:c r="G209" s="10" t="str">
        <x:v>NF-100208</x:v>
      </x:c>
      <x:c r="H209" s="10" t="str">
        <x:v>Despesa operacional</x:v>
      </x:c>
      <x:c r="I209" s="16" t="n">
        <x:v>45693.90858394676</x:v>
      </x:c>
      <x:c r="J209" s="16" t="n">
        <x:v>45753.90858394676</x:v>
      </x:c>
      <x:c r="K209" s="16" t="n">
        <x:v>45756.90858394676</x:v>
      </x:c>
      <x:c r="L209" s="20" t="n">
        <x:v>1264.86</x:v>
      </x:c>
      <x:c r="M209" s="20" t="n">
        <x:v>2.66</x:v>
      </x:c>
      <x:c r="N209" s="20" t="n">
        <x:v>0</x:v>
      </x:c>
      <x:c r="O209" s="20" t="n">
        <x:v>1267.52</x:v>
      </x:c>
      <x:c r="P209" s="20" t="n">
        <x:v>0</x:v>
      </x:c>
      <x:c r="Q209" s="10" t="str">
        <x:v>Pago</x:v>
      </x:c>
      <x:c r="R209" s="10" t="str">
        <x:v>Débito Automático</x:v>
      </x:c>
      <x:c r="S209" s="10" t="str">
        <x:v>2025-02</x:v>
      </x:c>
      <x:c r="T209" s="10" t="n">
        <x:v>0</x:v>
      </x:c>
      <x:c r="U209" s="10" t="str">
        <x:v>Liquidado</x:v>
      </x:c>
      <x:c r="V209" s="10" t="str">
        <x:v>UND003</x:v>
      </x:c>
    </x:row>
    <x:row r="210" ht="18" customHeight="1">
      <x:c r="A210" s="10" t="str">
        <x:v>PAG00209</x:v>
      </x:c>
      <x:c r="B210" s="10" t="str">
        <x:v>EMP001</x:v>
      </x:c>
      <x:c r="C210" s="10" t="str">
        <x:v>FOR032</x:v>
      </x:c>
      <x:c r="D210" s="10" t="str">
        <x:v>CC001</x:v>
      </x:c>
      <x:c r="E210" s="10" t="str">
        <x:v>CAT013</x:v>
      </x:c>
      <x:c r="F210" s="10" t="str">
        <x:v>CTA001</x:v>
      </x:c>
      <x:c r="G210" s="10" t="str">
        <x:v>NF-100209</x:v>
      </x:c>
      <x:c r="H210" s="10" t="str">
        <x:v>Tributos e taxas</x:v>
      </x:c>
      <x:c r="I210" s="16" t="n">
        <x:v>45818.51637803241</x:v>
      </x:c>
      <x:c r="J210" s="16" t="n">
        <x:v>45863.51637803241</x:v>
      </x:c>
      <x:c r="K210" s="16" t="n">
        <x:v>45868.51637803241</x:v>
      </x:c>
      <x:c r="L210" s="20" t="n">
        <x:v>20333.75</x:v>
      </x:c>
      <x:c r="M210" s="20" t="n">
        <x:v>71.17</x:v>
      </x:c>
      <x:c r="N210" s="20" t="n">
        <x:v>0</x:v>
      </x:c>
      <x:c r="O210" s="20" t="n">
        <x:v>20404.92</x:v>
      </x:c>
      <x:c r="P210" s="20" t="n">
        <x:v>0</x:v>
      </x:c>
      <x:c r="Q210" s="10" t="str">
        <x:v>Pago</x:v>
      </x:c>
      <x:c r="R210" s="10" t="str">
        <x:v>Boleto</x:v>
      </x:c>
      <x:c r="S210" s="10" t="str">
        <x:v>2025-06</x:v>
      </x:c>
      <x:c r="T210" s="10" t="n">
        <x:v>0</x:v>
      </x:c>
      <x:c r="U210" s="10" t="str">
        <x:v>Liquidado</x:v>
      </x:c>
      <x:c r="V210" s="10" t="str">
        <x:v>UND002</x:v>
      </x:c>
    </x:row>
    <x:row r="211" ht="18" customHeight="1">
      <x:c r="A211" s="10" t="str">
        <x:v>PAG00210</x:v>
      </x:c>
      <x:c r="B211" s="10" t="str">
        <x:v>EMP001</x:v>
      </x:c>
      <x:c r="C211" s="10" t="str">
        <x:v>FOR002</x:v>
      </x:c>
      <x:c r="D211" s="10" t="str">
        <x:v>CC006</x:v>
      </x:c>
      <x:c r="E211" s="10" t="str">
        <x:v>CAT009</x:v>
      </x:c>
      <x:c r="F211" s="10" t="str">
        <x:v>CTA001</x:v>
      </x:c>
      <x:c r="G211" s="10" t="str">
        <x:v>NF-100210</x:v>
      </x:c>
      <x:c r="H211" s="10" t="str">
        <x:v>Despesa operacional</x:v>
      </x:c>
      <x:c r="I211" s="16" t="n">
        <x:v>45752.46817344907</x:v>
      </x:c>
      <x:c r="J211" s="16" t="n">
        <x:v>45797.46817344907</x:v>
      </x:c>
      <x:c r="K211" s="16" t="n">
        <x:v>45793.46817344907</x:v>
      </x:c>
      <x:c r="L211" s="20" t="n">
        <x:v>54306.05</x:v>
      </x:c>
      <x:c r="M211" s="20" t="n">
        <x:v>0</x:v>
      </x:c>
      <x:c r="N211" s="20" t="n">
        <x:v>543.06</x:v>
      </x:c>
      <x:c r="O211" s="20" t="n">
        <x:v>53762.99</x:v>
      </x:c>
      <x:c r="P211" s="20" t="n">
        <x:v>0</x:v>
      </x:c>
      <x:c r="Q211" s="10" t="str">
        <x:v>Pago</x:v>
      </x:c>
      <x:c r="R211" s="10" t="str">
        <x:v>PIX</x:v>
      </x:c>
      <x:c r="S211" s="10" t="str">
        <x:v>2025-04</x:v>
      </x:c>
      <x:c r="T211" s="10" t="n">
        <x:v>0</x:v>
      </x:c>
      <x:c r="U211" s="10" t="str">
        <x:v>Liquidado</x:v>
      </x:c>
      <x:c r="V211" s="10" t="str">
        <x:v>UND002</x:v>
      </x:c>
    </x:row>
    <x:row r="212" ht="18" customHeight="1">
      <x:c r="A212" s="10" t="str">
        <x:v>PAG00211</x:v>
      </x:c>
      <x:c r="B212" s="10" t="str">
        <x:v>EMP003</x:v>
      </x:c>
      <x:c r="C212" s="10" t="str">
        <x:v>FOR060</x:v>
      </x:c>
      <x:c r="D212" s="10" t="str">
        <x:v>CC004</x:v>
      </x:c>
      <x:c r="E212" s="10" t="str">
        <x:v>CAT014</x:v>
      </x:c>
      <x:c r="F212" s="10" t="str">
        <x:v>CTA005</x:v>
      </x:c>
      <x:c r="G212" s="10" t="str">
        <x:v>NF-100211</x:v>
      </x:c>
      <x:c r="H212" s="10" t="str">
        <x:v>Despesa operacional</x:v>
      </x:c>
      <x:c r="I212" s="16" t="n">
        <x:v>45320.73331996528</x:v>
      </x:c>
      <x:c r="J212" s="16" t="n">
        <x:v>45365.73331996528</x:v>
      </x:c>
      <x:c r="K212" s="16" t="n">
        <x:v>45376.73331996528</x:v>
      </x:c>
      <x:c r="L212" s="20" t="n">
        <x:v>72778.7</x:v>
      </x:c>
      <x:c r="M212" s="20" t="n">
        <x:v>560.4</x:v>
      </x:c>
      <x:c r="N212" s="20" t="n">
        <x:v>0</x:v>
      </x:c>
      <x:c r="O212" s="20" t="n">
        <x:v>73339.1</x:v>
      </x:c>
      <x:c r="P212" s="20" t="n">
        <x:v>0</x:v>
      </x:c>
      <x:c r="Q212" s="10" t="str">
        <x:v>Pago</x:v>
      </x:c>
      <x:c r="R212" s="10" t="str">
        <x:v>Boleto</x:v>
      </x:c>
      <x:c r="S212" s="10" t="str">
        <x:v>2024-01</x:v>
      </x:c>
      <x:c r="T212" s="10" t="n">
        <x:v>0</x:v>
      </x:c>
      <x:c r="U212" s="10" t="str">
        <x:v>Liquidado</x:v>
      </x:c>
      <x:c r="V212" s="10" t="str">
        <x:v>UND004</x:v>
      </x:c>
    </x:row>
    <x:row r="213" ht="18" customHeight="1">
      <x:c r="A213" s="10" t="str">
        <x:v>PAG00212</x:v>
      </x:c>
      <x:c r="B213" s="10" t="str">
        <x:v>EMP001</x:v>
      </x:c>
      <x:c r="C213" s="10" t="str">
        <x:v>FOR021</x:v>
      </x:c>
      <x:c r="D213" s="10" t="str">
        <x:v>CC002</x:v>
      </x:c>
      <x:c r="E213" s="10" t="str">
        <x:v>CAT015</x:v>
      </x:c>
      <x:c r="F213" s="10" t="str">
        <x:v>CTA002</x:v>
      </x:c>
      <x:c r="G213" s="10" t="str">
        <x:v>NF-100212</x:v>
      </x:c>
      <x:c r="H213" s="10" t="str">
        <x:v>Despesa operacional</x:v>
      </x:c>
      <x:c r="I213" s="16" t="n">
        <x:v>45388.90944568287</x:v>
      </x:c>
      <x:c r="J213" s="16" t="n">
        <x:v>45433.90944568287</x:v>
      </x:c>
      <x:c r="K213" s="16" t="n">
        <x:v>45434.90944568287</x:v>
      </x:c>
      <x:c r="L213" s="20" t="n">
        <x:v>11452.9</x:v>
      </x:c>
      <x:c r="M213" s="20" t="n">
        <x:v>8.02</x:v>
      </x:c>
      <x:c r="N213" s="20" t="n">
        <x:v>0</x:v>
      </x:c>
      <x:c r="O213" s="20" t="n">
        <x:v>11460.92</x:v>
      </x:c>
      <x:c r="P213" s="20" t="n">
        <x:v>0</x:v>
      </x:c>
      <x:c r="Q213" s="10" t="str">
        <x:v>Pago</x:v>
      </x:c>
      <x:c r="R213" s="10" t="str">
        <x:v>Débito Automático</x:v>
      </x:c>
      <x:c r="S213" s="10" t="str">
        <x:v>2024-04</x:v>
      </x:c>
      <x:c r="T213" s="10" t="n">
        <x:v>0</x:v>
      </x:c>
      <x:c r="U213" s="10" t="str">
        <x:v>Liquidado</x:v>
      </x:c>
      <x:c r="V213" s="10" t="str">
        <x:v>UND001</x:v>
      </x:c>
    </x:row>
    <x:row r="214" ht="18" customHeight="1">
      <x:c r="A214" s="10" t="str">
        <x:v>PAG00213</x:v>
      </x:c>
      <x:c r="B214" s="10" t="str">
        <x:v>EMP001</x:v>
      </x:c>
      <x:c r="C214" s="10" t="str">
        <x:v>FOR029</x:v>
      </x:c>
      <x:c r="D214" s="10" t="str">
        <x:v>CC005</x:v>
      </x:c>
      <x:c r="E214" s="10" t="str">
        <x:v>CAT013</x:v>
      </x:c>
      <x:c r="F214" s="10" t="str">
        <x:v>CTA002</x:v>
      </x:c>
      <x:c r="G214" s="10" t="str">
        <x:v>NF-100213</x:v>
      </x:c>
      <x:c r="H214" s="10" t="str">
        <x:v>Tributos e taxas</x:v>
      </x:c>
      <x:c r="I214" s="16" t="n">
        <x:v>45398.261969050924</x:v>
      </x:c>
      <x:c r="J214" s="16" t="n">
        <x:v>45426.261969050924</x:v>
      </x:c>
      <x:c r="K214" s="16" t="n">
        <x:v>45433.261969050924</x:v>
      </x:c>
      <x:c r="L214" s="20" t="n">
        <x:v>10385.05</x:v>
      </x:c>
      <x:c r="M214" s="20" t="n">
        <x:v>50.89</x:v>
      </x:c>
      <x:c r="N214" s="20" t="n">
        <x:v>0</x:v>
      </x:c>
      <x:c r="O214" s="20" t="n">
        <x:v>10435.94</x:v>
      </x:c>
      <x:c r="P214" s="20" t="n">
        <x:v>0</x:v>
      </x:c>
      <x:c r="Q214" s="10" t="str">
        <x:v>Pago</x:v>
      </x:c>
      <x:c r="R214" s="10" t="str">
        <x:v>Cartão Corporativo</x:v>
      </x:c>
      <x:c r="S214" s="10" t="str">
        <x:v>2024-04</x:v>
      </x:c>
      <x:c r="T214" s="10" t="n">
        <x:v>0</x:v>
      </x:c>
      <x:c r="U214" s="10" t="str">
        <x:v>Liquidado</x:v>
      </x:c>
      <x:c r="V214" s="10" t="str">
        <x:v>UND002</x:v>
      </x:c>
    </x:row>
    <x:row r="215" ht="18" customHeight="1">
      <x:c r="A215" s="10" t="str">
        <x:v>PAG00214</x:v>
      </x:c>
      <x:c r="B215" s="10" t="str">
        <x:v>EMP003</x:v>
      </x:c>
      <x:c r="C215" s="10" t="str">
        <x:v>FOR040</x:v>
      </x:c>
      <x:c r="D215" s="10" t="str">
        <x:v>CC003</x:v>
      </x:c>
      <x:c r="E215" s="10" t="str">
        <x:v>CAT006</x:v>
      </x:c>
      <x:c r="F215" s="10" t="str">
        <x:v>CTA006</x:v>
      </x:c>
      <x:c r="G215" s="10" t="str">
        <x:v>NF-100214</x:v>
      </x:c>
      <x:c r="H215" s="10" t="str">
        <x:v>Prestação de serviços</x:v>
      </x:c>
      <x:c r="I215" s="16" t="n">
        <x:v>45711.17556599537</x:v>
      </x:c>
      <x:c r="J215" s="16" t="n">
        <x:v>45726.17556599537</x:v>
      </x:c>
      <x:c r="K215" s="16" t="n">
        <x:v>45733.17556599537</x:v>
      </x:c>
      <x:c r="L215" s="20" t="n">
        <x:v>25293.89</x:v>
      </x:c>
      <x:c r="M215" s="20" t="n">
        <x:v>123.94</x:v>
      </x:c>
      <x:c r="N215" s="20" t="n">
        <x:v>0</x:v>
      </x:c>
      <x:c r="O215" s="20" t="n">
        <x:v>25417.83</x:v>
      </x:c>
      <x:c r="P215" s="20" t="n">
        <x:v>0</x:v>
      </x:c>
      <x:c r="Q215" s="10" t="str">
        <x:v>Pago</x:v>
      </x:c>
      <x:c r="R215" s="10" t="str">
        <x:v>Cartão Corporativo</x:v>
      </x:c>
      <x:c r="S215" s="10" t="str">
        <x:v>2025-02</x:v>
      </x:c>
      <x:c r="T215" s="10" t="n">
        <x:v>0</x:v>
      </x:c>
      <x:c r="U215" s="10" t="str">
        <x:v>Liquidado</x:v>
      </x:c>
      <x:c r="V215" s="10" t="str">
        <x:v>UND004</x:v>
      </x:c>
    </x:row>
    <x:row r="216" ht="18" customHeight="1">
      <x:c r="A216" s="10" t="str">
        <x:v>PAG00215</x:v>
      </x:c>
      <x:c r="B216" s="10" t="str">
        <x:v>EMP001</x:v>
      </x:c>
      <x:c r="C216" s="10" t="str">
        <x:v>FOR035</x:v>
      </x:c>
      <x:c r="D216" s="10" t="str">
        <x:v>CC003</x:v>
      </x:c>
      <x:c r="E216" s="10" t="str">
        <x:v>CAT013</x:v>
      </x:c>
      <x:c r="F216" s="10" t="str">
        <x:v>CTA002</x:v>
      </x:c>
      <x:c r="G216" s="10" t="str">
        <x:v>NF-100215</x:v>
      </x:c>
      <x:c r="H216" s="10" t="str">
        <x:v>Tributos e taxas</x:v>
      </x:c>
      <x:c r="I216" s="16" t="n">
        <x:v>45460.231580451386</x:v>
      </x:c>
      <x:c r="J216" s="16" t="n">
        <x:v>45475.231580451386</x:v>
      </x:c>
      <x:c r="K216" s="16" t="n">
        <x:v>45469.231580451386</x:v>
      </x:c>
      <x:c r="L216" s="20" t="n">
        <x:v>53854.58</x:v>
      </x:c>
      <x:c r="M216" s="20" t="n">
        <x:v>0</x:v>
      </x:c>
      <x:c r="N216" s="20" t="n">
        <x:v>0</x:v>
      </x:c>
      <x:c r="O216" s="20" t="n">
        <x:v>53854.58</x:v>
      </x:c>
      <x:c r="P216" s="20" t="n">
        <x:v>0</x:v>
      </x:c>
      <x:c r="Q216" s="10" t="str">
        <x:v>Pago</x:v>
      </x:c>
      <x:c r="R216" s="10" t="str">
        <x:v>Cartão Corporativo</x:v>
      </x:c>
      <x:c r="S216" s="10" t="str">
        <x:v>2024-06</x:v>
      </x:c>
      <x:c r="T216" s="10" t="n">
        <x:v>0</x:v>
      </x:c>
      <x:c r="U216" s="10" t="str">
        <x:v>Liquidado</x:v>
      </x:c>
      <x:c r="V216" s="10" t="str">
        <x:v>UND002</x:v>
      </x:c>
    </x:row>
    <x:row r="217" ht="18" customHeight="1">
      <x:c r="A217" s="10" t="str">
        <x:v>PAG00216</x:v>
      </x:c>
      <x:c r="B217" s="10" t="str">
        <x:v>EMP003</x:v>
      </x:c>
      <x:c r="C217" s="10" t="str">
        <x:v>FOR046</x:v>
      </x:c>
      <x:c r="D217" s="10" t="str">
        <x:v>CC004</x:v>
      </x:c>
      <x:c r="E217" s="10" t="str">
        <x:v>CAT015</x:v>
      </x:c>
      <x:c r="F217" s="10" t="str">
        <x:v>CTA006</x:v>
      </x:c>
      <x:c r="G217" s="10" t="str">
        <x:v>NF-100216</x:v>
      </x:c>
      <x:c r="H217" s="10" t="str">
        <x:v>Tributos e taxas</x:v>
      </x:c>
      <x:c r="I217" s="16" t="n">
        <x:v>45668.143537118056</x:v>
      </x:c>
      <x:c r="J217" s="16" t="n">
        <x:v>45728.143537118056</x:v>
      </x:c>
      <x:c r="K217" s="16"/>
      <x:c r="L217" s="20" t="n">
        <x:v>27398.48</x:v>
      </x:c>
      <x:c r="M217" s="20" t="n">
        <x:v>0</x:v>
      </x:c>
      <x:c r="N217" s="20" t="n">
        <x:v>0</x:v>
      </x:c>
      <x:c r="O217" s="20" t="n">
        <x:v>0</x:v>
      </x:c>
      <x:c r="P217" s="20" t="n">
        <x:v>27398.48</x:v>
      </x:c>
      <x:c r="Q217" s="10" t="str">
        <x:v>Vencido</x:v>
      </x:c>
      <x:c r="R217" s="10" t="str">
        <x:v>TED</x:v>
      </x:c>
      <x:c r="S217" s="10" t="str">
        <x:v>2025-01</x:v>
      </x:c>
      <x:c r="T217" s="10" t="n">
        <x:v>293</x:v>
      </x:c>
      <x:c r="U217" s="10" t="str">
        <x:v>&gt; 120 dias</x:v>
      </x:c>
      <x:c r="V217" s="10" t="str">
        <x:v>UND004</x:v>
      </x:c>
    </x:row>
    <x:row r="218" ht="18" customHeight="1">
      <x:c r="A218" s="10" t="str">
        <x:v>PAG00217</x:v>
      </x:c>
      <x:c r="B218" s="10" t="str">
        <x:v>EMP003</x:v>
      </x:c>
      <x:c r="C218" s="10" t="str">
        <x:v>FOR031</x:v>
      </x:c>
      <x:c r="D218" s="10" t="str">
        <x:v>CC003</x:v>
      </x:c>
      <x:c r="E218" s="10" t="str">
        <x:v>CAT018</x:v>
      </x:c>
      <x:c r="F218" s="10" t="str">
        <x:v>CTA005</x:v>
      </x:c>
      <x:c r="G218" s="10" t="str">
        <x:v>NF-100217</x:v>
      </x:c>
      <x:c r="H218" s="10" t="str">
        <x:v>Despesa operacional</x:v>
      </x:c>
      <x:c r="I218" s="16" t="n">
        <x:v>45921.21360983796</x:v>
      </x:c>
      <x:c r="J218" s="16" t="n">
        <x:v>45941.21360983796</x:v>
      </x:c>
      <x:c r="K218" s="16"/>
      <x:c r="L218" s="20" t="n">
        <x:v>36993.56</x:v>
      </x:c>
      <x:c r="M218" s="20" t="n">
        <x:v>0</x:v>
      </x:c>
      <x:c r="N218" s="20" t="n">
        <x:v>0</x:v>
      </x:c>
      <x:c r="O218" s="20" t="n">
        <x:v>0</x:v>
      </x:c>
      <x:c r="P218" s="20" t="n">
        <x:v>36993.56</x:v>
      </x:c>
      <x:c r="Q218" s="10" t="str">
        <x:v>Vencido</x:v>
      </x:c>
      <x:c r="R218" s="10" t="str">
        <x:v>Débito Automático</x:v>
      </x:c>
      <x:c r="S218" s="10" t="str">
        <x:v>2025-09</x:v>
      </x:c>
      <x:c r="T218" s="10" t="n">
        <x:v>80</x:v>
      </x:c>
      <x:c r="U218" s="10" t="str">
        <x:v>61 a 90 dias</x:v>
      </x:c>
      <x:c r="V218" s="10" t="str">
        <x:v>UND004</x:v>
      </x:c>
    </x:row>
    <x:row r="219" ht="18" customHeight="1">
      <x:c r="A219" s="10" t="str">
        <x:v>PAG00218</x:v>
      </x:c>
      <x:c r="B219" s="10" t="str">
        <x:v>EMP002</x:v>
      </x:c>
      <x:c r="C219" s="10" t="str">
        <x:v>FOR025</x:v>
      </x:c>
      <x:c r="D219" s="10" t="str">
        <x:v>CC003</x:v>
      </x:c>
      <x:c r="E219" s="10" t="str">
        <x:v>CAT005</x:v>
      </x:c>
      <x:c r="F219" s="10" t="str">
        <x:v>CTA004</x:v>
      </x:c>
      <x:c r="G219" s="10" t="str">
        <x:v>NF-100218</x:v>
      </x:c>
      <x:c r="H219" s="10" t="str">
        <x:v>Prestação de serviços</x:v>
      </x:c>
      <x:c r="I219" s="16" t="n">
        <x:v>45911.38772519676</x:v>
      </x:c>
      <x:c r="J219" s="16" t="n">
        <x:v>45931.38772519676</x:v>
      </x:c>
      <x:c r="K219" s="16" t="n">
        <x:v>45926.38772519676</x:v>
      </x:c>
      <x:c r="L219" s="20" t="n">
        <x:v>24298.87</x:v>
      </x:c>
      <x:c r="M219" s="20" t="n">
        <x:v>0</x:v>
      </x:c>
      <x:c r="N219" s="20" t="n">
        <x:v>121.49</x:v>
      </x:c>
      <x:c r="O219" s="20" t="n">
        <x:v>24177.38</x:v>
      </x:c>
      <x:c r="P219" s="20" t="n">
        <x:v>0</x:v>
      </x:c>
      <x:c r="Q219" s="10" t="str">
        <x:v>Pago</x:v>
      </x:c>
      <x:c r="R219" s="10" t="str">
        <x:v>Boleto</x:v>
      </x:c>
      <x:c r="S219" s="10" t="str">
        <x:v>2025-09</x:v>
      </x:c>
      <x:c r="T219" s="10" t="n">
        <x:v>0</x:v>
      </x:c>
      <x:c r="U219" s="10" t="str">
        <x:v>Liquidado</x:v>
      </x:c>
      <x:c r="V219" s="10" t="str">
        <x:v>UND003</x:v>
      </x:c>
    </x:row>
    <x:row r="220" ht="18" customHeight="1">
      <x:c r="A220" s="10" t="str">
        <x:v>PAG00219</x:v>
      </x:c>
      <x:c r="B220" s="10" t="str">
        <x:v>EMP003</x:v>
      </x:c>
      <x:c r="C220" s="10" t="str">
        <x:v>FOR022</x:v>
      </x:c>
      <x:c r="D220" s="10" t="str">
        <x:v>CC003</x:v>
      </x:c>
      <x:c r="E220" s="10" t="str">
        <x:v>CAT010</x:v>
      </x:c>
      <x:c r="F220" s="10" t="str">
        <x:v>CTA006</x:v>
      </x:c>
      <x:c r="G220" s="10" t="str">
        <x:v>NF-100219</x:v>
      </x:c>
      <x:c r="H220" s="10" t="str">
        <x:v>Compra de materiais</x:v>
      </x:c>
      <x:c r="I220" s="16" t="n">
        <x:v>45907.83294363426</x:v>
      </x:c>
      <x:c r="J220" s="16" t="n">
        <x:v>45952.83294363426</x:v>
      </x:c>
      <x:c r="K220" s="16" t="n">
        <x:v>45960.83294363426</x:v>
      </x:c>
      <x:c r="L220" s="20" t="n">
        <x:v>17378.26</x:v>
      </x:c>
      <x:c r="M220" s="20" t="n">
        <x:v>97.32</x:v>
      </x:c>
      <x:c r="N220" s="20" t="n">
        <x:v>0</x:v>
      </x:c>
      <x:c r="O220" s="20" t="n">
        <x:v>17475.58</x:v>
      </x:c>
      <x:c r="P220" s="20" t="n">
        <x:v>0</x:v>
      </x:c>
      <x:c r="Q220" s="10" t="str">
        <x:v>Pago</x:v>
      </x:c>
      <x:c r="R220" s="10" t="str">
        <x:v>Cartão Corporativo</x:v>
      </x:c>
      <x:c r="S220" s="10" t="str">
        <x:v>2025-09</x:v>
      </x:c>
      <x:c r="T220" s="10" t="n">
        <x:v>0</x:v>
      </x:c>
      <x:c r="U220" s="10" t="str">
        <x:v>Liquidado</x:v>
      </x:c>
      <x:c r="V220" s="10" t="str">
        <x:v>UND004</x:v>
      </x:c>
    </x:row>
    <x:row r="221" ht="18" customHeight="1">
      <x:c r="A221" s="10" t="str">
        <x:v>PAG00220</x:v>
      </x:c>
      <x:c r="B221" s="10" t="str">
        <x:v>EMP002</x:v>
      </x:c>
      <x:c r="C221" s="10" t="str">
        <x:v>FOR013</x:v>
      </x:c>
      <x:c r="D221" s="10" t="str">
        <x:v>CC003</x:v>
      </x:c>
      <x:c r="E221" s="10" t="str">
        <x:v>CAT018</x:v>
      </x:c>
      <x:c r="F221" s="10" t="str">
        <x:v>CTA003</x:v>
      </x:c>
      <x:c r="G221" s="10" t="str">
        <x:v>NF-100220</x:v>
      </x:c>
      <x:c r="H221" s="10" t="str">
        <x:v>Tributos e taxas</x:v>
      </x:c>
      <x:c r="I221" s="16" t="n">
        <x:v>45717.65011865741</x:v>
      </x:c>
      <x:c r="J221" s="16" t="n">
        <x:v>45747.65011865741</x:v>
      </x:c>
      <x:c r="K221" s="16" t="n">
        <x:v>45755.65011865741</x:v>
      </x:c>
      <x:c r="L221" s="20" t="n">
        <x:v>11923.34</x:v>
      </x:c>
      <x:c r="M221" s="20" t="n">
        <x:v>66.77</x:v>
      </x:c>
      <x:c r="N221" s="20" t="n">
        <x:v>0</x:v>
      </x:c>
      <x:c r="O221" s="20" t="n">
        <x:v>11990.11</x:v>
      </x:c>
      <x:c r="P221" s="20" t="n">
        <x:v>0</x:v>
      </x:c>
      <x:c r="Q221" s="10" t="str">
        <x:v>Pago</x:v>
      </x:c>
      <x:c r="R221" s="10" t="str">
        <x:v>Débito Automático</x:v>
      </x:c>
      <x:c r="S221" s="10" t="str">
        <x:v>2025-03</x:v>
      </x:c>
      <x:c r="T221" s="10" t="n">
        <x:v>0</x:v>
      </x:c>
      <x:c r="U221" s="10" t="str">
        <x:v>Liquidado</x:v>
      </x:c>
      <x:c r="V221" s="10" t="str">
        <x:v>UND003</x:v>
      </x:c>
    </x:row>
    <x:row r="222" ht="18" customHeight="1">
      <x:c r="A222" s="10" t="str">
        <x:v>PAG00221</x:v>
      </x:c>
      <x:c r="B222" s="10" t="str">
        <x:v>EMP002</x:v>
      </x:c>
      <x:c r="C222" s="10" t="str">
        <x:v>FOR017</x:v>
      </x:c>
      <x:c r="D222" s="10" t="str">
        <x:v>CC004</x:v>
      </x:c>
      <x:c r="E222" s="10" t="str">
        <x:v>CAT012</x:v>
      </x:c>
      <x:c r="F222" s="10" t="str">
        <x:v>CTA004</x:v>
      </x:c>
      <x:c r="G222" s="10" t="str">
        <x:v>NF-100221</x:v>
      </x:c>
      <x:c r="H222" s="10" t="str">
        <x:v>Compra de materiais</x:v>
      </x:c>
      <x:c r="I222" s="16" t="n">
        <x:v>45904.47101020833</x:v>
      </x:c>
      <x:c r="J222" s="16" t="n">
        <x:v>45919.47101020833</x:v>
      </x:c>
      <x:c r="K222" s="16" t="n">
        <x:v>45914.47101020833</x:v>
      </x:c>
      <x:c r="L222" s="20" t="n">
        <x:v>13932.41</x:v>
      </x:c>
      <x:c r="M222" s="20" t="n">
        <x:v>0</x:v>
      </x:c>
      <x:c r="N222" s="20" t="n">
        <x:v>139.32</x:v>
      </x:c>
      <x:c r="O222" s="20" t="n">
        <x:v>13793.09</x:v>
      </x:c>
      <x:c r="P222" s="20" t="n">
        <x:v>0</x:v>
      </x:c>
      <x:c r="Q222" s="10" t="str">
        <x:v>Pago</x:v>
      </x:c>
      <x:c r="R222" s="10" t="str">
        <x:v>Débito Automático</x:v>
      </x:c>
      <x:c r="S222" s="10" t="str">
        <x:v>2025-09</x:v>
      </x:c>
      <x:c r="T222" s="10" t="n">
        <x:v>0</x:v>
      </x:c>
      <x:c r="U222" s="10" t="str">
        <x:v>Liquidado</x:v>
      </x:c>
      <x:c r="V222" s="10" t="str">
        <x:v>UND003</x:v>
      </x:c>
    </x:row>
    <x:row r="223" ht="18" customHeight="1">
      <x:c r="A223" s="10" t="str">
        <x:v>PAG00222</x:v>
      </x:c>
      <x:c r="B223" s="10" t="str">
        <x:v>EMP001</x:v>
      </x:c>
      <x:c r="C223" s="10" t="str">
        <x:v>FOR028</x:v>
      </x:c>
      <x:c r="D223" s="10" t="str">
        <x:v>CC001</x:v>
      </x:c>
      <x:c r="E223" s="10" t="str">
        <x:v>CAT010</x:v>
      </x:c>
      <x:c r="F223" s="10" t="str">
        <x:v>CTA001</x:v>
      </x:c>
      <x:c r="G223" s="10" t="str">
        <x:v>NF-100222</x:v>
      </x:c>
      <x:c r="H223" s="10" t="str">
        <x:v>Compra de materiais</x:v>
      </x:c>
      <x:c r="I223" s="16" t="n">
        <x:v>45601.69891009259</x:v>
      </x:c>
      <x:c r="J223" s="16" t="n">
        <x:v>45646.69891009259</x:v>
      </x:c>
      <x:c r="K223" s="16" t="n">
        <x:v>45655.69891009259</x:v>
      </x:c>
      <x:c r="L223" s="20" t="n">
        <x:v>80389.12</x:v>
      </x:c>
      <x:c r="M223" s="20" t="n">
        <x:v>506.45</x:v>
      </x:c>
      <x:c r="N223" s="20" t="n">
        <x:v>0</x:v>
      </x:c>
      <x:c r="O223" s="20" t="n">
        <x:v>80895.57</x:v>
      </x:c>
      <x:c r="P223" s="20" t="n">
        <x:v>0</x:v>
      </x:c>
      <x:c r="Q223" s="10" t="str">
        <x:v>Pago</x:v>
      </x:c>
      <x:c r="R223" s="10" t="str">
        <x:v>Cartão Corporativo</x:v>
      </x:c>
      <x:c r="S223" s="10" t="str">
        <x:v>2024-11</x:v>
      </x:c>
      <x:c r="T223" s="10" t="n">
        <x:v>0</x:v>
      </x:c>
      <x:c r="U223" s="10" t="str">
        <x:v>Liquidado</x:v>
      </x:c>
      <x:c r="V223" s="10" t="str">
        <x:v>UND001</x:v>
      </x:c>
    </x:row>
    <x:row r="224" ht="18" customHeight="1">
      <x:c r="A224" s="10" t="str">
        <x:v>PAG00223</x:v>
      </x:c>
      <x:c r="B224" s="10" t="str">
        <x:v>EMP002</x:v>
      </x:c>
      <x:c r="C224" s="10" t="str">
        <x:v>FOR028</x:v>
      </x:c>
      <x:c r="D224" s="10" t="str">
        <x:v>CC004</x:v>
      </x:c>
      <x:c r="E224" s="10" t="str">
        <x:v>CAT008</x:v>
      </x:c>
      <x:c r="F224" s="10" t="str">
        <x:v>CTA004</x:v>
      </x:c>
      <x:c r="G224" s="10" t="str">
        <x:v>NF-100223</x:v>
      </x:c>
      <x:c r="H224" s="10" t="str">
        <x:v>Prestação de serviços</x:v>
      </x:c>
      <x:c r="I224" s="16" t="n">
        <x:v>45875.023626689814</x:v>
      </x:c>
      <x:c r="J224" s="16" t="n">
        <x:v>45905.023626689814</x:v>
      </x:c>
      <x:c r="K224" s="16" t="n">
        <x:v>45914.023626689814</x:v>
      </x:c>
      <x:c r="L224" s="20" t="n">
        <x:v>15328.73</x:v>
      </x:c>
      <x:c r="M224" s="20" t="n">
        <x:v>96.57</x:v>
      </x:c>
      <x:c r="N224" s="20" t="n">
        <x:v>0</x:v>
      </x:c>
      <x:c r="O224" s="20" t="n">
        <x:v>15425.3</x:v>
      </x:c>
      <x:c r="P224" s="20" t="n">
        <x:v>0</x:v>
      </x:c>
      <x:c r="Q224" s="10" t="str">
        <x:v>Pago</x:v>
      </x:c>
      <x:c r="R224" s="10" t="str">
        <x:v>PIX</x:v>
      </x:c>
      <x:c r="S224" s="10" t="str">
        <x:v>2025-08</x:v>
      </x:c>
      <x:c r="T224" s="10" t="n">
        <x:v>0</x:v>
      </x:c>
      <x:c r="U224" s="10" t="str">
        <x:v>Liquidado</x:v>
      </x:c>
      <x:c r="V224" s="10" t="str">
        <x:v>UND003</x:v>
      </x:c>
    </x:row>
    <x:row r="225" ht="18" customHeight="1">
      <x:c r="A225" s="10" t="str">
        <x:v>PAG00224</x:v>
      </x:c>
      <x:c r="B225" s="10" t="str">
        <x:v>EMP002</x:v>
      </x:c>
      <x:c r="C225" s="10" t="str">
        <x:v>FOR042</x:v>
      </x:c>
      <x:c r="D225" s="10" t="str">
        <x:v>CC003</x:v>
      </x:c>
      <x:c r="E225" s="10" t="str">
        <x:v>CAT012</x:v>
      </x:c>
      <x:c r="F225" s="10" t="str">
        <x:v>CTA004</x:v>
      </x:c>
      <x:c r="G225" s="10" t="str">
        <x:v>NF-100224</x:v>
      </x:c>
      <x:c r="H225" s="10" t="str">
        <x:v>Despesa operacional</x:v>
      </x:c>
      <x:c r="I225" s="16" t="n">
        <x:v>45486.46953292824</x:v>
      </x:c>
      <x:c r="J225" s="16" t="n">
        <x:v>45501.46953292824</x:v>
      </x:c>
      <x:c r="K225" s="16" t="n">
        <x:v>45506.46953292824</x:v>
      </x:c>
      <x:c r="L225" s="20" t="n">
        <x:v>92477.19</x:v>
      </x:c>
      <x:c r="M225" s="20" t="n">
        <x:v>323.67</x:v>
      </x:c>
      <x:c r="N225" s="20" t="n">
        <x:v>0</x:v>
      </x:c>
      <x:c r="O225" s="20" t="n">
        <x:v>92800.86</x:v>
      </x:c>
      <x:c r="P225" s="20" t="n">
        <x:v>0</x:v>
      </x:c>
      <x:c r="Q225" s="10" t="str">
        <x:v>Pago</x:v>
      </x:c>
      <x:c r="R225" s="10" t="str">
        <x:v>Boleto</x:v>
      </x:c>
      <x:c r="S225" s="10" t="str">
        <x:v>2024-07</x:v>
      </x:c>
      <x:c r="T225" s="10" t="n">
        <x:v>0</x:v>
      </x:c>
      <x:c r="U225" s="10" t="str">
        <x:v>Liquidado</x:v>
      </x:c>
      <x:c r="V225" s="10" t="str">
        <x:v>UND003</x:v>
      </x:c>
    </x:row>
    <x:row r="226" ht="18" customHeight="1">
      <x:c r="A226" s="10" t="str">
        <x:v>PAG00225</x:v>
      </x:c>
      <x:c r="B226" s="10" t="str">
        <x:v>EMP003</x:v>
      </x:c>
      <x:c r="C226" s="10" t="str">
        <x:v>FOR028</x:v>
      </x:c>
      <x:c r="D226" s="10" t="str">
        <x:v>CC006</x:v>
      </x:c>
      <x:c r="E226" s="10" t="str">
        <x:v>CAT016</x:v>
      </x:c>
      <x:c r="F226" s="10" t="str">
        <x:v>CTA005</x:v>
      </x:c>
      <x:c r="G226" s="10" t="str">
        <x:v>NF-100225</x:v>
      </x:c>
      <x:c r="H226" s="10" t="str">
        <x:v>Despesa operacional</x:v>
      </x:c>
      <x:c r="I226" s="16" t="n">
        <x:v>45941.680046469904</x:v>
      </x:c>
      <x:c r="J226" s="16" t="n">
        <x:v>45986.680046469904</x:v>
      </x:c>
      <x:c r="K226" s="16" t="n">
        <x:v>45997.680046469904</x:v>
      </x:c>
      <x:c r="L226" s="20" t="n">
        <x:v>104476.64</x:v>
      </x:c>
      <x:c r="M226" s="20" t="n">
        <x:v>804.47</x:v>
      </x:c>
      <x:c r="N226" s="20" t="n">
        <x:v>0</x:v>
      </x:c>
      <x:c r="O226" s="20" t="n">
        <x:v>105281.11</x:v>
      </x:c>
      <x:c r="P226" s="20" t="n">
        <x:v>0</x:v>
      </x:c>
      <x:c r="Q226" s="10" t="str">
        <x:v>Pago</x:v>
      </x:c>
      <x:c r="R226" s="10" t="str">
        <x:v>Boleto</x:v>
      </x:c>
      <x:c r="S226" s="10" t="str">
        <x:v>2025-10</x:v>
      </x:c>
      <x:c r="T226" s="10" t="n">
        <x:v>0</x:v>
      </x:c>
      <x:c r="U226" s="10" t="str">
        <x:v>Liquidado</x:v>
      </x:c>
      <x:c r="V226" s="10" t="str">
        <x:v>UND004</x:v>
      </x:c>
    </x:row>
    <x:row r="227" ht="18" customHeight="1">
      <x:c r="A227" s="10" t="str">
        <x:v>PAG00226</x:v>
      </x:c>
      <x:c r="B227" s="10" t="str">
        <x:v>EMP002</x:v>
      </x:c>
      <x:c r="C227" s="10" t="str">
        <x:v>FOR058</x:v>
      </x:c>
      <x:c r="D227" s="10" t="str">
        <x:v>CC003</x:v>
      </x:c>
      <x:c r="E227" s="10" t="str">
        <x:v>CAT011</x:v>
      </x:c>
      <x:c r="F227" s="10" t="str">
        <x:v>CTA003</x:v>
      </x:c>
      <x:c r="G227" s="10" t="str">
        <x:v>NF-100226</x:v>
      </x:c>
      <x:c r="H227" s="10" t="str">
        <x:v>Despesa operacional</x:v>
      </x:c>
      <x:c r="I227" s="16" t="n">
        <x:v>45546.97297193287</x:v>
      </x:c>
      <x:c r="J227" s="16" t="n">
        <x:v>45621.97297193287</x:v>
      </x:c>
      <x:c r="K227" s="16" t="n">
        <x:v>45615.97297193287</x:v>
      </x:c>
      <x:c r="L227" s="20" t="n">
        <x:v>2448.38</x:v>
      </x:c>
      <x:c r="M227" s="20" t="n">
        <x:v>0</x:v>
      </x:c>
      <x:c r="N227" s="20" t="n">
        <x:v>0</x:v>
      </x:c>
      <x:c r="O227" s="20" t="n">
        <x:v>2448.38</x:v>
      </x:c>
      <x:c r="P227" s="20" t="n">
        <x:v>0</x:v>
      </x:c>
      <x:c r="Q227" s="10" t="str">
        <x:v>Pago</x:v>
      </x:c>
      <x:c r="R227" s="10" t="str">
        <x:v>PIX</x:v>
      </x:c>
      <x:c r="S227" s="10" t="str">
        <x:v>2024-09</x:v>
      </x:c>
      <x:c r="T227" s="10" t="n">
        <x:v>0</x:v>
      </x:c>
      <x:c r="U227" s="10" t="str">
        <x:v>Liquidado</x:v>
      </x:c>
      <x:c r="V227" s="10" t="str">
        <x:v>UND003</x:v>
      </x:c>
    </x:row>
    <x:row r="228" ht="18" customHeight="1">
      <x:c r="A228" s="10" t="str">
        <x:v>PAG00227</x:v>
      </x:c>
      <x:c r="B228" s="10" t="str">
        <x:v>EMP003</x:v>
      </x:c>
      <x:c r="C228" s="10" t="str">
        <x:v>FOR014</x:v>
      </x:c>
      <x:c r="D228" s="10" t="str">
        <x:v>CC006</x:v>
      </x:c>
      <x:c r="E228" s="10" t="str">
        <x:v>CAT015</x:v>
      </x:c>
      <x:c r="F228" s="10" t="str">
        <x:v>CTA006</x:v>
      </x:c>
      <x:c r="G228" s="10" t="str">
        <x:v>NF-100227</x:v>
      </x:c>
      <x:c r="H228" s="10" t="str">
        <x:v>Contrato recorrente</x:v>
      </x:c>
      <x:c r="I228" s="16" t="n">
        <x:v>45538.20902798611</x:v>
      </x:c>
      <x:c r="J228" s="16" t="n">
        <x:v>45583.20902798611</x:v>
      </x:c>
      <x:c r="K228" s="16" t="n">
        <x:v>45584.20902798611</x:v>
      </x:c>
      <x:c r="L228" s="20" t="n">
        <x:v>42531.97</x:v>
      </x:c>
      <x:c r="M228" s="20" t="n">
        <x:v>29.77</x:v>
      </x:c>
      <x:c r="N228" s="20" t="n">
        <x:v>0</x:v>
      </x:c>
      <x:c r="O228" s="20" t="n">
        <x:v>42561.74</x:v>
      </x:c>
      <x:c r="P228" s="20" t="n">
        <x:v>0</x:v>
      </x:c>
      <x:c r="Q228" s="10" t="str">
        <x:v>Pago</x:v>
      </x:c>
      <x:c r="R228" s="10" t="str">
        <x:v>TED</x:v>
      </x:c>
      <x:c r="S228" s="10" t="str">
        <x:v>2024-09</x:v>
      </x:c>
      <x:c r="T228" s="10" t="n">
        <x:v>0</x:v>
      </x:c>
      <x:c r="U228" s="10" t="str">
        <x:v>Liquidado</x:v>
      </x:c>
      <x:c r="V228" s="10" t="str">
        <x:v>UND004</x:v>
      </x:c>
    </x:row>
    <x:row r="229" ht="18" customHeight="1">
      <x:c r="A229" s="10" t="str">
        <x:v>PAG00228</x:v>
      </x:c>
      <x:c r="B229" s="10" t="str">
        <x:v>EMP001</x:v>
      </x:c>
      <x:c r="C229" s="10" t="str">
        <x:v>FOR053</x:v>
      </x:c>
      <x:c r="D229" s="10" t="str">
        <x:v>CC005</x:v>
      </x:c>
      <x:c r="E229" s="10" t="str">
        <x:v>CAT018</x:v>
      </x:c>
      <x:c r="F229" s="10" t="str">
        <x:v>CTA002</x:v>
      </x:c>
      <x:c r="G229" s="10" t="str">
        <x:v>NF-100228</x:v>
      </x:c>
      <x:c r="H229" s="10" t="str">
        <x:v>Prestação de serviços</x:v>
      </x:c>
      <x:c r="I229" s="16" t="n">
        <x:v>45680.873184930555</x:v>
      </x:c>
      <x:c r="J229" s="16" t="n">
        <x:v>45710.873184930555</x:v>
      </x:c>
      <x:c r="K229" s="16" t="n">
        <x:v>45742.873184930555</x:v>
      </x:c>
      <x:c r="L229" s="20" t="n">
        <x:v>39171.05</x:v>
      </x:c>
      <x:c r="M229" s="20" t="n">
        <x:v>877.43</x:v>
      </x:c>
      <x:c r="N229" s="20" t="n">
        <x:v>0</x:v>
      </x:c>
      <x:c r="O229" s="20" t="n">
        <x:v>40048.48</x:v>
      </x:c>
      <x:c r="P229" s="20" t="n">
        <x:v>0</x:v>
      </x:c>
      <x:c r="Q229" s="10" t="str">
        <x:v>Pago</x:v>
      </x:c>
      <x:c r="R229" s="10" t="str">
        <x:v>Cartão Corporativo</x:v>
      </x:c>
      <x:c r="S229" s="10" t="str">
        <x:v>2025-01</x:v>
      </x:c>
      <x:c r="T229" s="10" t="n">
        <x:v>0</x:v>
      </x:c>
      <x:c r="U229" s="10" t="str">
        <x:v>Liquidado</x:v>
      </x:c>
      <x:c r="V229" s="10" t="str">
        <x:v>UND001</x:v>
      </x:c>
    </x:row>
    <x:row r="230" ht="18" customHeight="1">
      <x:c r="A230" s="10" t="str">
        <x:v>PAG00229</x:v>
      </x:c>
      <x:c r="B230" s="10" t="str">
        <x:v>EMP001</x:v>
      </x:c>
      <x:c r="C230" s="10" t="str">
        <x:v>FOR007</x:v>
      </x:c>
      <x:c r="D230" s="10" t="str">
        <x:v>CC005</x:v>
      </x:c>
      <x:c r="E230" s="10" t="str">
        <x:v>CAT012</x:v>
      </x:c>
      <x:c r="F230" s="10" t="str">
        <x:v>CTA001</x:v>
      </x:c>
      <x:c r="G230" s="10" t="str">
        <x:v>NF-100229</x:v>
      </x:c>
      <x:c r="H230" s="10" t="str">
        <x:v>Tributos e taxas</x:v>
      </x:c>
      <x:c r="I230" s="16" t="n">
        <x:v>45958.87914800926</x:v>
      </x:c>
      <x:c r="J230" s="16" t="n">
        <x:v>45986.87914800926</x:v>
      </x:c>
      <x:c r="K230" s="16" t="n">
        <x:v>45986.87914800926</x:v>
      </x:c>
      <x:c r="L230" s="20" t="n">
        <x:v>12443.71</x:v>
      </x:c>
      <x:c r="M230" s="20" t="n">
        <x:v>0</x:v>
      </x:c>
      <x:c r="N230" s="20" t="n">
        <x:v>0</x:v>
      </x:c>
      <x:c r="O230" s="20" t="n">
        <x:v>12443.71</x:v>
      </x:c>
      <x:c r="P230" s="20" t="n">
        <x:v>0</x:v>
      </x:c>
      <x:c r="Q230" s="10" t="str">
        <x:v>Pago</x:v>
      </x:c>
      <x:c r="R230" s="10" t="str">
        <x:v>Cartão Corporativo</x:v>
      </x:c>
      <x:c r="S230" s="10" t="str">
        <x:v>2025-10</x:v>
      </x:c>
      <x:c r="T230" s="10" t="n">
        <x:v>0</x:v>
      </x:c>
      <x:c r="U230" s="10" t="str">
        <x:v>Liquidado</x:v>
      </x:c>
      <x:c r="V230" s="10" t="str">
        <x:v>UND001</x:v>
      </x:c>
    </x:row>
    <x:row r="231" ht="18" customHeight="1">
      <x:c r="A231" s="10" t="str">
        <x:v>PAG00230</x:v>
      </x:c>
      <x:c r="B231" s="10" t="str">
        <x:v>EMP002</x:v>
      </x:c>
      <x:c r="C231" s="10" t="str">
        <x:v>FOR015</x:v>
      </x:c>
      <x:c r="D231" s="10" t="str">
        <x:v>CC003</x:v>
      </x:c>
      <x:c r="E231" s="10" t="str">
        <x:v>CAT013</x:v>
      </x:c>
      <x:c r="F231" s="10" t="str">
        <x:v>CTA004</x:v>
      </x:c>
      <x:c r="G231" s="10" t="str">
        <x:v>NF-100230</x:v>
      </x:c>
      <x:c r="H231" s="10" t="str">
        <x:v>Prestação de serviços</x:v>
      </x:c>
      <x:c r="I231" s="16" t="n">
        <x:v>45315.71815756944</x:v>
      </x:c>
      <x:c r="J231" s="16" t="n">
        <x:v>45350.71815756944</x:v>
      </x:c>
      <x:c r="K231" s="16" t="n">
        <x:v>45352.71815756944</x:v>
      </x:c>
      <x:c r="L231" s="20" t="n">
        <x:v>100559.02</x:v>
      </x:c>
      <x:c r="M231" s="20" t="n">
        <x:v>140.78</x:v>
      </x:c>
      <x:c r="N231" s="20" t="n">
        <x:v>0</x:v>
      </x:c>
      <x:c r="O231" s="20" t="n">
        <x:v>100699.8</x:v>
      </x:c>
      <x:c r="P231" s="20" t="n">
        <x:v>0</x:v>
      </x:c>
      <x:c r="Q231" s="10" t="str">
        <x:v>Pago</x:v>
      </x:c>
      <x:c r="R231" s="10" t="str">
        <x:v>Cartão Corporativo</x:v>
      </x:c>
      <x:c r="S231" s="10" t="str">
        <x:v>2024-01</x:v>
      </x:c>
      <x:c r="T231" s="10" t="n">
        <x:v>0</x:v>
      </x:c>
      <x:c r="U231" s="10" t="str">
        <x:v>Liquidado</x:v>
      </x:c>
      <x:c r="V231" s="10" t="str">
        <x:v>UND003</x:v>
      </x:c>
    </x:row>
    <x:row r="232" ht="18" customHeight="1">
      <x:c r="A232" s="10" t="str">
        <x:v>PAG00231</x:v>
      </x:c>
      <x:c r="B232" s="10" t="str">
        <x:v>EMP002</x:v>
      </x:c>
      <x:c r="C232" s="10" t="str">
        <x:v>FOR009</x:v>
      </x:c>
      <x:c r="D232" s="10" t="str">
        <x:v>CC004</x:v>
      </x:c>
      <x:c r="E232" s="10" t="str">
        <x:v>CAT016</x:v>
      </x:c>
      <x:c r="F232" s="10" t="str">
        <x:v>CTA003</x:v>
      </x:c>
      <x:c r="G232" s="10" t="str">
        <x:v>NF-100231</x:v>
      </x:c>
      <x:c r="H232" s="10" t="str">
        <x:v>Contrato recorrente</x:v>
      </x:c>
      <x:c r="I232" s="16" t="n">
        <x:v>45570.55735434028</x:v>
      </x:c>
      <x:c r="J232" s="16" t="n">
        <x:v>45590.55735434028</x:v>
      </x:c>
      <x:c r="K232" s="16" t="n">
        <x:v>45596.55735434028</x:v>
      </x:c>
      <x:c r="L232" s="20" t="n">
        <x:v>102581.17</x:v>
      </x:c>
      <x:c r="M232" s="20" t="n">
        <x:v>430.84</x:v>
      </x:c>
      <x:c r="N232" s="20" t="n">
        <x:v>0</x:v>
      </x:c>
      <x:c r="O232" s="20" t="n">
        <x:v>103012.01</x:v>
      </x:c>
      <x:c r="P232" s="20" t="n">
        <x:v>0</x:v>
      </x:c>
      <x:c r="Q232" s="10" t="str">
        <x:v>Pago</x:v>
      </x:c>
      <x:c r="R232" s="10" t="str">
        <x:v>Boleto</x:v>
      </x:c>
      <x:c r="S232" s="10" t="str">
        <x:v>2024-10</x:v>
      </x:c>
      <x:c r="T232" s="10" t="n">
        <x:v>0</x:v>
      </x:c>
      <x:c r="U232" s="10" t="str">
        <x:v>Liquidado</x:v>
      </x:c>
      <x:c r="V232" s="10" t="str">
        <x:v>UND003</x:v>
      </x:c>
    </x:row>
    <x:row r="233" ht="18" customHeight="1">
      <x:c r="A233" s="10" t="str">
        <x:v>PAG00232</x:v>
      </x:c>
      <x:c r="B233" s="10" t="str">
        <x:v>EMP002</x:v>
      </x:c>
      <x:c r="C233" s="10" t="str">
        <x:v>FOR010</x:v>
      </x:c>
      <x:c r="D233" s="10" t="str">
        <x:v>CC002</x:v>
      </x:c>
      <x:c r="E233" s="10" t="str">
        <x:v>CAT009</x:v>
      </x:c>
      <x:c r="F233" s="10" t="str">
        <x:v>CTA004</x:v>
      </x:c>
      <x:c r="G233" s="10" t="str">
        <x:v>NF-100232</x:v>
      </x:c>
      <x:c r="H233" s="10" t="str">
        <x:v>Prestação de serviços</x:v>
      </x:c>
      <x:c r="I233" s="16" t="n">
        <x:v>45584.792152407405</x:v>
      </x:c>
      <x:c r="J233" s="16" t="n">
        <x:v>45612.792152407405</x:v>
      </x:c>
      <x:c r="K233" s="16" t="n">
        <x:v>45608.792152407405</x:v>
      </x:c>
      <x:c r="L233" s="20" t="n">
        <x:v>54566.25</x:v>
      </x:c>
      <x:c r="M233" s="20" t="n">
        <x:v>0</x:v>
      </x:c>
      <x:c r="N233" s="20" t="n">
        <x:v>0</x:v>
      </x:c>
      <x:c r="O233" s="20" t="n">
        <x:v>54566.25</x:v>
      </x:c>
      <x:c r="P233" s="20" t="n">
        <x:v>0</x:v>
      </x:c>
      <x:c r="Q233" s="10" t="str">
        <x:v>Pago</x:v>
      </x:c>
      <x:c r="R233" s="10" t="str">
        <x:v>Boleto</x:v>
      </x:c>
      <x:c r="S233" s="10" t="str">
        <x:v>2024-10</x:v>
      </x:c>
      <x:c r="T233" s="10" t="n">
        <x:v>0</x:v>
      </x:c>
      <x:c r="U233" s="10" t="str">
        <x:v>Liquidado</x:v>
      </x:c>
      <x:c r="V233" s="10" t="str">
        <x:v>UND003</x:v>
      </x:c>
    </x:row>
    <x:row r="234" ht="18" customHeight="1">
      <x:c r="A234" s="10" t="str">
        <x:v>PAG00233</x:v>
      </x:c>
      <x:c r="B234" s="10" t="str">
        <x:v>EMP003</x:v>
      </x:c>
      <x:c r="C234" s="10" t="str">
        <x:v>FOR011</x:v>
      </x:c>
      <x:c r="D234" s="10" t="str">
        <x:v>CC001</x:v>
      </x:c>
      <x:c r="E234" s="10" t="str">
        <x:v>CAT016</x:v>
      </x:c>
      <x:c r="F234" s="10" t="str">
        <x:v>CTA005</x:v>
      </x:c>
      <x:c r="G234" s="10" t="str">
        <x:v>NF-100233</x:v>
      </x:c>
      <x:c r="H234" s="10" t="str">
        <x:v>Compra de materiais</x:v>
      </x:c>
      <x:c r="I234" s="16" t="n">
        <x:v>45638.03791100695</x:v>
      </x:c>
      <x:c r="J234" s="16" t="n">
        <x:v>45668.03791100695</x:v>
      </x:c>
      <x:c r="K234" s="16" t="n">
        <x:v>45678.03791100695</x:v>
      </x:c>
      <x:c r="L234" s="20" t="n">
        <x:v>17934.5</x:v>
      </x:c>
      <x:c r="M234" s="20" t="n">
        <x:v>125.54</x:v>
      </x:c>
      <x:c r="N234" s="20" t="n">
        <x:v>0</x:v>
      </x:c>
      <x:c r="O234" s="20" t="n">
        <x:v>18060.04</x:v>
      </x:c>
      <x:c r="P234" s="20" t="n">
        <x:v>0</x:v>
      </x:c>
      <x:c r="Q234" s="10" t="str">
        <x:v>Pago</x:v>
      </x:c>
      <x:c r="R234" s="10" t="str">
        <x:v>Débito Automático</x:v>
      </x:c>
      <x:c r="S234" s="10" t="str">
        <x:v>2024-12</x:v>
      </x:c>
      <x:c r="T234" s="10" t="n">
        <x:v>0</x:v>
      </x:c>
      <x:c r="U234" s="10" t="str">
        <x:v>Liquidado</x:v>
      </x:c>
      <x:c r="V234" s="10" t="str">
        <x:v>UND004</x:v>
      </x:c>
    </x:row>
    <x:row r="235" ht="18" customHeight="1">
      <x:c r="A235" s="10" t="str">
        <x:v>PAG00234</x:v>
      </x:c>
      <x:c r="B235" s="10" t="str">
        <x:v>EMP003</x:v>
      </x:c>
      <x:c r="C235" s="10" t="str">
        <x:v>FOR001</x:v>
      </x:c>
      <x:c r="D235" s="10" t="str">
        <x:v>CC001</x:v>
      </x:c>
      <x:c r="E235" s="10" t="str">
        <x:v>CAT018</x:v>
      </x:c>
      <x:c r="F235" s="10" t="str">
        <x:v>CTA006</x:v>
      </x:c>
      <x:c r="G235" s="10" t="str">
        <x:v>NF-100234</x:v>
      </x:c>
      <x:c r="H235" s="10" t="str">
        <x:v>Despesa operacional</x:v>
      </x:c>
      <x:c r="I235" s="16" t="n">
        <x:v>45421.34895423611</x:v>
      </x:c>
      <x:c r="J235" s="16" t="n">
        <x:v>45449.34895423611</x:v>
      </x:c>
      <x:c r="K235" s="16" t="n">
        <x:v>45453.34895423611</x:v>
      </x:c>
      <x:c r="L235" s="20" t="n">
        <x:v>104419.49</x:v>
      </x:c>
      <x:c r="M235" s="20" t="n">
        <x:v>292.37</x:v>
      </x:c>
      <x:c r="N235" s="20" t="n">
        <x:v>0</x:v>
      </x:c>
      <x:c r="O235" s="20" t="n">
        <x:v>104711.86</x:v>
      </x:c>
      <x:c r="P235" s="20" t="n">
        <x:v>0</x:v>
      </x:c>
      <x:c r="Q235" s="10" t="str">
        <x:v>Pago</x:v>
      </x:c>
      <x:c r="R235" s="10" t="str">
        <x:v>Cartão Corporativo</x:v>
      </x:c>
      <x:c r="S235" s="10" t="str">
        <x:v>2024-05</x:v>
      </x:c>
      <x:c r="T235" s="10" t="n">
        <x:v>0</x:v>
      </x:c>
      <x:c r="U235" s="10" t="str">
        <x:v>Liquidado</x:v>
      </x:c>
      <x:c r="V235" s="10" t="str">
        <x:v>UND004</x:v>
      </x:c>
    </x:row>
    <x:row r="236" ht="18" customHeight="1">
      <x:c r="A236" s="10" t="str">
        <x:v>PAG00235</x:v>
      </x:c>
      <x:c r="B236" s="10" t="str">
        <x:v>EMP001</x:v>
      </x:c>
      <x:c r="C236" s="10" t="str">
        <x:v>FOR017</x:v>
      </x:c>
      <x:c r="D236" s="10" t="str">
        <x:v>CC006</x:v>
      </x:c>
      <x:c r="E236" s="10" t="str">
        <x:v>CAT014</x:v>
      </x:c>
      <x:c r="F236" s="10" t="str">
        <x:v>CTA002</x:v>
      </x:c>
      <x:c r="G236" s="10" t="str">
        <x:v>NF-100235</x:v>
      </x:c>
      <x:c r="H236" s="10" t="str">
        <x:v>Contrato recorrente</x:v>
      </x:c>
      <x:c r="I236" s="16" t="n">
        <x:v>45394.97631280093</x:v>
      </x:c>
      <x:c r="J236" s="16" t="n">
        <x:v>45414.97631280093</x:v>
      </x:c>
      <x:c r="K236" s="16"/>
      <x:c r="L236" s="20" t="n">
        <x:v>16205.48</x:v>
      </x:c>
      <x:c r="M236" s="20" t="n">
        <x:v>0</x:v>
      </x:c>
      <x:c r="N236" s="20" t="n">
        <x:v>0</x:v>
      </x:c>
      <x:c r="O236" s="20" t="n">
        <x:v>0</x:v>
      </x:c>
      <x:c r="P236" s="20" t="n">
        <x:v>0</x:v>
      </x:c>
      <x:c r="Q236" s="10" t="str">
        <x:v>Cancelado</x:v>
      </x:c>
      <x:c r="R236" s="10" t="str">
        <x:v>Débito Automático</x:v>
      </x:c>
      <x:c r="S236" s="10" t="str">
        <x:v>2024-04</x:v>
      </x:c>
      <x:c r="T236" s="10" t="n">
        <x:v>0</x:v>
      </x:c>
      <x:c r="U236" s="10" t="str">
        <x:v>Cancelado</x:v>
      </x:c>
      <x:c r="V236" s="10" t="str">
        <x:v>UND002</x:v>
      </x:c>
    </x:row>
    <x:row r="237" ht="18" customHeight="1">
      <x:c r="A237" s="10" t="str">
        <x:v>PAG00236</x:v>
      </x:c>
      <x:c r="B237" s="10" t="str">
        <x:v>EMP002</x:v>
      </x:c>
      <x:c r="C237" s="10" t="str">
        <x:v>FOR020</x:v>
      </x:c>
      <x:c r="D237" s="10" t="str">
        <x:v>CC003</x:v>
      </x:c>
      <x:c r="E237" s="10" t="str">
        <x:v>CAT013</x:v>
      </x:c>
      <x:c r="F237" s="10" t="str">
        <x:v>CTA003</x:v>
      </x:c>
      <x:c r="G237" s="10" t="str">
        <x:v>NF-100236</x:v>
      </x:c>
      <x:c r="H237" s="10" t="str">
        <x:v>Tributos e taxas</x:v>
      </x:c>
      <x:c r="I237" s="16" t="n">
        <x:v>45400.233485717596</x:v>
      </x:c>
      <x:c r="J237" s="16" t="n">
        <x:v>45415.233485717596</x:v>
      </x:c>
      <x:c r="K237" s="16" t="n">
        <x:v>45412.233485717596</x:v>
      </x:c>
      <x:c r="L237" s="20" t="n">
        <x:v>86065.82</x:v>
      </x:c>
      <x:c r="M237" s="20" t="n">
        <x:v>0</x:v>
      </x:c>
      <x:c r="N237" s="20" t="n">
        <x:v>0</x:v>
      </x:c>
      <x:c r="O237" s="20" t="n">
        <x:v>86065.82</x:v>
      </x:c>
      <x:c r="P237" s="20" t="n">
        <x:v>0</x:v>
      </x:c>
      <x:c r="Q237" s="10" t="str">
        <x:v>Pago</x:v>
      </x:c>
      <x:c r="R237" s="10" t="str">
        <x:v>Débito Automático</x:v>
      </x:c>
      <x:c r="S237" s="10" t="str">
        <x:v>2024-04</x:v>
      </x:c>
      <x:c r="T237" s="10" t="n">
        <x:v>0</x:v>
      </x:c>
      <x:c r="U237" s="10" t="str">
        <x:v>Liquidado</x:v>
      </x:c>
      <x:c r="V237" s="10" t="str">
        <x:v>UND003</x:v>
      </x:c>
    </x:row>
    <x:row r="238" ht="18" customHeight="1">
      <x:c r="A238" s="10" t="str">
        <x:v>PAG00237</x:v>
      </x:c>
      <x:c r="B238" s="10" t="str">
        <x:v>EMP002</x:v>
      </x:c>
      <x:c r="C238" s="10" t="str">
        <x:v>FOR046</x:v>
      </x:c>
      <x:c r="D238" s="10" t="str">
        <x:v>CC007</x:v>
      </x:c>
      <x:c r="E238" s="10" t="str">
        <x:v>CAT006</x:v>
      </x:c>
      <x:c r="F238" s="10" t="str">
        <x:v>CTA004</x:v>
      </x:c>
      <x:c r="G238" s="10" t="str">
        <x:v>NF-100237</x:v>
      </x:c>
      <x:c r="H238" s="10" t="str">
        <x:v>Contrato recorrente</x:v>
      </x:c>
      <x:c r="I238" s="16" t="n">
        <x:v>45531.516401168985</x:v>
      </x:c>
      <x:c r="J238" s="16" t="n">
        <x:v>45551.516401168985</x:v>
      </x:c>
      <x:c r="K238" s="16" t="n">
        <x:v>45580.516401168985</x:v>
      </x:c>
      <x:c r="L238" s="20" t="n">
        <x:v>64801.05</x:v>
      </x:c>
      <x:c r="M238" s="20" t="n">
        <x:v>1315.46</x:v>
      </x:c>
      <x:c r="N238" s="20" t="n">
        <x:v>0</x:v>
      </x:c>
      <x:c r="O238" s="20" t="n">
        <x:v>66116.51</x:v>
      </x:c>
      <x:c r="P238" s="20" t="n">
        <x:v>0</x:v>
      </x:c>
      <x:c r="Q238" s="10" t="str">
        <x:v>Pago</x:v>
      </x:c>
      <x:c r="R238" s="10" t="str">
        <x:v>TED</x:v>
      </x:c>
      <x:c r="S238" s="10" t="str">
        <x:v>2024-08</x:v>
      </x:c>
      <x:c r="T238" s="10" t="n">
        <x:v>0</x:v>
      </x:c>
      <x:c r="U238" s="10" t="str">
        <x:v>Liquidado</x:v>
      </x:c>
      <x:c r="V238" s="10" t="str">
        <x:v>UND003</x:v>
      </x:c>
    </x:row>
    <x:row r="239" ht="18" customHeight="1">
      <x:c r="A239" s="10" t="str">
        <x:v>PAG00238</x:v>
      </x:c>
      <x:c r="B239" s="10" t="str">
        <x:v>EMP003</x:v>
      </x:c>
      <x:c r="C239" s="10" t="str">
        <x:v>FOR016</x:v>
      </x:c>
      <x:c r="D239" s="10" t="str">
        <x:v>CC002</x:v>
      </x:c>
      <x:c r="E239" s="10" t="str">
        <x:v>CAT012</x:v>
      </x:c>
      <x:c r="F239" s="10" t="str">
        <x:v>CTA006</x:v>
      </x:c>
      <x:c r="G239" s="10" t="str">
        <x:v>NF-100238</x:v>
      </x:c>
      <x:c r="H239" s="10" t="str">
        <x:v>Prestação de serviços</x:v>
      </x:c>
      <x:c r="I239" s="16" t="n">
        <x:v>45413.39245796296</x:v>
      </x:c>
      <x:c r="J239" s="16" t="n">
        <x:v>45443.39245796296</x:v>
      </x:c>
      <x:c r="K239" s="16" t="n">
        <x:v>45454.39245796296</x:v>
      </x:c>
      <x:c r="L239" s="20" t="n">
        <x:v>2244.31</x:v>
      </x:c>
      <x:c r="M239" s="20" t="n">
        <x:v>17.28</x:v>
      </x:c>
      <x:c r="N239" s="20" t="n">
        <x:v>0</x:v>
      </x:c>
      <x:c r="O239" s="20" t="n">
        <x:v>2261.59</x:v>
      </x:c>
      <x:c r="P239" s="20" t="n">
        <x:v>0</x:v>
      </x:c>
      <x:c r="Q239" s="10" t="str">
        <x:v>Pago</x:v>
      </x:c>
      <x:c r="R239" s="10" t="str">
        <x:v>Cartão Corporativo</x:v>
      </x:c>
      <x:c r="S239" s="10" t="str">
        <x:v>2024-05</x:v>
      </x:c>
      <x:c r="T239" s="10" t="n">
        <x:v>0</x:v>
      </x:c>
      <x:c r="U239" s="10" t="str">
        <x:v>Liquidado</x:v>
      </x:c>
      <x:c r="V239" s="10" t="str">
        <x:v>UND004</x:v>
      </x:c>
    </x:row>
    <x:row r="240" ht="18" customHeight="1">
      <x:c r="A240" s="10" t="str">
        <x:v>PAG00239</x:v>
      </x:c>
      <x:c r="B240" s="10" t="str">
        <x:v>EMP002</x:v>
      </x:c>
      <x:c r="C240" s="10" t="str">
        <x:v>FOR043</x:v>
      </x:c>
      <x:c r="D240" s="10" t="str">
        <x:v>CC001</x:v>
      </x:c>
      <x:c r="E240" s="10" t="str">
        <x:v>CAT011</x:v>
      </x:c>
      <x:c r="F240" s="10" t="str">
        <x:v>CTA004</x:v>
      </x:c>
      <x:c r="G240" s="10" t="str">
        <x:v>NF-100239</x:v>
      </x:c>
      <x:c r="H240" s="10" t="str">
        <x:v>Compra de materiais</x:v>
      </x:c>
      <x:c r="I240" s="16" t="n">
        <x:v>45389.95919574074</x:v>
      </x:c>
      <x:c r="J240" s="16" t="n">
        <x:v>45417.95919574074</x:v>
      </x:c>
      <x:c r="K240" s="16" t="n">
        <x:v>45427.95919574074</x:v>
      </x:c>
      <x:c r="L240" s="20" t="n">
        <x:v>80689.7</x:v>
      </x:c>
      <x:c r="M240" s="20" t="n">
        <x:v>564.83</x:v>
      </x:c>
      <x:c r="N240" s="20" t="n">
        <x:v>0</x:v>
      </x:c>
      <x:c r="O240" s="20" t="n">
        <x:v>81254.53</x:v>
      </x:c>
      <x:c r="P240" s="20" t="n">
        <x:v>0</x:v>
      </x:c>
      <x:c r="Q240" s="10" t="str">
        <x:v>Pago</x:v>
      </x:c>
      <x:c r="R240" s="10" t="str">
        <x:v>Cartão Corporativo</x:v>
      </x:c>
      <x:c r="S240" s="10" t="str">
        <x:v>2024-04</x:v>
      </x:c>
      <x:c r="T240" s="10" t="n">
        <x:v>0</x:v>
      </x:c>
      <x:c r="U240" s="10" t="str">
        <x:v>Liquidado</x:v>
      </x:c>
      <x:c r="V240" s="10" t="str">
        <x:v>UND003</x:v>
      </x:c>
    </x:row>
    <x:row r="241" ht="18" customHeight="1">
      <x:c r="A241" s="10" t="str">
        <x:v>PAG00240</x:v>
      </x:c>
      <x:c r="B241" s="10" t="str">
        <x:v>EMP003</x:v>
      </x:c>
      <x:c r="C241" s="10" t="str">
        <x:v>FOR052</x:v>
      </x:c>
      <x:c r="D241" s="10" t="str">
        <x:v>CC004</x:v>
      </x:c>
      <x:c r="E241" s="10" t="str">
        <x:v>CAT010</x:v>
      </x:c>
      <x:c r="F241" s="10" t="str">
        <x:v>CTA005</x:v>
      </x:c>
      <x:c r="G241" s="10" t="str">
        <x:v>NF-100240</x:v>
      </x:c>
      <x:c r="H241" s="10" t="str">
        <x:v>Contrato recorrente</x:v>
      </x:c>
      <x:c r="I241" s="16" t="n">
        <x:v>45963.674107418985</x:v>
      </x:c>
      <x:c r="J241" s="16" t="n">
        <x:v>45978.674107418985</x:v>
      </x:c>
      <x:c r="K241" s="16" t="n">
        <x:v>45982.674107418985</x:v>
      </x:c>
      <x:c r="L241" s="20" t="n">
        <x:v>69063.86</x:v>
      </x:c>
      <x:c r="M241" s="20" t="n">
        <x:v>193.38</x:v>
      </x:c>
      <x:c r="N241" s="20" t="n">
        <x:v>0</x:v>
      </x:c>
      <x:c r="O241" s="20" t="n">
        <x:v>69257.24</x:v>
      </x:c>
      <x:c r="P241" s="20" t="n">
        <x:v>0</x:v>
      </x:c>
      <x:c r="Q241" s="10" t="str">
        <x:v>Pago</x:v>
      </x:c>
      <x:c r="R241" s="10" t="str">
        <x:v>Boleto</x:v>
      </x:c>
      <x:c r="S241" s="10" t="str">
        <x:v>2025-11</x:v>
      </x:c>
      <x:c r="T241" s="10" t="n">
        <x:v>0</x:v>
      </x:c>
      <x:c r="U241" s="10" t="str">
        <x:v>Liquidado</x:v>
      </x:c>
      <x:c r="V241" s="10" t="str">
        <x:v>UND004</x:v>
      </x:c>
    </x:row>
    <x:row r="242" ht="18" customHeight="1">
      <x:c r="A242" s="10" t="str">
        <x:v>PAG00241</x:v>
      </x:c>
      <x:c r="B242" s="10" t="str">
        <x:v>EMP002</x:v>
      </x:c>
      <x:c r="C242" s="10" t="str">
        <x:v>FOR017</x:v>
      </x:c>
      <x:c r="D242" s="10" t="str">
        <x:v>CC006</x:v>
      </x:c>
      <x:c r="E242" s="10" t="str">
        <x:v>CAT014</x:v>
      </x:c>
      <x:c r="F242" s="10" t="str">
        <x:v>CTA004</x:v>
      </x:c>
      <x:c r="G242" s="10" t="str">
        <x:v>NF-100241</x:v>
      </x:c>
      <x:c r="H242" s="10" t="str">
        <x:v>Tributos e taxas</x:v>
      </x:c>
      <x:c r="I242" s="16" t="n">
        <x:v>45380.06366854167</x:v>
      </x:c>
      <x:c r="J242" s="16" t="n">
        <x:v>45415.06366854167</x:v>
      </x:c>
      <x:c r="K242" s="16" t="n">
        <x:v>45408.06366854167</x:v>
      </x:c>
      <x:c r="L242" s="20" t="n">
        <x:v>108764.55</x:v>
      </x:c>
      <x:c r="M242" s="20" t="n">
        <x:v>0</x:v>
      </x:c>
      <x:c r="N242" s="20" t="n">
        <x:v>1631.47</x:v>
      </x:c>
      <x:c r="O242" s="20" t="n">
        <x:v>107133.08</x:v>
      </x:c>
      <x:c r="P242" s="20" t="n">
        <x:v>0</x:v>
      </x:c>
      <x:c r="Q242" s="10" t="str">
        <x:v>Pago</x:v>
      </x:c>
      <x:c r="R242" s="10" t="str">
        <x:v>Débito Automático</x:v>
      </x:c>
      <x:c r="S242" s="10" t="str">
        <x:v>2024-03</x:v>
      </x:c>
      <x:c r="T242" s="10" t="n">
        <x:v>0</x:v>
      </x:c>
      <x:c r="U242" s="10" t="str">
        <x:v>Liquidado</x:v>
      </x:c>
      <x:c r="V242" s="10" t="str">
        <x:v>UND003</x:v>
      </x:c>
    </x:row>
    <x:row r="243" ht="18" customHeight="1">
      <x:c r="A243" s="10" t="str">
        <x:v>PAG00242</x:v>
      </x:c>
      <x:c r="B243" s="10" t="str">
        <x:v>EMP002</x:v>
      </x:c>
      <x:c r="C243" s="10" t="str">
        <x:v>FOR056</x:v>
      </x:c>
      <x:c r="D243" s="10" t="str">
        <x:v>CC005</x:v>
      </x:c>
      <x:c r="E243" s="10" t="str">
        <x:v>CAT005</x:v>
      </x:c>
      <x:c r="F243" s="10" t="str">
        <x:v>CTA004</x:v>
      </x:c>
      <x:c r="G243" s="10" t="str">
        <x:v>NF-100242</x:v>
      </x:c>
      <x:c r="H243" s="10" t="str">
        <x:v>Prestação de serviços</x:v>
      </x:c>
      <x:c r="I243" s="16" t="n">
        <x:v>45352.92326606481</x:v>
      </x:c>
      <x:c r="J243" s="16" t="n">
        <x:v>45412.92326606481</x:v>
      </x:c>
      <x:c r="K243" s="16" t="n">
        <x:v>45416.92326606481</x:v>
      </x:c>
      <x:c r="L243" s="20" t="n">
        <x:v>6858.05</x:v>
      </x:c>
      <x:c r="M243" s="20" t="n">
        <x:v>19.2</x:v>
      </x:c>
      <x:c r="N243" s="20" t="n">
        <x:v>0</x:v>
      </x:c>
      <x:c r="O243" s="20" t="n">
        <x:v>6877.25</x:v>
      </x:c>
      <x:c r="P243" s="20" t="n">
        <x:v>0</x:v>
      </x:c>
      <x:c r="Q243" s="10" t="str">
        <x:v>Pago</x:v>
      </x:c>
      <x:c r="R243" s="10" t="str">
        <x:v>Débito Automático</x:v>
      </x:c>
      <x:c r="S243" s="10" t="str">
        <x:v>2024-03</x:v>
      </x:c>
      <x:c r="T243" s="10" t="n">
        <x:v>0</x:v>
      </x:c>
      <x:c r="U243" s="10" t="str">
        <x:v>Liquidado</x:v>
      </x:c>
      <x:c r="V243" s="10" t="str">
        <x:v>UND003</x:v>
      </x:c>
    </x:row>
    <x:row r="244" ht="18" customHeight="1">
      <x:c r="A244" s="10" t="str">
        <x:v>PAG00243</x:v>
      </x:c>
      <x:c r="B244" s="10" t="str">
        <x:v>EMP002</x:v>
      </x:c>
      <x:c r="C244" s="10" t="str">
        <x:v>FOR032</x:v>
      </x:c>
      <x:c r="D244" s="10" t="str">
        <x:v>CC006</x:v>
      </x:c>
      <x:c r="E244" s="10" t="str">
        <x:v>CAT008</x:v>
      </x:c>
      <x:c r="F244" s="10" t="str">
        <x:v>CTA003</x:v>
      </x:c>
      <x:c r="G244" s="10" t="str">
        <x:v>NF-100243</x:v>
      </x:c>
      <x:c r="H244" s="10" t="str">
        <x:v>Despesa operacional</x:v>
      </x:c>
      <x:c r="I244" s="16" t="n">
        <x:v>45293.03471157407</x:v>
      </x:c>
      <x:c r="J244" s="16" t="n">
        <x:v>45338.03471157407</x:v>
      </x:c>
      <x:c r="K244" s="16" t="n">
        <x:v>45330.03471157407</x:v>
      </x:c>
      <x:c r="L244" s="20" t="n">
        <x:v>2851.3</x:v>
      </x:c>
      <x:c r="M244" s="20" t="n">
        <x:v>0</x:v>
      </x:c>
      <x:c r="N244" s="20" t="n">
        <x:v>28.51</x:v>
      </x:c>
      <x:c r="O244" s="20" t="n">
        <x:v>2822.79</x:v>
      </x:c>
      <x:c r="P244" s="20" t="n">
        <x:v>0</x:v>
      </x:c>
      <x:c r="Q244" s="10" t="str">
        <x:v>Pago</x:v>
      </x:c>
      <x:c r="R244" s="10" t="str">
        <x:v>PIX</x:v>
      </x:c>
      <x:c r="S244" s="10" t="str">
        <x:v>2024-01</x:v>
      </x:c>
      <x:c r="T244" s="10" t="n">
        <x:v>0</x:v>
      </x:c>
      <x:c r="U244" s="10" t="str">
        <x:v>Liquidado</x:v>
      </x:c>
      <x:c r="V244" s="10" t="str">
        <x:v>UND003</x:v>
      </x:c>
    </x:row>
    <x:row r="245" ht="18" customHeight="1">
      <x:c r="A245" s="10" t="str">
        <x:v>PAG00244</x:v>
      </x:c>
      <x:c r="B245" s="10" t="str">
        <x:v>EMP002</x:v>
      </x:c>
      <x:c r="C245" s="10" t="str">
        <x:v>FOR012</x:v>
      </x:c>
      <x:c r="D245" s="10" t="str">
        <x:v>CC001</x:v>
      </x:c>
      <x:c r="E245" s="10" t="str">
        <x:v>CAT009</x:v>
      </x:c>
      <x:c r="F245" s="10" t="str">
        <x:v>CTA003</x:v>
      </x:c>
      <x:c r="G245" s="10" t="str">
        <x:v>NF-100244</x:v>
      </x:c>
      <x:c r="H245" s="10" t="str">
        <x:v>Compra de materiais</x:v>
      </x:c>
      <x:c r="I245" s="16" t="n">
        <x:v>45867.33790511574</x:v>
      </x:c>
      <x:c r="J245" s="16" t="n">
        <x:v>45912.33790511574</x:v>
      </x:c>
      <x:c r="K245" s="16" t="n">
        <x:v>45911.33790511574</x:v>
      </x:c>
      <x:c r="L245" s="20" t="n">
        <x:v>37604.01</x:v>
      </x:c>
      <x:c r="M245" s="20" t="n">
        <x:v>0</x:v>
      </x:c>
      <x:c r="N245" s="20" t="n">
        <x:v>0</x:v>
      </x:c>
      <x:c r="O245" s="20" t="n">
        <x:v>37604.01</x:v>
      </x:c>
      <x:c r="P245" s="20" t="n">
        <x:v>0</x:v>
      </x:c>
      <x:c r="Q245" s="10" t="str">
        <x:v>Pago</x:v>
      </x:c>
      <x:c r="R245" s="10" t="str">
        <x:v>PIX</x:v>
      </x:c>
      <x:c r="S245" s="10" t="str">
        <x:v>2025-07</x:v>
      </x:c>
      <x:c r="T245" s="10" t="n">
        <x:v>0</x:v>
      </x:c>
      <x:c r="U245" s="10" t="str">
        <x:v>Liquidado</x:v>
      </x:c>
      <x:c r="V245" s="10" t="str">
        <x:v>UND003</x:v>
      </x:c>
    </x:row>
    <x:row r="246" ht="18" customHeight="1">
      <x:c r="A246" s="10" t="str">
        <x:v>PAG00245</x:v>
      </x:c>
      <x:c r="B246" s="10" t="str">
        <x:v>EMP003</x:v>
      </x:c>
      <x:c r="C246" s="10" t="str">
        <x:v>FOR050</x:v>
      </x:c>
      <x:c r="D246" s="10" t="str">
        <x:v>CC001</x:v>
      </x:c>
      <x:c r="E246" s="10" t="str">
        <x:v>CAT007</x:v>
      </x:c>
      <x:c r="F246" s="10" t="str">
        <x:v>CTA005</x:v>
      </x:c>
      <x:c r="G246" s="10" t="str">
        <x:v>NF-100245</x:v>
      </x:c>
      <x:c r="H246" s="10" t="str">
        <x:v>Contrato recorrente</x:v>
      </x:c>
      <x:c r="I246" s="16" t="n">
        <x:v>45553.88514576389</x:v>
      </x:c>
      <x:c r="J246" s="16" t="n">
        <x:v>45581.88514576389</x:v>
      </x:c>
      <x:c r="K246" s="16" t="n">
        <x:v>45587.88514576389</x:v>
      </x:c>
      <x:c r="L246" s="20" t="n">
        <x:v>28210.37</x:v>
      </x:c>
      <x:c r="M246" s="20" t="n">
        <x:v>118.48</x:v>
      </x:c>
      <x:c r="N246" s="20" t="n">
        <x:v>0</x:v>
      </x:c>
      <x:c r="O246" s="20" t="n">
        <x:v>28328.85</x:v>
      </x:c>
      <x:c r="P246" s="20" t="n">
        <x:v>0</x:v>
      </x:c>
      <x:c r="Q246" s="10" t="str">
        <x:v>Pago</x:v>
      </x:c>
      <x:c r="R246" s="10" t="str">
        <x:v>TED</x:v>
      </x:c>
      <x:c r="S246" s="10" t="str">
        <x:v>2024-09</x:v>
      </x:c>
      <x:c r="T246" s="10" t="n">
        <x:v>0</x:v>
      </x:c>
      <x:c r="U246" s="10" t="str">
        <x:v>Liquidado</x:v>
      </x:c>
      <x:c r="V246" s="10" t="str">
        <x:v>UND004</x:v>
      </x:c>
    </x:row>
    <x:row r="247" ht="18" customHeight="1">
      <x:c r="A247" s="10" t="str">
        <x:v>PAG00246</x:v>
      </x:c>
      <x:c r="B247" s="10" t="str">
        <x:v>EMP001</x:v>
      </x:c>
      <x:c r="C247" s="10" t="str">
        <x:v>FOR031</x:v>
      </x:c>
      <x:c r="D247" s="10" t="str">
        <x:v>CC001</x:v>
      </x:c>
      <x:c r="E247" s="10" t="str">
        <x:v>CAT005</x:v>
      </x:c>
      <x:c r="F247" s="10" t="str">
        <x:v>CTA002</x:v>
      </x:c>
      <x:c r="G247" s="10" t="str">
        <x:v>NF-100246</x:v>
      </x:c>
      <x:c r="H247" s="10" t="str">
        <x:v>Compra de materiais</x:v>
      </x:c>
      <x:c r="I247" s="16" t="n">
        <x:v>45979.102662337966</x:v>
      </x:c>
      <x:c r="J247" s="16" t="n">
        <x:v>46009.102662337966</x:v>
      </x:c>
      <x:c r="K247" s="16" t="n">
        <x:v>46003.102662337966</x:v>
      </x:c>
      <x:c r="L247" s="20" t="n">
        <x:v>46714.42</x:v>
      </x:c>
      <x:c r="M247" s="20" t="n">
        <x:v>0</x:v>
      </x:c>
      <x:c r="N247" s="20" t="n">
        <x:v>0</x:v>
      </x:c>
      <x:c r="O247" s="20" t="n">
        <x:v>46714.42</x:v>
      </x:c>
      <x:c r="P247" s="20" t="n">
        <x:v>0</x:v>
      </x:c>
      <x:c r="Q247" s="10" t="str">
        <x:v>Pago</x:v>
      </x:c>
      <x:c r="R247" s="10" t="str">
        <x:v>Cartão Corporativo</x:v>
      </x:c>
      <x:c r="S247" s="10" t="str">
        <x:v>2025-11</x:v>
      </x:c>
      <x:c r="T247" s="10" t="n">
        <x:v>0</x:v>
      </x:c>
      <x:c r="U247" s="10" t="str">
        <x:v>Liquidado</x:v>
      </x:c>
      <x:c r="V247" s="10" t="str">
        <x:v>UND001</x:v>
      </x:c>
    </x:row>
    <x:row r="248" ht="18" customHeight="1">
      <x:c r="A248" s="10" t="str">
        <x:v>PAG00247</x:v>
      </x:c>
      <x:c r="B248" s="10" t="str">
        <x:v>EMP003</x:v>
      </x:c>
      <x:c r="C248" s="10" t="str">
        <x:v>FOR059</x:v>
      </x:c>
      <x:c r="D248" s="10" t="str">
        <x:v>CC007</x:v>
      </x:c>
      <x:c r="E248" s="10" t="str">
        <x:v>CAT014</x:v>
      </x:c>
      <x:c r="F248" s="10" t="str">
        <x:v>CTA006</x:v>
      </x:c>
      <x:c r="G248" s="10" t="str">
        <x:v>NF-100247</x:v>
      </x:c>
      <x:c r="H248" s="10" t="str">
        <x:v>Despesa operacional</x:v>
      </x:c>
      <x:c r="I248" s="16" t="n">
        <x:v>45752.13596828704</x:v>
      </x:c>
      <x:c r="J248" s="16" t="n">
        <x:v>45772.13596828704</x:v>
      </x:c>
      <x:c r="K248" s="16" t="n">
        <x:v>45783.13596828704</x:v>
      </x:c>
      <x:c r="L248" s="20" t="n">
        <x:v>22915.01</x:v>
      </x:c>
      <x:c r="M248" s="20" t="n">
        <x:v>176.45</x:v>
      </x:c>
      <x:c r="N248" s="20" t="n">
        <x:v>0</x:v>
      </x:c>
      <x:c r="O248" s="20" t="n">
        <x:v>23091.46</x:v>
      </x:c>
      <x:c r="P248" s="20" t="n">
        <x:v>0</x:v>
      </x:c>
      <x:c r="Q248" s="10" t="str">
        <x:v>Pago</x:v>
      </x:c>
      <x:c r="R248" s="10" t="str">
        <x:v>Débito Automático</x:v>
      </x:c>
      <x:c r="S248" s="10" t="str">
        <x:v>2025-04</x:v>
      </x:c>
      <x:c r="T248" s="10" t="n">
        <x:v>0</x:v>
      </x:c>
      <x:c r="U248" s="10" t="str">
        <x:v>Liquidado</x:v>
      </x:c>
      <x:c r="V248" s="10" t="str">
        <x:v>UND004</x:v>
      </x:c>
    </x:row>
    <x:row r="249" ht="18" customHeight="1">
      <x:c r="A249" s="10" t="str">
        <x:v>PAG00248</x:v>
      </x:c>
      <x:c r="B249" s="10" t="str">
        <x:v>EMP002</x:v>
      </x:c>
      <x:c r="C249" s="10" t="str">
        <x:v>FOR037</x:v>
      </x:c>
      <x:c r="D249" s="10" t="str">
        <x:v>CC006</x:v>
      </x:c>
      <x:c r="E249" s="10" t="str">
        <x:v>CAT016</x:v>
      </x:c>
      <x:c r="F249" s="10" t="str">
        <x:v>CTA004</x:v>
      </x:c>
      <x:c r="G249" s="10" t="str">
        <x:v>NF-100248</x:v>
      </x:c>
      <x:c r="H249" s="10" t="str">
        <x:v>Prestação de serviços</x:v>
      </x:c>
      <x:c r="I249" s="16" t="n">
        <x:v>45330.5850109838</x:v>
      </x:c>
      <x:c r="J249" s="16" t="n">
        <x:v>45350.5850109838</x:v>
      </x:c>
      <x:c r="K249" s="16" t="n">
        <x:v>45361.5850109838</x:v>
      </x:c>
      <x:c r="L249" s="20" t="n">
        <x:v>72248.68</x:v>
      </x:c>
      <x:c r="M249" s="20" t="n">
        <x:v>556.31</x:v>
      </x:c>
      <x:c r="N249" s="20" t="n">
        <x:v>0</x:v>
      </x:c>
      <x:c r="O249" s="20" t="n">
        <x:v>72804.99</x:v>
      </x:c>
      <x:c r="P249" s="20" t="n">
        <x:v>0</x:v>
      </x:c>
      <x:c r="Q249" s="10" t="str">
        <x:v>Pago</x:v>
      </x:c>
      <x:c r="R249" s="10" t="str">
        <x:v>Cartão Corporativo</x:v>
      </x:c>
      <x:c r="S249" s="10" t="str">
        <x:v>2024-02</x:v>
      </x:c>
      <x:c r="T249" s="10" t="n">
        <x:v>0</x:v>
      </x:c>
      <x:c r="U249" s="10" t="str">
        <x:v>Liquidado</x:v>
      </x:c>
      <x:c r="V249" s="10" t="str">
        <x:v>UND003</x:v>
      </x:c>
    </x:row>
    <x:row r="250" ht="18" customHeight="1">
      <x:c r="A250" s="10" t="str">
        <x:v>PAG00249</x:v>
      </x:c>
      <x:c r="B250" s="10" t="str">
        <x:v>EMP002</x:v>
      </x:c>
      <x:c r="C250" s="10" t="str">
        <x:v>FOR028</x:v>
      </x:c>
      <x:c r="D250" s="10" t="str">
        <x:v>CC005</x:v>
      </x:c>
      <x:c r="E250" s="10" t="str">
        <x:v>CAT014</x:v>
      </x:c>
      <x:c r="F250" s="10" t="str">
        <x:v>CTA003</x:v>
      </x:c>
      <x:c r="G250" s="10" t="str">
        <x:v>NF-100249</x:v>
      </x:c>
      <x:c r="H250" s="10" t="str">
        <x:v>Compra de materiais</x:v>
      </x:c>
      <x:c r="I250" s="16" t="n">
        <x:v>45668.94479728009</x:v>
      </x:c>
      <x:c r="J250" s="16" t="n">
        <x:v>45688.94479728009</x:v>
      </x:c>
      <x:c r="K250" s="16" t="n">
        <x:v>45698.94479728009</x:v>
      </x:c>
      <x:c r="L250" s="20" t="n">
        <x:v>105714.81</x:v>
      </x:c>
      <x:c r="M250" s="20" t="n">
        <x:v>740</x:v>
      </x:c>
      <x:c r="N250" s="20" t="n">
        <x:v>0</x:v>
      </x:c>
      <x:c r="O250" s="20" t="n">
        <x:v>106454.81</x:v>
      </x:c>
      <x:c r="P250" s="20" t="n">
        <x:v>0</x:v>
      </x:c>
      <x:c r="Q250" s="10" t="str">
        <x:v>Pago</x:v>
      </x:c>
      <x:c r="R250" s="10" t="str">
        <x:v>Boleto</x:v>
      </x:c>
      <x:c r="S250" s="10" t="str">
        <x:v>2025-01</x:v>
      </x:c>
      <x:c r="T250" s="10" t="n">
        <x:v>0</x:v>
      </x:c>
      <x:c r="U250" s="10" t="str">
        <x:v>Liquidado</x:v>
      </x:c>
      <x:c r="V250" s="10" t="str">
        <x:v>UND003</x:v>
      </x:c>
    </x:row>
    <x:row r="251" ht="18" customHeight="1">
      <x:c r="A251" s="10" t="str">
        <x:v>PAG00250</x:v>
      </x:c>
      <x:c r="B251" s="10" t="str">
        <x:v>EMP003</x:v>
      </x:c>
      <x:c r="C251" s="10" t="str">
        <x:v>FOR039</x:v>
      </x:c>
      <x:c r="D251" s="10" t="str">
        <x:v>CC008</x:v>
      </x:c>
      <x:c r="E251" s="10" t="str">
        <x:v>CAT013</x:v>
      </x:c>
      <x:c r="F251" s="10" t="str">
        <x:v>CTA006</x:v>
      </x:c>
      <x:c r="G251" s="10" t="str">
        <x:v>NF-100250</x:v>
      </x:c>
      <x:c r="H251" s="10" t="str">
        <x:v>Tributos e taxas</x:v>
      </x:c>
      <x:c r="I251" s="16" t="n">
        <x:v>45792.40537334491</x:v>
      </x:c>
      <x:c r="J251" s="16" t="n">
        <x:v>45852.40537334491</x:v>
      </x:c>
      <x:c r="K251" s="16" t="n">
        <x:v>45854.40537334491</x:v>
      </x:c>
      <x:c r="L251" s="20" t="n">
        <x:v>12554.3</x:v>
      </x:c>
      <x:c r="M251" s="20" t="n">
        <x:v>17.58</x:v>
      </x:c>
      <x:c r="N251" s="20" t="n">
        <x:v>0</x:v>
      </x:c>
      <x:c r="O251" s="20" t="n">
        <x:v>12571.88</x:v>
      </x:c>
      <x:c r="P251" s="20" t="n">
        <x:v>0</x:v>
      </x:c>
      <x:c r="Q251" s="10" t="str">
        <x:v>Pago</x:v>
      </x:c>
      <x:c r="R251" s="10" t="str">
        <x:v>Cartão Corporativo</x:v>
      </x:c>
      <x:c r="S251" s="10" t="str">
        <x:v>2025-05</x:v>
      </x:c>
      <x:c r="T251" s="10" t="n">
        <x:v>0</x:v>
      </x:c>
      <x:c r="U251" s="10" t="str">
        <x:v>Liquidado</x:v>
      </x:c>
      <x:c r="V251" s="10" t="str">
        <x:v>UND004</x:v>
      </x:c>
    </x:row>
    <x:row r="252" ht="18" customHeight="1">
      <x:c r="A252" s="10" t="str">
        <x:v>PAG00251</x:v>
      </x:c>
      <x:c r="B252" s="10" t="str">
        <x:v>EMP003</x:v>
      </x:c>
      <x:c r="C252" s="10" t="str">
        <x:v>FOR031</x:v>
      </x:c>
      <x:c r="D252" s="10" t="str">
        <x:v>CC003</x:v>
      </x:c>
      <x:c r="E252" s="10" t="str">
        <x:v>CAT011</x:v>
      </x:c>
      <x:c r="F252" s="10" t="str">
        <x:v>CTA006</x:v>
      </x:c>
      <x:c r="G252" s="10" t="str">
        <x:v>NF-100251</x:v>
      </x:c>
      <x:c r="H252" s="10" t="str">
        <x:v>Contrato recorrente</x:v>
      </x:c>
      <x:c r="I252" s="16" t="n">
        <x:v>45959.92975335648</x:v>
      </x:c>
      <x:c r="J252" s="16" t="n">
        <x:v>45994.92975335648</x:v>
      </x:c>
      <x:c r="K252" s="16"/>
      <x:c r="L252" s="20" t="n">
        <x:v>112887.05</x:v>
      </x:c>
      <x:c r="M252" s="20" t="n">
        <x:v>0</x:v>
      </x:c>
      <x:c r="N252" s="20" t="n">
        <x:v>0</x:v>
      </x:c>
      <x:c r="O252" s="20" t="n">
        <x:v>0</x:v>
      </x:c>
      <x:c r="P252" s="20" t="n">
        <x:v>112887.05</x:v>
      </x:c>
      <x:c r="Q252" s="10" t="str">
        <x:v>Vencido</x:v>
      </x:c>
      <x:c r="R252" s="10" t="str">
        <x:v>PIX</x:v>
      </x:c>
      <x:c r="S252" s="10" t="str">
        <x:v>2025-10</x:v>
      </x:c>
      <x:c r="T252" s="10" t="n">
        <x:v>27</x:v>
      </x:c>
      <x:c r="U252" s="10" t="str">
        <x:v>1 a 30 dias</x:v>
      </x:c>
      <x:c r="V252" s="10" t="str">
        <x:v>UND004</x:v>
      </x:c>
    </x:row>
    <x:row r="253" ht="18" customHeight="1">
      <x:c r="A253" s="10" t="str">
        <x:v>PAG00252</x:v>
      </x:c>
      <x:c r="B253" s="10" t="str">
        <x:v>EMP003</x:v>
      </x:c>
      <x:c r="C253" s="10" t="str">
        <x:v>FOR024</x:v>
      </x:c>
      <x:c r="D253" s="10" t="str">
        <x:v>CC003</x:v>
      </x:c>
      <x:c r="E253" s="10" t="str">
        <x:v>CAT014</x:v>
      </x:c>
      <x:c r="F253" s="10" t="str">
        <x:v>CTA005</x:v>
      </x:c>
      <x:c r="G253" s="10" t="str">
        <x:v>NF-100252</x:v>
      </x:c>
      <x:c r="H253" s="10" t="str">
        <x:v>Prestação de serviços</x:v>
      </x:c>
      <x:c r="I253" s="16" t="n">
        <x:v>45492.04327943287</x:v>
      </x:c>
      <x:c r="J253" s="16" t="n">
        <x:v>45567.04327943287</x:v>
      </x:c>
      <x:c r="K253" s="16"/>
      <x:c r="L253" s="20" t="n">
        <x:v>62159.05</x:v>
      </x:c>
      <x:c r="M253" s="20" t="n">
        <x:v>0</x:v>
      </x:c>
      <x:c r="N253" s="20" t="n">
        <x:v>0</x:v>
      </x:c>
      <x:c r="O253" s="20" t="n">
        <x:v>0</x:v>
      </x:c>
      <x:c r="P253" s="20" t="n">
        <x:v>62159.05</x:v>
      </x:c>
      <x:c r="Q253" s="10" t="str">
        <x:v>Vencido</x:v>
      </x:c>
      <x:c r="R253" s="10" t="str">
        <x:v>Boleto</x:v>
      </x:c>
      <x:c r="S253" s="10" t="str">
        <x:v>2024-07</x:v>
      </x:c>
      <x:c r="T253" s="10" t="n">
        <x:v>454</x:v>
      </x:c>
      <x:c r="U253" s="10" t="str">
        <x:v>&gt; 120 dias</x:v>
      </x:c>
      <x:c r="V253" s="10" t="str">
        <x:v>UND004</x:v>
      </x:c>
    </x:row>
    <x:row r="254" ht="18" customHeight="1">
      <x:c r="A254" s="10" t="str">
        <x:v>PAG00253</x:v>
      </x:c>
      <x:c r="B254" s="10" t="str">
        <x:v>EMP001</x:v>
      </x:c>
      <x:c r="C254" s="10" t="str">
        <x:v>FOR014</x:v>
      </x:c>
      <x:c r="D254" s="10" t="str">
        <x:v>CC007</x:v>
      </x:c>
      <x:c r="E254" s="10" t="str">
        <x:v>CAT006</x:v>
      </x:c>
      <x:c r="F254" s="10" t="str">
        <x:v>CTA001</x:v>
      </x:c>
      <x:c r="G254" s="10" t="str">
        <x:v>NF-100253</x:v>
      </x:c>
      <x:c r="H254" s="10" t="str">
        <x:v>Contrato recorrente</x:v>
      </x:c>
      <x:c r="I254" s="16" t="n">
        <x:v>45558.84806425926</x:v>
      </x:c>
      <x:c r="J254" s="16" t="n">
        <x:v>45593.84806425926</x:v>
      </x:c>
      <x:c r="K254" s="16" t="n">
        <x:v>45595.84806425926</x:v>
      </x:c>
      <x:c r="L254" s="20" t="n">
        <x:v>81350.37</x:v>
      </x:c>
      <x:c r="M254" s="20" t="n">
        <x:v>113.89</x:v>
      </x:c>
      <x:c r="N254" s="20" t="n">
        <x:v>0</x:v>
      </x:c>
      <x:c r="O254" s="20" t="n">
        <x:v>81464.26</x:v>
      </x:c>
      <x:c r="P254" s="20" t="n">
        <x:v>0</x:v>
      </x:c>
      <x:c r="Q254" s="10" t="str">
        <x:v>Pago</x:v>
      </x:c>
      <x:c r="R254" s="10" t="str">
        <x:v>Boleto</x:v>
      </x:c>
      <x:c r="S254" s="10" t="str">
        <x:v>2024-09</x:v>
      </x:c>
      <x:c r="T254" s="10" t="n">
        <x:v>0</x:v>
      </x:c>
      <x:c r="U254" s="10" t="str">
        <x:v>Liquidado</x:v>
      </x:c>
      <x:c r="V254" s="10" t="str">
        <x:v>UND002</x:v>
      </x:c>
    </x:row>
    <x:row r="255" ht="18" customHeight="1">
      <x:c r="A255" s="10" t="str">
        <x:v>PAG00254</x:v>
      </x:c>
      <x:c r="B255" s="10" t="str">
        <x:v>EMP003</x:v>
      </x:c>
      <x:c r="C255" s="10" t="str">
        <x:v>FOR010</x:v>
      </x:c>
      <x:c r="D255" s="10" t="str">
        <x:v>CC001</x:v>
      </x:c>
      <x:c r="E255" s="10" t="str">
        <x:v>CAT009</x:v>
      </x:c>
      <x:c r="F255" s="10" t="str">
        <x:v>CTA006</x:v>
      </x:c>
      <x:c r="G255" s="10" t="str">
        <x:v>NF-100254</x:v>
      </x:c>
      <x:c r="H255" s="10" t="str">
        <x:v>Despesa operacional</x:v>
      </x:c>
      <x:c r="I255" s="16" t="n">
        <x:v>45927.03801179398</x:v>
      </x:c>
      <x:c r="J255" s="16" t="n">
        <x:v>45962.03801179398</x:v>
      </x:c>
      <x:c r="K255" s="16" t="n">
        <x:v>45971.03801179398</x:v>
      </x:c>
      <x:c r="L255" s="20" t="n">
        <x:v>6121.84</x:v>
      </x:c>
      <x:c r="M255" s="20" t="n">
        <x:v>38.57</x:v>
      </x:c>
      <x:c r="N255" s="20" t="n">
        <x:v>0</x:v>
      </x:c>
      <x:c r="O255" s="20" t="n">
        <x:v>6160.41</x:v>
      </x:c>
      <x:c r="P255" s="20" t="n">
        <x:v>0</x:v>
      </x:c>
      <x:c r="Q255" s="10" t="str">
        <x:v>Pago</x:v>
      </x:c>
      <x:c r="R255" s="10" t="str">
        <x:v>Boleto</x:v>
      </x:c>
      <x:c r="S255" s="10" t="str">
        <x:v>2025-09</x:v>
      </x:c>
      <x:c r="T255" s="10" t="n">
        <x:v>0</x:v>
      </x:c>
      <x:c r="U255" s="10" t="str">
        <x:v>Liquidado</x:v>
      </x:c>
      <x:c r="V255" s="10" t="str">
        <x:v>UND004</x:v>
      </x:c>
    </x:row>
    <x:row r="256" ht="18" customHeight="1">
      <x:c r="A256" s="10" t="str">
        <x:v>PAG00255</x:v>
      </x:c>
      <x:c r="B256" s="10" t="str">
        <x:v>EMP003</x:v>
      </x:c>
      <x:c r="C256" s="10" t="str">
        <x:v>FOR052</x:v>
      </x:c>
      <x:c r="D256" s="10" t="str">
        <x:v>CC007</x:v>
      </x:c>
      <x:c r="E256" s="10" t="str">
        <x:v>CAT015</x:v>
      </x:c>
      <x:c r="F256" s="10" t="str">
        <x:v>CTA006</x:v>
      </x:c>
      <x:c r="G256" s="10" t="str">
        <x:v>NF-100255</x:v>
      </x:c>
      <x:c r="H256" s="10" t="str">
        <x:v>Despesa operacional</x:v>
      </x:c>
      <x:c r="I256" s="16" t="n">
        <x:v>45340.70089640046</x:v>
      </x:c>
      <x:c r="J256" s="16" t="n">
        <x:v>45355.70089640046</x:v>
      </x:c>
      <x:c r="K256" s="16" t="n">
        <x:v>45366.70089640046</x:v>
      </x:c>
      <x:c r="L256" s="20" t="n">
        <x:v>68070.43</x:v>
      </x:c>
      <x:c r="M256" s="20" t="n">
        <x:v>524.14</x:v>
      </x:c>
      <x:c r="N256" s="20" t="n">
        <x:v>0</x:v>
      </x:c>
      <x:c r="O256" s="20" t="n">
        <x:v>68594.57</x:v>
      </x:c>
      <x:c r="P256" s="20" t="n">
        <x:v>0</x:v>
      </x:c>
      <x:c r="Q256" s="10" t="str">
        <x:v>Pago</x:v>
      </x:c>
      <x:c r="R256" s="10" t="str">
        <x:v>Cartão Corporativo</x:v>
      </x:c>
      <x:c r="S256" s="10" t="str">
        <x:v>2024-02</x:v>
      </x:c>
      <x:c r="T256" s="10" t="n">
        <x:v>0</x:v>
      </x:c>
      <x:c r="U256" s="10" t="str">
        <x:v>Liquidado</x:v>
      </x:c>
      <x:c r="V256" s="10" t="str">
        <x:v>UND004</x:v>
      </x:c>
    </x:row>
    <x:row r="257" ht="18" customHeight="1">
      <x:c r="A257" s="10" t="str">
        <x:v>PAG00256</x:v>
      </x:c>
      <x:c r="B257" s="10" t="str">
        <x:v>EMP001</x:v>
      </x:c>
      <x:c r="C257" s="10" t="str">
        <x:v>FOR018</x:v>
      </x:c>
      <x:c r="D257" s="10" t="str">
        <x:v>CC004</x:v>
      </x:c>
      <x:c r="E257" s="10" t="str">
        <x:v>CAT017</x:v>
      </x:c>
      <x:c r="F257" s="10" t="str">
        <x:v>CTA001</x:v>
      </x:c>
      <x:c r="G257" s="10" t="str">
        <x:v>NF-100256</x:v>
      </x:c>
      <x:c r="H257" s="10" t="str">
        <x:v>Tributos e taxas</x:v>
      </x:c>
      <x:c r="I257" s="16" t="n">
        <x:v>45529.1836281713</x:v>
      </x:c>
      <x:c r="J257" s="16" t="n">
        <x:v>45589.1836281713</x:v>
      </x:c>
      <x:c r="K257" s="16"/>
      <x:c r="L257" s="20" t="n">
        <x:v>67018.87</x:v>
      </x:c>
      <x:c r="M257" s="20" t="n">
        <x:v>0</x:v>
      </x:c>
      <x:c r="N257" s="20" t="n">
        <x:v>0</x:v>
      </x:c>
      <x:c r="O257" s="20" t="n">
        <x:v>0</x:v>
      </x:c>
      <x:c r="P257" s="20" t="n">
        <x:v>0</x:v>
      </x:c>
      <x:c r="Q257" s="10" t="str">
        <x:v>Cancelado</x:v>
      </x:c>
      <x:c r="R257" s="10" t="str">
        <x:v>Boleto</x:v>
      </x:c>
      <x:c r="S257" s="10" t="str">
        <x:v>2024-08</x:v>
      </x:c>
      <x:c r="T257" s="10" t="n">
        <x:v>0</x:v>
      </x:c>
      <x:c r="U257" s="10" t="str">
        <x:v>Cancelado</x:v>
      </x:c>
      <x:c r="V257" s="10" t="str">
        <x:v>UND002</x:v>
      </x:c>
    </x:row>
    <x:row r="258" ht="18" customHeight="1">
      <x:c r="A258" s="10" t="str">
        <x:v>PAG00257</x:v>
      </x:c>
      <x:c r="B258" s="10" t="str">
        <x:v>EMP001</x:v>
      </x:c>
      <x:c r="C258" s="10" t="str">
        <x:v>FOR018</x:v>
      </x:c>
      <x:c r="D258" s="10" t="str">
        <x:v>CC002</x:v>
      </x:c>
      <x:c r="E258" s="10" t="str">
        <x:v>CAT015</x:v>
      </x:c>
      <x:c r="F258" s="10" t="str">
        <x:v>CTA002</x:v>
      </x:c>
      <x:c r="G258" s="10" t="str">
        <x:v>NF-100257</x:v>
      </x:c>
      <x:c r="H258" s="10" t="str">
        <x:v>Tributos e taxas</x:v>
      </x:c>
      <x:c r="I258" s="16" t="n">
        <x:v>45558.41281332176</x:v>
      </x:c>
      <x:c r="J258" s="16" t="n">
        <x:v>45603.41281332176</x:v>
      </x:c>
      <x:c r="K258" s="16" t="n">
        <x:v>45597.41281332176</x:v>
      </x:c>
      <x:c r="L258" s="20" t="n">
        <x:v>1110.38</x:v>
      </x:c>
      <x:c r="M258" s="20" t="n">
        <x:v>0</x:v>
      </x:c>
      <x:c r="N258" s="20" t="n">
        <x:v>0</x:v>
      </x:c>
      <x:c r="O258" s="20" t="n">
        <x:v>1110.38</x:v>
      </x:c>
      <x:c r="P258" s="20" t="n">
        <x:v>0</x:v>
      </x:c>
      <x:c r="Q258" s="10" t="str">
        <x:v>Pago</x:v>
      </x:c>
      <x:c r="R258" s="10" t="str">
        <x:v>TED</x:v>
      </x:c>
      <x:c r="S258" s="10" t="str">
        <x:v>2024-09</x:v>
      </x:c>
      <x:c r="T258" s="10" t="n">
        <x:v>0</x:v>
      </x:c>
      <x:c r="U258" s="10" t="str">
        <x:v>Liquidado</x:v>
      </x:c>
      <x:c r="V258" s="10" t="str">
        <x:v>UND002</x:v>
      </x:c>
    </x:row>
    <x:row r="259" ht="18" customHeight="1">
      <x:c r="A259" s="10" t="str">
        <x:v>PAG00258</x:v>
      </x:c>
      <x:c r="B259" s="10" t="str">
        <x:v>EMP002</x:v>
      </x:c>
      <x:c r="C259" s="10" t="str">
        <x:v>FOR009</x:v>
      </x:c>
      <x:c r="D259" s="10" t="str">
        <x:v>CC006</x:v>
      </x:c>
      <x:c r="E259" s="10" t="str">
        <x:v>CAT006</x:v>
      </x:c>
      <x:c r="F259" s="10" t="str">
        <x:v>CTA003</x:v>
      </x:c>
      <x:c r="G259" s="10" t="str">
        <x:v>NF-100258</x:v>
      </x:c>
      <x:c r="H259" s="10" t="str">
        <x:v>Despesa operacional</x:v>
      </x:c>
      <x:c r="I259" s="16" t="n">
        <x:v>45514.06373214121</x:v>
      </x:c>
      <x:c r="J259" s="16" t="n">
        <x:v>45534.06373214121</x:v>
      </x:c>
      <x:c r="K259" s="16" t="n">
        <x:v>45537.06373214121</x:v>
      </x:c>
      <x:c r="L259" s="20" t="n">
        <x:v>112253.06</x:v>
      </x:c>
      <x:c r="M259" s="20" t="n">
        <x:v>235.73</x:v>
      </x:c>
      <x:c r="N259" s="20" t="n">
        <x:v>0</x:v>
      </x:c>
      <x:c r="O259" s="20" t="n">
        <x:v>112488.79</x:v>
      </x:c>
      <x:c r="P259" s="20" t="n">
        <x:v>0</x:v>
      </x:c>
      <x:c r="Q259" s="10" t="str">
        <x:v>Pago</x:v>
      </x:c>
      <x:c r="R259" s="10" t="str">
        <x:v>Boleto</x:v>
      </x:c>
      <x:c r="S259" s="10" t="str">
        <x:v>2024-08</x:v>
      </x:c>
      <x:c r="T259" s="10" t="n">
        <x:v>0</x:v>
      </x:c>
      <x:c r="U259" s="10" t="str">
        <x:v>Liquidado</x:v>
      </x:c>
      <x:c r="V259" s="10" t="str">
        <x:v>UND003</x:v>
      </x:c>
    </x:row>
    <x:row r="260" ht="18" customHeight="1">
      <x:c r="A260" s="10" t="str">
        <x:v>PAG00259</x:v>
      </x:c>
      <x:c r="B260" s="10" t="str">
        <x:v>EMP001</x:v>
      </x:c>
      <x:c r="C260" s="10" t="str">
        <x:v>FOR004</x:v>
      </x:c>
      <x:c r="D260" s="10" t="str">
        <x:v>CC002</x:v>
      </x:c>
      <x:c r="E260" s="10" t="str">
        <x:v>CAT006</x:v>
      </x:c>
      <x:c r="F260" s="10" t="str">
        <x:v>CTA001</x:v>
      </x:c>
      <x:c r="G260" s="10" t="str">
        <x:v>NF-100259</x:v>
      </x:c>
      <x:c r="H260" s="10" t="str">
        <x:v>Contrato recorrente</x:v>
      </x:c>
      <x:c r="I260" s="16" t="n">
        <x:v>45836.091507337966</x:v>
      </x:c>
      <x:c r="J260" s="16" t="n">
        <x:v>45896.091507337966</x:v>
      </x:c>
      <x:c r="K260" s="16" t="n">
        <x:v>45893.091507337966</x:v>
      </x:c>
      <x:c r="L260" s="20" t="n">
        <x:v>90341.78</x:v>
      </x:c>
      <x:c r="M260" s="20" t="n">
        <x:v>0</x:v>
      </x:c>
      <x:c r="N260" s="20" t="n">
        <x:v>0</x:v>
      </x:c>
      <x:c r="O260" s="20" t="n">
        <x:v>90341.78</x:v>
      </x:c>
      <x:c r="P260" s="20" t="n">
        <x:v>0</x:v>
      </x:c>
      <x:c r="Q260" s="10" t="str">
        <x:v>Pago</x:v>
      </x:c>
      <x:c r="R260" s="10" t="str">
        <x:v>PIX</x:v>
      </x:c>
      <x:c r="S260" s="10" t="str">
        <x:v>2025-06</x:v>
      </x:c>
      <x:c r="T260" s="10" t="n">
        <x:v>0</x:v>
      </x:c>
      <x:c r="U260" s="10" t="str">
        <x:v>Liquidado</x:v>
      </x:c>
      <x:c r="V260" s="10" t="str">
        <x:v>UND001</x:v>
      </x:c>
    </x:row>
    <x:row r="261" ht="18" customHeight="1">
      <x:c r="A261" s="10" t="str">
        <x:v>PAG00260</x:v>
      </x:c>
      <x:c r="B261" s="10" t="str">
        <x:v>EMP003</x:v>
      </x:c>
      <x:c r="C261" s="10" t="str">
        <x:v>FOR046</x:v>
      </x:c>
      <x:c r="D261" s="10" t="str">
        <x:v>CC001</x:v>
      </x:c>
      <x:c r="E261" s="10" t="str">
        <x:v>CAT009</x:v>
      </x:c>
      <x:c r="F261" s="10" t="str">
        <x:v>CTA006</x:v>
      </x:c>
      <x:c r="G261" s="10" t="str">
        <x:v>NF-100260</x:v>
      </x:c>
      <x:c r="H261" s="10" t="str">
        <x:v>Prestação de serviços</x:v>
      </x:c>
      <x:c r="I261" s="16" t="n">
        <x:v>45355.25655238426</x:v>
      </x:c>
      <x:c r="J261" s="16" t="n">
        <x:v>45375.25655238426</x:v>
      </x:c>
      <x:c r="K261" s="16"/>
      <x:c r="L261" s="20" t="n">
        <x:v>2435.65</x:v>
      </x:c>
      <x:c r="M261" s="20" t="n">
        <x:v>0</x:v>
      </x:c>
      <x:c r="N261" s="20" t="n">
        <x:v>0</x:v>
      </x:c>
      <x:c r="O261" s="20" t="n">
        <x:v>0</x:v>
      </x:c>
      <x:c r="P261" s="20" t="n">
        <x:v>2435.65</x:v>
      </x:c>
      <x:c r="Q261" s="10" t="str">
        <x:v>Vencido</x:v>
      </x:c>
      <x:c r="R261" s="10" t="str">
        <x:v>PIX</x:v>
      </x:c>
      <x:c r="S261" s="10" t="str">
        <x:v>2024-03</x:v>
      </x:c>
      <x:c r="T261" s="10" t="n">
        <x:v>646</x:v>
      </x:c>
      <x:c r="U261" s="10" t="str">
        <x:v>&gt; 120 dias</x:v>
      </x:c>
      <x:c r="V261" s="10" t="str">
        <x:v>UND004</x:v>
      </x:c>
    </x:row>
    <x:row r="262" ht="18" customHeight="1">
      <x:c r="A262" s="10" t="str">
        <x:v>PAG00261</x:v>
      </x:c>
      <x:c r="B262" s="10" t="str">
        <x:v>EMP003</x:v>
      </x:c>
      <x:c r="C262" s="10" t="str">
        <x:v>FOR040</x:v>
      </x:c>
      <x:c r="D262" s="10" t="str">
        <x:v>CC006</x:v>
      </x:c>
      <x:c r="E262" s="10" t="str">
        <x:v>CAT006</x:v>
      </x:c>
      <x:c r="F262" s="10" t="str">
        <x:v>CTA005</x:v>
      </x:c>
      <x:c r="G262" s="10" t="str">
        <x:v>NF-100261</x:v>
      </x:c>
      <x:c r="H262" s="10" t="str">
        <x:v>Contrato recorrente</x:v>
      </x:c>
      <x:c r="I262" s="16" t="n">
        <x:v>45292.977512627316</x:v>
      </x:c>
      <x:c r="J262" s="16" t="n">
        <x:v>45312.977512627316</x:v>
      </x:c>
      <x:c r="K262" s="16" t="n">
        <x:v>45324.977512627316</x:v>
      </x:c>
      <x:c r="L262" s="20" t="n">
        <x:v>3718.44</x:v>
      </x:c>
      <x:c r="M262" s="20" t="n">
        <x:v>31.23</x:v>
      </x:c>
      <x:c r="N262" s="20" t="n">
        <x:v>0</x:v>
      </x:c>
      <x:c r="O262" s="20" t="n">
        <x:v>3749.67</x:v>
      </x:c>
      <x:c r="P262" s="20" t="n">
        <x:v>0</x:v>
      </x:c>
      <x:c r="Q262" s="10" t="str">
        <x:v>Pago</x:v>
      </x:c>
      <x:c r="R262" s="10" t="str">
        <x:v>Boleto</x:v>
      </x:c>
      <x:c r="S262" s="10" t="str">
        <x:v>2024-01</x:v>
      </x:c>
      <x:c r="T262" s="10" t="n">
        <x:v>0</x:v>
      </x:c>
      <x:c r="U262" s="10" t="str">
        <x:v>Liquidado</x:v>
      </x:c>
      <x:c r="V262" s="10" t="str">
        <x:v>UND004</x:v>
      </x:c>
    </x:row>
    <x:row r="263" ht="18" customHeight="1">
      <x:c r="A263" s="10" t="str">
        <x:v>PAG00262</x:v>
      </x:c>
      <x:c r="B263" s="10" t="str">
        <x:v>EMP001</x:v>
      </x:c>
      <x:c r="C263" s="10" t="str">
        <x:v>FOR023</x:v>
      </x:c>
      <x:c r="D263" s="10" t="str">
        <x:v>CC008</x:v>
      </x:c>
      <x:c r="E263" s="10" t="str">
        <x:v>CAT009</x:v>
      </x:c>
      <x:c r="F263" s="10" t="str">
        <x:v>CTA001</x:v>
      </x:c>
      <x:c r="G263" s="10" t="str">
        <x:v>NF-100262</x:v>
      </x:c>
      <x:c r="H263" s="10" t="str">
        <x:v>Despesa operacional</x:v>
      </x:c>
      <x:c r="I263" s="16" t="n">
        <x:v>45394.05208291666</x:v>
      </x:c>
      <x:c r="J263" s="16" t="n">
        <x:v>45414.05208291666</x:v>
      </x:c>
      <x:c r="K263" s="16" t="n">
        <x:v>45436.05208291666</x:v>
      </x:c>
      <x:c r="L263" s="20" t="n">
        <x:v>19313.51</x:v>
      </x:c>
      <x:c r="M263" s="20" t="n">
        <x:v>297.43</x:v>
      </x:c>
      <x:c r="N263" s="20" t="n">
        <x:v>0</x:v>
      </x:c>
      <x:c r="O263" s="20" t="n">
        <x:v>19610.94</x:v>
      </x:c>
      <x:c r="P263" s="20" t="n">
        <x:v>0</x:v>
      </x:c>
      <x:c r="Q263" s="10" t="str">
        <x:v>Pago</x:v>
      </x:c>
      <x:c r="R263" s="10" t="str">
        <x:v>Cartão Corporativo</x:v>
      </x:c>
      <x:c r="S263" s="10" t="str">
        <x:v>2024-04</x:v>
      </x:c>
      <x:c r="T263" s="10" t="n">
        <x:v>0</x:v>
      </x:c>
      <x:c r="U263" s="10" t="str">
        <x:v>Liquidado</x:v>
      </x:c>
      <x:c r="V263" s="10" t="str">
        <x:v>UND001</x:v>
      </x:c>
    </x:row>
    <x:row r="264" ht="18" customHeight="1">
      <x:c r="A264" s="10" t="str">
        <x:v>PAG00263</x:v>
      </x:c>
      <x:c r="B264" s="10" t="str">
        <x:v>EMP002</x:v>
      </x:c>
      <x:c r="C264" s="10" t="str">
        <x:v>FOR013</x:v>
      </x:c>
      <x:c r="D264" s="10" t="str">
        <x:v>CC001</x:v>
      </x:c>
      <x:c r="E264" s="10" t="str">
        <x:v>CAT016</x:v>
      </x:c>
      <x:c r="F264" s="10" t="str">
        <x:v>CTA003</x:v>
      </x:c>
      <x:c r="G264" s="10" t="str">
        <x:v>NF-100263</x:v>
      </x:c>
      <x:c r="H264" s="10" t="str">
        <x:v>Compra de materiais</x:v>
      </x:c>
      <x:c r="I264" s="16" t="n">
        <x:v>45776.90799327546</x:v>
      </x:c>
      <x:c r="J264" s="16" t="n">
        <x:v>45796.90799327546</x:v>
      </x:c>
      <x:c r="K264" s="16" t="n">
        <x:v>45789.90799327546</x:v>
      </x:c>
      <x:c r="L264" s="20" t="n">
        <x:v>98413.45</x:v>
      </x:c>
      <x:c r="M264" s="20" t="n">
        <x:v>0</x:v>
      </x:c>
      <x:c r="N264" s="20" t="n">
        <x:v>492.07</x:v>
      </x:c>
      <x:c r="O264" s="20" t="n">
        <x:v>97921.38</x:v>
      </x:c>
      <x:c r="P264" s="20" t="n">
        <x:v>0</x:v>
      </x:c>
      <x:c r="Q264" s="10" t="str">
        <x:v>Pago</x:v>
      </x:c>
      <x:c r="R264" s="10" t="str">
        <x:v>Débito Automático</x:v>
      </x:c>
      <x:c r="S264" s="10" t="str">
        <x:v>2025-04</x:v>
      </x:c>
      <x:c r="T264" s="10" t="n">
        <x:v>0</x:v>
      </x:c>
      <x:c r="U264" s="10" t="str">
        <x:v>Liquidado</x:v>
      </x:c>
      <x:c r="V264" s="10" t="str">
        <x:v>UND003</x:v>
      </x:c>
    </x:row>
    <x:row r="265" ht="18" customHeight="1">
      <x:c r="A265" s="10" t="str">
        <x:v>PAG00264</x:v>
      </x:c>
      <x:c r="B265" s="10" t="str">
        <x:v>EMP001</x:v>
      </x:c>
      <x:c r="C265" s="10" t="str">
        <x:v>FOR038</x:v>
      </x:c>
      <x:c r="D265" s="10" t="str">
        <x:v>CC006</x:v>
      </x:c>
      <x:c r="E265" s="10" t="str">
        <x:v>CAT012</x:v>
      </x:c>
      <x:c r="F265" s="10" t="str">
        <x:v>CTA002</x:v>
      </x:c>
      <x:c r="G265" s="10" t="str">
        <x:v>NF-100264</x:v>
      </x:c>
      <x:c r="H265" s="10" t="str">
        <x:v>Contrato recorrente</x:v>
      </x:c>
      <x:c r="I265" s="16" t="n">
        <x:v>45722.98493079861</x:v>
      </x:c>
      <x:c r="J265" s="16" t="n">
        <x:v>45757.98493079861</x:v>
      </x:c>
      <x:c r="K265" s="16"/>
      <x:c r="L265" s="20" t="n">
        <x:v>4127.58</x:v>
      </x:c>
      <x:c r="M265" s="20" t="n">
        <x:v>0</x:v>
      </x:c>
      <x:c r="N265" s="20" t="n">
        <x:v>0</x:v>
      </x:c>
      <x:c r="O265" s="20" t="n">
        <x:v>0</x:v>
      </x:c>
      <x:c r="P265" s="20" t="n">
        <x:v>4127.58</x:v>
      </x:c>
      <x:c r="Q265" s="10" t="str">
        <x:v>Vencido</x:v>
      </x:c>
      <x:c r="R265" s="10" t="str">
        <x:v>TED</x:v>
      </x:c>
      <x:c r="S265" s="10" t="str">
        <x:v>2025-03</x:v>
      </x:c>
      <x:c r="T265" s="10" t="n">
        <x:v>264</x:v>
      </x:c>
      <x:c r="U265" s="10" t="str">
        <x:v>&gt; 120 dias</x:v>
      </x:c>
      <x:c r="V265" s="10" t="str">
        <x:v>UND001</x:v>
      </x:c>
    </x:row>
    <x:row r="266" ht="18" customHeight="1">
      <x:c r="A266" s="10" t="str">
        <x:v>PAG00265</x:v>
      </x:c>
      <x:c r="B266" s="10" t="str">
        <x:v>EMP002</x:v>
      </x:c>
      <x:c r="C266" s="10" t="str">
        <x:v>FOR060</x:v>
      </x:c>
      <x:c r="D266" s="10" t="str">
        <x:v>CC002</x:v>
      </x:c>
      <x:c r="E266" s="10" t="str">
        <x:v>CAT016</x:v>
      </x:c>
      <x:c r="F266" s="10" t="str">
        <x:v>CTA003</x:v>
      </x:c>
      <x:c r="G266" s="10" t="str">
        <x:v>NF-100265</x:v>
      </x:c>
      <x:c r="H266" s="10" t="str">
        <x:v>Prestação de serviços</x:v>
      </x:c>
      <x:c r="I266" s="16" t="n">
        <x:v>45472.88125251157</x:v>
      </x:c>
      <x:c r="J266" s="16" t="n">
        <x:v>45532.88125251157</x:v>
      </x:c>
      <x:c r="K266" s="16" t="n">
        <x:v>45525.88125251157</x:v>
      </x:c>
      <x:c r="L266" s="20" t="n">
        <x:v>4935.81</x:v>
      </x:c>
      <x:c r="M266" s="20" t="n">
        <x:v>0</x:v>
      </x:c>
      <x:c r="N266" s="20" t="n">
        <x:v>0</x:v>
      </x:c>
      <x:c r="O266" s="20" t="n">
        <x:v>4935.81</x:v>
      </x:c>
      <x:c r="P266" s="20" t="n">
        <x:v>0</x:v>
      </x:c>
      <x:c r="Q266" s="10" t="str">
        <x:v>Pago</x:v>
      </x:c>
      <x:c r="R266" s="10" t="str">
        <x:v>Boleto</x:v>
      </x:c>
      <x:c r="S266" s="10" t="str">
        <x:v>2024-06</x:v>
      </x:c>
      <x:c r="T266" s="10" t="n">
        <x:v>0</x:v>
      </x:c>
      <x:c r="U266" s="10" t="str">
        <x:v>Liquidado</x:v>
      </x:c>
      <x:c r="V266" s="10" t="str">
        <x:v>UND003</x:v>
      </x:c>
    </x:row>
    <x:row r="267" ht="18" customHeight="1">
      <x:c r="A267" s="10" t="str">
        <x:v>PAG00266</x:v>
      </x:c>
      <x:c r="B267" s="10" t="str">
        <x:v>EMP002</x:v>
      </x:c>
      <x:c r="C267" s="10" t="str">
        <x:v>FOR041</x:v>
      </x:c>
      <x:c r="D267" s="10" t="str">
        <x:v>CC004</x:v>
      </x:c>
      <x:c r="E267" s="10" t="str">
        <x:v>CAT005</x:v>
      </x:c>
      <x:c r="F267" s="10" t="str">
        <x:v>CTA004</x:v>
      </x:c>
      <x:c r="G267" s="10" t="str">
        <x:v>NF-100266</x:v>
      </x:c>
      <x:c r="H267" s="10" t="str">
        <x:v>Tributos e taxas</x:v>
      </x:c>
      <x:c r="I267" s="16" t="n">
        <x:v>45836.59902252315</x:v>
      </x:c>
      <x:c r="J267" s="16" t="n">
        <x:v>45871.59902252315</x:v>
      </x:c>
      <x:c r="K267" s="16" t="n">
        <x:v>45881.59902252315</x:v>
      </x:c>
      <x:c r="L267" s="20" t="n">
        <x:v>1165.11</x:v>
      </x:c>
      <x:c r="M267" s="20" t="n">
        <x:v>8.16</x:v>
      </x:c>
      <x:c r="N267" s="20" t="n">
        <x:v>0</x:v>
      </x:c>
      <x:c r="O267" s="20" t="n">
        <x:v>1173.27</x:v>
      </x:c>
      <x:c r="P267" s="20" t="n">
        <x:v>0</x:v>
      </x:c>
      <x:c r="Q267" s="10" t="str">
        <x:v>Pago</x:v>
      </x:c>
      <x:c r="R267" s="10" t="str">
        <x:v>Cartão Corporativo</x:v>
      </x:c>
      <x:c r="S267" s="10" t="str">
        <x:v>2025-06</x:v>
      </x:c>
      <x:c r="T267" s="10" t="n">
        <x:v>0</x:v>
      </x:c>
      <x:c r="U267" s="10" t="str">
        <x:v>Liquidado</x:v>
      </x:c>
      <x:c r="V267" s="10" t="str">
        <x:v>UND003</x:v>
      </x:c>
    </x:row>
    <x:row r="268" ht="18" customHeight="1">
      <x:c r="A268" s="10" t="str">
        <x:v>PAG00267</x:v>
      </x:c>
      <x:c r="B268" s="10" t="str">
        <x:v>EMP003</x:v>
      </x:c>
      <x:c r="C268" s="10" t="str">
        <x:v>FOR009</x:v>
      </x:c>
      <x:c r="D268" s="10" t="str">
        <x:v>CC002</x:v>
      </x:c>
      <x:c r="E268" s="10" t="str">
        <x:v>CAT005</x:v>
      </x:c>
      <x:c r="F268" s="10" t="str">
        <x:v>CTA006</x:v>
      </x:c>
      <x:c r="G268" s="10" t="str">
        <x:v>NF-100267</x:v>
      </x:c>
      <x:c r="H268" s="10" t="str">
        <x:v>Despesa operacional</x:v>
      </x:c>
      <x:c r="I268" s="16" t="n">
        <x:v>45926.95452921296</x:v>
      </x:c>
      <x:c r="J268" s="16" t="n">
        <x:v>45956.95452921296</x:v>
      </x:c>
      <x:c r="K268" s="16" t="n">
        <x:v>45962.95452921296</x:v>
      </x:c>
      <x:c r="L268" s="20" t="n">
        <x:v>39285.02</x:v>
      </x:c>
      <x:c r="M268" s="20" t="n">
        <x:v>165</x:v>
      </x:c>
      <x:c r="N268" s="20" t="n">
        <x:v>0</x:v>
      </x:c>
      <x:c r="O268" s="20" t="n">
        <x:v>39450.02</x:v>
      </x:c>
      <x:c r="P268" s="20" t="n">
        <x:v>0</x:v>
      </x:c>
      <x:c r="Q268" s="10" t="str">
        <x:v>Pago</x:v>
      </x:c>
      <x:c r="R268" s="10" t="str">
        <x:v>Cartão Corporativo</x:v>
      </x:c>
      <x:c r="S268" s="10" t="str">
        <x:v>2025-09</x:v>
      </x:c>
      <x:c r="T268" s="10" t="n">
        <x:v>0</x:v>
      </x:c>
      <x:c r="U268" s="10" t="str">
        <x:v>Liquidado</x:v>
      </x:c>
      <x:c r="V268" s="10" t="str">
        <x:v>UND004</x:v>
      </x:c>
    </x:row>
    <x:row r="269" ht="18" customHeight="1">
      <x:c r="A269" s="10" t="str">
        <x:v>PAG00268</x:v>
      </x:c>
      <x:c r="B269" s="10" t="str">
        <x:v>EMP001</x:v>
      </x:c>
      <x:c r="C269" s="10" t="str">
        <x:v>FOR019</x:v>
      </x:c>
      <x:c r="D269" s="10" t="str">
        <x:v>CC002</x:v>
      </x:c>
      <x:c r="E269" s="10" t="str">
        <x:v>CAT006</x:v>
      </x:c>
      <x:c r="F269" s="10" t="str">
        <x:v>CTA002</x:v>
      </x:c>
      <x:c r="G269" s="10" t="str">
        <x:v>NF-100268</x:v>
      </x:c>
      <x:c r="H269" s="10" t="str">
        <x:v>Compra de materiais</x:v>
      </x:c>
      <x:c r="I269" s="16" t="n">
        <x:v>45913.51769821759</x:v>
      </x:c>
      <x:c r="J269" s="16" t="n">
        <x:v>45928.51769821759</x:v>
      </x:c>
      <x:c r="K269" s="16" t="n">
        <x:v>45920.51769821759</x:v>
      </x:c>
      <x:c r="L269" s="20" t="n">
        <x:v>81182.3</x:v>
      </x:c>
      <x:c r="M269" s="20" t="n">
        <x:v>0</x:v>
      </x:c>
      <x:c r="N269" s="20" t="n">
        <x:v>0</x:v>
      </x:c>
      <x:c r="O269" s="20" t="n">
        <x:v>81182.3</x:v>
      </x:c>
      <x:c r="P269" s="20" t="n">
        <x:v>0</x:v>
      </x:c>
      <x:c r="Q269" s="10" t="str">
        <x:v>Pago</x:v>
      </x:c>
      <x:c r="R269" s="10" t="str">
        <x:v>TED</x:v>
      </x:c>
      <x:c r="S269" s="10" t="str">
        <x:v>2025-09</x:v>
      </x:c>
      <x:c r="T269" s="10" t="n">
        <x:v>0</x:v>
      </x:c>
      <x:c r="U269" s="10" t="str">
        <x:v>Liquidado</x:v>
      </x:c>
      <x:c r="V269" s="10" t="str">
        <x:v>UND001</x:v>
      </x:c>
    </x:row>
    <x:row r="270" ht="18" customHeight="1">
      <x:c r="A270" s="10" t="str">
        <x:v>PAG00269</x:v>
      </x:c>
      <x:c r="B270" s="10" t="str">
        <x:v>EMP003</x:v>
      </x:c>
      <x:c r="C270" s="10" t="str">
        <x:v>FOR056</x:v>
      </x:c>
      <x:c r="D270" s="10" t="str">
        <x:v>CC007</x:v>
      </x:c>
      <x:c r="E270" s="10" t="str">
        <x:v>CAT016</x:v>
      </x:c>
      <x:c r="F270" s="10" t="str">
        <x:v>CTA006</x:v>
      </x:c>
      <x:c r="G270" s="10" t="str">
        <x:v>NF-100269</x:v>
      </x:c>
      <x:c r="H270" s="10" t="str">
        <x:v>Despesa operacional</x:v>
      </x:c>
      <x:c r="I270" s="16" t="n">
        <x:v>45959.69055881944</x:v>
      </x:c>
      <x:c r="J270" s="16" t="n">
        <x:v>45989.69055881944</x:v>
      </x:c>
      <x:c r="K270" s="16" t="n">
        <x:v>45982.69055881944</x:v>
      </x:c>
      <x:c r="L270" s="20" t="n">
        <x:v>37711.4</x:v>
      </x:c>
      <x:c r="M270" s="20" t="n">
        <x:v>0</x:v>
      </x:c>
      <x:c r="N270" s="20" t="n">
        <x:v>0</x:v>
      </x:c>
      <x:c r="O270" s="20" t="n">
        <x:v>37711.4</x:v>
      </x:c>
      <x:c r="P270" s="20" t="n">
        <x:v>0</x:v>
      </x:c>
      <x:c r="Q270" s="10" t="str">
        <x:v>Pago</x:v>
      </x:c>
      <x:c r="R270" s="10" t="str">
        <x:v>PIX</x:v>
      </x:c>
      <x:c r="S270" s="10" t="str">
        <x:v>2025-10</x:v>
      </x:c>
      <x:c r="T270" s="10" t="n">
        <x:v>0</x:v>
      </x:c>
      <x:c r="U270" s="10" t="str">
        <x:v>Liquidado</x:v>
      </x:c>
      <x:c r="V270" s="10" t="str">
        <x:v>UND004</x:v>
      </x:c>
    </x:row>
    <x:row r="271" ht="18" customHeight="1">
      <x:c r="A271" s="10" t="str">
        <x:v>PAG00270</x:v>
      </x:c>
      <x:c r="B271" s="10" t="str">
        <x:v>EMP002</x:v>
      </x:c>
      <x:c r="C271" s="10" t="str">
        <x:v>FOR036</x:v>
      </x:c>
      <x:c r="D271" s="10" t="str">
        <x:v>CC002</x:v>
      </x:c>
      <x:c r="E271" s="10" t="str">
        <x:v>CAT009</x:v>
      </x:c>
      <x:c r="F271" s="10" t="str">
        <x:v>CTA003</x:v>
      </x:c>
      <x:c r="G271" s="10" t="str">
        <x:v>NF-100270</x:v>
      </x:c>
      <x:c r="H271" s="10" t="str">
        <x:v>Prestação de serviços</x:v>
      </x:c>
      <x:c r="I271" s="16" t="n">
        <x:v>45977.19595756944</x:v>
      </x:c>
      <x:c r="J271" s="16" t="n">
        <x:v>46022.19595756944</x:v>
      </x:c>
      <x:c r="K271" s="16"/>
      <x:c r="L271" s="20" t="n">
        <x:v>89282.81</x:v>
      </x:c>
      <x:c r="M271" s="20" t="n">
        <x:v>0</x:v>
      </x:c>
      <x:c r="N271" s="20" t="n">
        <x:v>0</x:v>
      </x:c>
      <x:c r="O271" s="20" t="n">
        <x:v>0</x:v>
      </x:c>
      <x:c r="P271" s="20" t="n">
        <x:v>89282.81</x:v>
      </x:c>
      <x:c r="Q271" s="10" t="str">
        <x:v>A vencer</x:v>
      </x:c>
      <x:c r="R271" s="10" t="str">
        <x:v>Boleto</x:v>
      </x:c>
      <x:c r="S271" s="10" t="str">
        <x:v>2025-11</x:v>
      </x:c>
      <x:c r="T271" s="10" t="n">
        <x:v>0</x:v>
      </x:c>
      <x:c r="U271" s="10" t="str">
        <x:v>A vencer</x:v>
      </x:c>
      <x:c r="V271" s="10" t="str">
        <x:v>UND003</x:v>
      </x:c>
    </x:row>
    <x:row r="272" ht="18" customHeight="1">
      <x:c r="A272" s="10" t="str">
        <x:v>PAG00271</x:v>
      </x:c>
      <x:c r="B272" s="10" t="str">
        <x:v>EMP001</x:v>
      </x:c>
      <x:c r="C272" s="10" t="str">
        <x:v>FOR002</x:v>
      </x:c>
      <x:c r="D272" s="10" t="str">
        <x:v>CC008</x:v>
      </x:c>
      <x:c r="E272" s="10" t="str">
        <x:v>CAT018</x:v>
      </x:c>
      <x:c r="F272" s="10" t="str">
        <x:v>CTA001</x:v>
      </x:c>
      <x:c r="G272" s="10" t="str">
        <x:v>NF-100271</x:v>
      </x:c>
      <x:c r="H272" s="10" t="str">
        <x:v>Compra de materiais</x:v>
      </x:c>
      <x:c r="I272" s="16" t="n">
        <x:v>45419.072318530096</x:v>
      </x:c>
      <x:c r="J272" s="16" t="n">
        <x:v>45454.072318530096</x:v>
      </x:c>
      <x:c r="K272" s="16" t="n">
        <x:v>45446.072318530096</x:v>
      </x:c>
      <x:c r="L272" s="20" t="n">
        <x:v>114232.2</x:v>
      </x:c>
      <x:c r="M272" s="20" t="n">
        <x:v>0</x:v>
      </x:c>
      <x:c r="N272" s="20" t="n">
        <x:v>0</x:v>
      </x:c>
      <x:c r="O272" s="20" t="n">
        <x:v>114232.2</x:v>
      </x:c>
      <x:c r="P272" s="20" t="n">
        <x:v>0</x:v>
      </x:c>
      <x:c r="Q272" s="10" t="str">
        <x:v>Pago</x:v>
      </x:c>
      <x:c r="R272" s="10" t="str">
        <x:v>Boleto</x:v>
      </x:c>
      <x:c r="S272" s="10" t="str">
        <x:v>2024-05</x:v>
      </x:c>
      <x:c r="T272" s="10" t="n">
        <x:v>0</x:v>
      </x:c>
      <x:c r="U272" s="10" t="str">
        <x:v>Liquidado</x:v>
      </x:c>
      <x:c r="V272" s="10" t="str">
        <x:v>UND002</x:v>
      </x:c>
    </x:row>
    <x:row r="273" ht="18" customHeight="1">
      <x:c r="A273" s="10" t="str">
        <x:v>PAG00272</x:v>
      </x:c>
      <x:c r="B273" s="10" t="str">
        <x:v>EMP001</x:v>
      </x:c>
      <x:c r="C273" s="10" t="str">
        <x:v>FOR029</x:v>
      </x:c>
      <x:c r="D273" s="10" t="str">
        <x:v>CC006</x:v>
      </x:c>
      <x:c r="E273" s="10" t="str">
        <x:v>CAT007</x:v>
      </x:c>
      <x:c r="F273" s="10" t="str">
        <x:v>CTA001</x:v>
      </x:c>
      <x:c r="G273" s="10" t="str">
        <x:v>NF-100272</x:v>
      </x:c>
      <x:c r="H273" s="10" t="str">
        <x:v>Compra de materiais</x:v>
      </x:c>
      <x:c r="I273" s="16" t="n">
        <x:v>45552.43030855324</x:v>
      </x:c>
      <x:c r="J273" s="16" t="n">
        <x:v>45572.43030855324</x:v>
      </x:c>
      <x:c r="K273" s="16" t="n">
        <x:v>45577.43030855324</x:v>
      </x:c>
      <x:c r="L273" s="20" t="n">
        <x:v>23628.41</x:v>
      </x:c>
      <x:c r="M273" s="20" t="n">
        <x:v>82.7</x:v>
      </x:c>
      <x:c r="N273" s="20" t="n">
        <x:v>0</x:v>
      </x:c>
      <x:c r="O273" s="20" t="n">
        <x:v>23711.11</x:v>
      </x:c>
      <x:c r="P273" s="20" t="n">
        <x:v>0</x:v>
      </x:c>
      <x:c r="Q273" s="10" t="str">
        <x:v>Pago</x:v>
      </x:c>
      <x:c r="R273" s="10" t="str">
        <x:v>Cartão Corporativo</x:v>
      </x:c>
      <x:c r="S273" s="10" t="str">
        <x:v>2024-09</x:v>
      </x:c>
      <x:c r="T273" s="10" t="n">
        <x:v>0</x:v>
      </x:c>
      <x:c r="U273" s="10" t="str">
        <x:v>Liquidado</x:v>
      </x:c>
      <x:c r="V273" s="10" t="str">
        <x:v>UND001</x:v>
      </x:c>
    </x:row>
    <x:row r="274" ht="18" customHeight="1">
      <x:c r="A274" s="10" t="str">
        <x:v>PAG00273</x:v>
      </x:c>
      <x:c r="B274" s="10" t="str">
        <x:v>EMP002</x:v>
      </x:c>
      <x:c r="C274" s="10" t="str">
        <x:v>FOR040</x:v>
      </x:c>
      <x:c r="D274" s="10" t="str">
        <x:v>CC003</x:v>
      </x:c>
      <x:c r="E274" s="10" t="str">
        <x:v>CAT008</x:v>
      </x:c>
      <x:c r="F274" s="10" t="str">
        <x:v>CTA004</x:v>
      </x:c>
      <x:c r="G274" s="10" t="str">
        <x:v>NF-100273</x:v>
      </x:c>
      <x:c r="H274" s="10" t="str">
        <x:v>Prestação de serviços</x:v>
      </x:c>
      <x:c r="I274" s="16" t="n">
        <x:v>45726.694473310185</x:v>
      </x:c>
      <x:c r="J274" s="16" t="n">
        <x:v>45754.694473310185</x:v>
      </x:c>
      <x:c r="K274" s="16" t="n">
        <x:v>45766.694473310185</x:v>
      </x:c>
      <x:c r="L274" s="20" t="n">
        <x:v>1375.28</x:v>
      </x:c>
      <x:c r="M274" s="20" t="n">
        <x:v>11.55</x:v>
      </x:c>
      <x:c r="N274" s="20" t="n">
        <x:v>0</x:v>
      </x:c>
      <x:c r="O274" s="20" t="n">
        <x:v>1386.83</x:v>
      </x:c>
      <x:c r="P274" s="20" t="n">
        <x:v>0</x:v>
      </x:c>
      <x:c r="Q274" s="10" t="str">
        <x:v>Pago</x:v>
      </x:c>
      <x:c r="R274" s="10" t="str">
        <x:v>TED</x:v>
      </x:c>
      <x:c r="S274" s="10" t="str">
        <x:v>2025-03</x:v>
      </x:c>
      <x:c r="T274" s="10" t="n">
        <x:v>0</x:v>
      </x:c>
      <x:c r="U274" s="10" t="str">
        <x:v>Liquidado</x:v>
      </x:c>
      <x:c r="V274" s="10" t="str">
        <x:v>UND003</x:v>
      </x:c>
    </x:row>
    <x:row r="275" ht="18" customHeight="1">
      <x:c r="A275" s="10" t="str">
        <x:v>PAG00274</x:v>
      </x:c>
      <x:c r="B275" s="10" t="str">
        <x:v>EMP003</x:v>
      </x:c>
      <x:c r="C275" s="10" t="str">
        <x:v>FOR034</x:v>
      </x:c>
      <x:c r="D275" s="10" t="str">
        <x:v>CC007</x:v>
      </x:c>
      <x:c r="E275" s="10" t="str">
        <x:v>CAT008</x:v>
      </x:c>
      <x:c r="F275" s="10" t="str">
        <x:v>CTA006</x:v>
      </x:c>
      <x:c r="G275" s="10" t="str">
        <x:v>NF-100274</x:v>
      </x:c>
      <x:c r="H275" s="10" t="str">
        <x:v>Despesa operacional</x:v>
      </x:c>
      <x:c r="I275" s="16" t="n">
        <x:v>45536.32571693287</x:v>
      </x:c>
      <x:c r="J275" s="16" t="n">
        <x:v>45551.32571693287</x:v>
      </x:c>
      <x:c r="K275" s="16" t="n">
        <x:v>45549.32571693287</x:v>
      </x:c>
      <x:c r="L275" s="20" t="n">
        <x:v>1071.14</x:v>
      </x:c>
      <x:c r="M275" s="20" t="n">
        <x:v>0</x:v>
      </x:c>
      <x:c r="N275" s="20" t="n">
        <x:v>0</x:v>
      </x:c>
      <x:c r="O275" s="20" t="n">
        <x:v>1071.14</x:v>
      </x:c>
      <x:c r="P275" s="20" t="n">
        <x:v>0</x:v>
      </x:c>
      <x:c r="Q275" s="10" t="str">
        <x:v>Pago</x:v>
      </x:c>
      <x:c r="R275" s="10" t="str">
        <x:v>Cartão Corporativo</x:v>
      </x:c>
      <x:c r="S275" s="10" t="str">
        <x:v>2024-09</x:v>
      </x:c>
      <x:c r="T275" s="10" t="n">
        <x:v>0</x:v>
      </x:c>
      <x:c r="U275" s="10" t="str">
        <x:v>Liquidado</x:v>
      </x:c>
      <x:c r="V275" s="10" t="str">
        <x:v>UND004</x:v>
      </x:c>
    </x:row>
    <x:row r="276" ht="18" customHeight="1">
      <x:c r="A276" s="10" t="str">
        <x:v>PAG00275</x:v>
      </x:c>
      <x:c r="B276" s="10" t="str">
        <x:v>EMP002</x:v>
      </x:c>
      <x:c r="C276" s="10" t="str">
        <x:v>FOR011</x:v>
      </x:c>
      <x:c r="D276" s="10" t="str">
        <x:v>CC002</x:v>
      </x:c>
      <x:c r="E276" s="10" t="str">
        <x:v>CAT005</x:v>
      </x:c>
      <x:c r="F276" s="10" t="str">
        <x:v>CTA004</x:v>
      </x:c>
      <x:c r="G276" s="10" t="str">
        <x:v>NF-100275</x:v>
      </x:c>
      <x:c r="H276" s="10" t="str">
        <x:v>Prestação de serviços</x:v>
      </x:c>
      <x:c r="I276" s="16" t="n">
        <x:v>45663.51908255787</x:v>
      </x:c>
      <x:c r="J276" s="16" t="n">
        <x:v>45678.51908255787</x:v>
      </x:c>
      <x:c r="K276" s="16" t="n">
        <x:v>45689.51908255787</x:v>
      </x:c>
      <x:c r="L276" s="20" t="n">
        <x:v>16458.65</x:v>
      </x:c>
      <x:c r="M276" s="20" t="n">
        <x:v>126.73</x:v>
      </x:c>
      <x:c r="N276" s="20" t="n">
        <x:v>0</x:v>
      </x:c>
      <x:c r="O276" s="20" t="n">
        <x:v>16585.38</x:v>
      </x:c>
      <x:c r="P276" s="20" t="n">
        <x:v>0</x:v>
      </x:c>
      <x:c r="Q276" s="10" t="str">
        <x:v>Pago</x:v>
      </x:c>
      <x:c r="R276" s="10" t="str">
        <x:v>Cartão Corporativo</x:v>
      </x:c>
      <x:c r="S276" s="10" t="str">
        <x:v>2025-01</x:v>
      </x:c>
      <x:c r="T276" s="10" t="n">
        <x:v>0</x:v>
      </x:c>
      <x:c r="U276" s="10" t="str">
        <x:v>Liquidado</x:v>
      </x:c>
      <x:c r="V276" s="10" t="str">
        <x:v>UND003</x:v>
      </x:c>
    </x:row>
    <x:row r="277" ht="18" customHeight="1">
      <x:c r="A277" s="10" t="str">
        <x:v>PAG00276</x:v>
      </x:c>
      <x:c r="B277" s="10" t="str">
        <x:v>EMP003</x:v>
      </x:c>
      <x:c r="C277" s="10" t="str">
        <x:v>FOR027</x:v>
      </x:c>
      <x:c r="D277" s="10" t="str">
        <x:v>CC001</x:v>
      </x:c>
      <x:c r="E277" s="10" t="str">
        <x:v>CAT006</x:v>
      </x:c>
      <x:c r="F277" s="10" t="str">
        <x:v>CTA005</x:v>
      </x:c>
      <x:c r="G277" s="10" t="str">
        <x:v>NF-100276</x:v>
      </x:c>
      <x:c r="H277" s="10" t="str">
        <x:v>Prestação de serviços</x:v>
      </x:c>
      <x:c r="I277" s="16" t="n">
        <x:v>45306.80074734954</x:v>
      </x:c>
      <x:c r="J277" s="16" t="n">
        <x:v>45326.80074734954</x:v>
      </x:c>
      <x:c r="K277" s="16" t="n">
        <x:v>45359.80074734954</x:v>
      </x:c>
      <x:c r="L277" s="20" t="n">
        <x:v>47330.47</x:v>
      </x:c>
      <x:c r="M277" s="20" t="n">
        <x:v>1093.33</x:v>
      </x:c>
      <x:c r="N277" s="20" t="n">
        <x:v>0</x:v>
      </x:c>
      <x:c r="O277" s="20" t="n">
        <x:v>48423.8</x:v>
      </x:c>
      <x:c r="P277" s="20" t="n">
        <x:v>0</x:v>
      </x:c>
      <x:c r="Q277" s="10" t="str">
        <x:v>Pago</x:v>
      </x:c>
      <x:c r="R277" s="10" t="str">
        <x:v>TED</x:v>
      </x:c>
      <x:c r="S277" s="10" t="str">
        <x:v>2024-01</x:v>
      </x:c>
      <x:c r="T277" s="10" t="n">
        <x:v>0</x:v>
      </x:c>
      <x:c r="U277" s="10" t="str">
        <x:v>Liquidado</x:v>
      </x:c>
      <x:c r="V277" s="10" t="str">
        <x:v>UND004</x:v>
      </x:c>
    </x:row>
    <x:row r="278" ht="18" customHeight="1">
      <x:c r="A278" s="10" t="str">
        <x:v>PAG00277</x:v>
      </x:c>
      <x:c r="B278" s="10" t="str">
        <x:v>EMP002</x:v>
      </x:c>
      <x:c r="C278" s="10" t="str">
        <x:v>FOR043</x:v>
      </x:c>
      <x:c r="D278" s="10" t="str">
        <x:v>CC008</x:v>
      </x:c>
      <x:c r="E278" s="10" t="str">
        <x:v>CAT007</x:v>
      </x:c>
      <x:c r="F278" s="10" t="str">
        <x:v>CTA003</x:v>
      </x:c>
      <x:c r="G278" s="10" t="str">
        <x:v>NF-100277</x:v>
      </x:c>
      <x:c r="H278" s="10" t="str">
        <x:v>Contrato recorrente</x:v>
      </x:c>
      <x:c r="I278" s="16" t="n">
        <x:v>45389.01647974537</x:v>
      </x:c>
      <x:c r="J278" s="16" t="n">
        <x:v>45449.01647974537</x:v>
      </x:c>
      <x:c r="K278" s="16" t="n">
        <x:v>45448.01647974537</x:v>
      </x:c>
      <x:c r="L278" s="20" t="n">
        <x:v>9982.3</x:v>
      </x:c>
      <x:c r="M278" s="20" t="n">
        <x:v>0</x:v>
      </x:c>
      <x:c r="N278" s="20" t="n">
        <x:v>0</x:v>
      </x:c>
      <x:c r="O278" s="20" t="n">
        <x:v>9982.3</x:v>
      </x:c>
      <x:c r="P278" s="20" t="n">
        <x:v>0</x:v>
      </x:c>
      <x:c r="Q278" s="10" t="str">
        <x:v>Pago</x:v>
      </x:c>
      <x:c r="R278" s="10" t="str">
        <x:v>TED</x:v>
      </x:c>
      <x:c r="S278" s="10" t="str">
        <x:v>2024-04</x:v>
      </x:c>
      <x:c r="T278" s="10" t="n">
        <x:v>0</x:v>
      </x:c>
      <x:c r="U278" s="10" t="str">
        <x:v>Liquidado</x:v>
      </x:c>
      <x:c r="V278" s="10" t="str">
        <x:v>UND003</x:v>
      </x:c>
    </x:row>
    <x:row r="279" ht="18" customHeight="1">
      <x:c r="A279" s="10" t="str">
        <x:v>PAG00278</x:v>
      </x:c>
      <x:c r="B279" s="10" t="str">
        <x:v>EMP001</x:v>
      </x:c>
      <x:c r="C279" s="10" t="str">
        <x:v>FOR021</x:v>
      </x:c>
      <x:c r="D279" s="10" t="str">
        <x:v>CC007</x:v>
      </x:c>
      <x:c r="E279" s="10" t="str">
        <x:v>CAT006</x:v>
      </x:c>
      <x:c r="F279" s="10" t="str">
        <x:v>CTA002</x:v>
      </x:c>
      <x:c r="G279" s="10" t="str">
        <x:v>NF-100278</x:v>
      </x:c>
      <x:c r="H279" s="10" t="str">
        <x:v>Compra de materiais</x:v>
      </x:c>
      <x:c r="I279" s="16" t="n">
        <x:v>45465.48742769676</x:v>
      </x:c>
      <x:c r="J279" s="16" t="n">
        <x:v>45495.48742769676</x:v>
      </x:c>
      <x:c r="K279" s="16" t="n">
        <x:v>45499.48742769676</x:v>
      </x:c>
      <x:c r="L279" s="20" t="n">
        <x:v>71557.63</x:v>
      </x:c>
      <x:c r="M279" s="20" t="n">
        <x:v>200.36</x:v>
      </x:c>
      <x:c r="N279" s="20" t="n">
        <x:v>0</x:v>
      </x:c>
      <x:c r="O279" s="20" t="n">
        <x:v>71757.99</x:v>
      </x:c>
      <x:c r="P279" s="20" t="n">
        <x:v>0</x:v>
      </x:c>
      <x:c r="Q279" s="10" t="str">
        <x:v>Pago</x:v>
      </x:c>
      <x:c r="R279" s="10" t="str">
        <x:v>Débito Automático</x:v>
      </x:c>
      <x:c r="S279" s="10" t="str">
        <x:v>2024-06</x:v>
      </x:c>
      <x:c r="T279" s="10" t="n">
        <x:v>0</x:v>
      </x:c>
      <x:c r="U279" s="10" t="str">
        <x:v>Liquidado</x:v>
      </x:c>
      <x:c r="V279" s="10" t="str">
        <x:v>UND002</x:v>
      </x:c>
    </x:row>
    <x:row r="280" ht="18" customHeight="1">
      <x:c r="A280" s="10" t="str">
        <x:v>PAG00279</x:v>
      </x:c>
      <x:c r="B280" s="10" t="str">
        <x:v>EMP002</x:v>
      </x:c>
      <x:c r="C280" s="10" t="str">
        <x:v>FOR032</x:v>
      </x:c>
      <x:c r="D280" s="10" t="str">
        <x:v>CC003</x:v>
      </x:c>
      <x:c r="E280" s="10" t="str">
        <x:v>CAT011</x:v>
      </x:c>
      <x:c r="F280" s="10" t="str">
        <x:v>CTA003</x:v>
      </x:c>
      <x:c r="G280" s="10" t="str">
        <x:v>NF-100279</x:v>
      </x:c>
      <x:c r="H280" s="10" t="str">
        <x:v>Contrato recorrente</x:v>
      </x:c>
      <x:c r="I280" s="16" t="n">
        <x:v>45515.49818171297</x:v>
      </x:c>
      <x:c r="J280" s="16" t="n">
        <x:v>45550.49818171297</x:v>
      </x:c>
      <x:c r="K280" s="16" t="n">
        <x:v>45569.49818171297</x:v>
      </x:c>
      <x:c r="L280" s="20" t="n">
        <x:v>32696.49</x:v>
      </x:c>
      <x:c r="M280" s="20" t="n">
        <x:v>434.86</x:v>
      </x:c>
      <x:c r="N280" s="20" t="n">
        <x:v>0</x:v>
      </x:c>
      <x:c r="O280" s="20" t="n">
        <x:v>33131.35</x:v>
      </x:c>
      <x:c r="P280" s="20" t="n">
        <x:v>0</x:v>
      </x:c>
      <x:c r="Q280" s="10" t="str">
        <x:v>Pago</x:v>
      </x:c>
      <x:c r="R280" s="10" t="str">
        <x:v>TED</x:v>
      </x:c>
      <x:c r="S280" s="10" t="str">
        <x:v>2024-08</x:v>
      </x:c>
      <x:c r="T280" s="10" t="n">
        <x:v>0</x:v>
      </x:c>
      <x:c r="U280" s="10" t="str">
        <x:v>Liquidado</x:v>
      </x:c>
      <x:c r="V280" s="10" t="str">
        <x:v>UND003</x:v>
      </x:c>
    </x:row>
    <x:row r="281" ht="18" customHeight="1">
      <x:c r="A281" s="10" t="str">
        <x:v>PAG00280</x:v>
      </x:c>
      <x:c r="B281" s="10" t="str">
        <x:v>EMP001</x:v>
      </x:c>
      <x:c r="C281" s="10" t="str">
        <x:v>FOR031</x:v>
      </x:c>
      <x:c r="D281" s="10" t="str">
        <x:v>CC005</x:v>
      </x:c>
      <x:c r="E281" s="10" t="str">
        <x:v>CAT009</x:v>
      </x:c>
      <x:c r="F281" s="10" t="str">
        <x:v>CTA002</x:v>
      </x:c>
      <x:c r="G281" s="10" t="str">
        <x:v>NF-100280</x:v>
      </x:c>
      <x:c r="H281" s="10" t="str">
        <x:v>Contrato recorrente</x:v>
      </x:c>
      <x:c r="I281" s="16" t="n">
        <x:v>45308.2240608912</x:v>
      </x:c>
      <x:c r="J281" s="16" t="n">
        <x:v>45353.2240608912</x:v>
      </x:c>
      <x:c r="K281" s="16" t="n">
        <x:v>45356.2240608912</x:v>
      </x:c>
      <x:c r="L281" s="20" t="n">
        <x:v>56646.37</x:v>
      </x:c>
      <x:c r="M281" s="20" t="n">
        <x:v>118.96</x:v>
      </x:c>
      <x:c r="N281" s="20" t="n">
        <x:v>0</x:v>
      </x:c>
      <x:c r="O281" s="20" t="n">
        <x:v>56765.33</x:v>
      </x:c>
      <x:c r="P281" s="20" t="n">
        <x:v>0</x:v>
      </x:c>
      <x:c r="Q281" s="10" t="str">
        <x:v>Pago</x:v>
      </x:c>
      <x:c r="R281" s="10" t="str">
        <x:v>PIX</x:v>
      </x:c>
      <x:c r="S281" s="10" t="str">
        <x:v>2024-01</x:v>
      </x:c>
      <x:c r="T281" s="10" t="n">
        <x:v>0</x:v>
      </x:c>
      <x:c r="U281" s="10" t="str">
        <x:v>Liquidado</x:v>
      </x:c>
      <x:c r="V281" s="10" t="str">
        <x:v>UND001</x:v>
      </x:c>
    </x:row>
    <x:row r="282" ht="18" customHeight="1">
      <x:c r="A282" s="10" t="str">
        <x:v>PAG00281</x:v>
      </x:c>
      <x:c r="B282" s="10" t="str">
        <x:v>EMP002</x:v>
      </x:c>
      <x:c r="C282" s="10" t="str">
        <x:v>FOR034</x:v>
      </x:c>
      <x:c r="D282" s="10" t="str">
        <x:v>CC008</x:v>
      </x:c>
      <x:c r="E282" s="10" t="str">
        <x:v>CAT010</x:v>
      </x:c>
      <x:c r="F282" s="10" t="str">
        <x:v>CTA003</x:v>
      </x:c>
      <x:c r="G282" s="10" t="str">
        <x:v>NF-100281</x:v>
      </x:c>
      <x:c r="H282" s="10" t="str">
        <x:v>Tributos e taxas</x:v>
      </x:c>
      <x:c r="I282" s="16" t="n">
        <x:v>45806.93956359954</x:v>
      </x:c>
      <x:c r="J282" s="16" t="n">
        <x:v>45834.93956359954</x:v>
      </x:c>
      <x:c r="K282" s="16" t="n">
        <x:v>45867.93956359954</x:v>
      </x:c>
      <x:c r="L282" s="20" t="n">
        <x:v>36259.17</x:v>
      </x:c>
      <x:c r="M282" s="20" t="n">
        <x:v>837.59</x:v>
      </x:c>
      <x:c r="N282" s="20" t="n">
        <x:v>0</x:v>
      </x:c>
      <x:c r="O282" s="20" t="n">
        <x:v>37096.76</x:v>
      </x:c>
      <x:c r="P282" s="20" t="n">
        <x:v>0</x:v>
      </x:c>
      <x:c r="Q282" s="10" t="str">
        <x:v>Pago</x:v>
      </x:c>
      <x:c r="R282" s="10" t="str">
        <x:v>Boleto</x:v>
      </x:c>
      <x:c r="S282" s="10" t="str">
        <x:v>2025-05</x:v>
      </x:c>
      <x:c r="T282" s="10" t="n">
        <x:v>0</x:v>
      </x:c>
      <x:c r="U282" s="10" t="str">
        <x:v>Liquidado</x:v>
      </x:c>
      <x:c r="V282" s="10" t="str">
        <x:v>UND003</x:v>
      </x:c>
    </x:row>
    <x:row r="283" ht="18" customHeight="1">
      <x:c r="A283" s="10" t="str">
        <x:v>PAG00282</x:v>
      </x:c>
      <x:c r="B283" s="10" t="str">
        <x:v>EMP003</x:v>
      </x:c>
      <x:c r="C283" s="10" t="str">
        <x:v>FOR038</x:v>
      </x:c>
      <x:c r="D283" s="10" t="str">
        <x:v>CC004</x:v>
      </x:c>
      <x:c r="E283" s="10" t="str">
        <x:v>CAT006</x:v>
      </x:c>
      <x:c r="F283" s="10" t="str">
        <x:v>CTA006</x:v>
      </x:c>
      <x:c r="G283" s="10" t="str">
        <x:v>NF-100282</x:v>
      </x:c>
      <x:c r="H283" s="10" t="str">
        <x:v>Prestação de serviços</x:v>
      </x:c>
      <x:c r="I283" s="16" t="n">
        <x:v>45986.765291435186</x:v>
      </x:c>
      <x:c r="J283" s="16" t="n">
        <x:v>46061.765291435186</x:v>
      </x:c>
      <x:c r="K283" s="16"/>
      <x:c r="L283" s="20" t="n">
        <x:v>628.86</x:v>
      </x:c>
      <x:c r="M283" s="20" t="n">
        <x:v>0</x:v>
      </x:c>
      <x:c r="N283" s="20" t="n">
        <x:v>0</x:v>
      </x:c>
      <x:c r="O283" s="20" t="n">
        <x:v>0</x:v>
      </x:c>
      <x:c r="P283" s="20" t="n">
        <x:v>628.86</x:v>
      </x:c>
      <x:c r="Q283" s="10" t="str">
        <x:v>A vencer</x:v>
      </x:c>
      <x:c r="R283" s="10" t="str">
        <x:v>Débito Automático</x:v>
      </x:c>
      <x:c r="S283" s="10" t="str">
        <x:v>2025-11</x:v>
      </x:c>
      <x:c r="T283" s="10" t="n">
        <x:v>0</x:v>
      </x:c>
      <x:c r="U283" s="10" t="str">
        <x:v>A vencer</x:v>
      </x:c>
      <x:c r="V283" s="10" t="str">
        <x:v>UND004</x:v>
      </x:c>
    </x:row>
    <x:row r="284" ht="18" customHeight="1">
      <x:c r="A284" s="10" t="str">
        <x:v>PAG00283</x:v>
      </x:c>
      <x:c r="B284" s="10" t="str">
        <x:v>EMP001</x:v>
      </x:c>
      <x:c r="C284" s="10" t="str">
        <x:v>FOR013</x:v>
      </x:c>
      <x:c r="D284" s="10" t="str">
        <x:v>CC008</x:v>
      </x:c>
      <x:c r="E284" s="10" t="str">
        <x:v>CAT018</x:v>
      </x:c>
      <x:c r="F284" s="10" t="str">
        <x:v>CTA002</x:v>
      </x:c>
      <x:c r="G284" s="10" t="str">
        <x:v>NF-100283</x:v>
      </x:c>
      <x:c r="H284" s="10" t="str">
        <x:v>Prestação de serviços</x:v>
      </x:c>
      <x:c r="I284" s="16" t="n">
        <x:v>45467.869196782405</x:v>
      </x:c>
      <x:c r="J284" s="16" t="n">
        <x:v>45482.869196782405</x:v>
      </x:c>
      <x:c r="K284" s="16" t="n">
        <x:v>45494.869196782405</x:v>
      </x:c>
      <x:c r="L284" s="20" t="n">
        <x:v>12090.82</x:v>
      </x:c>
      <x:c r="M284" s="20" t="n">
        <x:v>101.56</x:v>
      </x:c>
      <x:c r="N284" s="20" t="n">
        <x:v>0</x:v>
      </x:c>
      <x:c r="O284" s="20" t="n">
        <x:v>12192.38</x:v>
      </x:c>
      <x:c r="P284" s="20" t="n">
        <x:v>0</x:v>
      </x:c>
      <x:c r="Q284" s="10" t="str">
        <x:v>Pago</x:v>
      </x:c>
      <x:c r="R284" s="10" t="str">
        <x:v>Débito Automático</x:v>
      </x:c>
      <x:c r="S284" s="10" t="str">
        <x:v>2024-06</x:v>
      </x:c>
      <x:c r="T284" s="10" t="n">
        <x:v>0</x:v>
      </x:c>
      <x:c r="U284" s="10" t="str">
        <x:v>Liquidado</x:v>
      </x:c>
      <x:c r="V284" s="10" t="str">
        <x:v>UND002</x:v>
      </x:c>
    </x:row>
    <x:row r="285" ht="18" customHeight="1">
      <x:c r="A285" s="10" t="str">
        <x:v>PAG00284</x:v>
      </x:c>
      <x:c r="B285" s="10" t="str">
        <x:v>EMP002</x:v>
      </x:c>
      <x:c r="C285" s="10" t="str">
        <x:v>FOR049</x:v>
      </x:c>
      <x:c r="D285" s="10" t="str">
        <x:v>CC007</x:v>
      </x:c>
      <x:c r="E285" s="10" t="str">
        <x:v>CAT009</x:v>
      </x:c>
      <x:c r="F285" s="10" t="str">
        <x:v>CTA004</x:v>
      </x:c>
      <x:c r="G285" s="10" t="str">
        <x:v>NF-100284</x:v>
      </x:c>
      <x:c r="H285" s="10" t="str">
        <x:v>Tributos e taxas</x:v>
      </x:c>
      <x:c r="I285" s="16" t="n">
        <x:v>45915.48293113426</x:v>
      </x:c>
      <x:c r="J285" s="16" t="n">
        <x:v>45990.48293113426</x:v>
      </x:c>
      <x:c r="K285" s="16" t="n">
        <x:v>45998.48293113426</x:v>
      </x:c>
      <x:c r="L285" s="20" t="n">
        <x:v>106982.3</x:v>
      </x:c>
      <x:c r="M285" s="20" t="n">
        <x:v>599.1</x:v>
      </x:c>
      <x:c r="N285" s="20" t="n">
        <x:v>0</x:v>
      </x:c>
      <x:c r="O285" s="20" t="n">
        <x:v>107581.4</x:v>
      </x:c>
      <x:c r="P285" s="20" t="n">
        <x:v>0</x:v>
      </x:c>
      <x:c r="Q285" s="10" t="str">
        <x:v>Pago</x:v>
      </x:c>
      <x:c r="R285" s="10" t="str">
        <x:v>TED</x:v>
      </x:c>
      <x:c r="S285" s="10" t="str">
        <x:v>2025-09</x:v>
      </x:c>
      <x:c r="T285" s="10" t="n">
        <x:v>0</x:v>
      </x:c>
      <x:c r="U285" s="10" t="str">
        <x:v>Liquidado</x:v>
      </x:c>
      <x:c r="V285" s="10" t="str">
        <x:v>UND003</x:v>
      </x:c>
    </x:row>
    <x:row r="286" ht="18" customHeight="1">
      <x:c r="A286" s="10" t="str">
        <x:v>PAG00285</x:v>
      </x:c>
      <x:c r="B286" s="10" t="str">
        <x:v>EMP001</x:v>
      </x:c>
      <x:c r="C286" s="10" t="str">
        <x:v>FOR039</x:v>
      </x:c>
      <x:c r="D286" s="10" t="str">
        <x:v>CC005</x:v>
      </x:c>
      <x:c r="E286" s="10" t="str">
        <x:v>CAT005</x:v>
      </x:c>
      <x:c r="F286" s="10" t="str">
        <x:v>CTA002</x:v>
      </x:c>
      <x:c r="G286" s="10" t="str">
        <x:v>NF-100285</x:v>
      </x:c>
      <x:c r="H286" s="10" t="str">
        <x:v>Contrato recorrente</x:v>
      </x:c>
      <x:c r="I286" s="16" t="n">
        <x:v>45297.962861597225</x:v>
      </x:c>
      <x:c r="J286" s="16" t="n">
        <x:v>45327.962861597225</x:v>
      </x:c>
      <x:c r="K286" s="16" t="n">
        <x:v>45328.962861597225</x:v>
      </x:c>
      <x:c r="L286" s="20" t="n">
        <x:v>4856.14</x:v>
      </x:c>
      <x:c r="M286" s="20" t="n">
        <x:v>3.4</x:v>
      </x:c>
      <x:c r="N286" s="20" t="n">
        <x:v>0</x:v>
      </x:c>
      <x:c r="O286" s="20" t="n">
        <x:v>4859.54</x:v>
      </x:c>
      <x:c r="P286" s="20" t="n">
        <x:v>0</x:v>
      </x:c>
      <x:c r="Q286" s="10" t="str">
        <x:v>Pago</x:v>
      </x:c>
      <x:c r="R286" s="10" t="str">
        <x:v>Cartão Corporativo</x:v>
      </x:c>
      <x:c r="S286" s="10" t="str">
        <x:v>2024-01</x:v>
      </x:c>
      <x:c r="T286" s="10" t="n">
        <x:v>0</x:v>
      </x:c>
      <x:c r="U286" s="10" t="str">
        <x:v>Liquidado</x:v>
      </x:c>
      <x:c r="V286" s="10" t="str">
        <x:v>UND001</x:v>
      </x:c>
    </x:row>
    <x:row r="287" ht="18" customHeight="1">
      <x:c r="A287" s="10" t="str">
        <x:v>PAG00286</x:v>
      </x:c>
      <x:c r="B287" s="10" t="str">
        <x:v>EMP001</x:v>
      </x:c>
      <x:c r="C287" s="10" t="str">
        <x:v>FOR012</x:v>
      </x:c>
      <x:c r="D287" s="10" t="str">
        <x:v>CC002</x:v>
      </x:c>
      <x:c r="E287" s="10" t="str">
        <x:v>CAT014</x:v>
      </x:c>
      <x:c r="F287" s="10" t="str">
        <x:v>CTA002</x:v>
      </x:c>
      <x:c r="G287" s="10" t="str">
        <x:v>NF-100286</x:v>
      </x:c>
      <x:c r="H287" s="10" t="str">
        <x:v>Despesa operacional</x:v>
      </x:c>
      <x:c r="I287" s="16" t="n">
        <x:v>45528.37383943287</x:v>
      </x:c>
      <x:c r="J287" s="16" t="n">
        <x:v>45556.37383943287</x:v>
      </x:c>
      <x:c r="K287" s="16" t="n">
        <x:v>45560.37383943287</x:v>
      </x:c>
      <x:c r="L287" s="20" t="n">
        <x:v>49615.05</x:v>
      </x:c>
      <x:c r="M287" s="20" t="n">
        <x:v>138.92</x:v>
      </x:c>
      <x:c r="N287" s="20" t="n">
        <x:v>0</x:v>
      </x:c>
      <x:c r="O287" s="20" t="n">
        <x:v>49753.97</x:v>
      </x:c>
      <x:c r="P287" s="20" t="n">
        <x:v>0</x:v>
      </x:c>
      <x:c r="Q287" s="10" t="str">
        <x:v>Pago</x:v>
      </x:c>
      <x:c r="R287" s="10" t="str">
        <x:v>Cartão Corporativo</x:v>
      </x:c>
      <x:c r="S287" s="10" t="str">
        <x:v>2024-08</x:v>
      </x:c>
      <x:c r="T287" s="10" t="n">
        <x:v>0</x:v>
      </x:c>
      <x:c r="U287" s="10" t="str">
        <x:v>Liquidado</x:v>
      </x:c>
      <x:c r="V287" s="10" t="str">
        <x:v>UND001</x:v>
      </x:c>
    </x:row>
    <x:row r="288" ht="18" customHeight="1">
      <x:c r="A288" s="10" t="str">
        <x:v>PAG00287</x:v>
      </x:c>
      <x:c r="B288" s="10" t="str">
        <x:v>EMP003</x:v>
      </x:c>
      <x:c r="C288" s="10" t="str">
        <x:v>FOR037</x:v>
      </x:c>
      <x:c r="D288" s="10" t="str">
        <x:v>CC008</x:v>
      </x:c>
      <x:c r="E288" s="10" t="str">
        <x:v>CAT018</x:v>
      </x:c>
      <x:c r="F288" s="10" t="str">
        <x:v>CTA005</x:v>
      </x:c>
      <x:c r="G288" s="10" t="str">
        <x:v>NF-100287</x:v>
      </x:c>
      <x:c r="H288" s="10" t="str">
        <x:v>Compra de materiais</x:v>
      </x:c>
      <x:c r="I288" s="16" t="n">
        <x:v>45785.01647490741</x:v>
      </x:c>
      <x:c r="J288" s="16" t="n">
        <x:v>45813.01647490741</x:v>
      </x:c>
      <x:c r="K288" s="16" t="n">
        <x:v>45811.01647490741</x:v>
      </x:c>
      <x:c r="L288" s="20" t="n">
        <x:v>30129.73</x:v>
      </x:c>
      <x:c r="M288" s="20" t="n">
        <x:v>0</x:v>
      </x:c>
      <x:c r="N288" s="20" t="n">
        <x:v>451.95</x:v>
      </x:c>
      <x:c r="O288" s="20" t="n">
        <x:v>29677.78</x:v>
      </x:c>
      <x:c r="P288" s="20" t="n">
        <x:v>0</x:v>
      </x:c>
      <x:c r="Q288" s="10" t="str">
        <x:v>Pago</x:v>
      </x:c>
      <x:c r="R288" s="10" t="str">
        <x:v>Boleto</x:v>
      </x:c>
      <x:c r="S288" s="10" t="str">
        <x:v>2025-05</x:v>
      </x:c>
      <x:c r="T288" s="10" t="n">
        <x:v>0</x:v>
      </x:c>
      <x:c r="U288" s="10" t="str">
        <x:v>Liquidado</x:v>
      </x:c>
      <x:c r="V288" s="10" t="str">
        <x:v>UND004</x:v>
      </x:c>
    </x:row>
    <x:row r="289" ht="18" customHeight="1">
      <x:c r="A289" s="10" t="str">
        <x:v>PAG00288</x:v>
      </x:c>
      <x:c r="B289" s="10" t="str">
        <x:v>EMP001</x:v>
      </x:c>
      <x:c r="C289" s="10" t="str">
        <x:v>FOR001</x:v>
      </x:c>
      <x:c r="D289" s="10" t="str">
        <x:v>CC002</x:v>
      </x:c>
      <x:c r="E289" s="10" t="str">
        <x:v>CAT017</x:v>
      </x:c>
      <x:c r="F289" s="10" t="str">
        <x:v>CTA001</x:v>
      </x:c>
      <x:c r="G289" s="10" t="str">
        <x:v>NF-100288</x:v>
      </x:c>
      <x:c r="H289" s="10" t="str">
        <x:v>Compra de materiais</x:v>
      </x:c>
      <x:c r="I289" s="16" t="n">
        <x:v>45906.87467082176</x:v>
      </x:c>
      <x:c r="J289" s="16" t="n">
        <x:v>45936.87467082176</x:v>
      </x:c>
      <x:c r="K289" s="16" t="n">
        <x:v>45948.87467082176</x:v>
      </x:c>
      <x:c r="L289" s="20" t="n">
        <x:v>6427.82</x:v>
      </x:c>
      <x:c r="M289" s="20" t="n">
        <x:v>53.99</x:v>
      </x:c>
      <x:c r="N289" s="20" t="n">
        <x:v>0</x:v>
      </x:c>
      <x:c r="O289" s="20" t="n">
        <x:v>6481.81</x:v>
      </x:c>
      <x:c r="P289" s="20" t="n">
        <x:v>0</x:v>
      </x:c>
      <x:c r="Q289" s="10" t="str">
        <x:v>Pago</x:v>
      </x:c>
      <x:c r="R289" s="10" t="str">
        <x:v>Boleto</x:v>
      </x:c>
      <x:c r="S289" s="10" t="str">
        <x:v>2025-09</x:v>
      </x:c>
      <x:c r="T289" s="10" t="n">
        <x:v>0</x:v>
      </x:c>
      <x:c r="U289" s="10" t="str">
        <x:v>Liquidado</x:v>
      </x:c>
      <x:c r="V289" s="10" t="str">
        <x:v>UND001</x:v>
      </x:c>
    </x:row>
    <x:row r="290" ht="18" customHeight="1">
      <x:c r="A290" s="10" t="str">
        <x:v>PAG00289</x:v>
      </x:c>
      <x:c r="B290" s="10" t="str">
        <x:v>EMP001</x:v>
      </x:c>
      <x:c r="C290" s="10" t="str">
        <x:v>FOR036</x:v>
      </x:c>
      <x:c r="D290" s="10" t="str">
        <x:v>CC008</x:v>
      </x:c>
      <x:c r="E290" s="10" t="str">
        <x:v>CAT014</x:v>
      </x:c>
      <x:c r="F290" s="10" t="str">
        <x:v>CTA002</x:v>
      </x:c>
      <x:c r="G290" s="10" t="str">
        <x:v>NF-100289</x:v>
      </x:c>
      <x:c r="H290" s="10" t="str">
        <x:v>Compra de materiais</x:v>
      </x:c>
      <x:c r="I290" s="16" t="n">
        <x:v>45405.17088366898</x:v>
      </x:c>
      <x:c r="J290" s="16" t="n">
        <x:v>45465.17088366898</x:v>
      </x:c>
      <x:c r="K290" s="16"/>
      <x:c r="L290" s="20" t="n">
        <x:v>19223.16</x:v>
      </x:c>
      <x:c r="M290" s="20" t="n">
        <x:v>0</x:v>
      </x:c>
      <x:c r="N290" s="20" t="n">
        <x:v>0</x:v>
      </x:c>
      <x:c r="O290" s="20" t="n">
        <x:v>0</x:v>
      </x:c>
      <x:c r="P290" s="20" t="n">
        <x:v>19223.16</x:v>
      </x:c>
      <x:c r="Q290" s="10" t="str">
        <x:v>Vencido</x:v>
      </x:c>
      <x:c r="R290" s="10" t="str">
        <x:v>TED</x:v>
      </x:c>
      <x:c r="S290" s="10" t="str">
        <x:v>2024-04</x:v>
      </x:c>
      <x:c r="T290" s="10" t="n">
        <x:v>556</x:v>
      </x:c>
      <x:c r="U290" s="10" t="str">
        <x:v>&gt; 120 dias</x:v>
      </x:c>
      <x:c r="V290" s="10" t="str">
        <x:v>UND001</x:v>
      </x:c>
    </x:row>
    <x:row r="291" ht="18" customHeight="1">
      <x:c r="A291" s="10" t="str">
        <x:v>PAG00290</x:v>
      </x:c>
      <x:c r="B291" s="10" t="str">
        <x:v>EMP001</x:v>
      </x:c>
      <x:c r="C291" s="10" t="str">
        <x:v>FOR034</x:v>
      </x:c>
      <x:c r="D291" s="10" t="str">
        <x:v>CC006</x:v>
      </x:c>
      <x:c r="E291" s="10" t="str">
        <x:v>CAT005</x:v>
      </x:c>
      <x:c r="F291" s="10" t="str">
        <x:v>CTA001</x:v>
      </x:c>
      <x:c r="G291" s="10" t="str">
        <x:v>NF-100290</x:v>
      </x:c>
      <x:c r="H291" s="10" t="str">
        <x:v>Prestação de serviços</x:v>
      </x:c>
      <x:c r="I291" s="16" t="n">
        <x:v>45518.34545806713</x:v>
      </x:c>
      <x:c r="J291" s="16" t="n">
        <x:v>45546.34545806713</x:v>
      </x:c>
      <x:c r="K291" s="16" t="n">
        <x:v>45539.34545806713</x:v>
      </x:c>
      <x:c r="L291" s="20" t="n">
        <x:v>21614.82</x:v>
      </x:c>
      <x:c r="M291" s="20" t="n">
        <x:v>0</x:v>
      </x:c>
      <x:c r="N291" s="20" t="n">
        <x:v>0</x:v>
      </x:c>
      <x:c r="O291" s="20" t="n">
        <x:v>21614.82</x:v>
      </x:c>
      <x:c r="P291" s="20" t="n">
        <x:v>0</x:v>
      </x:c>
      <x:c r="Q291" s="10" t="str">
        <x:v>Pago</x:v>
      </x:c>
      <x:c r="R291" s="10" t="str">
        <x:v>Boleto</x:v>
      </x:c>
      <x:c r="S291" s="10" t="str">
        <x:v>2024-08</x:v>
      </x:c>
      <x:c r="T291" s="10" t="n">
        <x:v>0</x:v>
      </x:c>
      <x:c r="U291" s="10" t="str">
        <x:v>Liquidado</x:v>
      </x:c>
      <x:c r="V291" s="10" t="str">
        <x:v>UND002</x:v>
      </x:c>
    </x:row>
    <x:row r="292" ht="18" customHeight="1">
      <x:c r="A292" s="10" t="str">
        <x:v>PAG00291</x:v>
      </x:c>
      <x:c r="B292" s="10" t="str">
        <x:v>EMP003</x:v>
      </x:c>
      <x:c r="C292" s="10" t="str">
        <x:v>FOR054</x:v>
      </x:c>
      <x:c r="D292" s="10" t="str">
        <x:v>CC003</x:v>
      </x:c>
      <x:c r="E292" s="10" t="str">
        <x:v>CAT012</x:v>
      </x:c>
      <x:c r="F292" s="10" t="str">
        <x:v>CTA005</x:v>
      </x:c>
      <x:c r="G292" s="10" t="str">
        <x:v>NF-100291</x:v>
      </x:c>
      <x:c r="H292" s="10" t="str">
        <x:v>Contrato recorrente</x:v>
      </x:c>
      <x:c r="I292" s="16" t="n">
        <x:v>45624.11847634259</x:v>
      </x:c>
      <x:c r="J292" s="16" t="n">
        <x:v>45644.11847634259</x:v>
      </x:c>
      <x:c r="K292" s="16" t="n">
        <x:v>45647.11847634259</x:v>
      </x:c>
      <x:c r="L292" s="20" t="n">
        <x:v>94112.43</x:v>
      </x:c>
      <x:c r="M292" s="20" t="n">
        <x:v>197.64</x:v>
      </x:c>
      <x:c r="N292" s="20" t="n">
        <x:v>0</x:v>
      </x:c>
      <x:c r="O292" s="20" t="n">
        <x:v>94310.07</x:v>
      </x:c>
      <x:c r="P292" s="20" t="n">
        <x:v>0</x:v>
      </x:c>
      <x:c r="Q292" s="10" t="str">
        <x:v>Pago</x:v>
      </x:c>
      <x:c r="R292" s="10" t="str">
        <x:v>PIX</x:v>
      </x:c>
      <x:c r="S292" s="10" t="str">
        <x:v>2024-11</x:v>
      </x:c>
      <x:c r="T292" s="10" t="n">
        <x:v>0</x:v>
      </x:c>
      <x:c r="U292" s="10" t="str">
        <x:v>Liquidado</x:v>
      </x:c>
      <x:c r="V292" s="10" t="str">
        <x:v>UND004</x:v>
      </x:c>
    </x:row>
    <x:row r="293" ht="18" customHeight="1">
      <x:c r="A293" s="10" t="str">
        <x:v>PAG00292</x:v>
      </x:c>
      <x:c r="B293" s="10" t="str">
        <x:v>EMP002</x:v>
      </x:c>
      <x:c r="C293" s="10" t="str">
        <x:v>FOR017</x:v>
      </x:c>
      <x:c r="D293" s="10" t="str">
        <x:v>CC005</x:v>
      </x:c>
      <x:c r="E293" s="10" t="str">
        <x:v>CAT007</x:v>
      </x:c>
      <x:c r="F293" s="10" t="str">
        <x:v>CTA004</x:v>
      </x:c>
      <x:c r="G293" s="10" t="str">
        <x:v>NF-100292</x:v>
      </x:c>
      <x:c r="H293" s="10" t="str">
        <x:v>Prestação de serviços</x:v>
      </x:c>
      <x:c r="I293" s="16" t="n">
        <x:v>45907.675646157404</x:v>
      </x:c>
      <x:c r="J293" s="16" t="n">
        <x:v>45935.675646157404</x:v>
      </x:c>
      <x:c r="K293" s="16" t="n">
        <x:v>45934.675646157404</x:v>
      </x:c>
      <x:c r="L293" s="20" t="n">
        <x:v>24039.3</x:v>
      </x:c>
      <x:c r="M293" s="20" t="n">
        <x:v>0</x:v>
      </x:c>
      <x:c r="N293" s="20" t="n">
        <x:v>0</x:v>
      </x:c>
      <x:c r="O293" s="20" t="n">
        <x:v>24039.3</x:v>
      </x:c>
      <x:c r="P293" s="20" t="n">
        <x:v>0</x:v>
      </x:c>
      <x:c r="Q293" s="10" t="str">
        <x:v>Pago</x:v>
      </x:c>
      <x:c r="R293" s="10" t="str">
        <x:v>TED</x:v>
      </x:c>
      <x:c r="S293" s="10" t="str">
        <x:v>2025-09</x:v>
      </x:c>
      <x:c r="T293" s="10" t="n">
        <x:v>0</x:v>
      </x:c>
      <x:c r="U293" s="10" t="str">
        <x:v>Liquidado</x:v>
      </x:c>
      <x:c r="V293" s="10" t="str">
        <x:v>UND003</x:v>
      </x:c>
    </x:row>
    <x:row r="294" ht="18" customHeight="1">
      <x:c r="A294" s="10" t="str">
        <x:v>PAG00293</x:v>
      </x:c>
      <x:c r="B294" s="10" t="str">
        <x:v>EMP002</x:v>
      </x:c>
      <x:c r="C294" s="10" t="str">
        <x:v>FOR013</x:v>
      </x:c>
      <x:c r="D294" s="10" t="str">
        <x:v>CC001</x:v>
      </x:c>
      <x:c r="E294" s="10" t="str">
        <x:v>CAT008</x:v>
      </x:c>
      <x:c r="F294" s="10" t="str">
        <x:v>CTA004</x:v>
      </x:c>
      <x:c r="G294" s="10" t="str">
        <x:v>NF-100293</x:v>
      </x:c>
      <x:c r="H294" s="10" t="str">
        <x:v>Tributos e taxas</x:v>
      </x:c>
      <x:c r="I294" s="16" t="n">
        <x:v>45508.734012175926</x:v>
      </x:c>
      <x:c r="J294" s="16" t="n">
        <x:v>45523.734012175926</x:v>
      </x:c>
      <x:c r="K294" s="16" t="n">
        <x:v>45528.734012175926</x:v>
      </x:c>
      <x:c r="L294" s="20" t="n">
        <x:v>18735.55</x:v>
      </x:c>
      <x:c r="M294" s="20" t="n">
        <x:v>65.57</x:v>
      </x:c>
      <x:c r="N294" s="20" t="n">
        <x:v>0</x:v>
      </x:c>
      <x:c r="O294" s="20" t="n">
        <x:v>18801.12</x:v>
      </x:c>
      <x:c r="P294" s="20" t="n">
        <x:v>0</x:v>
      </x:c>
      <x:c r="Q294" s="10" t="str">
        <x:v>Pago</x:v>
      </x:c>
      <x:c r="R294" s="10" t="str">
        <x:v>Débito Automático</x:v>
      </x:c>
      <x:c r="S294" s="10" t="str">
        <x:v>2024-08</x:v>
      </x:c>
      <x:c r="T294" s="10" t="n">
        <x:v>0</x:v>
      </x:c>
      <x:c r="U294" s="10" t="str">
        <x:v>Liquidado</x:v>
      </x:c>
      <x:c r="V294" s="10" t="str">
        <x:v>UND003</x:v>
      </x:c>
    </x:row>
    <x:row r="295" ht="18" customHeight="1">
      <x:c r="A295" s="10" t="str">
        <x:v>PAG00294</x:v>
      </x:c>
      <x:c r="B295" s="10" t="str">
        <x:v>EMP001</x:v>
      </x:c>
      <x:c r="C295" s="10" t="str">
        <x:v>FOR028</x:v>
      </x:c>
      <x:c r="D295" s="10" t="str">
        <x:v>CC007</x:v>
      </x:c>
      <x:c r="E295" s="10" t="str">
        <x:v>CAT012</x:v>
      </x:c>
      <x:c r="F295" s="10" t="str">
        <x:v>CTA002</x:v>
      </x:c>
      <x:c r="G295" s="10" t="str">
        <x:v>NF-100294</x:v>
      </x:c>
      <x:c r="H295" s="10" t="str">
        <x:v>Tributos e taxas</x:v>
      </x:c>
      <x:c r="I295" s="16" t="n">
        <x:v>45883.75299361111</x:v>
      </x:c>
      <x:c r="J295" s="16" t="n">
        <x:v>45958.75299361111</x:v>
      </x:c>
      <x:c r="K295" s="16" t="n">
        <x:v>45986.75299361111</x:v>
      </x:c>
      <x:c r="L295" s="20" t="n">
        <x:v>24487.44</x:v>
      </x:c>
      <x:c r="M295" s="20" t="n">
        <x:v>479.95</x:v>
      </x:c>
      <x:c r="N295" s="20" t="n">
        <x:v>0</x:v>
      </x:c>
      <x:c r="O295" s="20" t="n">
        <x:v>24967.39</x:v>
      </x:c>
      <x:c r="P295" s="20" t="n">
        <x:v>0</x:v>
      </x:c>
      <x:c r="Q295" s="10" t="str">
        <x:v>Pago</x:v>
      </x:c>
      <x:c r="R295" s="10" t="str">
        <x:v>PIX</x:v>
      </x:c>
      <x:c r="S295" s="10" t="str">
        <x:v>2025-08</x:v>
      </x:c>
      <x:c r="T295" s="10" t="n">
        <x:v>0</x:v>
      </x:c>
      <x:c r="U295" s="10" t="str">
        <x:v>Liquidado</x:v>
      </x:c>
      <x:c r="V295" s="10" t="str">
        <x:v>UND001</x:v>
      </x:c>
    </x:row>
    <x:row r="296" ht="18" customHeight="1">
      <x:c r="A296" s="10" t="str">
        <x:v>PAG00295</x:v>
      </x:c>
      <x:c r="B296" s="10" t="str">
        <x:v>EMP001</x:v>
      </x:c>
      <x:c r="C296" s="10" t="str">
        <x:v>FOR043</x:v>
      </x:c>
      <x:c r="D296" s="10" t="str">
        <x:v>CC004</x:v>
      </x:c>
      <x:c r="E296" s="10" t="str">
        <x:v>CAT007</x:v>
      </x:c>
      <x:c r="F296" s="10" t="str">
        <x:v>CTA002</x:v>
      </x:c>
      <x:c r="G296" s="10" t="str">
        <x:v>NF-100295</x:v>
      </x:c>
      <x:c r="H296" s="10" t="str">
        <x:v>Compra de materiais</x:v>
      </x:c>
      <x:c r="I296" s="16" t="n">
        <x:v>45341.432899907406</x:v>
      </x:c>
      <x:c r="J296" s="16" t="n">
        <x:v>45386.432899907406</x:v>
      </x:c>
      <x:c r="K296" s="16"/>
      <x:c r="L296" s="20" t="n">
        <x:v>60723.67</x:v>
      </x:c>
      <x:c r="M296" s="20" t="n">
        <x:v>0</x:v>
      </x:c>
      <x:c r="N296" s="20" t="n">
        <x:v>0</x:v>
      </x:c>
      <x:c r="O296" s="20" t="n">
        <x:v>0</x:v>
      </x:c>
      <x:c r="P296" s="20" t="n">
        <x:v>60723.67</x:v>
      </x:c>
      <x:c r="Q296" s="10" t="str">
        <x:v>Vencido</x:v>
      </x:c>
      <x:c r="R296" s="10" t="str">
        <x:v>Débito Automático</x:v>
      </x:c>
      <x:c r="S296" s="10" t="str">
        <x:v>2024-02</x:v>
      </x:c>
      <x:c r="T296" s="10" t="n">
        <x:v>635</x:v>
      </x:c>
      <x:c r="U296" s="10" t="str">
        <x:v>&gt; 120 dias</x:v>
      </x:c>
      <x:c r="V296" s="10" t="str">
        <x:v>UND002</x:v>
      </x:c>
    </x:row>
    <x:row r="297" ht="18" customHeight="1">
      <x:c r="A297" s="10" t="str">
        <x:v>PAG00296</x:v>
      </x:c>
      <x:c r="B297" s="10" t="str">
        <x:v>EMP002</x:v>
      </x:c>
      <x:c r="C297" s="10" t="str">
        <x:v>FOR054</x:v>
      </x:c>
      <x:c r="D297" s="10" t="str">
        <x:v>CC003</x:v>
      </x:c>
      <x:c r="E297" s="10" t="str">
        <x:v>CAT012</x:v>
      </x:c>
      <x:c r="F297" s="10" t="str">
        <x:v>CTA003</x:v>
      </x:c>
      <x:c r="G297" s="10" t="str">
        <x:v>NF-100296</x:v>
      </x:c>
      <x:c r="H297" s="10" t="str">
        <x:v>Compra de materiais</x:v>
      </x:c>
      <x:c r="I297" s="16" t="n">
        <x:v>45511.54261408565</x:v>
      </x:c>
      <x:c r="J297" s="16" t="n">
        <x:v>45531.54261408565</x:v>
      </x:c>
      <x:c r="K297" s="16" t="n">
        <x:v>45539.54261408565</x:v>
      </x:c>
      <x:c r="L297" s="20" t="n">
        <x:v>94255.15</x:v>
      </x:c>
      <x:c r="M297" s="20" t="n">
        <x:v>527.83</x:v>
      </x:c>
      <x:c r="N297" s="20" t="n">
        <x:v>0</x:v>
      </x:c>
      <x:c r="O297" s="20" t="n">
        <x:v>94782.98</x:v>
      </x:c>
      <x:c r="P297" s="20" t="n">
        <x:v>0</x:v>
      </x:c>
      <x:c r="Q297" s="10" t="str">
        <x:v>Pago</x:v>
      </x:c>
      <x:c r="R297" s="10" t="str">
        <x:v>Boleto</x:v>
      </x:c>
      <x:c r="S297" s="10" t="str">
        <x:v>2024-08</x:v>
      </x:c>
      <x:c r="T297" s="10" t="n">
        <x:v>0</x:v>
      </x:c>
      <x:c r="U297" s="10" t="str">
        <x:v>Liquidado</x:v>
      </x:c>
      <x:c r="V297" s="10" t="str">
        <x:v>UND003</x:v>
      </x:c>
    </x:row>
    <x:row r="298" ht="18" customHeight="1">
      <x:c r="A298" s="10" t="str">
        <x:v>PAG00297</x:v>
      </x:c>
      <x:c r="B298" s="10" t="str">
        <x:v>EMP001</x:v>
      </x:c>
      <x:c r="C298" s="10" t="str">
        <x:v>FOR015</x:v>
      </x:c>
      <x:c r="D298" s="10" t="str">
        <x:v>CC006</x:v>
      </x:c>
      <x:c r="E298" s="10" t="str">
        <x:v>CAT009</x:v>
      </x:c>
      <x:c r="F298" s="10" t="str">
        <x:v>CTA002</x:v>
      </x:c>
      <x:c r="G298" s="10" t="str">
        <x:v>NF-100297</x:v>
      </x:c>
      <x:c r="H298" s="10" t="str">
        <x:v>Prestação de serviços</x:v>
      </x:c>
      <x:c r="I298" s="16" t="n">
        <x:v>45782.819945717594</x:v>
      </x:c>
      <x:c r="J298" s="16" t="n">
        <x:v>45802.819945717594</x:v>
      </x:c>
      <x:c r="K298" s="16" t="n">
        <x:v>45809.819945717594</x:v>
      </x:c>
      <x:c r="L298" s="20" t="n">
        <x:v>1213.6</x:v>
      </x:c>
      <x:c r="M298" s="20" t="n">
        <x:v>5.95</x:v>
      </x:c>
      <x:c r="N298" s="20" t="n">
        <x:v>0</x:v>
      </x:c>
      <x:c r="O298" s="20" t="n">
        <x:v>1219.55</x:v>
      </x:c>
      <x:c r="P298" s="20" t="n">
        <x:v>0</x:v>
      </x:c>
      <x:c r="Q298" s="10" t="str">
        <x:v>Pago</x:v>
      </x:c>
      <x:c r="R298" s="10" t="str">
        <x:v>PIX</x:v>
      </x:c>
      <x:c r="S298" s="10" t="str">
        <x:v>2025-05</x:v>
      </x:c>
      <x:c r="T298" s="10" t="n">
        <x:v>0</x:v>
      </x:c>
      <x:c r="U298" s="10" t="str">
        <x:v>Liquidado</x:v>
      </x:c>
      <x:c r="V298" s="10" t="str">
        <x:v>UND002</x:v>
      </x:c>
    </x:row>
    <x:row r="299" ht="18" customHeight="1">
      <x:c r="A299" s="10" t="str">
        <x:v>PAG00298</x:v>
      </x:c>
      <x:c r="B299" s="10" t="str">
        <x:v>EMP002</x:v>
      </x:c>
      <x:c r="C299" s="10" t="str">
        <x:v>FOR048</x:v>
      </x:c>
      <x:c r="D299" s="10" t="str">
        <x:v>CC006</x:v>
      </x:c>
      <x:c r="E299" s="10" t="str">
        <x:v>CAT005</x:v>
      </x:c>
      <x:c r="F299" s="10" t="str">
        <x:v>CTA004</x:v>
      </x:c>
      <x:c r="G299" s="10" t="str">
        <x:v>NF-100298</x:v>
      </x:c>
      <x:c r="H299" s="10" t="str">
        <x:v>Tributos e taxas</x:v>
      </x:c>
      <x:c r="I299" s="16" t="n">
        <x:v>45746.77003112269</x:v>
      </x:c>
      <x:c r="J299" s="16" t="n">
        <x:v>45776.77003112269</x:v>
      </x:c>
      <x:c r="K299" s="16" t="n">
        <x:v>45769.77003112269</x:v>
      </x:c>
      <x:c r="L299" s="20" t="n">
        <x:v>1387.29</x:v>
      </x:c>
      <x:c r="M299" s="20" t="n">
        <x:v>0</x:v>
      </x:c>
      <x:c r="N299" s="20" t="n">
        <x:v>13.87</x:v>
      </x:c>
      <x:c r="O299" s="20" t="n">
        <x:v>1373.42</x:v>
      </x:c>
      <x:c r="P299" s="20" t="n">
        <x:v>0</x:v>
      </x:c>
      <x:c r="Q299" s="10" t="str">
        <x:v>Pago</x:v>
      </x:c>
      <x:c r="R299" s="10" t="str">
        <x:v>TED</x:v>
      </x:c>
      <x:c r="S299" s="10" t="str">
        <x:v>2025-03</x:v>
      </x:c>
      <x:c r="T299" s="10" t="n">
        <x:v>0</x:v>
      </x:c>
      <x:c r="U299" s="10" t="str">
        <x:v>Liquidado</x:v>
      </x:c>
      <x:c r="V299" s="10" t="str">
        <x:v>UND003</x:v>
      </x:c>
    </x:row>
    <x:row r="300" ht="18" customHeight="1">
      <x:c r="A300" s="10" t="str">
        <x:v>PAG00299</x:v>
      </x:c>
      <x:c r="B300" s="10" t="str">
        <x:v>EMP001</x:v>
      </x:c>
      <x:c r="C300" s="10" t="str">
        <x:v>FOR046</x:v>
      </x:c>
      <x:c r="D300" s="10" t="str">
        <x:v>CC003</x:v>
      </x:c>
      <x:c r="E300" s="10" t="str">
        <x:v>CAT006</x:v>
      </x:c>
      <x:c r="F300" s="10" t="str">
        <x:v>CTA001</x:v>
      </x:c>
      <x:c r="G300" s="10" t="str">
        <x:v>NF-100299</x:v>
      </x:c>
      <x:c r="H300" s="10" t="str">
        <x:v>Contrato recorrente</x:v>
      </x:c>
      <x:c r="I300" s="16" t="n">
        <x:v>45973.82619712963</x:v>
      </x:c>
      <x:c r="J300" s="16" t="n">
        <x:v>46001.82619712963</x:v>
      </x:c>
      <x:c r="K300" s="16" t="n">
        <x:v>45999.82619712963</x:v>
      </x:c>
      <x:c r="L300" s="20" t="n">
        <x:v>64599.63</x:v>
      </x:c>
      <x:c r="M300" s="20" t="n">
        <x:v>0</x:v>
      </x:c>
      <x:c r="N300" s="20" t="n">
        <x:v>323</x:v>
      </x:c>
      <x:c r="O300" s="20" t="n">
        <x:v>64276.63</x:v>
      </x:c>
      <x:c r="P300" s="20" t="n">
        <x:v>0</x:v>
      </x:c>
      <x:c r="Q300" s="10" t="str">
        <x:v>Pago</x:v>
      </x:c>
      <x:c r="R300" s="10" t="str">
        <x:v>PIX</x:v>
      </x:c>
      <x:c r="S300" s="10" t="str">
        <x:v>2025-11</x:v>
      </x:c>
      <x:c r="T300" s="10" t="n">
        <x:v>0</x:v>
      </x:c>
      <x:c r="U300" s="10" t="str">
        <x:v>Liquidado</x:v>
      </x:c>
      <x:c r="V300" s="10" t="str">
        <x:v>UND002</x:v>
      </x:c>
    </x:row>
    <x:row r="301" ht="18" customHeight="1">
      <x:c r="A301" s="10" t="str">
        <x:v>PAG00300</x:v>
      </x:c>
      <x:c r="B301" s="10" t="str">
        <x:v>EMP003</x:v>
      </x:c>
      <x:c r="C301" s="10" t="str">
        <x:v>FOR001</x:v>
      </x:c>
      <x:c r="D301" s="10" t="str">
        <x:v>CC006</x:v>
      </x:c>
      <x:c r="E301" s="10" t="str">
        <x:v>CAT014</x:v>
      </x:c>
      <x:c r="F301" s="10" t="str">
        <x:v>CTA005</x:v>
      </x:c>
      <x:c r="G301" s="10" t="str">
        <x:v>NF-100300</x:v>
      </x:c>
      <x:c r="H301" s="10" t="str">
        <x:v>Contrato recorrente</x:v>
      </x:c>
      <x:c r="I301" s="16" t="n">
        <x:v>45500.84832538194</x:v>
      </x:c>
      <x:c r="J301" s="16" t="n">
        <x:v>45528.84832538194</x:v>
      </x:c>
      <x:c r="K301" s="16" t="n">
        <x:v>45529.84832538194</x:v>
      </x:c>
      <x:c r="L301" s="20" t="n">
        <x:v>59136.35</x:v>
      </x:c>
      <x:c r="M301" s="20" t="n">
        <x:v>41.4</x:v>
      </x:c>
      <x:c r="N301" s="20" t="n">
        <x:v>0</x:v>
      </x:c>
      <x:c r="O301" s="20" t="n">
        <x:v>59177.75</x:v>
      </x:c>
      <x:c r="P301" s="20" t="n">
        <x:v>0</x:v>
      </x:c>
      <x:c r="Q301" s="10" t="str">
        <x:v>Pago</x:v>
      </x:c>
      <x:c r="R301" s="10" t="str">
        <x:v>Débito Automático</x:v>
      </x:c>
      <x:c r="S301" s="10" t="str">
        <x:v>2024-07</x:v>
      </x:c>
      <x:c r="T301" s="10" t="n">
        <x:v>0</x:v>
      </x:c>
      <x:c r="U301" s="10" t="str">
        <x:v>Liquidado</x:v>
      </x:c>
      <x:c r="V301" s="10" t="str">
        <x:v>UND004</x:v>
      </x:c>
    </x:row>
    <x:row r="302" ht="18" customHeight="1">
      <x:c r="A302" s="10" t="str">
        <x:v>PAG00301</x:v>
      </x:c>
      <x:c r="B302" s="10" t="str">
        <x:v>EMP002</x:v>
      </x:c>
      <x:c r="C302" s="10" t="str">
        <x:v>FOR043</x:v>
      </x:c>
      <x:c r="D302" s="10" t="str">
        <x:v>CC005</x:v>
      </x:c>
      <x:c r="E302" s="10" t="str">
        <x:v>CAT008</x:v>
      </x:c>
      <x:c r="F302" s="10" t="str">
        <x:v>CTA004</x:v>
      </x:c>
      <x:c r="G302" s="10" t="str">
        <x:v>NF-100301</x:v>
      </x:c>
      <x:c r="H302" s="10" t="str">
        <x:v>Contrato recorrente</x:v>
      </x:c>
      <x:c r="I302" s="16" t="n">
        <x:v>45904.03521210648</x:v>
      </x:c>
      <x:c r="J302" s="16" t="n">
        <x:v>45979.03521210648</x:v>
      </x:c>
      <x:c r="K302" s="16" t="n">
        <x:v>45975.03521210648</x:v>
      </x:c>
      <x:c r="L302" s="20" t="n">
        <x:v>33749.05</x:v>
      </x:c>
      <x:c r="M302" s="20" t="n">
        <x:v>0</x:v>
      </x:c>
      <x:c r="N302" s="20" t="n">
        <x:v>506.24</x:v>
      </x:c>
      <x:c r="O302" s="20" t="n">
        <x:v>33242.81</x:v>
      </x:c>
      <x:c r="P302" s="20" t="n">
        <x:v>0</x:v>
      </x:c>
      <x:c r="Q302" s="10" t="str">
        <x:v>Pago</x:v>
      </x:c>
      <x:c r="R302" s="10" t="str">
        <x:v>Débito Automático</x:v>
      </x:c>
      <x:c r="S302" s="10" t="str">
        <x:v>2025-09</x:v>
      </x:c>
      <x:c r="T302" s="10" t="n">
        <x:v>0</x:v>
      </x:c>
      <x:c r="U302" s="10" t="str">
        <x:v>Liquidado</x:v>
      </x:c>
      <x:c r="V302" s="10" t="str">
        <x:v>UND003</x:v>
      </x:c>
    </x:row>
    <x:row r="303" ht="18" customHeight="1">
      <x:c r="A303" s="10" t="str">
        <x:v>PAG00302</x:v>
      </x:c>
      <x:c r="B303" s="10" t="str">
        <x:v>EMP002</x:v>
      </x:c>
      <x:c r="C303" s="10" t="str">
        <x:v>FOR053</x:v>
      </x:c>
      <x:c r="D303" s="10" t="str">
        <x:v>CC007</x:v>
      </x:c>
      <x:c r="E303" s="10" t="str">
        <x:v>CAT012</x:v>
      </x:c>
      <x:c r="F303" s="10" t="str">
        <x:v>CTA003</x:v>
      </x:c>
      <x:c r="G303" s="10" t="str">
        <x:v>NF-100302</x:v>
      </x:c>
      <x:c r="H303" s="10" t="str">
        <x:v>Prestação de serviços</x:v>
      </x:c>
      <x:c r="I303" s="16" t="n">
        <x:v>45483.980530127315</x:v>
      </x:c>
      <x:c r="J303" s="16" t="n">
        <x:v>45543.980530127315</x:v>
      </x:c>
      <x:c r="K303" s="16" t="n">
        <x:v>45555.980530127315</x:v>
      </x:c>
      <x:c r="L303" s="20" t="n">
        <x:v>5232.96</x:v>
      </x:c>
      <x:c r="M303" s="20" t="n">
        <x:v>43.96</x:v>
      </x:c>
      <x:c r="N303" s="20" t="n">
        <x:v>0</x:v>
      </x:c>
      <x:c r="O303" s="20" t="n">
        <x:v>5276.92</x:v>
      </x:c>
      <x:c r="P303" s="20" t="n">
        <x:v>0</x:v>
      </x:c>
      <x:c r="Q303" s="10" t="str">
        <x:v>Pago</x:v>
      </x:c>
      <x:c r="R303" s="10" t="str">
        <x:v>Cartão Corporativo</x:v>
      </x:c>
      <x:c r="S303" s="10" t="str">
        <x:v>2024-07</x:v>
      </x:c>
      <x:c r="T303" s="10" t="n">
        <x:v>0</x:v>
      </x:c>
      <x:c r="U303" s="10" t="str">
        <x:v>Liquidado</x:v>
      </x:c>
      <x:c r="V303" s="10" t="str">
        <x:v>UND003</x:v>
      </x:c>
    </x:row>
    <x:row r="304" ht="18" customHeight="1">
      <x:c r="A304" s="10" t="str">
        <x:v>PAG00303</x:v>
      </x:c>
      <x:c r="B304" s="10" t="str">
        <x:v>EMP003</x:v>
      </x:c>
      <x:c r="C304" s="10" t="str">
        <x:v>FOR026</x:v>
      </x:c>
      <x:c r="D304" s="10" t="str">
        <x:v>CC007</x:v>
      </x:c>
      <x:c r="E304" s="10" t="str">
        <x:v>CAT012</x:v>
      </x:c>
      <x:c r="F304" s="10" t="str">
        <x:v>CTA005</x:v>
      </x:c>
      <x:c r="G304" s="10" t="str">
        <x:v>NF-100303</x:v>
      </x:c>
      <x:c r="H304" s="10" t="str">
        <x:v>Compra de materiais</x:v>
      </x:c>
      <x:c r="I304" s="16" t="n">
        <x:v>45711.57504700231</x:v>
      </x:c>
      <x:c r="J304" s="16" t="n">
        <x:v>45756.57504700231</x:v>
      </x:c>
      <x:c r="K304" s="16" t="n">
        <x:v>45786.57504700231</x:v>
      </x:c>
      <x:c r="L304" s="20" t="n">
        <x:v>7060.24</x:v>
      </x:c>
      <x:c r="M304" s="20" t="n">
        <x:v>148.27</x:v>
      </x:c>
      <x:c r="N304" s="20" t="n">
        <x:v>0</x:v>
      </x:c>
      <x:c r="O304" s="20" t="n">
        <x:v>7208.51</x:v>
      </x:c>
      <x:c r="P304" s="20" t="n">
        <x:v>0</x:v>
      </x:c>
      <x:c r="Q304" s="10" t="str">
        <x:v>Pago</x:v>
      </x:c>
      <x:c r="R304" s="10" t="str">
        <x:v>TED</x:v>
      </x:c>
      <x:c r="S304" s="10" t="str">
        <x:v>2025-02</x:v>
      </x:c>
      <x:c r="T304" s="10" t="n">
        <x:v>0</x:v>
      </x:c>
      <x:c r="U304" s="10" t="str">
        <x:v>Liquidado</x:v>
      </x:c>
      <x:c r="V304" s="10" t="str">
        <x:v>UND004</x:v>
      </x:c>
    </x:row>
    <x:row r="305" ht="18" customHeight="1">
      <x:c r="A305" s="10" t="str">
        <x:v>PAG00304</x:v>
      </x:c>
      <x:c r="B305" s="10" t="str">
        <x:v>EMP001</x:v>
      </x:c>
      <x:c r="C305" s="10" t="str">
        <x:v>FOR048</x:v>
      </x:c>
      <x:c r="D305" s="10" t="str">
        <x:v>CC004</x:v>
      </x:c>
      <x:c r="E305" s="10" t="str">
        <x:v>CAT005</x:v>
      </x:c>
      <x:c r="F305" s="10" t="str">
        <x:v>CTA002</x:v>
      </x:c>
      <x:c r="G305" s="10" t="str">
        <x:v>NF-100304</x:v>
      </x:c>
      <x:c r="H305" s="10" t="str">
        <x:v>Contrato recorrente</x:v>
      </x:c>
      <x:c r="I305" s="16" t="n">
        <x:v>45584.97082959491</x:v>
      </x:c>
      <x:c r="J305" s="16" t="n">
        <x:v>45599.97082959491</x:v>
      </x:c>
      <x:c r="K305" s="16" t="n">
        <x:v>45598.97082959491</x:v>
      </x:c>
      <x:c r="L305" s="20" t="n">
        <x:v>50278.86</x:v>
      </x:c>
      <x:c r="M305" s="20" t="n">
        <x:v>0</x:v>
      </x:c>
      <x:c r="N305" s="20" t="n">
        <x:v>0</x:v>
      </x:c>
      <x:c r="O305" s="20" t="n">
        <x:v>50278.86</x:v>
      </x:c>
      <x:c r="P305" s="20" t="n">
        <x:v>0</x:v>
      </x:c>
      <x:c r="Q305" s="10" t="str">
        <x:v>Pago</x:v>
      </x:c>
      <x:c r="R305" s="10" t="str">
        <x:v>TED</x:v>
      </x:c>
      <x:c r="S305" s="10" t="str">
        <x:v>2024-10</x:v>
      </x:c>
      <x:c r="T305" s="10" t="n">
        <x:v>0</x:v>
      </x:c>
      <x:c r="U305" s="10" t="str">
        <x:v>Liquidado</x:v>
      </x:c>
      <x:c r="V305" s="10" t="str">
        <x:v>UND002</x:v>
      </x:c>
    </x:row>
    <x:row r="306" ht="18" customHeight="1">
      <x:c r="A306" s="10" t="str">
        <x:v>PAG00305</x:v>
      </x:c>
      <x:c r="B306" s="10" t="str">
        <x:v>EMP003</x:v>
      </x:c>
      <x:c r="C306" s="10" t="str">
        <x:v>FOR022</x:v>
      </x:c>
      <x:c r="D306" s="10" t="str">
        <x:v>CC007</x:v>
      </x:c>
      <x:c r="E306" s="10" t="str">
        <x:v>CAT009</x:v>
      </x:c>
      <x:c r="F306" s="10" t="str">
        <x:v>CTA005</x:v>
      </x:c>
      <x:c r="G306" s="10" t="str">
        <x:v>NF-100305</x:v>
      </x:c>
      <x:c r="H306" s="10" t="str">
        <x:v>Despesa operacional</x:v>
      </x:c>
      <x:c r="I306" s="16" t="n">
        <x:v>45422.93703353009</x:v>
      </x:c>
      <x:c r="J306" s="16" t="n">
        <x:v>45452.93703353009</x:v>
      </x:c>
      <x:c r="K306" s="16" t="n">
        <x:v>45471.93703353009</x:v>
      </x:c>
      <x:c r="L306" s="20" t="n">
        <x:v>1157.53</x:v>
      </x:c>
      <x:c r="M306" s="20" t="n">
        <x:v>15.4</x:v>
      </x:c>
      <x:c r="N306" s="20" t="n">
        <x:v>0</x:v>
      </x:c>
      <x:c r="O306" s="20" t="n">
        <x:v>1172.93</x:v>
      </x:c>
      <x:c r="P306" s="20" t="n">
        <x:v>0</x:v>
      </x:c>
      <x:c r="Q306" s="10" t="str">
        <x:v>Pago</x:v>
      </x:c>
      <x:c r="R306" s="10" t="str">
        <x:v>Débito Automático</x:v>
      </x:c>
      <x:c r="S306" s="10" t="str">
        <x:v>2024-05</x:v>
      </x:c>
      <x:c r="T306" s="10" t="n">
        <x:v>0</x:v>
      </x:c>
      <x:c r="U306" s="10" t="str">
        <x:v>Liquidado</x:v>
      </x:c>
      <x:c r="V306" s="10" t="str">
        <x:v>UND004</x:v>
      </x:c>
    </x:row>
    <x:row r="307" ht="18" customHeight="1">
      <x:c r="A307" s="10" t="str">
        <x:v>PAG00306</x:v>
      </x:c>
      <x:c r="B307" s="10" t="str">
        <x:v>EMP002</x:v>
      </x:c>
      <x:c r="C307" s="10" t="str">
        <x:v>FOR050</x:v>
      </x:c>
      <x:c r="D307" s="10" t="str">
        <x:v>CC003</x:v>
      </x:c>
      <x:c r="E307" s="10" t="str">
        <x:v>CAT018</x:v>
      </x:c>
      <x:c r="F307" s="10" t="str">
        <x:v>CTA004</x:v>
      </x:c>
      <x:c r="G307" s="10" t="str">
        <x:v>NF-100306</x:v>
      </x:c>
      <x:c r="H307" s="10" t="str">
        <x:v>Prestação de serviços</x:v>
      </x:c>
      <x:c r="I307" s="16" t="n">
        <x:v>45294.26976539352</x:v>
      </x:c>
      <x:c r="J307" s="16" t="n">
        <x:v>45339.26976539352</x:v>
      </x:c>
      <x:c r="K307" s="16" t="n">
        <x:v>45343.26976539352</x:v>
      </x:c>
      <x:c r="L307" s="20" t="n">
        <x:v>2268.33</x:v>
      </x:c>
      <x:c r="M307" s="20" t="n">
        <x:v>6.35</x:v>
      </x:c>
      <x:c r="N307" s="20" t="n">
        <x:v>0</x:v>
      </x:c>
      <x:c r="O307" s="20" t="n">
        <x:v>2274.68</x:v>
      </x:c>
      <x:c r="P307" s="20" t="n">
        <x:v>0</x:v>
      </x:c>
      <x:c r="Q307" s="10" t="str">
        <x:v>Pago</x:v>
      </x:c>
      <x:c r="R307" s="10" t="str">
        <x:v>Boleto</x:v>
      </x:c>
      <x:c r="S307" s="10" t="str">
        <x:v>2024-01</x:v>
      </x:c>
      <x:c r="T307" s="10" t="n">
        <x:v>0</x:v>
      </x:c>
      <x:c r="U307" s="10" t="str">
        <x:v>Liquidado</x:v>
      </x:c>
      <x:c r="V307" s="10" t="str">
        <x:v>UND003</x:v>
      </x:c>
    </x:row>
    <x:row r="308" ht="18" customHeight="1">
      <x:c r="A308" s="10" t="str">
        <x:v>PAG00307</x:v>
      </x:c>
      <x:c r="B308" s="10" t="str">
        <x:v>EMP003</x:v>
      </x:c>
      <x:c r="C308" s="10" t="str">
        <x:v>FOR038</x:v>
      </x:c>
      <x:c r="D308" s="10" t="str">
        <x:v>CC005</x:v>
      </x:c>
      <x:c r="E308" s="10" t="str">
        <x:v>CAT007</x:v>
      </x:c>
      <x:c r="F308" s="10" t="str">
        <x:v>CTA005</x:v>
      </x:c>
      <x:c r="G308" s="10" t="str">
        <x:v>NF-100307</x:v>
      </x:c>
      <x:c r="H308" s="10" t="str">
        <x:v>Despesa operacional</x:v>
      </x:c>
      <x:c r="I308" s="16" t="n">
        <x:v>45577.31397747685</x:v>
      </x:c>
      <x:c r="J308" s="16" t="n">
        <x:v>45597.31397747685</x:v>
      </x:c>
      <x:c r="K308" s="16" t="n">
        <x:v>45605.31397747685</x:v>
      </x:c>
      <x:c r="L308" s="20" t="n">
        <x:v>2703.19</x:v>
      </x:c>
      <x:c r="M308" s="20" t="n">
        <x:v>15.14</x:v>
      </x:c>
      <x:c r="N308" s="20" t="n">
        <x:v>0</x:v>
      </x:c>
      <x:c r="O308" s="20" t="n">
        <x:v>2718.33</x:v>
      </x:c>
      <x:c r="P308" s="20" t="n">
        <x:v>0</x:v>
      </x:c>
      <x:c r="Q308" s="10" t="str">
        <x:v>Pago</x:v>
      </x:c>
      <x:c r="R308" s="10" t="str">
        <x:v>PIX</x:v>
      </x:c>
      <x:c r="S308" s="10" t="str">
        <x:v>2024-10</x:v>
      </x:c>
      <x:c r="T308" s="10" t="n">
        <x:v>0</x:v>
      </x:c>
      <x:c r="U308" s="10" t="str">
        <x:v>Liquidado</x:v>
      </x:c>
      <x:c r="V308" s="10" t="str">
        <x:v>UND004</x:v>
      </x:c>
    </x:row>
    <x:row r="309" ht="18" customHeight="1">
      <x:c r="A309" s="10" t="str">
        <x:v>PAG00308</x:v>
      </x:c>
      <x:c r="B309" s="10" t="str">
        <x:v>EMP002</x:v>
      </x:c>
      <x:c r="C309" s="10" t="str">
        <x:v>FOR045</x:v>
      </x:c>
      <x:c r="D309" s="10" t="str">
        <x:v>CC004</x:v>
      </x:c>
      <x:c r="E309" s="10" t="str">
        <x:v>CAT006</x:v>
      </x:c>
      <x:c r="F309" s="10" t="str">
        <x:v>CTA003</x:v>
      </x:c>
      <x:c r="G309" s="10" t="str">
        <x:v>NF-100308</x:v>
      </x:c>
      <x:c r="H309" s="10" t="str">
        <x:v>Prestação de serviços</x:v>
      </x:c>
      <x:c r="I309" s="16" t="n">
        <x:v>45804.63180773148</x:v>
      </x:c>
      <x:c r="J309" s="16" t="n">
        <x:v>45819.63180773148</x:v>
      </x:c>
      <x:c r="K309" s="16" t="n">
        <x:v>45814.63180773148</x:v>
      </x:c>
      <x:c r="L309" s="20" t="n">
        <x:v>84280.63</x:v>
      </x:c>
      <x:c r="M309" s="20" t="n">
        <x:v>0</x:v>
      </x:c>
      <x:c r="N309" s="20" t="n">
        <x:v>421.4</x:v>
      </x:c>
      <x:c r="O309" s="20" t="n">
        <x:v>83859.23</x:v>
      </x:c>
      <x:c r="P309" s="20" t="n">
        <x:v>0</x:v>
      </x:c>
      <x:c r="Q309" s="10" t="str">
        <x:v>Pago</x:v>
      </x:c>
      <x:c r="R309" s="10" t="str">
        <x:v>Boleto</x:v>
      </x:c>
      <x:c r="S309" s="10" t="str">
        <x:v>2025-05</x:v>
      </x:c>
      <x:c r="T309" s="10" t="n">
        <x:v>0</x:v>
      </x:c>
      <x:c r="U309" s="10" t="str">
        <x:v>Liquidado</x:v>
      </x:c>
      <x:c r="V309" s="10" t="str">
        <x:v>UND003</x:v>
      </x:c>
    </x:row>
    <x:row r="310" ht="18" customHeight="1">
      <x:c r="A310" s="10" t="str">
        <x:v>PAG00309</x:v>
      </x:c>
      <x:c r="B310" s="10" t="str">
        <x:v>EMP001</x:v>
      </x:c>
      <x:c r="C310" s="10" t="str">
        <x:v>FOR037</x:v>
      </x:c>
      <x:c r="D310" s="10" t="str">
        <x:v>CC005</x:v>
      </x:c>
      <x:c r="E310" s="10" t="str">
        <x:v>CAT015</x:v>
      </x:c>
      <x:c r="F310" s="10" t="str">
        <x:v>CTA002</x:v>
      </x:c>
      <x:c r="G310" s="10" t="str">
        <x:v>NF-100309</x:v>
      </x:c>
      <x:c r="H310" s="10" t="str">
        <x:v>Compra de materiais</x:v>
      </x:c>
      <x:c r="I310" s="16" t="n">
        <x:v>45849.32102771991</x:v>
      </x:c>
      <x:c r="J310" s="16" t="n">
        <x:v>45909.32102771991</x:v>
      </x:c>
      <x:c r="K310" s="16" t="n">
        <x:v>45919.32102771991</x:v>
      </x:c>
      <x:c r="L310" s="20" t="n">
        <x:v>48095.36</x:v>
      </x:c>
      <x:c r="M310" s="20" t="n">
        <x:v>336.67</x:v>
      </x:c>
      <x:c r="N310" s="20" t="n">
        <x:v>0</x:v>
      </x:c>
      <x:c r="O310" s="20" t="n">
        <x:v>48432.03</x:v>
      </x:c>
      <x:c r="P310" s="20" t="n">
        <x:v>0</x:v>
      </x:c>
      <x:c r="Q310" s="10" t="str">
        <x:v>Pago</x:v>
      </x:c>
      <x:c r="R310" s="10" t="str">
        <x:v>PIX</x:v>
      </x:c>
      <x:c r="S310" s="10" t="str">
        <x:v>2025-07</x:v>
      </x:c>
      <x:c r="T310" s="10" t="n">
        <x:v>0</x:v>
      </x:c>
      <x:c r="U310" s="10" t="str">
        <x:v>Liquidado</x:v>
      </x:c>
      <x:c r="V310" s="10" t="str">
        <x:v>UND001</x:v>
      </x:c>
    </x:row>
    <x:row r="311" ht="18" customHeight="1">
      <x:c r="A311" s="10" t="str">
        <x:v>PAG00310</x:v>
      </x:c>
      <x:c r="B311" s="10" t="str">
        <x:v>EMP003</x:v>
      </x:c>
      <x:c r="C311" s="10" t="str">
        <x:v>FOR030</x:v>
      </x:c>
      <x:c r="D311" s="10" t="str">
        <x:v>CC007</x:v>
      </x:c>
      <x:c r="E311" s="10" t="str">
        <x:v>CAT016</x:v>
      </x:c>
      <x:c r="F311" s="10" t="str">
        <x:v>CTA006</x:v>
      </x:c>
      <x:c r="G311" s="10" t="str">
        <x:v>NF-100310</x:v>
      </x:c>
      <x:c r="H311" s="10" t="str">
        <x:v>Compra de materiais</x:v>
      </x:c>
      <x:c r="I311" s="16" t="n">
        <x:v>45521.673310162034</x:v>
      </x:c>
      <x:c r="J311" s="16" t="n">
        <x:v>45581.673310162034</x:v>
      </x:c>
      <x:c r="K311" s="16" t="n">
        <x:v>45578.673310162034</x:v>
      </x:c>
      <x:c r="L311" s="20" t="n">
        <x:v>40327.61</x:v>
      </x:c>
      <x:c r="M311" s="20" t="n">
        <x:v>0</x:v>
      </x:c>
      <x:c r="N311" s="20" t="n">
        <x:v>403.28</x:v>
      </x:c>
      <x:c r="O311" s="20" t="n">
        <x:v>39924.33</x:v>
      </x:c>
      <x:c r="P311" s="20" t="n">
        <x:v>0</x:v>
      </x:c>
      <x:c r="Q311" s="10" t="str">
        <x:v>Pago</x:v>
      </x:c>
      <x:c r="R311" s="10" t="str">
        <x:v>TED</x:v>
      </x:c>
      <x:c r="S311" s="10" t="str">
        <x:v>2024-08</x:v>
      </x:c>
      <x:c r="T311" s="10" t="n">
        <x:v>0</x:v>
      </x:c>
      <x:c r="U311" s="10" t="str">
        <x:v>Liquidado</x:v>
      </x:c>
      <x:c r="V311" s="10" t="str">
        <x:v>UND004</x:v>
      </x:c>
    </x:row>
    <x:row r="312" ht="18" customHeight="1">
      <x:c r="A312" s="10" t="str">
        <x:v>PAG00311</x:v>
      </x:c>
      <x:c r="B312" s="10" t="str">
        <x:v>EMP001</x:v>
      </x:c>
      <x:c r="C312" s="10" t="str">
        <x:v>FOR037</x:v>
      </x:c>
      <x:c r="D312" s="10" t="str">
        <x:v>CC003</x:v>
      </x:c>
      <x:c r="E312" s="10" t="str">
        <x:v>CAT018</x:v>
      </x:c>
      <x:c r="F312" s="10" t="str">
        <x:v>CTA001</x:v>
      </x:c>
      <x:c r="G312" s="10" t="str">
        <x:v>NF-100311</x:v>
      </x:c>
      <x:c r="H312" s="10" t="str">
        <x:v>Contrato recorrente</x:v>
      </x:c>
      <x:c r="I312" s="16" t="n">
        <x:v>45770.77363423611</x:v>
      </x:c>
      <x:c r="J312" s="16" t="n">
        <x:v>45830.77363423611</x:v>
      </x:c>
      <x:c r="K312" s="16"/>
      <x:c r="L312" s="20" t="n">
        <x:v>606.12</x:v>
      </x:c>
      <x:c r="M312" s="20" t="n">
        <x:v>0</x:v>
      </x:c>
      <x:c r="N312" s="20" t="n">
        <x:v>0</x:v>
      </x:c>
      <x:c r="O312" s="20" t="n">
        <x:v>0</x:v>
      </x:c>
      <x:c r="P312" s="20" t="n">
        <x:v>606.12</x:v>
      </x:c>
      <x:c r="Q312" s="10" t="str">
        <x:v>Vencido</x:v>
      </x:c>
      <x:c r="R312" s="10" t="str">
        <x:v>Cartão Corporativo</x:v>
      </x:c>
      <x:c r="S312" s="10" t="str">
        <x:v>2025-04</x:v>
      </x:c>
      <x:c r="T312" s="10" t="n">
        <x:v>191</x:v>
      </x:c>
      <x:c r="U312" s="10" t="str">
        <x:v>&gt; 120 dias</x:v>
      </x:c>
      <x:c r="V312" s="10" t="str">
        <x:v>UND001</x:v>
      </x:c>
    </x:row>
    <x:row r="313" ht="18" customHeight="1">
      <x:c r="A313" s="10" t="str">
        <x:v>PAG00312</x:v>
      </x:c>
      <x:c r="B313" s="10" t="str">
        <x:v>EMP003</x:v>
      </x:c>
      <x:c r="C313" s="10" t="str">
        <x:v>FOR036</x:v>
      </x:c>
      <x:c r="D313" s="10" t="str">
        <x:v>CC002</x:v>
      </x:c>
      <x:c r="E313" s="10" t="str">
        <x:v>CAT008</x:v>
      </x:c>
      <x:c r="F313" s="10" t="str">
        <x:v>CTA005</x:v>
      </x:c>
      <x:c r="G313" s="10" t="str">
        <x:v>NF-100312</x:v>
      </x:c>
      <x:c r="H313" s="10" t="str">
        <x:v>Tributos e taxas</x:v>
      </x:c>
      <x:c r="I313" s="16" t="n">
        <x:v>45645.34300649306</x:v>
      </x:c>
      <x:c r="J313" s="16" t="n">
        <x:v>45705.34300649306</x:v>
      </x:c>
      <x:c r="K313" s="16" t="n">
        <x:v>45724.34300649306</x:v>
      </x:c>
      <x:c r="L313" s="20" t="n">
        <x:v>5764.66</x:v>
      </x:c>
      <x:c r="M313" s="20" t="n">
        <x:v>76.67</x:v>
      </x:c>
      <x:c r="N313" s="20" t="n">
        <x:v>0</x:v>
      </x:c>
      <x:c r="O313" s="20" t="n">
        <x:v>5841.33</x:v>
      </x:c>
      <x:c r="P313" s="20" t="n">
        <x:v>0</x:v>
      </x:c>
      <x:c r="Q313" s="10" t="str">
        <x:v>Pago</x:v>
      </x:c>
      <x:c r="R313" s="10" t="str">
        <x:v>PIX</x:v>
      </x:c>
      <x:c r="S313" s="10" t="str">
        <x:v>2024-12</x:v>
      </x:c>
      <x:c r="T313" s="10" t="n">
        <x:v>0</x:v>
      </x:c>
      <x:c r="U313" s="10" t="str">
        <x:v>Liquidado</x:v>
      </x:c>
      <x:c r="V313" s="10" t="str">
        <x:v>UND004</x:v>
      </x:c>
    </x:row>
    <x:row r="314" ht="18" customHeight="1">
      <x:c r="A314" s="10" t="str">
        <x:v>PAG00313</x:v>
      </x:c>
      <x:c r="B314" s="10" t="str">
        <x:v>EMP001</x:v>
      </x:c>
      <x:c r="C314" s="10" t="str">
        <x:v>FOR017</x:v>
      </x:c>
      <x:c r="D314" s="10" t="str">
        <x:v>CC007</x:v>
      </x:c>
      <x:c r="E314" s="10" t="str">
        <x:v>CAT012</x:v>
      </x:c>
      <x:c r="F314" s="10" t="str">
        <x:v>CTA001</x:v>
      </x:c>
      <x:c r="G314" s="10" t="str">
        <x:v>NF-100313</x:v>
      </x:c>
      <x:c r="H314" s="10" t="str">
        <x:v>Contrato recorrente</x:v>
      </x:c>
      <x:c r="I314" s="16" t="n">
        <x:v>45546.4136378125</x:v>
      </x:c>
      <x:c r="J314" s="16" t="n">
        <x:v>45576.4136378125</x:v>
      </x:c>
      <x:c r="K314" s="16" t="n">
        <x:v>45583.4136378125</x:v>
      </x:c>
      <x:c r="L314" s="20" t="n">
        <x:v>5351.12</x:v>
      </x:c>
      <x:c r="M314" s="20" t="n">
        <x:v>26.22</x:v>
      </x:c>
      <x:c r="N314" s="20" t="n">
        <x:v>0</x:v>
      </x:c>
      <x:c r="O314" s="20" t="n">
        <x:v>5377.34</x:v>
      </x:c>
      <x:c r="P314" s="20" t="n">
        <x:v>0</x:v>
      </x:c>
      <x:c r="Q314" s="10" t="str">
        <x:v>Pago</x:v>
      </x:c>
      <x:c r="R314" s="10" t="str">
        <x:v>Cartão Corporativo</x:v>
      </x:c>
      <x:c r="S314" s="10" t="str">
        <x:v>2024-09</x:v>
      </x:c>
      <x:c r="T314" s="10" t="n">
        <x:v>0</x:v>
      </x:c>
      <x:c r="U314" s="10" t="str">
        <x:v>Liquidado</x:v>
      </x:c>
      <x:c r="V314" s="10" t="str">
        <x:v>UND001</x:v>
      </x:c>
    </x:row>
    <x:row r="315" ht="18" customHeight="1">
      <x:c r="A315" s="10" t="str">
        <x:v>PAG00314</x:v>
      </x:c>
      <x:c r="B315" s="10" t="str">
        <x:v>EMP003</x:v>
      </x:c>
      <x:c r="C315" s="10" t="str">
        <x:v>FOR026</x:v>
      </x:c>
      <x:c r="D315" s="10" t="str">
        <x:v>CC001</x:v>
      </x:c>
      <x:c r="E315" s="10" t="str">
        <x:v>CAT011</x:v>
      </x:c>
      <x:c r="F315" s="10" t="str">
        <x:v>CTA005</x:v>
      </x:c>
      <x:c r="G315" s="10" t="str">
        <x:v>NF-100314</x:v>
      </x:c>
      <x:c r="H315" s="10" t="str">
        <x:v>Despesa operacional</x:v>
      </x:c>
      <x:c r="I315" s="16" t="n">
        <x:v>45769.76180693287</x:v>
      </x:c>
      <x:c r="J315" s="16" t="n">
        <x:v>45789.76180693287</x:v>
      </x:c>
      <x:c r="K315" s="16" t="n">
        <x:v>45784.76180693287</x:v>
      </x:c>
      <x:c r="L315" s="20" t="n">
        <x:v>68970.85</x:v>
      </x:c>
      <x:c r="M315" s="20" t="n">
        <x:v>0</x:v>
      </x:c>
      <x:c r="N315" s="20" t="n">
        <x:v>0</x:v>
      </x:c>
      <x:c r="O315" s="20" t="n">
        <x:v>68970.85</x:v>
      </x:c>
      <x:c r="P315" s="20" t="n">
        <x:v>0</x:v>
      </x:c>
      <x:c r="Q315" s="10" t="str">
        <x:v>Pago</x:v>
      </x:c>
      <x:c r="R315" s="10" t="str">
        <x:v>TED</x:v>
      </x:c>
      <x:c r="S315" s="10" t="str">
        <x:v>2025-04</x:v>
      </x:c>
      <x:c r="T315" s="10" t="n">
        <x:v>0</x:v>
      </x:c>
      <x:c r="U315" s="10" t="str">
        <x:v>Liquidado</x:v>
      </x:c>
      <x:c r="V315" s="10" t="str">
        <x:v>UND004</x:v>
      </x:c>
    </x:row>
    <x:row r="316" ht="18" customHeight="1">
      <x:c r="A316" s="10" t="str">
        <x:v>PAG00315</x:v>
      </x:c>
      <x:c r="B316" s="10" t="str">
        <x:v>EMP002</x:v>
      </x:c>
      <x:c r="C316" s="10" t="str">
        <x:v>FOR048</x:v>
      </x:c>
      <x:c r="D316" s="10" t="str">
        <x:v>CC004</x:v>
      </x:c>
      <x:c r="E316" s="10" t="str">
        <x:v>CAT008</x:v>
      </x:c>
      <x:c r="F316" s="10" t="str">
        <x:v>CTA003</x:v>
      </x:c>
      <x:c r="G316" s="10" t="str">
        <x:v>NF-100315</x:v>
      </x:c>
      <x:c r="H316" s="10" t="str">
        <x:v>Despesa operacional</x:v>
      </x:c>
      <x:c r="I316" s="16" t="n">
        <x:v>45630.35365324074</x:v>
      </x:c>
      <x:c r="J316" s="16" t="n">
        <x:v>45658.35365324074</x:v>
      </x:c>
      <x:c r="K316" s="16" t="n">
        <x:v>45664.35365324074</x:v>
      </x:c>
      <x:c r="L316" s="20" t="n">
        <x:v>55023.21</x:v>
      </x:c>
      <x:c r="M316" s="20" t="n">
        <x:v>231.1</x:v>
      </x:c>
      <x:c r="N316" s="20" t="n">
        <x:v>0</x:v>
      </x:c>
      <x:c r="O316" s="20" t="n">
        <x:v>55254.31</x:v>
      </x:c>
      <x:c r="P316" s="20" t="n">
        <x:v>0</x:v>
      </x:c>
      <x:c r="Q316" s="10" t="str">
        <x:v>Pago</x:v>
      </x:c>
      <x:c r="R316" s="10" t="str">
        <x:v>Cartão Corporativo</x:v>
      </x:c>
      <x:c r="S316" s="10" t="str">
        <x:v>2024-12</x:v>
      </x:c>
      <x:c r="T316" s="10" t="n">
        <x:v>0</x:v>
      </x:c>
      <x:c r="U316" s="10" t="str">
        <x:v>Liquidado</x:v>
      </x:c>
      <x:c r="V316" s="10" t="str">
        <x:v>UND003</x:v>
      </x:c>
    </x:row>
    <x:row r="317" ht="18" customHeight="1">
      <x:c r="A317" s="10" t="str">
        <x:v>PAG00316</x:v>
      </x:c>
      <x:c r="B317" s="10" t="str">
        <x:v>EMP003</x:v>
      </x:c>
      <x:c r="C317" s="10" t="str">
        <x:v>FOR046</x:v>
      </x:c>
      <x:c r="D317" s="10" t="str">
        <x:v>CC005</x:v>
      </x:c>
      <x:c r="E317" s="10" t="str">
        <x:v>CAT009</x:v>
      </x:c>
      <x:c r="F317" s="10" t="str">
        <x:v>CTA006</x:v>
      </x:c>
      <x:c r="G317" s="10" t="str">
        <x:v>NF-100316</x:v>
      </x:c>
      <x:c r="H317" s="10" t="str">
        <x:v>Tributos e taxas</x:v>
      </x:c>
      <x:c r="I317" s="16" t="n">
        <x:v>45907.19413934028</x:v>
      </x:c>
      <x:c r="J317" s="16" t="n">
        <x:v>45922.19413934028</x:v>
      </x:c>
      <x:c r="K317" s="16" t="n">
        <x:v>45922.19413934028</x:v>
      </x:c>
      <x:c r="L317" s="20" t="n">
        <x:v>90086.02</x:v>
      </x:c>
      <x:c r="M317" s="20" t="n">
        <x:v>0</x:v>
      </x:c>
      <x:c r="N317" s="20" t="n">
        <x:v>0</x:v>
      </x:c>
      <x:c r="O317" s="20" t="n">
        <x:v>90086.02</x:v>
      </x:c>
      <x:c r="P317" s="20" t="n">
        <x:v>0</x:v>
      </x:c>
      <x:c r="Q317" s="10" t="str">
        <x:v>Pago</x:v>
      </x:c>
      <x:c r="R317" s="10" t="str">
        <x:v>TED</x:v>
      </x:c>
      <x:c r="S317" s="10" t="str">
        <x:v>2025-09</x:v>
      </x:c>
      <x:c r="T317" s="10" t="n">
        <x:v>0</x:v>
      </x:c>
      <x:c r="U317" s="10" t="str">
        <x:v>Liquidado</x:v>
      </x:c>
      <x:c r="V317" s="10" t="str">
        <x:v>UND004</x:v>
      </x:c>
    </x:row>
    <x:row r="318" ht="18" customHeight="1">
      <x:c r="A318" s="10" t="str">
        <x:v>PAG00317</x:v>
      </x:c>
      <x:c r="B318" s="10" t="str">
        <x:v>EMP001</x:v>
      </x:c>
      <x:c r="C318" s="10" t="str">
        <x:v>FOR041</x:v>
      </x:c>
      <x:c r="D318" s="10" t="str">
        <x:v>CC003</x:v>
      </x:c>
      <x:c r="E318" s="10" t="str">
        <x:v>CAT009</x:v>
      </x:c>
      <x:c r="F318" s="10" t="str">
        <x:v>CTA001</x:v>
      </x:c>
      <x:c r="G318" s="10" t="str">
        <x:v>NF-100317</x:v>
      </x:c>
      <x:c r="H318" s="10" t="str">
        <x:v>Contrato recorrente</x:v>
      </x:c>
      <x:c r="I318" s="16" t="n">
        <x:v>45382.77557028935</x:v>
      </x:c>
      <x:c r="J318" s="16" t="n">
        <x:v>45442.77557028935</x:v>
      </x:c>
      <x:c r="K318" s="16" t="n">
        <x:v>45446.77557028935</x:v>
      </x:c>
      <x:c r="L318" s="20" t="n">
        <x:v>11959.06</x:v>
      </x:c>
      <x:c r="M318" s="20" t="n">
        <x:v>33.49</x:v>
      </x:c>
      <x:c r="N318" s="20" t="n">
        <x:v>0</x:v>
      </x:c>
      <x:c r="O318" s="20" t="n">
        <x:v>11992.55</x:v>
      </x:c>
      <x:c r="P318" s="20" t="n">
        <x:v>0</x:v>
      </x:c>
      <x:c r="Q318" s="10" t="str">
        <x:v>Pago</x:v>
      </x:c>
      <x:c r="R318" s="10" t="str">
        <x:v>Boleto</x:v>
      </x:c>
      <x:c r="S318" s="10" t="str">
        <x:v>2024-03</x:v>
      </x:c>
      <x:c r="T318" s="10" t="n">
        <x:v>0</x:v>
      </x:c>
      <x:c r="U318" s="10" t="str">
        <x:v>Liquidado</x:v>
      </x:c>
      <x:c r="V318" s="10" t="str">
        <x:v>UND001</x:v>
      </x:c>
    </x:row>
    <x:row r="319" ht="18" customHeight="1">
      <x:c r="A319" s="10" t="str">
        <x:v>PAG00318</x:v>
      </x:c>
      <x:c r="B319" s="10" t="str">
        <x:v>EMP001</x:v>
      </x:c>
      <x:c r="C319" s="10" t="str">
        <x:v>FOR016</x:v>
      </x:c>
      <x:c r="D319" s="10" t="str">
        <x:v>CC005</x:v>
      </x:c>
      <x:c r="E319" s="10" t="str">
        <x:v>CAT010</x:v>
      </x:c>
      <x:c r="F319" s="10" t="str">
        <x:v>CTA001</x:v>
      </x:c>
      <x:c r="G319" s="10" t="str">
        <x:v>NF-100318</x:v>
      </x:c>
      <x:c r="H319" s="10" t="str">
        <x:v>Tributos e taxas</x:v>
      </x:c>
      <x:c r="I319" s="16" t="n">
        <x:v>45341.675826238425</x:v>
      </x:c>
      <x:c r="J319" s="16" t="n">
        <x:v>45371.675826238425</x:v>
      </x:c>
      <x:c r="K319" s="16" t="n">
        <x:v>45370.675826238425</x:v>
      </x:c>
      <x:c r="L319" s="20" t="n">
        <x:v>9472.45</x:v>
      </x:c>
      <x:c r="M319" s="20" t="n">
        <x:v>0</x:v>
      </x:c>
      <x:c r="N319" s="20" t="n">
        <x:v>0</x:v>
      </x:c>
      <x:c r="O319" s="20" t="n">
        <x:v>9472.45</x:v>
      </x:c>
      <x:c r="P319" s="20" t="n">
        <x:v>0</x:v>
      </x:c>
      <x:c r="Q319" s="10" t="str">
        <x:v>Pago</x:v>
      </x:c>
      <x:c r="R319" s="10" t="str">
        <x:v>Cartão Corporativo</x:v>
      </x:c>
      <x:c r="S319" s="10" t="str">
        <x:v>2024-02</x:v>
      </x:c>
      <x:c r="T319" s="10" t="n">
        <x:v>0</x:v>
      </x:c>
      <x:c r="U319" s="10" t="str">
        <x:v>Liquidado</x:v>
      </x:c>
      <x:c r="V319" s="10" t="str">
        <x:v>UND001</x:v>
      </x:c>
    </x:row>
    <x:row r="320" ht="18" customHeight="1">
      <x:c r="A320" s="10" t="str">
        <x:v>PAG00319</x:v>
      </x:c>
      <x:c r="B320" s="10" t="str">
        <x:v>EMP001</x:v>
      </x:c>
      <x:c r="C320" s="10" t="str">
        <x:v>FOR021</x:v>
      </x:c>
      <x:c r="D320" s="10" t="str">
        <x:v>CC007</x:v>
      </x:c>
      <x:c r="E320" s="10" t="str">
        <x:v>CAT008</x:v>
      </x:c>
      <x:c r="F320" s="10" t="str">
        <x:v>CTA002</x:v>
      </x:c>
      <x:c r="G320" s="10" t="str">
        <x:v>NF-100319</x:v>
      </x:c>
      <x:c r="H320" s="10" t="str">
        <x:v>Despesa operacional</x:v>
      </x:c>
      <x:c r="I320" s="16" t="n">
        <x:v>45719.695693125</x:v>
      </x:c>
      <x:c r="J320" s="16" t="n">
        <x:v>45739.695693125</x:v>
      </x:c>
      <x:c r="K320" s="16" t="n">
        <x:v>45749.695693125</x:v>
      </x:c>
      <x:c r="L320" s="20" t="n">
        <x:v>93080.74</x:v>
      </x:c>
      <x:c r="M320" s="20" t="n">
        <x:v>651.57</x:v>
      </x:c>
      <x:c r="N320" s="20" t="n">
        <x:v>0</x:v>
      </x:c>
      <x:c r="O320" s="20" t="n">
        <x:v>93732.31</x:v>
      </x:c>
      <x:c r="P320" s="20" t="n">
        <x:v>0</x:v>
      </x:c>
      <x:c r="Q320" s="10" t="str">
        <x:v>Pago</x:v>
      </x:c>
      <x:c r="R320" s="10" t="str">
        <x:v>Débito Automático</x:v>
      </x:c>
      <x:c r="S320" s="10" t="str">
        <x:v>2025-03</x:v>
      </x:c>
      <x:c r="T320" s="10" t="n">
        <x:v>0</x:v>
      </x:c>
      <x:c r="U320" s="10" t="str">
        <x:v>Liquidado</x:v>
      </x:c>
      <x:c r="V320" s="10" t="str">
        <x:v>UND002</x:v>
      </x:c>
    </x:row>
    <x:row r="321" ht="18" customHeight="1">
      <x:c r="A321" s="10" t="str">
        <x:v>PAG00320</x:v>
      </x:c>
      <x:c r="B321" s="10" t="str">
        <x:v>EMP002</x:v>
      </x:c>
      <x:c r="C321" s="10" t="str">
        <x:v>FOR043</x:v>
      </x:c>
      <x:c r="D321" s="10" t="str">
        <x:v>CC004</x:v>
      </x:c>
      <x:c r="E321" s="10" t="str">
        <x:v>CAT016</x:v>
      </x:c>
      <x:c r="F321" s="10" t="str">
        <x:v>CTA003</x:v>
      </x:c>
      <x:c r="G321" s="10" t="str">
        <x:v>NF-100320</x:v>
      </x:c>
      <x:c r="H321" s="10" t="str">
        <x:v>Despesa operacional</x:v>
      </x:c>
      <x:c r="I321" s="16" t="n">
        <x:v>45381.967908032406</x:v>
      </x:c>
      <x:c r="J321" s="16" t="n">
        <x:v>45401.967908032406</x:v>
      </x:c>
      <x:c r="K321" s="16" t="n">
        <x:v>45406.967908032406</x:v>
      </x:c>
      <x:c r="L321" s="20" t="n">
        <x:v>43254.24</x:v>
      </x:c>
      <x:c r="M321" s="20" t="n">
        <x:v>151.39</x:v>
      </x:c>
      <x:c r="N321" s="20" t="n">
        <x:v>0</x:v>
      </x:c>
      <x:c r="O321" s="20" t="n">
        <x:v>43405.63</x:v>
      </x:c>
      <x:c r="P321" s="20" t="n">
        <x:v>0</x:v>
      </x:c>
      <x:c r="Q321" s="10" t="str">
        <x:v>Pago</x:v>
      </x:c>
      <x:c r="R321" s="10" t="str">
        <x:v>Cartão Corporativo</x:v>
      </x:c>
      <x:c r="S321" s="10" t="str">
        <x:v>2024-03</x:v>
      </x:c>
      <x:c r="T321" s="10" t="n">
        <x:v>0</x:v>
      </x:c>
      <x:c r="U321" s="10" t="str">
        <x:v>Liquidado</x:v>
      </x:c>
      <x:c r="V321" s="10" t="str">
        <x:v>UND003</x:v>
      </x:c>
    </x:row>
    <x:row r="322" ht="18" customHeight="1">
      <x:c r="A322" s="10" t="str">
        <x:v>PAG00321</x:v>
      </x:c>
      <x:c r="B322" s="10" t="str">
        <x:v>EMP002</x:v>
      </x:c>
      <x:c r="C322" s="10" t="str">
        <x:v>FOR018</x:v>
      </x:c>
      <x:c r="D322" s="10" t="str">
        <x:v>CC004</x:v>
      </x:c>
      <x:c r="E322" s="10" t="str">
        <x:v>CAT006</x:v>
      </x:c>
      <x:c r="F322" s="10" t="str">
        <x:v>CTA003</x:v>
      </x:c>
      <x:c r="G322" s="10" t="str">
        <x:v>NF-100321</x:v>
      </x:c>
      <x:c r="H322" s="10" t="str">
        <x:v>Tributos e taxas</x:v>
      </x:c>
      <x:c r="I322" s="16" t="n">
        <x:v>45986.945397407406</x:v>
      </x:c>
      <x:c r="J322" s="16" t="n">
        <x:v>46006.945397407406</x:v>
      </x:c>
      <x:c r="K322" s="16"/>
      <x:c r="L322" s="20" t="n">
        <x:v>2716.56</x:v>
      </x:c>
      <x:c r="M322" s="20" t="n">
        <x:v>0</x:v>
      </x:c>
      <x:c r="N322" s="20" t="n">
        <x:v>0</x:v>
      </x:c>
      <x:c r="O322" s="20" t="n">
        <x:v>0</x:v>
      </x:c>
      <x:c r="P322" s="20" t="n">
        <x:v>2716.56</x:v>
      </x:c>
      <x:c r="Q322" s="10" t="str">
        <x:v>Vencido</x:v>
      </x:c>
      <x:c r="R322" s="10" t="str">
        <x:v>Cartão Corporativo</x:v>
      </x:c>
      <x:c r="S322" s="10" t="str">
        <x:v>2025-11</x:v>
      </x:c>
      <x:c r="T322" s="10" t="n">
        <x:v>15</x:v>
      </x:c>
      <x:c r="U322" s="10" t="str">
        <x:v>1 a 30 dias</x:v>
      </x:c>
      <x:c r="V322" s="10" t="str">
        <x:v>UND003</x:v>
      </x:c>
    </x:row>
    <x:row r="323" ht="18" customHeight="1">
      <x:c r="A323" s="10" t="str">
        <x:v>PAG00322</x:v>
      </x:c>
      <x:c r="B323" s="10" t="str">
        <x:v>EMP001</x:v>
      </x:c>
      <x:c r="C323" s="10" t="str">
        <x:v>FOR047</x:v>
      </x:c>
      <x:c r="D323" s="10" t="str">
        <x:v>CC005</x:v>
      </x:c>
      <x:c r="E323" s="10" t="str">
        <x:v>CAT016</x:v>
      </x:c>
      <x:c r="F323" s="10" t="str">
        <x:v>CTA001</x:v>
      </x:c>
      <x:c r="G323" s="10" t="str">
        <x:v>NF-100322</x:v>
      </x:c>
      <x:c r="H323" s="10" t="str">
        <x:v>Prestação de serviços</x:v>
      </x:c>
      <x:c r="I323" s="16" t="n">
        <x:v>45854.29337753472</x:v>
      </x:c>
      <x:c r="J323" s="16" t="n">
        <x:v>45914.29337753472</x:v>
      </x:c>
      <x:c r="K323" s="16" t="n">
        <x:v>45908.29337753472</x:v>
      </x:c>
      <x:c r="L323" s="20" t="n">
        <x:v>28791.66</x:v>
      </x:c>
      <x:c r="M323" s="20" t="n">
        <x:v>0</x:v>
      </x:c>
      <x:c r="N323" s="20" t="n">
        <x:v>143.96</x:v>
      </x:c>
      <x:c r="O323" s="20" t="n">
        <x:v>28647.7</x:v>
      </x:c>
      <x:c r="P323" s="20" t="n">
        <x:v>0</x:v>
      </x:c>
      <x:c r="Q323" s="10" t="str">
        <x:v>Pago</x:v>
      </x:c>
      <x:c r="R323" s="10" t="str">
        <x:v>Débito Automático</x:v>
      </x:c>
      <x:c r="S323" s="10" t="str">
        <x:v>2025-07</x:v>
      </x:c>
      <x:c r="T323" s="10" t="n">
        <x:v>0</x:v>
      </x:c>
      <x:c r="U323" s="10" t="str">
        <x:v>Liquidado</x:v>
      </x:c>
      <x:c r="V323" s="10" t="str">
        <x:v>UND001</x:v>
      </x:c>
    </x:row>
    <x:row r="324" ht="18" customHeight="1">
      <x:c r="A324" s="10" t="str">
        <x:v>PAG00323</x:v>
      </x:c>
      <x:c r="B324" s="10" t="str">
        <x:v>EMP003</x:v>
      </x:c>
      <x:c r="C324" s="10" t="str">
        <x:v>FOR057</x:v>
      </x:c>
      <x:c r="D324" s="10" t="str">
        <x:v>CC008</x:v>
      </x:c>
      <x:c r="E324" s="10" t="str">
        <x:v>CAT016</x:v>
      </x:c>
      <x:c r="F324" s="10" t="str">
        <x:v>CTA005</x:v>
      </x:c>
      <x:c r="G324" s="10" t="str">
        <x:v>NF-100323</x:v>
      </x:c>
      <x:c r="H324" s="10" t="str">
        <x:v>Contrato recorrente</x:v>
      </x:c>
      <x:c r="I324" s="16" t="n">
        <x:v>45652.48106373843</x:v>
      </x:c>
      <x:c r="J324" s="16" t="n">
        <x:v>45680.48106373843</x:v>
      </x:c>
      <x:c r="K324" s="16" t="n">
        <x:v>45672.48106373843</x:v>
      </x:c>
      <x:c r="L324" s="20" t="n">
        <x:v>2194.3</x:v>
      </x:c>
      <x:c r="M324" s="20" t="n">
        <x:v>0</x:v>
      </x:c>
      <x:c r="N324" s="20" t="n">
        <x:v>0</x:v>
      </x:c>
      <x:c r="O324" s="20" t="n">
        <x:v>2194.3</x:v>
      </x:c>
      <x:c r="P324" s="20" t="n">
        <x:v>0</x:v>
      </x:c>
      <x:c r="Q324" s="10" t="str">
        <x:v>Pago</x:v>
      </x:c>
      <x:c r="R324" s="10" t="str">
        <x:v>Cartão Corporativo</x:v>
      </x:c>
      <x:c r="S324" s="10" t="str">
        <x:v>2024-12</x:v>
      </x:c>
      <x:c r="T324" s="10" t="n">
        <x:v>0</x:v>
      </x:c>
      <x:c r="U324" s="10" t="str">
        <x:v>Liquidado</x:v>
      </x:c>
      <x:c r="V324" s="10" t="str">
        <x:v>UND004</x:v>
      </x:c>
    </x:row>
    <x:row r="325" ht="18" customHeight="1">
      <x:c r="A325" s="10" t="str">
        <x:v>PAG00324</x:v>
      </x:c>
      <x:c r="B325" s="10" t="str">
        <x:v>EMP003</x:v>
      </x:c>
      <x:c r="C325" s="10" t="str">
        <x:v>FOR051</x:v>
      </x:c>
      <x:c r="D325" s="10" t="str">
        <x:v>CC002</x:v>
      </x:c>
      <x:c r="E325" s="10" t="str">
        <x:v>CAT006</x:v>
      </x:c>
      <x:c r="F325" s="10" t="str">
        <x:v>CTA006</x:v>
      </x:c>
      <x:c r="G325" s="10" t="str">
        <x:v>NF-100324</x:v>
      </x:c>
      <x:c r="H325" s="10" t="str">
        <x:v>Contrato recorrente</x:v>
      </x:c>
      <x:c r="I325" s="16" t="n">
        <x:v>45318.9228515162</x:v>
      </x:c>
      <x:c r="J325" s="16" t="n">
        <x:v>45363.9228515162</x:v>
      </x:c>
      <x:c r="K325" s="16" t="n">
        <x:v>45372.9228515162</x:v>
      </x:c>
      <x:c r="L325" s="20" t="n">
        <x:v>46705.27</x:v>
      </x:c>
      <x:c r="M325" s="20" t="n">
        <x:v>294.24</x:v>
      </x:c>
      <x:c r="N325" s="20" t="n">
        <x:v>0</x:v>
      </x:c>
      <x:c r="O325" s="20" t="n">
        <x:v>46999.51</x:v>
      </x:c>
      <x:c r="P325" s="20" t="n">
        <x:v>0</x:v>
      </x:c>
      <x:c r="Q325" s="10" t="str">
        <x:v>Pago</x:v>
      </x:c>
      <x:c r="R325" s="10" t="str">
        <x:v>Boleto</x:v>
      </x:c>
      <x:c r="S325" s="10" t="str">
        <x:v>2024-01</x:v>
      </x:c>
      <x:c r="T325" s="10" t="n">
        <x:v>0</x:v>
      </x:c>
      <x:c r="U325" s="10" t="str">
        <x:v>Liquidado</x:v>
      </x:c>
      <x:c r="V325" s="10" t="str">
        <x:v>UND004</x:v>
      </x:c>
    </x:row>
    <x:row r="326" ht="18" customHeight="1">
      <x:c r="A326" s="10" t="str">
        <x:v>PAG00325</x:v>
      </x:c>
      <x:c r="B326" s="10" t="str">
        <x:v>EMP002</x:v>
      </x:c>
      <x:c r="C326" s="10" t="str">
        <x:v>FOR040</x:v>
      </x:c>
      <x:c r="D326" s="10" t="str">
        <x:v>CC005</x:v>
      </x:c>
      <x:c r="E326" s="10" t="str">
        <x:v>CAT015</x:v>
      </x:c>
      <x:c r="F326" s="10" t="str">
        <x:v>CTA004</x:v>
      </x:c>
      <x:c r="G326" s="10" t="str">
        <x:v>NF-100325</x:v>
      </x:c>
      <x:c r="H326" s="10" t="str">
        <x:v>Tributos e taxas</x:v>
      </x:c>
      <x:c r="I326" s="16" t="n">
        <x:v>45927.509510104166</x:v>
      </x:c>
      <x:c r="J326" s="16" t="n">
        <x:v>46002.509510104166</x:v>
      </x:c>
      <x:c r="K326" s="16"/>
      <x:c r="L326" s="20" t="n">
        <x:v>8818.53</x:v>
      </x:c>
      <x:c r="M326" s="20" t="n">
        <x:v>0</x:v>
      </x:c>
      <x:c r="N326" s="20" t="n">
        <x:v>0</x:v>
      </x:c>
      <x:c r="O326" s="20" t="n">
        <x:v>0</x:v>
      </x:c>
      <x:c r="P326" s="20" t="n">
        <x:v>8818.53</x:v>
      </x:c>
      <x:c r="Q326" s="10" t="str">
        <x:v>Vencido</x:v>
      </x:c>
      <x:c r="R326" s="10" t="str">
        <x:v>Cartão Corporativo</x:v>
      </x:c>
      <x:c r="S326" s="10" t="str">
        <x:v>2025-09</x:v>
      </x:c>
      <x:c r="T326" s="10" t="n">
        <x:v>19</x:v>
      </x:c>
      <x:c r="U326" s="10" t="str">
        <x:v>1 a 30 dias</x:v>
      </x:c>
      <x:c r="V326" s="10" t="str">
        <x:v>UND003</x:v>
      </x:c>
    </x:row>
    <x:row r="327" ht="18" customHeight="1">
      <x:c r="A327" s="10" t="str">
        <x:v>PAG00326</x:v>
      </x:c>
      <x:c r="B327" s="10" t="str">
        <x:v>EMP002</x:v>
      </x:c>
      <x:c r="C327" s="10" t="str">
        <x:v>FOR056</x:v>
      </x:c>
      <x:c r="D327" s="10" t="str">
        <x:v>CC007</x:v>
      </x:c>
      <x:c r="E327" s="10" t="str">
        <x:v>CAT015</x:v>
      </x:c>
      <x:c r="F327" s="10" t="str">
        <x:v>CTA003</x:v>
      </x:c>
      <x:c r="G327" s="10" t="str">
        <x:v>NF-100326</x:v>
      </x:c>
      <x:c r="H327" s="10" t="str">
        <x:v>Despesa operacional</x:v>
      </x:c>
      <x:c r="I327" s="16" t="n">
        <x:v>45810.31665032407</x:v>
      </x:c>
      <x:c r="J327" s="16" t="n">
        <x:v>45840.31665032407</x:v>
      </x:c>
      <x:c r="K327" s="16" t="n">
        <x:v>45860.31665032407</x:v>
      </x:c>
      <x:c r="L327" s="20" t="n">
        <x:v>13388.53</x:v>
      </x:c>
      <x:c r="M327" s="20" t="n">
        <x:v>187.44</x:v>
      </x:c>
      <x:c r="N327" s="20" t="n">
        <x:v>0</x:v>
      </x:c>
      <x:c r="O327" s="20" t="n">
        <x:v>13575.97</x:v>
      </x:c>
      <x:c r="P327" s="20" t="n">
        <x:v>0</x:v>
      </x:c>
      <x:c r="Q327" s="10" t="str">
        <x:v>Pago</x:v>
      </x:c>
      <x:c r="R327" s="10" t="str">
        <x:v>TED</x:v>
      </x:c>
      <x:c r="S327" s="10" t="str">
        <x:v>2025-06</x:v>
      </x:c>
      <x:c r="T327" s="10" t="n">
        <x:v>0</x:v>
      </x:c>
      <x:c r="U327" s="10" t="str">
        <x:v>Liquidado</x:v>
      </x:c>
      <x:c r="V327" s="10" t="str">
        <x:v>UND003</x:v>
      </x:c>
    </x:row>
    <x:row r="328" ht="18" customHeight="1">
      <x:c r="A328" s="10" t="str">
        <x:v>PAG00327</x:v>
      </x:c>
      <x:c r="B328" s="10" t="str">
        <x:v>EMP002</x:v>
      </x:c>
      <x:c r="C328" s="10" t="str">
        <x:v>FOR004</x:v>
      </x:c>
      <x:c r="D328" s="10" t="str">
        <x:v>CC005</x:v>
      </x:c>
      <x:c r="E328" s="10" t="str">
        <x:v>CAT012</x:v>
      </x:c>
      <x:c r="F328" s="10" t="str">
        <x:v>CTA004</x:v>
      </x:c>
      <x:c r="G328" s="10" t="str">
        <x:v>NF-100327</x:v>
      </x:c>
      <x:c r="H328" s="10" t="str">
        <x:v>Prestação de serviços</x:v>
      </x:c>
      <x:c r="I328" s="16" t="n">
        <x:v>45789.82725498843</x:v>
      </x:c>
      <x:c r="J328" s="16" t="n">
        <x:v>45864.82725498843</x:v>
      </x:c>
      <x:c r="K328" s="16" t="n">
        <x:v>45898.82725498843</x:v>
      </x:c>
      <x:c r="L328" s="20" t="n">
        <x:v>82019.35</x:v>
      </x:c>
      <x:c r="M328" s="20" t="n">
        <x:v>1952.06</x:v>
      </x:c>
      <x:c r="N328" s="20" t="n">
        <x:v>0</x:v>
      </x:c>
      <x:c r="O328" s="20" t="n">
        <x:v>83971.41</x:v>
      </x:c>
      <x:c r="P328" s="20" t="n">
        <x:v>0</x:v>
      </x:c>
      <x:c r="Q328" s="10" t="str">
        <x:v>Pago</x:v>
      </x:c>
      <x:c r="R328" s="10" t="str">
        <x:v>PIX</x:v>
      </x:c>
      <x:c r="S328" s="10" t="str">
        <x:v>2025-05</x:v>
      </x:c>
      <x:c r="T328" s="10" t="n">
        <x:v>0</x:v>
      </x:c>
      <x:c r="U328" s="10" t="str">
        <x:v>Liquidado</x:v>
      </x:c>
      <x:c r="V328" s="10" t="str">
        <x:v>UND003</x:v>
      </x:c>
    </x:row>
    <x:row r="329" ht="18" customHeight="1">
      <x:c r="A329" s="10" t="str">
        <x:v>PAG00328</x:v>
      </x:c>
      <x:c r="B329" s="10" t="str">
        <x:v>EMP003</x:v>
      </x:c>
      <x:c r="C329" s="10" t="str">
        <x:v>FOR011</x:v>
      </x:c>
      <x:c r="D329" s="10" t="str">
        <x:v>CC004</x:v>
      </x:c>
      <x:c r="E329" s="10" t="str">
        <x:v>CAT011</x:v>
      </x:c>
      <x:c r="F329" s="10" t="str">
        <x:v>CTA005</x:v>
      </x:c>
      <x:c r="G329" s="10" t="str">
        <x:v>NF-100328</x:v>
      </x:c>
      <x:c r="H329" s="10" t="str">
        <x:v>Tributos e taxas</x:v>
      </x:c>
      <x:c r="I329" s="16" t="n">
        <x:v>45475.24204420139</x:v>
      </x:c>
      <x:c r="J329" s="16" t="n">
        <x:v>45510.24204420139</x:v>
      </x:c>
      <x:c r="K329" s="16" t="n">
        <x:v>45506.24204420139</x:v>
      </x:c>
      <x:c r="L329" s="20" t="n">
        <x:v>49804.27</x:v>
      </x:c>
      <x:c r="M329" s="20" t="n">
        <x:v>0</x:v>
      </x:c>
      <x:c r="N329" s="20" t="n">
        <x:v>0</x:v>
      </x:c>
      <x:c r="O329" s="20" t="n">
        <x:v>49804.27</x:v>
      </x:c>
      <x:c r="P329" s="20" t="n">
        <x:v>0</x:v>
      </x:c>
      <x:c r="Q329" s="10" t="str">
        <x:v>Pago</x:v>
      </x:c>
      <x:c r="R329" s="10" t="str">
        <x:v>TED</x:v>
      </x:c>
      <x:c r="S329" s="10" t="str">
        <x:v>2024-07</x:v>
      </x:c>
      <x:c r="T329" s="10" t="n">
        <x:v>0</x:v>
      </x:c>
      <x:c r="U329" s="10" t="str">
        <x:v>Liquidado</x:v>
      </x:c>
      <x:c r="V329" s="10" t="str">
        <x:v>UND004</x:v>
      </x:c>
    </x:row>
    <x:row r="330" ht="18" customHeight="1">
      <x:c r="A330" s="10" t="str">
        <x:v>PAG00329</x:v>
      </x:c>
      <x:c r="B330" s="10" t="str">
        <x:v>EMP001</x:v>
      </x:c>
      <x:c r="C330" s="10" t="str">
        <x:v>FOR022</x:v>
      </x:c>
      <x:c r="D330" s="10" t="str">
        <x:v>CC007</x:v>
      </x:c>
      <x:c r="E330" s="10" t="str">
        <x:v>CAT010</x:v>
      </x:c>
      <x:c r="F330" s="10" t="str">
        <x:v>CTA002</x:v>
      </x:c>
      <x:c r="G330" s="10" t="str">
        <x:v>NF-100329</x:v>
      </x:c>
      <x:c r="H330" s="10" t="str">
        <x:v>Prestação de serviços</x:v>
      </x:c>
      <x:c r="I330" s="16" t="n">
        <x:v>45464.684453773145</x:v>
      </x:c>
      <x:c r="J330" s="16" t="n">
        <x:v>45484.684453773145</x:v>
      </x:c>
      <x:c r="K330" s="16" t="n">
        <x:v>45482.684453773145</x:v>
      </x:c>
      <x:c r="L330" s="20" t="n">
        <x:v>67167.14</x:v>
      </x:c>
      <x:c r="M330" s="20" t="n">
        <x:v>0</x:v>
      </x:c>
      <x:c r="N330" s="20" t="n">
        <x:v>0</x:v>
      </x:c>
      <x:c r="O330" s="20" t="n">
        <x:v>67167.14</x:v>
      </x:c>
      <x:c r="P330" s="20" t="n">
        <x:v>0</x:v>
      </x:c>
      <x:c r="Q330" s="10" t="str">
        <x:v>Pago</x:v>
      </x:c>
      <x:c r="R330" s="10" t="str">
        <x:v>Débito Automático</x:v>
      </x:c>
      <x:c r="S330" s="10" t="str">
        <x:v>2024-06</x:v>
      </x:c>
      <x:c r="T330" s="10" t="n">
        <x:v>0</x:v>
      </x:c>
      <x:c r="U330" s="10" t="str">
        <x:v>Liquidado</x:v>
      </x:c>
      <x:c r="V330" s="10" t="str">
        <x:v>UND001</x:v>
      </x:c>
    </x:row>
    <x:row r="331" ht="18" customHeight="1">
      <x:c r="A331" s="10" t="str">
        <x:v>PAG00330</x:v>
      </x:c>
      <x:c r="B331" s="10" t="str">
        <x:v>EMP001</x:v>
      </x:c>
      <x:c r="C331" s="10" t="str">
        <x:v>FOR024</x:v>
      </x:c>
      <x:c r="D331" s="10" t="str">
        <x:v>CC006</x:v>
      </x:c>
      <x:c r="E331" s="10" t="str">
        <x:v>CAT010</x:v>
      </x:c>
      <x:c r="F331" s="10" t="str">
        <x:v>CTA001</x:v>
      </x:c>
      <x:c r="G331" s="10" t="str">
        <x:v>NF-100330</x:v>
      </x:c>
      <x:c r="H331" s="10" t="str">
        <x:v>Prestação de serviços</x:v>
      </x:c>
      <x:c r="I331" s="16" t="n">
        <x:v>45599.366879560184</x:v>
      </x:c>
      <x:c r="J331" s="16" t="n">
        <x:v>45629.366879560184</x:v>
      </x:c>
      <x:c r="K331" s="16" t="n">
        <x:v>45625.366879560184</x:v>
      </x:c>
      <x:c r="L331" s="20" t="n">
        <x:v>13736.99</x:v>
      </x:c>
      <x:c r="M331" s="20" t="n">
        <x:v>0</x:v>
      </x:c>
      <x:c r="N331" s="20" t="n">
        <x:v>206.05</x:v>
      </x:c>
      <x:c r="O331" s="20" t="n">
        <x:v>13530.94</x:v>
      </x:c>
      <x:c r="P331" s="20" t="n">
        <x:v>0</x:v>
      </x:c>
      <x:c r="Q331" s="10" t="str">
        <x:v>Pago</x:v>
      </x:c>
      <x:c r="R331" s="10" t="str">
        <x:v>TED</x:v>
      </x:c>
      <x:c r="S331" s="10" t="str">
        <x:v>2024-11</x:v>
      </x:c>
      <x:c r="T331" s="10" t="n">
        <x:v>0</x:v>
      </x:c>
      <x:c r="U331" s="10" t="str">
        <x:v>Liquidado</x:v>
      </x:c>
      <x:c r="V331" s="10" t="str">
        <x:v>UND002</x:v>
      </x:c>
    </x:row>
    <x:row r="332" ht="18" customHeight="1">
      <x:c r="A332" s="10" t="str">
        <x:v>PAG00331</x:v>
      </x:c>
      <x:c r="B332" s="10" t="str">
        <x:v>EMP002</x:v>
      </x:c>
      <x:c r="C332" s="10" t="str">
        <x:v>FOR041</x:v>
      </x:c>
      <x:c r="D332" s="10" t="str">
        <x:v>CC002</x:v>
      </x:c>
      <x:c r="E332" s="10" t="str">
        <x:v>CAT005</x:v>
      </x:c>
      <x:c r="F332" s="10" t="str">
        <x:v>CTA004</x:v>
      </x:c>
      <x:c r="G332" s="10" t="str">
        <x:v>NF-100331</x:v>
      </x:c>
      <x:c r="H332" s="10" t="str">
        <x:v>Despesa operacional</x:v>
      </x:c>
      <x:c r="I332" s="16" t="n">
        <x:v>45631.87120184028</x:v>
      </x:c>
      <x:c r="J332" s="16" t="n">
        <x:v>45661.87120184028</x:v>
      </x:c>
      <x:c r="K332" s="16" t="n">
        <x:v>45673.87120184028</x:v>
      </x:c>
      <x:c r="L332" s="20" t="n">
        <x:v>46288.64</x:v>
      </x:c>
      <x:c r="M332" s="20" t="n">
        <x:v>388.82</x:v>
      </x:c>
      <x:c r="N332" s="20" t="n">
        <x:v>0</x:v>
      </x:c>
      <x:c r="O332" s="20" t="n">
        <x:v>46677.46</x:v>
      </x:c>
      <x:c r="P332" s="20" t="n">
        <x:v>0</x:v>
      </x:c>
      <x:c r="Q332" s="10" t="str">
        <x:v>Pago</x:v>
      </x:c>
      <x:c r="R332" s="10" t="str">
        <x:v>Boleto</x:v>
      </x:c>
      <x:c r="S332" s="10" t="str">
        <x:v>2024-12</x:v>
      </x:c>
      <x:c r="T332" s="10" t="n">
        <x:v>0</x:v>
      </x:c>
      <x:c r="U332" s="10" t="str">
        <x:v>Liquidado</x:v>
      </x:c>
      <x:c r="V332" s="10" t="str">
        <x:v>UND003</x:v>
      </x:c>
    </x:row>
    <x:row r="333" ht="18" customHeight="1">
      <x:c r="A333" s="10" t="str">
        <x:v>PAG00332</x:v>
      </x:c>
      <x:c r="B333" s="10" t="str">
        <x:v>EMP002</x:v>
      </x:c>
      <x:c r="C333" s="10" t="str">
        <x:v>FOR022</x:v>
      </x:c>
      <x:c r="D333" s="10" t="str">
        <x:v>CC003</x:v>
      </x:c>
      <x:c r="E333" s="10" t="str">
        <x:v>CAT010</x:v>
      </x:c>
      <x:c r="F333" s="10" t="str">
        <x:v>CTA004</x:v>
      </x:c>
      <x:c r="G333" s="10" t="str">
        <x:v>NF-100332</x:v>
      </x:c>
      <x:c r="H333" s="10" t="str">
        <x:v>Compra de materiais</x:v>
      </x:c>
      <x:c r="I333" s="16" t="n">
        <x:v>45490.33097865741</x:v>
      </x:c>
      <x:c r="J333" s="16" t="n">
        <x:v>45520.33097865741</x:v>
      </x:c>
      <x:c r="K333" s="16" t="n">
        <x:v>45518.33097865741</x:v>
      </x:c>
      <x:c r="L333" s="20" t="n">
        <x:v>19529.06</x:v>
      </x:c>
      <x:c r="M333" s="20" t="n">
        <x:v>0</x:v>
      </x:c>
      <x:c r="N333" s="20" t="n">
        <x:v>0</x:v>
      </x:c>
      <x:c r="O333" s="20" t="n">
        <x:v>19529.06</x:v>
      </x:c>
      <x:c r="P333" s="20" t="n">
        <x:v>0</x:v>
      </x:c>
      <x:c r="Q333" s="10" t="str">
        <x:v>Pago</x:v>
      </x:c>
      <x:c r="R333" s="10" t="str">
        <x:v>Cartão Corporativo</x:v>
      </x:c>
      <x:c r="S333" s="10" t="str">
        <x:v>2024-07</x:v>
      </x:c>
      <x:c r="T333" s="10" t="n">
        <x:v>0</x:v>
      </x:c>
      <x:c r="U333" s="10" t="str">
        <x:v>Liquidado</x:v>
      </x:c>
      <x:c r="V333" s="10" t="str">
        <x:v>UND003</x:v>
      </x:c>
    </x:row>
    <x:row r="334" ht="18" customHeight="1">
      <x:c r="A334" s="10" t="str">
        <x:v>PAG00333</x:v>
      </x:c>
      <x:c r="B334" s="10" t="str">
        <x:v>EMP002</x:v>
      </x:c>
      <x:c r="C334" s="10" t="str">
        <x:v>FOR008</x:v>
      </x:c>
      <x:c r="D334" s="10" t="str">
        <x:v>CC002</x:v>
      </x:c>
      <x:c r="E334" s="10" t="str">
        <x:v>CAT007</x:v>
      </x:c>
      <x:c r="F334" s="10" t="str">
        <x:v>CTA003</x:v>
      </x:c>
      <x:c r="G334" s="10" t="str">
        <x:v>NF-100333</x:v>
      </x:c>
      <x:c r="H334" s="10" t="str">
        <x:v>Prestação de serviços</x:v>
      </x:c>
      <x:c r="I334" s="16" t="n">
        <x:v>45341.88322503472</x:v>
      </x:c>
      <x:c r="J334" s="16" t="n">
        <x:v>45376.88322503472</x:v>
      </x:c>
      <x:c r="K334" s="16" t="n">
        <x:v>45385.88322503472</x:v>
      </x:c>
      <x:c r="L334" s="20" t="n">
        <x:v>36210.5</x:v>
      </x:c>
      <x:c r="M334" s="20" t="n">
        <x:v>228.13</x:v>
      </x:c>
      <x:c r="N334" s="20" t="n">
        <x:v>0</x:v>
      </x:c>
      <x:c r="O334" s="20" t="n">
        <x:v>36438.63</x:v>
      </x:c>
      <x:c r="P334" s="20" t="n">
        <x:v>0</x:v>
      </x:c>
      <x:c r="Q334" s="10" t="str">
        <x:v>Pago</x:v>
      </x:c>
      <x:c r="R334" s="10" t="str">
        <x:v>Boleto</x:v>
      </x:c>
      <x:c r="S334" s="10" t="str">
        <x:v>2024-02</x:v>
      </x:c>
      <x:c r="T334" s="10" t="n">
        <x:v>0</x:v>
      </x:c>
      <x:c r="U334" s="10" t="str">
        <x:v>Liquidado</x:v>
      </x:c>
      <x:c r="V334" s="10" t="str">
        <x:v>UND003</x:v>
      </x:c>
    </x:row>
    <x:row r="335" ht="18" customHeight="1">
      <x:c r="A335" s="10" t="str">
        <x:v>PAG00334</x:v>
      </x:c>
      <x:c r="B335" s="10" t="str">
        <x:v>EMP001</x:v>
      </x:c>
      <x:c r="C335" s="10" t="str">
        <x:v>FOR022</x:v>
      </x:c>
      <x:c r="D335" s="10" t="str">
        <x:v>CC002</x:v>
      </x:c>
      <x:c r="E335" s="10" t="str">
        <x:v>CAT007</x:v>
      </x:c>
      <x:c r="F335" s="10" t="str">
        <x:v>CTA001</x:v>
      </x:c>
      <x:c r="G335" s="10" t="str">
        <x:v>NF-100334</x:v>
      </x:c>
      <x:c r="H335" s="10" t="str">
        <x:v>Contrato recorrente</x:v>
      </x:c>
      <x:c r="I335" s="16" t="n">
        <x:v>45626.72855891204</x:v>
      </x:c>
      <x:c r="J335" s="16" t="n">
        <x:v>45646.72855891204</x:v>
      </x:c>
      <x:c r="K335" s="16" t="n">
        <x:v>45646.72855891204</x:v>
      </x:c>
      <x:c r="L335" s="20" t="n">
        <x:v>16018.77</x:v>
      </x:c>
      <x:c r="M335" s="20" t="n">
        <x:v>0</x:v>
      </x:c>
      <x:c r="N335" s="20" t="n">
        <x:v>0</x:v>
      </x:c>
      <x:c r="O335" s="20" t="n">
        <x:v>16018.77</x:v>
      </x:c>
      <x:c r="P335" s="20" t="n">
        <x:v>0</x:v>
      </x:c>
      <x:c r="Q335" s="10" t="str">
        <x:v>Pago</x:v>
      </x:c>
      <x:c r="R335" s="10" t="str">
        <x:v>TED</x:v>
      </x:c>
      <x:c r="S335" s="10" t="str">
        <x:v>2024-11</x:v>
      </x:c>
      <x:c r="T335" s="10" t="n">
        <x:v>0</x:v>
      </x:c>
      <x:c r="U335" s="10" t="str">
        <x:v>Liquidado</x:v>
      </x:c>
      <x:c r="V335" s="10" t="str">
        <x:v>UND001</x:v>
      </x:c>
    </x:row>
    <x:row r="336" ht="18" customHeight="1">
      <x:c r="A336" s="10" t="str">
        <x:v>PAG00335</x:v>
      </x:c>
      <x:c r="B336" s="10" t="str">
        <x:v>EMP003</x:v>
      </x:c>
      <x:c r="C336" s="10" t="str">
        <x:v>FOR049</x:v>
      </x:c>
      <x:c r="D336" s="10" t="str">
        <x:v>CC002</x:v>
      </x:c>
      <x:c r="E336" s="10" t="str">
        <x:v>CAT010</x:v>
      </x:c>
      <x:c r="F336" s="10" t="str">
        <x:v>CTA005</x:v>
      </x:c>
      <x:c r="G336" s="10" t="str">
        <x:v>NF-100335</x:v>
      </x:c>
      <x:c r="H336" s="10" t="str">
        <x:v>Tributos e taxas</x:v>
      </x:c>
      <x:c r="I336" s="16" t="n">
        <x:v>45398.97198699074</x:v>
      </x:c>
      <x:c r="J336" s="16" t="n">
        <x:v>45458.97198699074</x:v>
      </x:c>
      <x:c r="K336" s="16" t="n">
        <x:v>45476.97198699074</x:v>
      </x:c>
      <x:c r="L336" s="20" t="n">
        <x:v>21916.89</x:v>
      </x:c>
      <x:c r="M336" s="20" t="n">
        <x:v>276.15</x:v>
      </x:c>
      <x:c r="N336" s="20" t="n">
        <x:v>0</x:v>
      </x:c>
      <x:c r="O336" s="20" t="n">
        <x:v>22193.04</x:v>
      </x:c>
      <x:c r="P336" s="20" t="n">
        <x:v>0</x:v>
      </x:c>
      <x:c r="Q336" s="10" t="str">
        <x:v>Pago</x:v>
      </x:c>
      <x:c r="R336" s="10" t="str">
        <x:v>TED</x:v>
      </x:c>
      <x:c r="S336" s="10" t="str">
        <x:v>2024-04</x:v>
      </x:c>
      <x:c r="T336" s="10" t="n">
        <x:v>0</x:v>
      </x:c>
      <x:c r="U336" s="10" t="str">
        <x:v>Liquidado</x:v>
      </x:c>
      <x:c r="V336" s="10" t="str">
        <x:v>UND004</x:v>
      </x:c>
    </x:row>
    <x:row r="337" ht="18" customHeight="1">
      <x:c r="A337" s="10" t="str">
        <x:v>PAG00336</x:v>
      </x:c>
      <x:c r="B337" s="10" t="str">
        <x:v>EMP003</x:v>
      </x:c>
      <x:c r="C337" s="10" t="str">
        <x:v>FOR026</x:v>
      </x:c>
      <x:c r="D337" s="10" t="str">
        <x:v>CC007</x:v>
      </x:c>
      <x:c r="E337" s="10" t="str">
        <x:v>CAT008</x:v>
      </x:c>
      <x:c r="F337" s="10" t="str">
        <x:v>CTA005</x:v>
      </x:c>
      <x:c r="G337" s="10" t="str">
        <x:v>NF-100336</x:v>
      </x:c>
      <x:c r="H337" s="10" t="str">
        <x:v>Prestação de serviços</x:v>
      </x:c>
      <x:c r="I337" s="16" t="n">
        <x:v>45969.62148849537</x:v>
      </x:c>
      <x:c r="J337" s="16" t="n">
        <x:v>45989.62148849537</x:v>
      </x:c>
      <x:c r="K337" s="16" t="n">
        <x:v>45983.62148849537</x:v>
      </x:c>
      <x:c r="L337" s="20" t="n">
        <x:v>1998.54</x:v>
      </x:c>
      <x:c r="M337" s="20" t="n">
        <x:v>0</x:v>
      </x:c>
      <x:c r="N337" s="20" t="n">
        <x:v>0</x:v>
      </x:c>
      <x:c r="O337" s="20" t="n">
        <x:v>1998.54</x:v>
      </x:c>
      <x:c r="P337" s="20" t="n">
        <x:v>0</x:v>
      </x:c>
      <x:c r="Q337" s="10" t="str">
        <x:v>Pago</x:v>
      </x:c>
      <x:c r="R337" s="10" t="str">
        <x:v>Boleto</x:v>
      </x:c>
      <x:c r="S337" s="10" t="str">
        <x:v>2025-11</x:v>
      </x:c>
      <x:c r="T337" s="10" t="n">
        <x:v>0</x:v>
      </x:c>
      <x:c r="U337" s="10" t="str">
        <x:v>Liquidado</x:v>
      </x:c>
      <x:c r="V337" s="10" t="str">
        <x:v>UND004</x:v>
      </x:c>
    </x:row>
    <x:row r="338" ht="18" customHeight="1">
      <x:c r="A338" s="10" t="str">
        <x:v>PAG00337</x:v>
      </x:c>
      <x:c r="B338" s="10" t="str">
        <x:v>EMP001</x:v>
      </x:c>
      <x:c r="C338" s="10" t="str">
        <x:v>FOR033</x:v>
      </x:c>
      <x:c r="D338" s="10" t="str">
        <x:v>CC008</x:v>
      </x:c>
      <x:c r="E338" s="10" t="str">
        <x:v>CAT016</x:v>
      </x:c>
      <x:c r="F338" s="10" t="str">
        <x:v>CTA002</x:v>
      </x:c>
      <x:c r="G338" s="10" t="str">
        <x:v>NF-100337</x:v>
      </x:c>
      <x:c r="H338" s="10" t="str">
        <x:v>Contrato recorrente</x:v>
      </x:c>
      <x:c r="I338" s="16" t="n">
        <x:v>45415.86343748843</x:v>
      </x:c>
      <x:c r="J338" s="16" t="n">
        <x:v>45435.86343748843</x:v>
      </x:c>
      <x:c r="K338" s="16" t="n">
        <x:v>45432.86343748843</x:v>
      </x:c>
      <x:c r="L338" s="20" t="n">
        <x:v>740.94</x:v>
      </x:c>
      <x:c r="M338" s="20" t="n">
        <x:v>0</x:v>
      </x:c>
      <x:c r="N338" s="20" t="n">
        <x:v>0</x:v>
      </x:c>
      <x:c r="O338" s="20" t="n">
        <x:v>740.94</x:v>
      </x:c>
      <x:c r="P338" s="20" t="n">
        <x:v>0</x:v>
      </x:c>
      <x:c r="Q338" s="10" t="str">
        <x:v>Pago</x:v>
      </x:c>
      <x:c r="R338" s="10" t="str">
        <x:v>Cartão Corporativo</x:v>
      </x:c>
      <x:c r="S338" s="10" t="str">
        <x:v>2024-05</x:v>
      </x:c>
      <x:c r="T338" s="10" t="n">
        <x:v>0</x:v>
      </x:c>
      <x:c r="U338" s="10" t="str">
        <x:v>Liquidado</x:v>
      </x:c>
      <x:c r="V338" s="10" t="str">
        <x:v>UND001</x:v>
      </x:c>
    </x:row>
    <x:row r="339" ht="18" customHeight="1">
      <x:c r="A339" s="10" t="str">
        <x:v>PAG00338</x:v>
      </x:c>
      <x:c r="B339" s="10" t="str">
        <x:v>EMP001</x:v>
      </x:c>
      <x:c r="C339" s="10" t="str">
        <x:v>FOR059</x:v>
      </x:c>
      <x:c r="D339" s="10" t="str">
        <x:v>CC003</x:v>
      </x:c>
      <x:c r="E339" s="10" t="str">
        <x:v>CAT015</x:v>
      </x:c>
      <x:c r="F339" s="10" t="str">
        <x:v>CTA002</x:v>
      </x:c>
      <x:c r="G339" s="10" t="str">
        <x:v>NF-100338</x:v>
      </x:c>
      <x:c r="H339" s="10" t="str">
        <x:v>Compra de materiais</x:v>
      </x:c>
      <x:c r="I339" s="16" t="n">
        <x:v>45816.28644829861</x:v>
      </x:c>
      <x:c r="J339" s="16" t="n">
        <x:v>45831.28644829861</x:v>
      </x:c>
      <x:c r="K339" s="16"/>
      <x:c r="L339" s="20" t="n">
        <x:v>7787.12</x:v>
      </x:c>
      <x:c r="M339" s="20" t="n">
        <x:v>0</x:v>
      </x:c>
      <x:c r="N339" s="20" t="n">
        <x:v>0</x:v>
      </x:c>
      <x:c r="O339" s="20" t="n">
        <x:v>0</x:v>
      </x:c>
      <x:c r="P339" s="20" t="n">
        <x:v>7787.12</x:v>
      </x:c>
      <x:c r="Q339" s="10" t="str">
        <x:v>Vencido</x:v>
      </x:c>
      <x:c r="R339" s="10" t="str">
        <x:v>Débito Automático</x:v>
      </x:c>
      <x:c r="S339" s="10" t="str">
        <x:v>2025-06</x:v>
      </x:c>
      <x:c r="T339" s="10" t="n">
        <x:v>190</x:v>
      </x:c>
      <x:c r="U339" s="10" t="str">
        <x:v>&gt; 120 dias</x:v>
      </x:c>
      <x:c r="V339" s="10" t="str">
        <x:v>UND002</x:v>
      </x:c>
    </x:row>
    <x:row r="340" ht="18" customHeight="1">
      <x:c r="A340" s="10" t="str">
        <x:v>PAG00339</x:v>
      </x:c>
      <x:c r="B340" s="10" t="str">
        <x:v>EMP001</x:v>
      </x:c>
      <x:c r="C340" s="10" t="str">
        <x:v>FOR002</x:v>
      </x:c>
      <x:c r="D340" s="10" t="str">
        <x:v>CC007</x:v>
      </x:c>
      <x:c r="E340" s="10" t="str">
        <x:v>CAT008</x:v>
      </x:c>
      <x:c r="F340" s="10" t="str">
        <x:v>CTA001</x:v>
      </x:c>
      <x:c r="G340" s="10" t="str">
        <x:v>NF-100339</x:v>
      </x:c>
      <x:c r="H340" s="10" t="str">
        <x:v>Prestação de serviços</x:v>
      </x:c>
      <x:c r="I340" s="16" t="n">
        <x:v>45873.05405831018</x:v>
      </x:c>
      <x:c r="J340" s="16" t="n">
        <x:v>45933.05405831018</x:v>
      </x:c>
      <x:c r="K340" s="16" t="n">
        <x:v>45933.05405831018</x:v>
      </x:c>
      <x:c r="L340" s="20" t="n">
        <x:v>86935.14</x:v>
      </x:c>
      <x:c r="M340" s="20" t="n">
        <x:v>0</x:v>
      </x:c>
      <x:c r="N340" s="20" t="n">
        <x:v>0</x:v>
      </x:c>
      <x:c r="O340" s="20" t="n">
        <x:v>86935.14</x:v>
      </x:c>
      <x:c r="P340" s="20" t="n">
        <x:v>0</x:v>
      </x:c>
      <x:c r="Q340" s="10" t="str">
        <x:v>Pago</x:v>
      </x:c>
      <x:c r="R340" s="10" t="str">
        <x:v>Cartão Corporativo</x:v>
      </x:c>
      <x:c r="S340" s="10" t="str">
        <x:v>2025-08</x:v>
      </x:c>
      <x:c r="T340" s="10" t="n">
        <x:v>0</x:v>
      </x:c>
      <x:c r="U340" s="10" t="str">
        <x:v>Liquidado</x:v>
      </x:c>
      <x:c r="V340" s="10" t="str">
        <x:v>UND002</x:v>
      </x:c>
    </x:row>
    <x:row r="341" ht="18" customHeight="1">
      <x:c r="A341" s="10" t="str">
        <x:v>PAG00340</x:v>
      </x:c>
      <x:c r="B341" s="10" t="str">
        <x:v>EMP001</x:v>
      </x:c>
      <x:c r="C341" s="10" t="str">
        <x:v>FOR036</x:v>
      </x:c>
      <x:c r="D341" s="10" t="str">
        <x:v>CC001</x:v>
      </x:c>
      <x:c r="E341" s="10" t="str">
        <x:v>CAT013</x:v>
      </x:c>
      <x:c r="F341" s="10" t="str">
        <x:v>CTA001</x:v>
      </x:c>
      <x:c r="G341" s="10" t="str">
        <x:v>NF-100340</x:v>
      </x:c>
      <x:c r="H341" s="10" t="str">
        <x:v>Contrato recorrente</x:v>
      </x:c>
      <x:c r="I341" s="16" t="n">
        <x:v>45320.31531965278</x:v>
      </x:c>
      <x:c r="J341" s="16" t="n">
        <x:v>45380.31531965278</x:v>
      </x:c>
      <x:c r="K341" s="16" t="n">
        <x:v>45390.31531965278</x:v>
      </x:c>
      <x:c r="L341" s="20" t="n">
        <x:v>27472.43</x:v>
      </x:c>
      <x:c r="M341" s="20" t="n">
        <x:v>192.31</x:v>
      </x:c>
      <x:c r="N341" s="20" t="n">
        <x:v>0</x:v>
      </x:c>
      <x:c r="O341" s="20" t="n">
        <x:v>27664.74</x:v>
      </x:c>
      <x:c r="P341" s="20" t="n">
        <x:v>0</x:v>
      </x:c>
      <x:c r="Q341" s="10" t="str">
        <x:v>Pago</x:v>
      </x:c>
      <x:c r="R341" s="10" t="str">
        <x:v>Cartão Corporativo</x:v>
      </x:c>
      <x:c r="S341" s="10" t="str">
        <x:v>2024-01</x:v>
      </x:c>
      <x:c r="T341" s="10" t="n">
        <x:v>0</x:v>
      </x:c>
      <x:c r="U341" s="10" t="str">
        <x:v>Liquidado</x:v>
      </x:c>
      <x:c r="V341" s="10" t="str">
        <x:v>UND002</x:v>
      </x:c>
    </x:row>
    <x:row r="342" ht="18" customHeight="1">
      <x:c r="A342" s="10" t="str">
        <x:v>PAG00341</x:v>
      </x:c>
      <x:c r="B342" s="10" t="str">
        <x:v>EMP001</x:v>
      </x:c>
      <x:c r="C342" s="10" t="str">
        <x:v>FOR024</x:v>
      </x:c>
      <x:c r="D342" s="10" t="str">
        <x:v>CC003</x:v>
      </x:c>
      <x:c r="E342" s="10" t="str">
        <x:v>CAT011</x:v>
      </x:c>
      <x:c r="F342" s="10" t="str">
        <x:v>CTA002</x:v>
      </x:c>
      <x:c r="G342" s="10" t="str">
        <x:v>NF-100341</x:v>
      </x:c>
      <x:c r="H342" s="10" t="str">
        <x:v>Tributos e taxas</x:v>
      </x:c>
      <x:c r="I342" s="16" t="n">
        <x:v>45298.34797870371</x:v>
      </x:c>
      <x:c r="J342" s="16" t="n">
        <x:v>45318.34797870371</x:v>
      </x:c>
      <x:c r="K342" s="16" t="n">
        <x:v>45314.34797870371</x:v>
      </x:c>
      <x:c r="L342" s="20" t="n">
        <x:v>7406.94</x:v>
      </x:c>
      <x:c r="M342" s="20" t="n">
        <x:v>0</x:v>
      </x:c>
      <x:c r="N342" s="20" t="n">
        <x:v>0</x:v>
      </x:c>
      <x:c r="O342" s="20" t="n">
        <x:v>7406.94</x:v>
      </x:c>
      <x:c r="P342" s="20" t="n">
        <x:v>0</x:v>
      </x:c>
      <x:c r="Q342" s="10" t="str">
        <x:v>Pago</x:v>
      </x:c>
      <x:c r="R342" s="10" t="str">
        <x:v>Boleto</x:v>
      </x:c>
      <x:c r="S342" s="10" t="str">
        <x:v>2024-01</x:v>
      </x:c>
      <x:c r="T342" s="10" t="n">
        <x:v>0</x:v>
      </x:c>
      <x:c r="U342" s="10" t="str">
        <x:v>Liquidado</x:v>
      </x:c>
      <x:c r="V342" s="10" t="str">
        <x:v>UND002</x:v>
      </x:c>
    </x:row>
    <x:row r="343" ht="18" customHeight="1">
      <x:c r="A343" s="10" t="str">
        <x:v>PAG00342</x:v>
      </x:c>
      <x:c r="B343" s="10" t="str">
        <x:v>EMP003</x:v>
      </x:c>
      <x:c r="C343" s="10" t="str">
        <x:v>FOR049</x:v>
      </x:c>
      <x:c r="D343" s="10" t="str">
        <x:v>CC003</x:v>
      </x:c>
      <x:c r="E343" s="10" t="str">
        <x:v>CAT012</x:v>
      </x:c>
      <x:c r="F343" s="10" t="str">
        <x:v>CTA005</x:v>
      </x:c>
      <x:c r="G343" s="10" t="str">
        <x:v>NF-100342</x:v>
      </x:c>
      <x:c r="H343" s="10" t="str">
        <x:v>Prestação de serviços</x:v>
      </x:c>
      <x:c r="I343" s="16" t="n">
        <x:v>45786.18777362268</x:v>
      </x:c>
      <x:c r="J343" s="16" t="n">
        <x:v>45831.18777362268</x:v>
      </x:c>
      <x:c r="K343" s="16" t="n">
        <x:v>45833.18777362268</x:v>
      </x:c>
      <x:c r="L343" s="20" t="n">
        <x:v>69014.46</x:v>
      </x:c>
      <x:c r="M343" s="20" t="n">
        <x:v>96.62</x:v>
      </x:c>
      <x:c r="N343" s="20" t="n">
        <x:v>0</x:v>
      </x:c>
      <x:c r="O343" s="20" t="n">
        <x:v>69111.08</x:v>
      </x:c>
      <x:c r="P343" s="20" t="n">
        <x:v>0</x:v>
      </x:c>
      <x:c r="Q343" s="10" t="str">
        <x:v>Pago</x:v>
      </x:c>
      <x:c r="R343" s="10" t="str">
        <x:v>PIX</x:v>
      </x:c>
      <x:c r="S343" s="10" t="str">
        <x:v>2025-05</x:v>
      </x:c>
      <x:c r="T343" s="10" t="n">
        <x:v>0</x:v>
      </x:c>
      <x:c r="U343" s="10" t="str">
        <x:v>Liquidado</x:v>
      </x:c>
      <x:c r="V343" s="10" t="str">
        <x:v>UND004</x:v>
      </x:c>
    </x:row>
    <x:row r="344" ht="18" customHeight="1">
      <x:c r="A344" s="10" t="str">
        <x:v>PAG00343</x:v>
      </x:c>
      <x:c r="B344" s="10" t="str">
        <x:v>EMP001</x:v>
      </x:c>
      <x:c r="C344" s="10" t="str">
        <x:v>FOR009</x:v>
      </x:c>
      <x:c r="D344" s="10" t="str">
        <x:v>CC005</x:v>
      </x:c>
      <x:c r="E344" s="10" t="str">
        <x:v>CAT014</x:v>
      </x:c>
      <x:c r="F344" s="10" t="str">
        <x:v>CTA001</x:v>
      </x:c>
      <x:c r="G344" s="10" t="str">
        <x:v>NF-100343</x:v>
      </x:c>
      <x:c r="H344" s="10" t="str">
        <x:v>Tributos e taxas</x:v>
      </x:c>
      <x:c r="I344" s="16" t="n">
        <x:v>45933.908076458334</x:v>
      </x:c>
      <x:c r="J344" s="16" t="n">
        <x:v>46008.908076458334</x:v>
      </x:c>
      <x:c r="K344" s="16"/>
      <x:c r="L344" s="20" t="n">
        <x:v>7098.34</x:v>
      </x:c>
      <x:c r="M344" s="20" t="n">
        <x:v>0</x:v>
      </x:c>
      <x:c r="N344" s="20" t="n">
        <x:v>0</x:v>
      </x:c>
      <x:c r="O344" s="20" t="n">
        <x:v>0</x:v>
      </x:c>
      <x:c r="P344" s="20" t="n">
        <x:v>7098.34</x:v>
      </x:c>
      <x:c r="Q344" s="10" t="str">
        <x:v>Vencido</x:v>
      </x:c>
      <x:c r="R344" s="10" t="str">
        <x:v>PIX</x:v>
      </x:c>
      <x:c r="S344" s="10" t="str">
        <x:v>2025-10</x:v>
      </x:c>
      <x:c r="T344" s="10" t="n">
        <x:v>13</x:v>
      </x:c>
      <x:c r="U344" s="10" t="str">
        <x:v>1 a 30 dias</x:v>
      </x:c>
      <x:c r="V344" s="10" t="str">
        <x:v>UND002</x:v>
      </x:c>
    </x:row>
    <x:row r="345" ht="18" customHeight="1">
      <x:c r="A345" s="10" t="str">
        <x:v>PAG00344</x:v>
      </x:c>
      <x:c r="B345" s="10" t="str">
        <x:v>EMP002</x:v>
      </x:c>
      <x:c r="C345" s="10" t="str">
        <x:v>FOR033</x:v>
      </x:c>
      <x:c r="D345" s="10" t="str">
        <x:v>CC005</x:v>
      </x:c>
      <x:c r="E345" s="10" t="str">
        <x:v>CAT009</x:v>
      </x:c>
      <x:c r="F345" s="10" t="str">
        <x:v>CTA003</x:v>
      </x:c>
      <x:c r="G345" s="10" t="str">
        <x:v>NF-100344</x:v>
      </x:c>
      <x:c r="H345" s="10" t="str">
        <x:v>Compra de materiais</x:v>
      </x:c>
      <x:c r="I345" s="16" t="n">
        <x:v>45328.60575782407</x:v>
      </x:c>
      <x:c r="J345" s="16" t="n">
        <x:v>45358.60575782407</x:v>
      </x:c>
      <x:c r="K345" s="16" t="n">
        <x:v>45376.60575782407</x:v>
      </x:c>
      <x:c r="L345" s="20" t="n">
        <x:v>4718.81</x:v>
      </x:c>
      <x:c r="M345" s="20" t="n">
        <x:v>59.46</x:v>
      </x:c>
      <x:c r="N345" s="20" t="n">
        <x:v>0</x:v>
      </x:c>
      <x:c r="O345" s="20" t="n">
        <x:v>4778.27</x:v>
      </x:c>
      <x:c r="P345" s="20" t="n">
        <x:v>0</x:v>
      </x:c>
      <x:c r="Q345" s="10" t="str">
        <x:v>Pago</x:v>
      </x:c>
      <x:c r="R345" s="10" t="str">
        <x:v>Débito Automático</x:v>
      </x:c>
      <x:c r="S345" s="10" t="str">
        <x:v>2024-02</x:v>
      </x:c>
      <x:c r="T345" s="10" t="n">
        <x:v>0</x:v>
      </x:c>
      <x:c r="U345" s="10" t="str">
        <x:v>Liquidado</x:v>
      </x:c>
      <x:c r="V345" s="10" t="str">
        <x:v>UND003</x:v>
      </x:c>
    </x:row>
    <x:row r="346" ht="18" customHeight="1">
      <x:c r="A346" s="10" t="str">
        <x:v>PAG00345</x:v>
      </x:c>
      <x:c r="B346" s="10" t="str">
        <x:v>EMP003</x:v>
      </x:c>
      <x:c r="C346" s="10" t="str">
        <x:v>FOR015</x:v>
      </x:c>
      <x:c r="D346" s="10" t="str">
        <x:v>CC006</x:v>
      </x:c>
      <x:c r="E346" s="10" t="str">
        <x:v>CAT011</x:v>
      </x:c>
      <x:c r="F346" s="10" t="str">
        <x:v>CTA006</x:v>
      </x:c>
      <x:c r="G346" s="10" t="str">
        <x:v>NF-100345</x:v>
      </x:c>
      <x:c r="H346" s="10" t="str">
        <x:v>Prestação de serviços</x:v>
      </x:c>
      <x:c r="I346" s="16" t="n">
        <x:v>45646.38597944444</x:v>
      </x:c>
      <x:c r="J346" s="16" t="n">
        <x:v>45676.38597944444</x:v>
      </x:c>
      <x:c r="K346" s="16" t="n">
        <x:v>45678.38597944444</x:v>
      </x:c>
      <x:c r="L346" s="20" t="n">
        <x:v>105289.68</x:v>
      </x:c>
      <x:c r="M346" s="20" t="n">
        <x:v>147.41</x:v>
      </x:c>
      <x:c r="N346" s="20" t="n">
        <x:v>0</x:v>
      </x:c>
      <x:c r="O346" s="20" t="n">
        <x:v>105437.09</x:v>
      </x:c>
      <x:c r="P346" s="20" t="n">
        <x:v>0</x:v>
      </x:c>
      <x:c r="Q346" s="10" t="str">
        <x:v>Pago</x:v>
      </x:c>
      <x:c r="R346" s="10" t="str">
        <x:v>Boleto</x:v>
      </x:c>
      <x:c r="S346" s="10" t="str">
        <x:v>2024-12</x:v>
      </x:c>
      <x:c r="T346" s="10" t="n">
        <x:v>0</x:v>
      </x:c>
      <x:c r="U346" s="10" t="str">
        <x:v>Liquidado</x:v>
      </x:c>
      <x:c r="V346" s="10" t="str">
        <x:v>UND004</x:v>
      </x:c>
    </x:row>
    <x:row r="347" ht="18" customHeight="1">
      <x:c r="A347" s="10" t="str">
        <x:v>PAG00346</x:v>
      </x:c>
      <x:c r="B347" s="10" t="str">
        <x:v>EMP003</x:v>
      </x:c>
      <x:c r="C347" s="10" t="str">
        <x:v>FOR013</x:v>
      </x:c>
      <x:c r="D347" s="10" t="str">
        <x:v>CC001</x:v>
      </x:c>
      <x:c r="E347" s="10" t="str">
        <x:v>CAT018</x:v>
      </x:c>
      <x:c r="F347" s="10" t="str">
        <x:v>CTA005</x:v>
      </x:c>
      <x:c r="G347" s="10" t="str">
        <x:v>NF-100346</x:v>
      </x:c>
      <x:c r="H347" s="10" t="str">
        <x:v>Despesa operacional</x:v>
      </x:c>
      <x:c r="I347" s="16" t="n">
        <x:v>45528.46634429398</x:v>
      </x:c>
      <x:c r="J347" s="16" t="n">
        <x:v>45603.46634429398</x:v>
      </x:c>
      <x:c r="K347" s="16" t="n">
        <x:v>45596.46634429398</x:v>
      </x:c>
      <x:c r="L347" s="20" t="n">
        <x:v>27472.07</x:v>
      </x:c>
      <x:c r="M347" s="20" t="n">
        <x:v>0</x:v>
      </x:c>
      <x:c r="N347" s="20" t="n">
        <x:v>0</x:v>
      </x:c>
      <x:c r="O347" s="20" t="n">
        <x:v>27472.07</x:v>
      </x:c>
      <x:c r="P347" s="20" t="n">
        <x:v>0</x:v>
      </x:c>
      <x:c r="Q347" s="10" t="str">
        <x:v>Pago</x:v>
      </x:c>
      <x:c r="R347" s="10" t="str">
        <x:v>TED</x:v>
      </x:c>
      <x:c r="S347" s="10" t="str">
        <x:v>2024-08</x:v>
      </x:c>
      <x:c r="T347" s="10" t="n">
        <x:v>0</x:v>
      </x:c>
      <x:c r="U347" s="10" t="str">
        <x:v>Liquidado</x:v>
      </x:c>
      <x:c r="V347" s="10" t="str">
        <x:v>UND004</x:v>
      </x:c>
    </x:row>
    <x:row r="348" ht="18" customHeight="1">
      <x:c r="A348" s="10" t="str">
        <x:v>PAG00347</x:v>
      </x:c>
      <x:c r="B348" s="10" t="str">
        <x:v>EMP002</x:v>
      </x:c>
      <x:c r="C348" s="10" t="str">
        <x:v>FOR005</x:v>
      </x:c>
      <x:c r="D348" s="10" t="str">
        <x:v>CC004</x:v>
      </x:c>
      <x:c r="E348" s="10" t="str">
        <x:v>CAT007</x:v>
      </x:c>
      <x:c r="F348" s="10" t="str">
        <x:v>CTA003</x:v>
      </x:c>
      <x:c r="G348" s="10" t="str">
        <x:v>NF-100347</x:v>
      </x:c>
      <x:c r="H348" s="10" t="str">
        <x:v>Tributos e taxas</x:v>
      </x:c>
      <x:c r="I348" s="16" t="n">
        <x:v>45368.433538171295</x:v>
      </x:c>
      <x:c r="J348" s="16" t="n">
        <x:v>45413.433538171295</x:v>
      </x:c>
      <x:c r="K348" s="16" t="n">
        <x:v>45408.433538171295</x:v>
      </x:c>
      <x:c r="L348" s="20" t="n">
        <x:v>4410.77</x:v>
      </x:c>
      <x:c r="M348" s="20" t="n">
        <x:v>0</x:v>
      </x:c>
      <x:c r="N348" s="20" t="n">
        <x:v>0</x:v>
      </x:c>
      <x:c r="O348" s="20" t="n">
        <x:v>4410.77</x:v>
      </x:c>
      <x:c r="P348" s="20" t="n">
        <x:v>0</x:v>
      </x:c>
      <x:c r="Q348" s="10" t="str">
        <x:v>Pago</x:v>
      </x:c>
      <x:c r="R348" s="10" t="str">
        <x:v>TED</x:v>
      </x:c>
      <x:c r="S348" s="10" t="str">
        <x:v>2024-03</x:v>
      </x:c>
      <x:c r="T348" s="10" t="n">
        <x:v>0</x:v>
      </x:c>
      <x:c r="U348" s="10" t="str">
        <x:v>Liquidado</x:v>
      </x:c>
      <x:c r="V348" s="10" t="str">
        <x:v>UND003</x:v>
      </x:c>
    </x:row>
    <x:row r="349" ht="18" customHeight="1">
      <x:c r="A349" s="10" t="str">
        <x:v>PAG00348</x:v>
      </x:c>
      <x:c r="B349" s="10" t="str">
        <x:v>EMP002</x:v>
      </x:c>
      <x:c r="C349" s="10" t="str">
        <x:v>FOR027</x:v>
      </x:c>
      <x:c r="D349" s="10" t="str">
        <x:v>CC008</x:v>
      </x:c>
      <x:c r="E349" s="10" t="str">
        <x:v>CAT007</x:v>
      </x:c>
      <x:c r="F349" s="10" t="str">
        <x:v>CTA003</x:v>
      </x:c>
      <x:c r="G349" s="10" t="str">
        <x:v>NF-100348</x:v>
      </x:c>
      <x:c r="H349" s="10" t="str">
        <x:v>Prestação de serviços</x:v>
      </x:c>
      <x:c r="I349" s="16" t="n">
        <x:v>45551.60422003472</x:v>
      </x:c>
      <x:c r="J349" s="16" t="n">
        <x:v>45586.60422003472</x:v>
      </x:c>
      <x:c r="K349" s="16"/>
      <x:c r="L349" s="20" t="n">
        <x:v>70268.74</x:v>
      </x:c>
      <x:c r="M349" s="20" t="n">
        <x:v>0</x:v>
      </x:c>
      <x:c r="N349" s="20" t="n">
        <x:v>0</x:v>
      </x:c>
      <x:c r="O349" s="20" t="n">
        <x:v>0</x:v>
      </x:c>
      <x:c r="P349" s="20" t="n">
        <x:v>70268.74</x:v>
      </x:c>
      <x:c r="Q349" s="10" t="str">
        <x:v>Vencido</x:v>
      </x:c>
      <x:c r="R349" s="10" t="str">
        <x:v>TED</x:v>
      </x:c>
      <x:c r="S349" s="10" t="str">
        <x:v>2024-09</x:v>
      </x:c>
      <x:c r="T349" s="10" t="n">
        <x:v>435</x:v>
      </x:c>
      <x:c r="U349" s="10" t="str">
        <x:v>&gt; 120 dias</x:v>
      </x:c>
      <x:c r="V349" s="10" t="str">
        <x:v>UND003</x:v>
      </x:c>
    </x:row>
    <x:row r="350" ht="18" customHeight="1">
      <x:c r="A350" s="10" t="str">
        <x:v>PAG00349</x:v>
      </x:c>
      <x:c r="B350" s="10" t="str">
        <x:v>EMP002</x:v>
      </x:c>
      <x:c r="C350" s="10" t="str">
        <x:v>FOR047</x:v>
      </x:c>
      <x:c r="D350" s="10" t="str">
        <x:v>CC005</x:v>
      </x:c>
      <x:c r="E350" s="10" t="str">
        <x:v>CAT009</x:v>
      </x:c>
      <x:c r="F350" s="10" t="str">
        <x:v>CTA003</x:v>
      </x:c>
      <x:c r="G350" s="10" t="str">
        <x:v>NF-100349</x:v>
      </x:c>
      <x:c r="H350" s="10" t="str">
        <x:v>Tributos e taxas</x:v>
      </x:c>
      <x:c r="I350" s="16" t="n">
        <x:v>45300.36693040509</x:v>
      </x:c>
      <x:c r="J350" s="16" t="n">
        <x:v>45375.36693040509</x:v>
      </x:c>
      <x:c r="K350" s="16" t="n">
        <x:v>45388.36693040509</x:v>
      </x:c>
      <x:c r="L350" s="20" t="n">
        <x:v>94062.56</x:v>
      </x:c>
      <x:c r="M350" s="20" t="n">
        <x:v>855.97</x:v>
      </x:c>
      <x:c r="N350" s="20" t="n">
        <x:v>0</x:v>
      </x:c>
      <x:c r="O350" s="20" t="n">
        <x:v>94918.53</x:v>
      </x:c>
      <x:c r="P350" s="20" t="n">
        <x:v>0</x:v>
      </x:c>
      <x:c r="Q350" s="10" t="str">
        <x:v>Pago</x:v>
      </x:c>
      <x:c r="R350" s="10" t="str">
        <x:v>Boleto</x:v>
      </x:c>
      <x:c r="S350" s="10" t="str">
        <x:v>2024-01</x:v>
      </x:c>
      <x:c r="T350" s="10" t="n">
        <x:v>0</x:v>
      </x:c>
      <x:c r="U350" s="10" t="str">
        <x:v>Liquidado</x:v>
      </x:c>
      <x:c r="V350" s="10" t="str">
        <x:v>UND003</x:v>
      </x:c>
    </x:row>
    <x:row r="351" ht="18" customHeight="1">
      <x:c r="A351" s="10" t="str">
        <x:v>PAG00350</x:v>
      </x:c>
      <x:c r="B351" s="10" t="str">
        <x:v>EMP003</x:v>
      </x:c>
      <x:c r="C351" s="10" t="str">
        <x:v>FOR017</x:v>
      </x:c>
      <x:c r="D351" s="10" t="str">
        <x:v>CC006</x:v>
      </x:c>
      <x:c r="E351" s="10" t="str">
        <x:v>CAT016</x:v>
      </x:c>
      <x:c r="F351" s="10" t="str">
        <x:v>CTA006</x:v>
      </x:c>
      <x:c r="G351" s="10" t="str">
        <x:v>NF-100350</x:v>
      </x:c>
      <x:c r="H351" s="10" t="str">
        <x:v>Compra de materiais</x:v>
      </x:c>
      <x:c r="I351" s="16" t="n">
        <x:v>45752.08842947917</x:v>
      </x:c>
      <x:c r="J351" s="16" t="n">
        <x:v>45787.08842947917</x:v>
      </x:c>
      <x:c r="K351" s="16" t="n">
        <x:v>45810.08842947917</x:v>
      </x:c>
      <x:c r="L351" s="20" t="n">
        <x:v>38541.6</x:v>
      </x:c>
      <x:c r="M351" s="20" t="n">
        <x:v>620.52</x:v>
      </x:c>
      <x:c r="N351" s="20" t="n">
        <x:v>0</x:v>
      </x:c>
      <x:c r="O351" s="20" t="n">
        <x:v>39162.12</x:v>
      </x:c>
      <x:c r="P351" s="20" t="n">
        <x:v>0</x:v>
      </x:c>
      <x:c r="Q351" s="10" t="str">
        <x:v>Pago</x:v>
      </x:c>
      <x:c r="R351" s="10" t="str">
        <x:v>Cartão Corporativo</x:v>
      </x:c>
      <x:c r="S351" s="10" t="str">
        <x:v>2025-04</x:v>
      </x:c>
      <x:c r="T351" s="10" t="n">
        <x:v>0</x:v>
      </x:c>
      <x:c r="U351" s="10" t="str">
        <x:v>Liquidado</x:v>
      </x:c>
      <x:c r="V351" s="10" t="str">
        <x:v>UND004</x:v>
      </x:c>
    </x:row>
    <x:row r="352" ht="18" customHeight="1">
      <x:c r="A352" s="10" t="str">
        <x:v>PAG00351</x:v>
      </x:c>
      <x:c r="B352" s="10" t="str">
        <x:v>EMP001</x:v>
      </x:c>
      <x:c r="C352" s="10" t="str">
        <x:v>FOR029</x:v>
      </x:c>
      <x:c r="D352" s="10" t="str">
        <x:v>CC006</x:v>
      </x:c>
      <x:c r="E352" s="10" t="str">
        <x:v>CAT011</x:v>
      </x:c>
      <x:c r="F352" s="10" t="str">
        <x:v>CTA001</x:v>
      </x:c>
      <x:c r="G352" s="10" t="str">
        <x:v>NF-100351</x:v>
      </x:c>
      <x:c r="H352" s="10" t="str">
        <x:v>Tributos e taxas</x:v>
      </x:c>
      <x:c r="I352" s="16" t="n">
        <x:v>45631.321870011576</x:v>
      </x:c>
      <x:c r="J352" s="16" t="n">
        <x:v>45676.321870011576</x:v>
      </x:c>
      <x:c r="K352" s="16" t="n">
        <x:v>45683.321870011576</x:v>
      </x:c>
      <x:c r="L352" s="20" t="n">
        <x:v>5783.5</x:v>
      </x:c>
      <x:c r="M352" s="20" t="n">
        <x:v>28.34</x:v>
      </x:c>
      <x:c r="N352" s="20" t="n">
        <x:v>0</x:v>
      </x:c>
      <x:c r="O352" s="20" t="n">
        <x:v>5811.84</x:v>
      </x:c>
      <x:c r="P352" s="20" t="n">
        <x:v>0</x:v>
      </x:c>
      <x:c r="Q352" s="10" t="str">
        <x:v>Pago</x:v>
      </x:c>
      <x:c r="R352" s="10" t="str">
        <x:v>Boleto</x:v>
      </x:c>
      <x:c r="S352" s="10" t="str">
        <x:v>2024-12</x:v>
      </x:c>
      <x:c r="T352" s="10" t="n">
        <x:v>0</x:v>
      </x:c>
      <x:c r="U352" s="10" t="str">
        <x:v>Liquidado</x:v>
      </x:c>
      <x:c r="V352" s="10" t="str">
        <x:v>UND002</x:v>
      </x:c>
    </x:row>
    <x:row r="353" ht="18" customHeight="1">
      <x:c r="A353" s="10" t="str">
        <x:v>PAG00352</x:v>
      </x:c>
      <x:c r="B353" s="10" t="str">
        <x:v>EMP001</x:v>
      </x:c>
      <x:c r="C353" s="10" t="str">
        <x:v>FOR016</x:v>
      </x:c>
      <x:c r="D353" s="10" t="str">
        <x:v>CC003</x:v>
      </x:c>
      <x:c r="E353" s="10" t="str">
        <x:v>CAT007</x:v>
      </x:c>
      <x:c r="F353" s="10" t="str">
        <x:v>CTA001</x:v>
      </x:c>
      <x:c r="G353" s="10" t="str">
        <x:v>NF-100352</x:v>
      </x:c>
      <x:c r="H353" s="10" t="str">
        <x:v>Contrato recorrente</x:v>
      </x:c>
      <x:c r="I353" s="16" t="n">
        <x:v>45604.74457200232</x:v>
      </x:c>
      <x:c r="J353" s="16" t="n">
        <x:v>45619.74457200232</x:v>
      </x:c>
      <x:c r="K353" s="16" t="n">
        <x:v>45619.74457200232</x:v>
      </x:c>
      <x:c r="L353" s="20" t="n">
        <x:v>38535.73</x:v>
      </x:c>
      <x:c r="M353" s="20" t="n">
        <x:v>0</x:v>
      </x:c>
      <x:c r="N353" s="20" t="n">
        <x:v>0</x:v>
      </x:c>
      <x:c r="O353" s="20" t="n">
        <x:v>38535.73</x:v>
      </x:c>
      <x:c r="P353" s="20" t="n">
        <x:v>0</x:v>
      </x:c>
      <x:c r="Q353" s="10" t="str">
        <x:v>Pago</x:v>
      </x:c>
      <x:c r="R353" s="10" t="str">
        <x:v>Cartão Corporativo</x:v>
      </x:c>
      <x:c r="S353" s="10" t="str">
        <x:v>2024-11</x:v>
      </x:c>
      <x:c r="T353" s="10" t="n">
        <x:v>0</x:v>
      </x:c>
      <x:c r="U353" s="10" t="str">
        <x:v>Liquidado</x:v>
      </x:c>
      <x:c r="V353" s="10" t="str">
        <x:v>UND002</x:v>
      </x:c>
    </x:row>
    <x:row r="354" ht="18" customHeight="1">
      <x:c r="A354" s="10" t="str">
        <x:v>PAG00353</x:v>
      </x:c>
      <x:c r="B354" s="10" t="str">
        <x:v>EMP001</x:v>
      </x:c>
      <x:c r="C354" s="10" t="str">
        <x:v>FOR019</x:v>
      </x:c>
      <x:c r="D354" s="10" t="str">
        <x:v>CC003</x:v>
      </x:c>
      <x:c r="E354" s="10" t="str">
        <x:v>CAT012</x:v>
      </x:c>
      <x:c r="F354" s="10" t="str">
        <x:v>CTA002</x:v>
      </x:c>
      <x:c r="G354" s="10" t="str">
        <x:v>NF-100353</x:v>
      </x:c>
      <x:c r="H354" s="10" t="str">
        <x:v>Contrato recorrente</x:v>
      </x:c>
      <x:c r="I354" s="16" t="n">
        <x:v>45797.1277991088</x:v>
      </x:c>
      <x:c r="J354" s="16" t="n">
        <x:v>45817.1277991088</x:v>
      </x:c>
      <x:c r="K354" s="16" t="n">
        <x:v>45821.1277991088</x:v>
      </x:c>
      <x:c r="L354" s="20" t="n">
        <x:v>31150.53</x:v>
      </x:c>
      <x:c r="M354" s="20" t="n">
        <x:v>87.22</x:v>
      </x:c>
      <x:c r="N354" s="20" t="n">
        <x:v>0</x:v>
      </x:c>
      <x:c r="O354" s="20" t="n">
        <x:v>31237.75</x:v>
      </x:c>
      <x:c r="P354" s="20" t="n">
        <x:v>0</x:v>
      </x:c>
      <x:c r="Q354" s="10" t="str">
        <x:v>Pago</x:v>
      </x:c>
      <x:c r="R354" s="10" t="str">
        <x:v>Boleto</x:v>
      </x:c>
      <x:c r="S354" s="10" t="str">
        <x:v>2025-05</x:v>
      </x:c>
      <x:c r="T354" s="10" t="n">
        <x:v>0</x:v>
      </x:c>
      <x:c r="U354" s="10" t="str">
        <x:v>Liquidado</x:v>
      </x:c>
      <x:c r="V354" s="10" t="str">
        <x:v>UND001</x:v>
      </x:c>
    </x:row>
    <x:row r="355" ht="18" customHeight="1">
      <x:c r="A355" s="10" t="str">
        <x:v>PAG00354</x:v>
      </x:c>
      <x:c r="B355" s="10" t="str">
        <x:v>EMP002</x:v>
      </x:c>
      <x:c r="C355" s="10" t="str">
        <x:v>FOR057</x:v>
      </x:c>
      <x:c r="D355" s="10" t="str">
        <x:v>CC008</x:v>
      </x:c>
      <x:c r="E355" s="10" t="str">
        <x:v>CAT007</x:v>
      </x:c>
      <x:c r="F355" s="10" t="str">
        <x:v>CTA004</x:v>
      </x:c>
      <x:c r="G355" s="10" t="str">
        <x:v>NF-100354</x:v>
      </x:c>
      <x:c r="H355" s="10" t="str">
        <x:v>Tributos e taxas</x:v>
      </x:c>
      <x:c r="I355" s="16" t="n">
        <x:v>45755.68308275463</x:v>
      </x:c>
      <x:c r="J355" s="16" t="n">
        <x:v>45785.68308275463</x:v>
      </x:c>
      <x:c r="K355" s="16" t="n">
        <x:v>45781.68308275463</x:v>
      </x:c>
      <x:c r="L355" s="20" t="n">
        <x:v>65939.86</x:v>
      </x:c>
      <x:c r="M355" s="20" t="n">
        <x:v>0</x:v>
      </x:c>
      <x:c r="N355" s="20" t="n">
        <x:v>0</x:v>
      </x:c>
      <x:c r="O355" s="20" t="n">
        <x:v>65939.86</x:v>
      </x:c>
      <x:c r="P355" s="20" t="n">
        <x:v>0</x:v>
      </x:c>
      <x:c r="Q355" s="10" t="str">
        <x:v>Pago</x:v>
      </x:c>
      <x:c r="R355" s="10" t="str">
        <x:v>TED</x:v>
      </x:c>
      <x:c r="S355" s="10" t="str">
        <x:v>2025-04</x:v>
      </x:c>
      <x:c r="T355" s="10" t="n">
        <x:v>0</x:v>
      </x:c>
      <x:c r="U355" s="10" t="str">
        <x:v>Liquidado</x:v>
      </x:c>
      <x:c r="V355" s="10" t="str">
        <x:v>UND003</x:v>
      </x:c>
    </x:row>
    <x:row r="356" ht="18" customHeight="1">
      <x:c r="A356" s="10" t="str">
        <x:v>PAG00355</x:v>
      </x:c>
      <x:c r="B356" s="10" t="str">
        <x:v>EMP003</x:v>
      </x:c>
      <x:c r="C356" s="10" t="str">
        <x:v>FOR046</x:v>
      </x:c>
      <x:c r="D356" s="10" t="str">
        <x:v>CC001</x:v>
      </x:c>
      <x:c r="E356" s="10" t="str">
        <x:v>CAT012</x:v>
      </x:c>
      <x:c r="F356" s="10" t="str">
        <x:v>CTA006</x:v>
      </x:c>
      <x:c r="G356" s="10" t="str">
        <x:v>NF-100355</x:v>
      </x:c>
      <x:c r="H356" s="10" t="str">
        <x:v>Contrato recorrente</x:v>
      </x:c>
      <x:c r="I356" s="16" t="n">
        <x:v>45675.42808957176</x:v>
      </x:c>
      <x:c r="J356" s="16" t="n">
        <x:v>45750.42808957176</x:v>
      </x:c>
      <x:c r="K356" s="16" t="n">
        <x:v>45780.42808957176</x:v>
      </x:c>
      <x:c r="L356" s="20" t="n">
        <x:v>113688.01</x:v>
      </x:c>
      <x:c r="M356" s="20" t="n">
        <x:v>2387.45</x:v>
      </x:c>
      <x:c r="N356" s="20" t="n">
        <x:v>0</x:v>
      </x:c>
      <x:c r="O356" s="20" t="n">
        <x:v>116075.46</x:v>
      </x:c>
      <x:c r="P356" s="20" t="n">
        <x:v>0</x:v>
      </x:c>
      <x:c r="Q356" s="10" t="str">
        <x:v>Pago</x:v>
      </x:c>
      <x:c r="R356" s="10" t="str">
        <x:v>TED</x:v>
      </x:c>
      <x:c r="S356" s="10" t="str">
        <x:v>2025-01</x:v>
      </x:c>
      <x:c r="T356" s="10" t="n">
        <x:v>0</x:v>
      </x:c>
      <x:c r="U356" s="10" t="str">
        <x:v>Liquidado</x:v>
      </x:c>
      <x:c r="V356" s="10" t="str">
        <x:v>UND004</x:v>
      </x:c>
    </x:row>
    <x:row r="357" ht="18" customHeight="1">
      <x:c r="A357" s="10" t="str">
        <x:v>PAG00356</x:v>
      </x:c>
      <x:c r="B357" s="10" t="str">
        <x:v>EMP003</x:v>
      </x:c>
      <x:c r="C357" s="10" t="str">
        <x:v>FOR017</x:v>
      </x:c>
      <x:c r="D357" s="10" t="str">
        <x:v>CC004</x:v>
      </x:c>
      <x:c r="E357" s="10" t="str">
        <x:v>CAT013</x:v>
      </x:c>
      <x:c r="F357" s="10" t="str">
        <x:v>CTA006</x:v>
      </x:c>
      <x:c r="G357" s="10" t="str">
        <x:v>NF-100356</x:v>
      </x:c>
      <x:c r="H357" s="10" t="str">
        <x:v>Contrato recorrente</x:v>
      </x:c>
      <x:c r="I357" s="16" t="n">
        <x:v>45951.58571074074</x:v>
      </x:c>
      <x:c r="J357" s="16" t="n">
        <x:v>45966.58571074074</x:v>
      </x:c>
      <x:c r="K357" s="16" t="n">
        <x:v>45969.58571074074</x:v>
      </x:c>
      <x:c r="L357" s="20" t="n">
        <x:v>25631.25</x:v>
      </x:c>
      <x:c r="M357" s="20" t="n">
        <x:v>53.83</x:v>
      </x:c>
      <x:c r="N357" s="20" t="n">
        <x:v>0</x:v>
      </x:c>
      <x:c r="O357" s="20" t="n">
        <x:v>25685.08</x:v>
      </x:c>
      <x:c r="P357" s="20" t="n">
        <x:v>0</x:v>
      </x:c>
      <x:c r="Q357" s="10" t="str">
        <x:v>Pago</x:v>
      </x:c>
      <x:c r="R357" s="10" t="str">
        <x:v>Débito Automático</x:v>
      </x:c>
      <x:c r="S357" s="10" t="str">
        <x:v>2025-10</x:v>
      </x:c>
      <x:c r="T357" s="10" t="n">
        <x:v>0</x:v>
      </x:c>
      <x:c r="U357" s="10" t="str">
        <x:v>Liquidado</x:v>
      </x:c>
      <x:c r="V357" s="10" t="str">
        <x:v>UND004</x:v>
      </x:c>
    </x:row>
    <x:row r="358" ht="18" customHeight="1">
      <x:c r="A358" s="10" t="str">
        <x:v>PAG00357</x:v>
      </x:c>
      <x:c r="B358" s="10" t="str">
        <x:v>EMP003</x:v>
      </x:c>
      <x:c r="C358" s="10" t="str">
        <x:v>FOR001</x:v>
      </x:c>
      <x:c r="D358" s="10" t="str">
        <x:v>CC003</x:v>
      </x:c>
      <x:c r="E358" s="10" t="str">
        <x:v>CAT006</x:v>
      </x:c>
      <x:c r="F358" s="10" t="str">
        <x:v>CTA005</x:v>
      </x:c>
      <x:c r="G358" s="10" t="str">
        <x:v>NF-100357</x:v>
      </x:c>
      <x:c r="H358" s="10" t="str">
        <x:v>Contrato recorrente</x:v>
      </x:c>
      <x:c r="I358" s="16" t="n">
        <x:v>45534.18740945602</x:v>
      </x:c>
      <x:c r="J358" s="16" t="n">
        <x:v>45594.18740945602</x:v>
      </x:c>
      <x:c r="K358" s="16" t="n">
        <x:v>45625.18740945602</x:v>
      </x:c>
      <x:c r="L358" s="20" t="n">
        <x:v>75174.3</x:v>
      </x:c>
      <x:c r="M358" s="20" t="n">
        <x:v>1631.28</x:v>
      </x:c>
      <x:c r="N358" s="20" t="n">
        <x:v>0</x:v>
      </x:c>
      <x:c r="O358" s="20" t="n">
        <x:v>76805.58</x:v>
      </x:c>
      <x:c r="P358" s="20" t="n">
        <x:v>0</x:v>
      </x:c>
      <x:c r="Q358" s="10" t="str">
        <x:v>Pago</x:v>
      </x:c>
      <x:c r="R358" s="10" t="str">
        <x:v>TED</x:v>
      </x:c>
      <x:c r="S358" s="10" t="str">
        <x:v>2024-08</x:v>
      </x:c>
      <x:c r="T358" s="10" t="n">
        <x:v>0</x:v>
      </x:c>
      <x:c r="U358" s="10" t="str">
        <x:v>Liquidado</x:v>
      </x:c>
      <x:c r="V358" s="10" t="str">
        <x:v>UND004</x:v>
      </x:c>
    </x:row>
    <x:row r="359" ht="18" customHeight="1">
      <x:c r="A359" s="10" t="str">
        <x:v>PAG00358</x:v>
      </x:c>
      <x:c r="B359" s="10" t="str">
        <x:v>EMP003</x:v>
      </x:c>
      <x:c r="C359" s="10" t="str">
        <x:v>FOR009</x:v>
      </x:c>
      <x:c r="D359" s="10" t="str">
        <x:v>CC005</x:v>
      </x:c>
      <x:c r="E359" s="10" t="str">
        <x:v>CAT013</x:v>
      </x:c>
      <x:c r="F359" s="10" t="str">
        <x:v>CTA005</x:v>
      </x:c>
      <x:c r="G359" s="10" t="str">
        <x:v>NF-100358</x:v>
      </x:c>
      <x:c r="H359" s="10" t="str">
        <x:v>Despesa operacional</x:v>
      </x:c>
      <x:c r="I359" s="16" t="n">
        <x:v>45393.376628252314</x:v>
      </x:c>
      <x:c r="J359" s="16" t="n">
        <x:v>45453.376628252314</x:v>
      </x:c>
      <x:c r="K359" s="16" t="n">
        <x:v>45464.376628252314</x:v>
      </x:c>
      <x:c r="L359" s="20" t="n">
        <x:v>104322.72</x:v>
      </x:c>
      <x:c r="M359" s="20" t="n">
        <x:v>803.28</x:v>
      </x:c>
      <x:c r="N359" s="20" t="n">
        <x:v>0</x:v>
      </x:c>
      <x:c r="O359" s="20" t="n">
        <x:v>105126</x:v>
      </x:c>
      <x:c r="P359" s="20" t="n">
        <x:v>0</x:v>
      </x:c>
      <x:c r="Q359" s="10" t="str">
        <x:v>Pago</x:v>
      </x:c>
      <x:c r="R359" s="10" t="str">
        <x:v>TED</x:v>
      </x:c>
      <x:c r="S359" s="10" t="str">
        <x:v>2024-04</x:v>
      </x:c>
      <x:c r="T359" s="10" t="n">
        <x:v>0</x:v>
      </x:c>
      <x:c r="U359" s="10" t="str">
        <x:v>Liquidado</x:v>
      </x:c>
      <x:c r="V359" s="10" t="str">
        <x:v>UND004</x:v>
      </x:c>
    </x:row>
    <x:row r="360" ht="18" customHeight="1">
      <x:c r="A360" s="10" t="str">
        <x:v>PAG00359</x:v>
      </x:c>
      <x:c r="B360" s="10" t="str">
        <x:v>EMP002</x:v>
      </x:c>
      <x:c r="C360" s="10" t="str">
        <x:v>FOR023</x:v>
      </x:c>
      <x:c r="D360" s="10" t="str">
        <x:v>CC004</x:v>
      </x:c>
      <x:c r="E360" s="10" t="str">
        <x:v>CAT018</x:v>
      </x:c>
      <x:c r="F360" s="10" t="str">
        <x:v>CTA003</x:v>
      </x:c>
      <x:c r="G360" s="10" t="str">
        <x:v>NF-100359</x:v>
      </x:c>
      <x:c r="H360" s="10" t="str">
        <x:v>Prestação de serviços</x:v>
      </x:c>
      <x:c r="I360" s="16" t="n">
        <x:v>45700.32753173611</x:v>
      </x:c>
      <x:c r="J360" s="16" t="n">
        <x:v>45775.32753173611</x:v>
      </x:c>
      <x:c r="K360" s="16" t="n">
        <x:v>45789.32753173611</x:v>
      </x:c>
      <x:c r="L360" s="20" t="n">
        <x:v>27863.84</x:v>
      </x:c>
      <x:c r="M360" s="20" t="n">
        <x:v>273.07</x:v>
      </x:c>
      <x:c r="N360" s="20" t="n">
        <x:v>0</x:v>
      </x:c>
      <x:c r="O360" s="20" t="n">
        <x:v>28136.91</x:v>
      </x:c>
      <x:c r="P360" s="20" t="n">
        <x:v>0</x:v>
      </x:c>
      <x:c r="Q360" s="10" t="str">
        <x:v>Pago</x:v>
      </x:c>
      <x:c r="R360" s="10" t="str">
        <x:v>PIX</x:v>
      </x:c>
      <x:c r="S360" s="10" t="str">
        <x:v>2025-02</x:v>
      </x:c>
      <x:c r="T360" s="10" t="n">
        <x:v>0</x:v>
      </x:c>
      <x:c r="U360" s="10" t="str">
        <x:v>Liquidado</x:v>
      </x:c>
      <x:c r="V360" s="10" t="str">
        <x:v>UND003</x:v>
      </x:c>
    </x:row>
    <x:row r="361" ht="18" customHeight="1">
      <x:c r="A361" s="10" t="str">
        <x:v>PAG00360</x:v>
      </x:c>
      <x:c r="B361" s="10" t="str">
        <x:v>EMP002</x:v>
      </x:c>
      <x:c r="C361" s="10" t="str">
        <x:v>FOR009</x:v>
      </x:c>
      <x:c r="D361" s="10" t="str">
        <x:v>CC008</x:v>
      </x:c>
      <x:c r="E361" s="10" t="str">
        <x:v>CAT016</x:v>
      </x:c>
      <x:c r="F361" s="10" t="str">
        <x:v>CTA003</x:v>
      </x:c>
      <x:c r="G361" s="10" t="str">
        <x:v>NF-100360</x:v>
      </x:c>
      <x:c r="H361" s="10" t="str">
        <x:v>Compra de materiais</x:v>
      </x:c>
      <x:c r="I361" s="16" t="n">
        <x:v>46010.43702952546</x:v>
      </x:c>
      <x:c r="J361" s="16" t="n">
        <x:v>46025.43702952546</x:v>
      </x:c>
      <x:c r="K361" s="16"/>
      <x:c r="L361" s="20" t="n">
        <x:v>43504.79</x:v>
      </x:c>
      <x:c r="M361" s="20" t="n">
        <x:v>0</x:v>
      </x:c>
      <x:c r="N361" s="20" t="n">
        <x:v>0</x:v>
      </x:c>
      <x:c r="O361" s="20" t="n">
        <x:v>0</x:v>
      </x:c>
      <x:c r="P361" s="20" t="n">
        <x:v>43504.79</x:v>
      </x:c>
      <x:c r="Q361" s="10" t="str">
        <x:v>A vencer</x:v>
      </x:c>
      <x:c r="R361" s="10" t="str">
        <x:v>PIX</x:v>
      </x:c>
      <x:c r="S361" s="10" t="str">
        <x:v>2025-12</x:v>
      </x:c>
      <x:c r="T361" s="10" t="n">
        <x:v>0</x:v>
      </x:c>
      <x:c r="U361" s="10" t="str">
        <x:v>A vencer</x:v>
      </x:c>
      <x:c r="V361" s="10" t="str">
        <x:v>UND003</x:v>
      </x:c>
    </x:row>
    <x:row r="362" ht="18" customHeight="1">
      <x:c r="A362" s="10" t="str">
        <x:v>PAG00361</x:v>
      </x:c>
      <x:c r="B362" s="10" t="str">
        <x:v>EMP002</x:v>
      </x:c>
      <x:c r="C362" s="10" t="str">
        <x:v>FOR033</x:v>
      </x:c>
      <x:c r="D362" s="10" t="str">
        <x:v>CC006</x:v>
      </x:c>
      <x:c r="E362" s="10" t="str">
        <x:v>CAT011</x:v>
      </x:c>
      <x:c r="F362" s="10" t="str">
        <x:v>CTA003</x:v>
      </x:c>
      <x:c r="G362" s="10" t="str">
        <x:v>NF-100361</x:v>
      </x:c>
      <x:c r="H362" s="10" t="str">
        <x:v>Contrato recorrente</x:v>
      </x:c>
      <x:c r="I362" s="16" t="n">
        <x:v>45424.39173461805</x:v>
      </x:c>
      <x:c r="J362" s="16" t="n">
        <x:v>45499.39173461805</x:v>
      </x:c>
      <x:c r="K362" s="16" t="n">
        <x:v>45510.39173461805</x:v>
      </x:c>
      <x:c r="L362" s="20" t="n">
        <x:v>5032.4</x:v>
      </x:c>
      <x:c r="M362" s="20" t="n">
        <x:v>38.75</x:v>
      </x:c>
      <x:c r="N362" s="20" t="n">
        <x:v>0</x:v>
      </x:c>
      <x:c r="O362" s="20" t="n">
        <x:v>5071.15</x:v>
      </x:c>
      <x:c r="P362" s="20" t="n">
        <x:v>0</x:v>
      </x:c>
      <x:c r="Q362" s="10" t="str">
        <x:v>Pago</x:v>
      </x:c>
      <x:c r="R362" s="10" t="str">
        <x:v>TED</x:v>
      </x:c>
      <x:c r="S362" s="10" t="str">
        <x:v>2024-05</x:v>
      </x:c>
      <x:c r="T362" s="10" t="n">
        <x:v>0</x:v>
      </x:c>
      <x:c r="U362" s="10" t="str">
        <x:v>Liquidado</x:v>
      </x:c>
      <x:c r="V362" s="10" t="str">
        <x:v>UND003</x:v>
      </x:c>
    </x:row>
    <x:row r="363" ht="18" customHeight="1">
      <x:c r="A363" s="10" t="str">
        <x:v>PAG00362</x:v>
      </x:c>
      <x:c r="B363" s="10" t="str">
        <x:v>EMP001</x:v>
      </x:c>
      <x:c r="C363" s="10" t="str">
        <x:v>FOR012</x:v>
      </x:c>
      <x:c r="D363" s="10" t="str">
        <x:v>CC002</x:v>
      </x:c>
      <x:c r="E363" s="10" t="str">
        <x:v>CAT008</x:v>
      </x:c>
      <x:c r="F363" s="10" t="str">
        <x:v>CTA001</x:v>
      </x:c>
      <x:c r="G363" s="10" t="str">
        <x:v>NF-100362</x:v>
      </x:c>
      <x:c r="H363" s="10" t="str">
        <x:v>Despesa operacional</x:v>
      </x:c>
      <x:c r="I363" s="16" t="n">
        <x:v>45663.485171886576</x:v>
      </x:c>
      <x:c r="J363" s="16" t="n">
        <x:v>45693.485171886576</x:v>
      </x:c>
      <x:c r="K363" s="16" t="n">
        <x:v>45694.485171886576</x:v>
      </x:c>
      <x:c r="L363" s="20" t="n">
        <x:v>35475.66</x:v>
      </x:c>
      <x:c r="M363" s="20" t="n">
        <x:v>24.83</x:v>
      </x:c>
      <x:c r="N363" s="20" t="n">
        <x:v>0</x:v>
      </x:c>
      <x:c r="O363" s="20" t="n">
        <x:v>35500.49</x:v>
      </x:c>
      <x:c r="P363" s="20" t="n">
        <x:v>0</x:v>
      </x:c>
      <x:c r="Q363" s="10" t="str">
        <x:v>Pago</x:v>
      </x:c>
      <x:c r="R363" s="10" t="str">
        <x:v>Débito Automático</x:v>
      </x:c>
      <x:c r="S363" s="10" t="str">
        <x:v>2025-01</x:v>
      </x:c>
      <x:c r="T363" s="10" t="n">
        <x:v>0</x:v>
      </x:c>
      <x:c r="U363" s="10" t="str">
        <x:v>Liquidado</x:v>
      </x:c>
      <x:c r="V363" s="10" t="str">
        <x:v>UND002</x:v>
      </x:c>
    </x:row>
    <x:row r="364" ht="18" customHeight="1">
      <x:c r="A364" s="10" t="str">
        <x:v>PAG00363</x:v>
      </x:c>
      <x:c r="B364" s="10" t="str">
        <x:v>EMP002</x:v>
      </x:c>
      <x:c r="C364" s="10" t="str">
        <x:v>FOR008</x:v>
      </x:c>
      <x:c r="D364" s="10" t="str">
        <x:v>CC001</x:v>
      </x:c>
      <x:c r="E364" s="10" t="str">
        <x:v>CAT012</x:v>
      </x:c>
      <x:c r="F364" s="10" t="str">
        <x:v>CTA003</x:v>
      </x:c>
      <x:c r="G364" s="10" t="str">
        <x:v>NF-100363</x:v>
      </x:c>
      <x:c r="H364" s="10" t="str">
        <x:v>Tributos e taxas</x:v>
      </x:c>
      <x:c r="I364" s="16" t="n">
        <x:v>45450.09034631944</x:v>
      </x:c>
      <x:c r="J364" s="16" t="n">
        <x:v>45510.09034631944</x:v>
      </x:c>
      <x:c r="K364" s="16" t="n">
        <x:v>45521.09034631944</x:v>
      </x:c>
      <x:c r="L364" s="20" t="n">
        <x:v>89234.66</x:v>
      </x:c>
      <x:c r="M364" s="20" t="n">
        <x:v>687.11</x:v>
      </x:c>
      <x:c r="N364" s="20" t="n">
        <x:v>0</x:v>
      </x:c>
      <x:c r="O364" s="20" t="n">
        <x:v>89921.77</x:v>
      </x:c>
      <x:c r="P364" s="20" t="n">
        <x:v>0</x:v>
      </x:c>
      <x:c r="Q364" s="10" t="str">
        <x:v>Pago</x:v>
      </x:c>
      <x:c r="R364" s="10" t="str">
        <x:v>Débito Automático</x:v>
      </x:c>
      <x:c r="S364" s="10" t="str">
        <x:v>2024-06</x:v>
      </x:c>
      <x:c r="T364" s="10" t="n">
        <x:v>0</x:v>
      </x:c>
      <x:c r="U364" s="10" t="str">
        <x:v>Liquidado</x:v>
      </x:c>
      <x:c r="V364" s="10" t="str">
        <x:v>UND003</x:v>
      </x:c>
    </x:row>
    <x:row r="365" ht="18" customHeight="1">
      <x:c r="A365" s="10" t="str">
        <x:v>PAG00364</x:v>
      </x:c>
      <x:c r="B365" s="10" t="str">
        <x:v>EMP003</x:v>
      </x:c>
      <x:c r="C365" s="10" t="str">
        <x:v>FOR021</x:v>
      </x:c>
      <x:c r="D365" s="10" t="str">
        <x:v>CC004</x:v>
      </x:c>
      <x:c r="E365" s="10" t="str">
        <x:v>CAT016</x:v>
      </x:c>
      <x:c r="F365" s="10" t="str">
        <x:v>CTA005</x:v>
      </x:c>
      <x:c r="G365" s="10" t="str">
        <x:v>NF-100364</x:v>
      </x:c>
      <x:c r="H365" s="10" t="str">
        <x:v>Tributos e taxas</x:v>
      </x:c>
      <x:c r="I365" s="16" t="n">
        <x:v>45733.24197517361</x:v>
      </x:c>
      <x:c r="J365" s="16" t="n">
        <x:v>45748.24197517361</x:v>
      </x:c>
      <x:c r="K365" s="16" t="n">
        <x:v>45740.24197517361</x:v>
      </x:c>
      <x:c r="L365" s="20" t="n">
        <x:v>15603.97</x:v>
      </x:c>
      <x:c r="M365" s="20" t="n">
        <x:v>0</x:v>
      </x:c>
      <x:c r="N365" s="20" t="n">
        <x:v>0</x:v>
      </x:c>
      <x:c r="O365" s="20" t="n">
        <x:v>15603.97</x:v>
      </x:c>
      <x:c r="P365" s="20" t="n">
        <x:v>0</x:v>
      </x:c>
      <x:c r="Q365" s="10" t="str">
        <x:v>Pago</x:v>
      </x:c>
      <x:c r="R365" s="10" t="str">
        <x:v>TED</x:v>
      </x:c>
      <x:c r="S365" s="10" t="str">
        <x:v>2025-03</x:v>
      </x:c>
      <x:c r="T365" s="10" t="n">
        <x:v>0</x:v>
      </x:c>
      <x:c r="U365" s="10" t="str">
        <x:v>Liquidado</x:v>
      </x:c>
      <x:c r="V365" s="10" t="str">
        <x:v>UND004</x:v>
      </x:c>
    </x:row>
    <x:row r="366" ht="18" customHeight="1">
      <x:c r="A366" s="10" t="str">
        <x:v>PAG00365</x:v>
      </x:c>
      <x:c r="B366" s="10" t="str">
        <x:v>EMP001</x:v>
      </x:c>
      <x:c r="C366" s="10" t="str">
        <x:v>FOR040</x:v>
      </x:c>
      <x:c r="D366" s="10" t="str">
        <x:v>CC007</x:v>
      </x:c>
      <x:c r="E366" s="10" t="str">
        <x:v>CAT015</x:v>
      </x:c>
      <x:c r="F366" s="10" t="str">
        <x:v>CTA001</x:v>
      </x:c>
      <x:c r="G366" s="10" t="str">
        <x:v>NF-100365</x:v>
      </x:c>
      <x:c r="H366" s="10" t="str">
        <x:v>Compra de materiais</x:v>
      </x:c>
      <x:c r="I366" s="16" t="n">
        <x:v>45402.307176608796</x:v>
      </x:c>
      <x:c r="J366" s="16" t="n">
        <x:v>45432.307176608796</x:v>
      </x:c>
      <x:c r="K366" s="16" t="n">
        <x:v>45428.307176608796</x:v>
      </x:c>
      <x:c r="L366" s="20" t="n">
        <x:v>19444.89</x:v>
      </x:c>
      <x:c r="M366" s="20" t="n">
        <x:v>0</x:v>
      </x:c>
      <x:c r="N366" s="20" t="n">
        <x:v>0</x:v>
      </x:c>
      <x:c r="O366" s="20" t="n">
        <x:v>19444.89</x:v>
      </x:c>
      <x:c r="P366" s="20" t="n">
        <x:v>0</x:v>
      </x:c>
      <x:c r="Q366" s="10" t="str">
        <x:v>Pago</x:v>
      </x:c>
      <x:c r="R366" s="10" t="str">
        <x:v>PIX</x:v>
      </x:c>
      <x:c r="S366" s="10" t="str">
        <x:v>2024-04</x:v>
      </x:c>
      <x:c r="T366" s="10" t="n">
        <x:v>0</x:v>
      </x:c>
      <x:c r="U366" s="10" t="str">
        <x:v>Liquidado</x:v>
      </x:c>
      <x:c r="V366" s="10" t="str">
        <x:v>UND002</x:v>
      </x:c>
    </x:row>
    <x:row r="367" ht="18" customHeight="1">
      <x:c r="A367" s="10" t="str">
        <x:v>PAG00366</x:v>
      </x:c>
      <x:c r="B367" s="10" t="str">
        <x:v>EMP002</x:v>
      </x:c>
      <x:c r="C367" s="10" t="str">
        <x:v>FOR041</x:v>
      </x:c>
      <x:c r="D367" s="10" t="str">
        <x:v>CC002</x:v>
      </x:c>
      <x:c r="E367" s="10" t="str">
        <x:v>CAT009</x:v>
      </x:c>
      <x:c r="F367" s="10" t="str">
        <x:v>CTA004</x:v>
      </x:c>
      <x:c r="G367" s="10" t="str">
        <x:v>NF-100366</x:v>
      </x:c>
      <x:c r="H367" s="10" t="str">
        <x:v>Tributos e taxas</x:v>
      </x:c>
      <x:c r="I367" s="16" t="n">
        <x:v>45319.809332488425</x:v>
      </x:c>
      <x:c r="J367" s="16" t="n">
        <x:v>45339.809332488425</x:v>
      </x:c>
      <x:c r="K367" s="16" t="n">
        <x:v>45332.809332488425</x:v>
      </x:c>
      <x:c r="L367" s="20" t="n">
        <x:v>965.97</x:v>
      </x:c>
      <x:c r="M367" s="20" t="n">
        <x:v>0</x:v>
      </x:c>
      <x:c r="N367" s="20" t="n">
        <x:v>0</x:v>
      </x:c>
      <x:c r="O367" s="20" t="n">
        <x:v>965.97</x:v>
      </x:c>
      <x:c r="P367" s="20" t="n">
        <x:v>0</x:v>
      </x:c>
      <x:c r="Q367" s="10" t="str">
        <x:v>Pago</x:v>
      </x:c>
      <x:c r="R367" s="10" t="str">
        <x:v>TED</x:v>
      </x:c>
      <x:c r="S367" s="10" t="str">
        <x:v>2024-01</x:v>
      </x:c>
      <x:c r="T367" s="10" t="n">
        <x:v>0</x:v>
      </x:c>
      <x:c r="U367" s="10" t="str">
        <x:v>Liquidado</x:v>
      </x:c>
      <x:c r="V367" s="10" t="str">
        <x:v>UND003</x:v>
      </x:c>
    </x:row>
    <x:row r="368" ht="18" customHeight="1">
      <x:c r="A368" s="10" t="str">
        <x:v>PAG00367</x:v>
      </x:c>
      <x:c r="B368" s="10" t="str">
        <x:v>EMP002</x:v>
      </x:c>
      <x:c r="C368" s="10" t="str">
        <x:v>FOR045</x:v>
      </x:c>
      <x:c r="D368" s="10" t="str">
        <x:v>CC002</x:v>
      </x:c>
      <x:c r="E368" s="10" t="str">
        <x:v>CAT016</x:v>
      </x:c>
      <x:c r="F368" s="10" t="str">
        <x:v>CTA003</x:v>
      </x:c>
      <x:c r="G368" s="10" t="str">
        <x:v>NF-100367</x:v>
      </x:c>
      <x:c r="H368" s="10" t="str">
        <x:v>Despesa operacional</x:v>
      </x:c>
      <x:c r="I368" s="16" t="n">
        <x:v>45351.88262077546</x:v>
      </x:c>
      <x:c r="J368" s="16" t="n">
        <x:v>45396.88262077546</x:v>
      </x:c>
      <x:c r="K368" s="16" t="n">
        <x:v>45404.88262077546</x:v>
      </x:c>
      <x:c r="L368" s="20" t="n">
        <x:v>69266.5</x:v>
      </x:c>
      <x:c r="M368" s="20" t="n">
        <x:v>387.89</x:v>
      </x:c>
      <x:c r="N368" s="20" t="n">
        <x:v>0</x:v>
      </x:c>
      <x:c r="O368" s="20" t="n">
        <x:v>69654.39</x:v>
      </x:c>
      <x:c r="P368" s="20" t="n">
        <x:v>0</x:v>
      </x:c>
      <x:c r="Q368" s="10" t="str">
        <x:v>Pago</x:v>
      </x:c>
      <x:c r="R368" s="10" t="str">
        <x:v>PIX</x:v>
      </x:c>
      <x:c r="S368" s="10" t="str">
        <x:v>2024-02</x:v>
      </x:c>
      <x:c r="T368" s="10" t="n">
        <x:v>0</x:v>
      </x:c>
      <x:c r="U368" s="10" t="str">
        <x:v>Liquidado</x:v>
      </x:c>
      <x:c r="V368" s="10" t="str">
        <x:v>UND003</x:v>
      </x:c>
    </x:row>
    <x:row r="369" ht="18" customHeight="1">
      <x:c r="A369" s="10" t="str">
        <x:v>PAG00368</x:v>
      </x:c>
      <x:c r="B369" s="10" t="str">
        <x:v>EMP001</x:v>
      </x:c>
      <x:c r="C369" s="10" t="str">
        <x:v>FOR032</x:v>
      </x:c>
      <x:c r="D369" s="10" t="str">
        <x:v>CC001</x:v>
      </x:c>
      <x:c r="E369" s="10" t="str">
        <x:v>CAT015</x:v>
      </x:c>
      <x:c r="F369" s="10" t="str">
        <x:v>CTA001</x:v>
      </x:c>
      <x:c r="G369" s="10" t="str">
        <x:v>NF-100368</x:v>
      </x:c>
      <x:c r="H369" s="10" t="str">
        <x:v>Compra de materiais</x:v>
      </x:c>
      <x:c r="I369" s="16" t="n">
        <x:v>45806.311649247684</x:v>
      </x:c>
      <x:c r="J369" s="16" t="n">
        <x:v>45841.311649247684</x:v>
      </x:c>
      <x:c r="K369" s="16"/>
      <x:c r="L369" s="20" t="n">
        <x:v>92140.92</x:v>
      </x:c>
      <x:c r="M369" s="20" t="n">
        <x:v>0</x:v>
      </x:c>
      <x:c r="N369" s="20" t="n">
        <x:v>0</x:v>
      </x:c>
      <x:c r="O369" s="20" t="n">
        <x:v>0</x:v>
      </x:c>
      <x:c r="P369" s="20" t="n">
        <x:v>0</x:v>
      </x:c>
      <x:c r="Q369" s="10" t="str">
        <x:v>Cancelado</x:v>
      </x:c>
      <x:c r="R369" s="10" t="str">
        <x:v>PIX</x:v>
      </x:c>
      <x:c r="S369" s="10" t="str">
        <x:v>2025-05</x:v>
      </x:c>
      <x:c r="T369" s="10" t="n">
        <x:v>0</x:v>
      </x:c>
      <x:c r="U369" s="10" t="str">
        <x:v>Cancelado</x:v>
      </x:c>
      <x:c r="V369" s="10" t="str">
        <x:v>UND002</x:v>
      </x:c>
    </x:row>
    <x:row r="370" ht="18" customHeight="1">
      <x:c r="A370" s="10" t="str">
        <x:v>PAG00369</x:v>
      </x:c>
      <x:c r="B370" s="10" t="str">
        <x:v>EMP003</x:v>
      </x:c>
      <x:c r="C370" s="10" t="str">
        <x:v>FOR053</x:v>
      </x:c>
      <x:c r="D370" s="10" t="str">
        <x:v>CC007</x:v>
      </x:c>
      <x:c r="E370" s="10" t="str">
        <x:v>CAT012</x:v>
      </x:c>
      <x:c r="F370" s="10" t="str">
        <x:v>CTA005</x:v>
      </x:c>
      <x:c r="G370" s="10" t="str">
        <x:v>NF-100369</x:v>
      </x:c>
      <x:c r="H370" s="10" t="str">
        <x:v>Despesa operacional</x:v>
      </x:c>
      <x:c r="I370" s="16" t="n">
        <x:v>45941.745478958335</x:v>
      </x:c>
      <x:c r="J370" s="16" t="n">
        <x:v>45976.745478958335</x:v>
      </x:c>
      <x:c r="K370" s="16"/>
      <x:c r="L370" s="20" t="n">
        <x:v>20184.51</x:v>
      </x:c>
      <x:c r="M370" s="20" t="n">
        <x:v>0</x:v>
      </x:c>
      <x:c r="N370" s="20" t="n">
        <x:v>0</x:v>
      </x:c>
      <x:c r="O370" s="20" t="n">
        <x:v>0</x:v>
      </x:c>
      <x:c r="P370" s="20" t="n">
        <x:v>20184.51</x:v>
      </x:c>
      <x:c r="Q370" s="10" t="str">
        <x:v>Vencido</x:v>
      </x:c>
      <x:c r="R370" s="10" t="str">
        <x:v>Boleto</x:v>
      </x:c>
      <x:c r="S370" s="10" t="str">
        <x:v>2025-10</x:v>
      </x:c>
      <x:c r="T370" s="10" t="n">
        <x:v>45</x:v>
      </x:c>
      <x:c r="U370" s="10" t="str">
        <x:v>31 a 60 dias</x:v>
      </x:c>
      <x:c r="V370" s="10" t="str">
        <x:v>UND004</x:v>
      </x:c>
    </x:row>
    <x:row r="371" ht="18" customHeight="1">
      <x:c r="A371" s="10" t="str">
        <x:v>PAG00370</x:v>
      </x:c>
      <x:c r="B371" s="10" t="str">
        <x:v>EMP001</x:v>
      </x:c>
      <x:c r="C371" s="10" t="str">
        <x:v>FOR042</x:v>
      </x:c>
      <x:c r="D371" s="10" t="str">
        <x:v>CC005</x:v>
      </x:c>
      <x:c r="E371" s="10" t="str">
        <x:v>CAT012</x:v>
      </x:c>
      <x:c r="F371" s="10" t="str">
        <x:v>CTA001</x:v>
      </x:c>
      <x:c r="G371" s="10" t="str">
        <x:v>NF-100370</x:v>
      </x:c>
      <x:c r="H371" s="10" t="str">
        <x:v>Contrato recorrente</x:v>
      </x:c>
      <x:c r="I371" s="16" t="n">
        <x:v>45783.639055300926</x:v>
      </x:c>
      <x:c r="J371" s="16" t="n">
        <x:v>45818.639055300926</x:v>
      </x:c>
      <x:c r="K371" s="16" t="n">
        <x:v>45810.639055300926</x:v>
      </x:c>
      <x:c r="L371" s="20" t="n">
        <x:v>2895</x:v>
      </x:c>
      <x:c r="M371" s="20" t="n">
        <x:v>0</x:v>
      </x:c>
      <x:c r="N371" s="20" t="n">
        <x:v>0</x:v>
      </x:c>
      <x:c r="O371" s="20" t="n">
        <x:v>2895</x:v>
      </x:c>
      <x:c r="P371" s="20" t="n">
        <x:v>0</x:v>
      </x:c>
      <x:c r="Q371" s="10" t="str">
        <x:v>Pago</x:v>
      </x:c>
      <x:c r="R371" s="10" t="str">
        <x:v>TED</x:v>
      </x:c>
      <x:c r="S371" s="10" t="str">
        <x:v>2025-05</x:v>
      </x:c>
      <x:c r="T371" s="10" t="n">
        <x:v>0</x:v>
      </x:c>
      <x:c r="U371" s="10" t="str">
        <x:v>Liquidado</x:v>
      </x:c>
      <x:c r="V371" s="10" t="str">
        <x:v>UND002</x:v>
      </x:c>
    </x:row>
    <x:row r="372" ht="18" customHeight="1">
      <x:c r="A372" s="10" t="str">
        <x:v>PAG00371</x:v>
      </x:c>
      <x:c r="B372" s="10" t="str">
        <x:v>EMP001</x:v>
      </x:c>
      <x:c r="C372" s="10" t="str">
        <x:v>FOR039</x:v>
      </x:c>
      <x:c r="D372" s="10" t="str">
        <x:v>CC005</x:v>
      </x:c>
      <x:c r="E372" s="10" t="str">
        <x:v>CAT013</x:v>
      </x:c>
      <x:c r="F372" s="10" t="str">
        <x:v>CTA002</x:v>
      </x:c>
      <x:c r="G372" s="10" t="str">
        <x:v>NF-100371</x:v>
      </x:c>
      <x:c r="H372" s="10" t="str">
        <x:v>Contrato recorrente</x:v>
      </x:c>
      <x:c r="I372" s="16" t="n">
        <x:v>45677.794833761574</x:v>
      </x:c>
      <x:c r="J372" s="16" t="n">
        <x:v>45737.794833761574</x:v>
      </x:c>
      <x:c r="K372" s="16" t="n">
        <x:v>45770.794833761574</x:v>
      </x:c>
      <x:c r="L372" s="20" t="n">
        <x:v>23527.3</x:v>
      </x:c>
      <x:c r="M372" s="20" t="n">
        <x:v>543.48</x:v>
      </x:c>
      <x:c r="N372" s="20" t="n">
        <x:v>0</x:v>
      </x:c>
      <x:c r="O372" s="20" t="n">
        <x:v>24070.78</x:v>
      </x:c>
      <x:c r="P372" s="20" t="n">
        <x:v>0</x:v>
      </x:c>
      <x:c r="Q372" s="10" t="str">
        <x:v>Pago</x:v>
      </x:c>
      <x:c r="R372" s="10" t="str">
        <x:v>PIX</x:v>
      </x:c>
      <x:c r="S372" s="10" t="str">
        <x:v>2025-01</x:v>
      </x:c>
      <x:c r="T372" s="10" t="n">
        <x:v>0</x:v>
      </x:c>
      <x:c r="U372" s="10" t="str">
        <x:v>Liquidado</x:v>
      </x:c>
      <x:c r="V372" s="10" t="str">
        <x:v>UND001</x:v>
      </x:c>
    </x:row>
    <x:row r="373" ht="18" customHeight="1">
      <x:c r="A373" s="10" t="str">
        <x:v>PAG00372</x:v>
      </x:c>
      <x:c r="B373" s="10" t="str">
        <x:v>EMP001</x:v>
      </x:c>
      <x:c r="C373" s="10" t="str">
        <x:v>FOR017</x:v>
      </x:c>
      <x:c r="D373" s="10" t="str">
        <x:v>CC005</x:v>
      </x:c>
      <x:c r="E373" s="10" t="str">
        <x:v>CAT017</x:v>
      </x:c>
      <x:c r="F373" s="10" t="str">
        <x:v>CTA002</x:v>
      </x:c>
      <x:c r="G373" s="10" t="str">
        <x:v>NF-100372</x:v>
      </x:c>
      <x:c r="H373" s="10" t="str">
        <x:v>Prestação de serviços</x:v>
      </x:c>
      <x:c r="I373" s="16" t="n">
        <x:v>45688.28802133102</x:v>
      </x:c>
      <x:c r="J373" s="16" t="n">
        <x:v>45716.28802133102</x:v>
      </x:c>
      <x:c r="K373" s="16" t="n">
        <x:v>45710.28802133102</x:v>
      </x:c>
      <x:c r="L373" s="20" t="n">
        <x:v>86477.47</x:v>
      </x:c>
      <x:c r="M373" s="20" t="n">
        <x:v>0</x:v>
      </x:c>
      <x:c r="N373" s="20" t="n">
        <x:v>0</x:v>
      </x:c>
      <x:c r="O373" s="20" t="n">
        <x:v>86477.47</x:v>
      </x:c>
      <x:c r="P373" s="20" t="n">
        <x:v>0</x:v>
      </x:c>
      <x:c r="Q373" s="10" t="str">
        <x:v>Pago</x:v>
      </x:c>
      <x:c r="R373" s="10" t="str">
        <x:v>Boleto</x:v>
      </x:c>
      <x:c r="S373" s="10" t="str">
        <x:v>2025-01</x:v>
      </x:c>
      <x:c r="T373" s="10" t="n">
        <x:v>0</x:v>
      </x:c>
      <x:c r="U373" s="10" t="str">
        <x:v>Liquidado</x:v>
      </x:c>
      <x:c r="V373" s="10" t="str">
        <x:v>UND001</x:v>
      </x:c>
    </x:row>
    <x:row r="374" ht="18" customHeight="1">
      <x:c r="A374" s="10" t="str">
        <x:v>PAG00373</x:v>
      </x:c>
      <x:c r="B374" s="10" t="str">
        <x:v>EMP003</x:v>
      </x:c>
      <x:c r="C374" s="10" t="str">
        <x:v>FOR054</x:v>
      </x:c>
      <x:c r="D374" s="10" t="str">
        <x:v>CC002</x:v>
      </x:c>
      <x:c r="E374" s="10" t="str">
        <x:v>CAT010</x:v>
      </x:c>
      <x:c r="F374" s="10" t="str">
        <x:v>CTA006</x:v>
      </x:c>
      <x:c r="G374" s="10" t="str">
        <x:v>NF-100373</x:v>
      </x:c>
      <x:c r="H374" s="10" t="str">
        <x:v>Prestação de serviços</x:v>
      </x:c>
      <x:c r="I374" s="16" t="n">
        <x:v>45821.55242825232</x:v>
      </x:c>
      <x:c r="J374" s="16" t="n">
        <x:v>45836.55242825232</x:v>
      </x:c>
      <x:c r="K374" s="16" t="n">
        <x:v>45828.55242825232</x:v>
      </x:c>
      <x:c r="L374" s="20" t="n">
        <x:v>5848.02</x:v>
      </x:c>
      <x:c r="M374" s="20" t="n">
        <x:v>0</x:v>
      </x:c>
      <x:c r="N374" s="20" t="n">
        <x:v>87.72</x:v>
      </x:c>
      <x:c r="O374" s="20" t="n">
        <x:v>5760.3</x:v>
      </x:c>
      <x:c r="P374" s="20" t="n">
        <x:v>0</x:v>
      </x:c>
      <x:c r="Q374" s="10" t="str">
        <x:v>Pago</x:v>
      </x:c>
      <x:c r="R374" s="10" t="str">
        <x:v>PIX</x:v>
      </x:c>
      <x:c r="S374" s="10" t="str">
        <x:v>2025-06</x:v>
      </x:c>
      <x:c r="T374" s="10" t="n">
        <x:v>0</x:v>
      </x:c>
      <x:c r="U374" s="10" t="str">
        <x:v>Liquidado</x:v>
      </x:c>
      <x:c r="V374" s="10" t="str">
        <x:v>UND004</x:v>
      </x:c>
    </x:row>
    <x:row r="375" ht="18" customHeight="1">
      <x:c r="A375" s="10" t="str">
        <x:v>PAG00374</x:v>
      </x:c>
      <x:c r="B375" s="10" t="str">
        <x:v>EMP003</x:v>
      </x:c>
      <x:c r="C375" s="10" t="str">
        <x:v>FOR059</x:v>
      </x:c>
      <x:c r="D375" s="10" t="str">
        <x:v>CC001</x:v>
      </x:c>
      <x:c r="E375" s="10" t="str">
        <x:v>CAT008</x:v>
      </x:c>
      <x:c r="F375" s="10" t="str">
        <x:v>CTA006</x:v>
      </x:c>
      <x:c r="G375" s="10" t="str">
        <x:v>NF-100374</x:v>
      </x:c>
      <x:c r="H375" s="10" t="str">
        <x:v>Tributos e taxas</x:v>
      </x:c>
      <x:c r="I375" s="16" t="n">
        <x:v>46000.07129248843</x:v>
      </x:c>
      <x:c r="J375" s="16" t="n">
        <x:v>46035.07129248843</x:v>
      </x:c>
      <x:c r="K375" s="16"/>
      <x:c r="L375" s="20" t="n">
        <x:v>78047.33</x:v>
      </x:c>
      <x:c r="M375" s="20" t="n">
        <x:v>0</x:v>
      </x:c>
      <x:c r="N375" s="20" t="n">
        <x:v>0</x:v>
      </x:c>
      <x:c r="O375" s="20" t="n">
        <x:v>0</x:v>
      </x:c>
      <x:c r="P375" s="20" t="n">
        <x:v>78047.33</x:v>
      </x:c>
      <x:c r="Q375" s="10" t="str">
        <x:v>A vencer</x:v>
      </x:c>
      <x:c r="R375" s="10" t="str">
        <x:v>Boleto</x:v>
      </x:c>
      <x:c r="S375" s="10" t="str">
        <x:v>2025-12</x:v>
      </x:c>
      <x:c r="T375" s="10" t="n">
        <x:v>0</x:v>
      </x:c>
      <x:c r="U375" s="10" t="str">
        <x:v>A vencer</x:v>
      </x:c>
      <x:c r="V375" s="10" t="str">
        <x:v>UND004</x:v>
      </x:c>
    </x:row>
    <x:row r="376" ht="18" customHeight="1">
      <x:c r="A376" s="10" t="str">
        <x:v>PAG00375</x:v>
      </x:c>
      <x:c r="B376" s="10" t="str">
        <x:v>EMP003</x:v>
      </x:c>
      <x:c r="C376" s="10" t="str">
        <x:v>FOR032</x:v>
      </x:c>
      <x:c r="D376" s="10" t="str">
        <x:v>CC007</x:v>
      </x:c>
      <x:c r="E376" s="10" t="str">
        <x:v>CAT005</x:v>
      </x:c>
      <x:c r="F376" s="10" t="str">
        <x:v>CTA006</x:v>
      </x:c>
      <x:c r="G376" s="10" t="str">
        <x:v>NF-100375</x:v>
      </x:c>
      <x:c r="H376" s="10" t="str">
        <x:v>Prestação de serviços</x:v>
      </x:c>
      <x:c r="I376" s="16" t="n">
        <x:v>45675.74600962963</x:v>
      </x:c>
      <x:c r="J376" s="16" t="n">
        <x:v>45710.74600962963</x:v>
      </x:c>
      <x:c r="K376" s="16" t="n">
        <x:v>45718.74600962963</x:v>
      </x:c>
      <x:c r="L376" s="20" t="n">
        <x:v>6413.58</x:v>
      </x:c>
      <x:c r="M376" s="20" t="n">
        <x:v>35.92</x:v>
      </x:c>
      <x:c r="N376" s="20" t="n">
        <x:v>0</x:v>
      </x:c>
      <x:c r="O376" s="20" t="n">
        <x:v>6449.5</x:v>
      </x:c>
      <x:c r="P376" s="20" t="n">
        <x:v>0</x:v>
      </x:c>
      <x:c r="Q376" s="10" t="str">
        <x:v>Pago</x:v>
      </x:c>
      <x:c r="R376" s="10" t="str">
        <x:v>TED</x:v>
      </x:c>
      <x:c r="S376" s="10" t="str">
        <x:v>2025-01</x:v>
      </x:c>
      <x:c r="T376" s="10" t="n">
        <x:v>0</x:v>
      </x:c>
      <x:c r="U376" s="10" t="str">
        <x:v>Liquidado</x:v>
      </x:c>
      <x:c r="V376" s="10" t="str">
        <x:v>UND004</x:v>
      </x:c>
    </x:row>
    <x:row r="377" ht="18" customHeight="1">
      <x:c r="A377" s="10" t="str">
        <x:v>PAG00376</x:v>
      </x:c>
      <x:c r="B377" s="10" t="str">
        <x:v>EMP001</x:v>
      </x:c>
      <x:c r="C377" s="10" t="str">
        <x:v>FOR001</x:v>
      </x:c>
      <x:c r="D377" s="10" t="str">
        <x:v>CC005</x:v>
      </x:c>
      <x:c r="E377" s="10" t="str">
        <x:v>CAT005</x:v>
      </x:c>
      <x:c r="F377" s="10" t="str">
        <x:v>CTA001</x:v>
      </x:c>
      <x:c r="G377" s="10" t="str">
        <x:v>NF-100376</x:v>
      </x:c>
      <x:c r="H377" s="10" t="str">
        <x:v>Contrato recorrente</x:v>
      </x:c>
      <x:c r="I377" s="16" t="n">
        <x:v>45780.33547770834</x:v>
      </x:c>
      <x:c r="J377" s="16" t="n">
        <x:v>45840.33547770834</x:v>
      </x:c>
      <x:c r="K377" s="16" t="n">
        <x:v>45852.33547770834</x:v>
      </x:c>
      <x:c r="L377" s="20" t="n">
        <x:v>5403.37</x:v>
      </x:c>
      <x:c r="M377" s="20" t="n">
        <x:v>45.39</x:v>
      </x:c>
      <x:c r="N377" s="20" t="n">
        <x:v>0</x:v>
      </x:c>
      <x:c r="O377" s="20" t="n">
        <x:v>5448.76</x:v>
      </x:c>
      <x:c r="P377" s="20" t="n">
        <x:v>0</x:v>
      </x:c>
      <x:c r="Q377" s="10" t="str">
        <x:v>Pago</x:v>
      </x:c>
      <x:c r="R377" s="10" t="str">
        <x:v>Boleto</x:v>
      </x:c>
      <x:c r="S377" s="10" t="str">
        <x:v>2025-05</x:v>
      </x:c>
      <x:c r="T377" s="10" t="n">
        <x:v>0</x:v>
      </x:c>
      <x:c r="U377" s="10" t="str">
        <x:v>Liquidado</x:v>
      </x:c>
      <x:c r="V377" s="10" t="str">
        <x:v>UND002</x:v>
      </x:c>
    </x:row>
    <x:row r="378" ht="18" customHeight="1">
      <x:c r="A378" s="10" t="str">
        <x:v>PAG00377</x:v>
      </x:c>
      <x:c r="B378" s="10" t="str">
        <x:v>EMP003</x:v>
      </x:c>
      <x:c r="C378" s="10" t="str">
        <x:v>FOR047</x:v>
      </x:c>
      <x:c r="D378" s="10" t="str">
        <x:v>CC003</x:v>
      </x:c>
      <x:c r="E378" s="10" t="str">
        <x:v>CAT017</x:v>
      </x:c>
      <x:c r="F378" s="10" t="str">
        <x:v>CTA005</x:v>
      </x:c>
      <x:c r="G378" s="10" t="str">
        <x:v>NF-100377</x:v>
      </x:c>
      <x:c r="H378" s="10" t="str">
        <x:v>Prestação de serviços</x:v>
      </x:c>
      <x:c r="I378" s="16" t="n">
        <x:v>45463.07207148148</x:v>
      </x:c>
      <x:c r="J378" s="16" t="n">
        <x:v>45498.07207148148</x:v>
      </x:c>
      <x:c r="K378" s="16" t="n">
        <x:v>45507.07207148148</x:v>
      </x:c>
      <x:c r="L378" s="20" t="n">
        <x:v>103388.69</x:v>
      </x:c>
      <x:c r="M378" s="20" t="n">
        <x:v>651.35</x:v>
      </x:c>
      <x:c r="N378" s="20" t="n">
        <x:v>0</x:v>
      </x:c>
      <x:c r="O378" s="20" t="n">
        <x:v>104040.04</x:v>
      </x:c>
      <x:c r="P378" s="20" t="n">
        <x:v>0</x:v>
      </x:c>
      <x:c r="Q378" s="10" t="str">
        <x:v>Pago</x:v>
      </x:c>
      <x:c r="R378" s="10" t="str">
        <x:v>Cartão Corporativo</x:v>
      </x:c>
      <x:c r="S378" s="10" t="str">
        <x:v>2024-06</x:v>
      </x:c>
      <x:c r="T378" s="10" t="n">
        <x:v>0</x:v>
      </x:c>
      <x:c r="U378" s="10" t="str">
        <x:v>Liquidado</x:v>
      </x:c>
      <x:c r="V378" s="10" t="str">
        <x:v>UND004</x:v>
      </x:c>
    </x:row>
    <x:row r="379" ht="18" customHeight="1">
      <x:c r="A379" s="10" t="str">
        <x:v>PAG00378</x:v>
      </x:c>
      <x:c r="B379" s="10" t="str">
        <x:v>EMP001</x:v>
      </x:c>
      <x:c r="C379" s="10" t="str">
        <x:v>FOR047</x:v>
      </x:c>
      <x:c r="D379" s="10" t="str">
        <x:v>CC008</x:v>
      </x:c>
      <x:c r="E379" s="10" t="str">
        <x:v>CAT017</x:v>
      </x:c>
      <x:c r="F379" s="10" t="str">
        <x:v>CTA002</x:v>
      </x:c>
      <x:c r="G379" s="10" t="str">
        <x:v>NF-100378</x:v>
      </x:c>
      <x:c r="H379" s="10" t="str">
        <x:v>Contrato recorrente</x:v>
      </x:c>
      <x:c r="I379" s="16" t="n">
        <x:v>45354.774208055554</x:v>
      </x:c>
      <x:c r="J379" s="16" t="n">
        <x:v>45414.774208055554</x:v>
      </x:c>
      <x:c r="K379" s="16" t="n">
        <x:v>45417.774208055554</x:v>
      </x:c>
      <x:c r="L379" s="20" t="n">
        <x:v>106893.25</x:v>
      </x:c>
      <x:c r="M379" s="20" t="n">
        <x:v>224.48</x:v>
      </x:c>
      <x:c r="N379" s="20" t="n">
        <x:v>0</x:v>
      </x:c>
      <x:c r="O379" s="20" t="n">
        <x:v>107117.73</x:v>
      </x:c>
      <x:c r="P379" s="20" t="n">
        <x:v>0</x:v>
      </x:c>
      <x:c r="Q379" s="10" t="str">
        <x:v>Pago</x:v>
      </x:c>
      <x:c r="R379" s="10" t="str">
        <x:v>Cartão Corporativo</x:v>
      </x:c>
      <x:c r="S379" s="10" t="str">
        <x:v>2024-03</x:v>
      </x:c>
      <x:c r="T379" s="10" t="n">
        <x:v>0</x:v>
      </x:c>
      <x:c r="U379" s="10" t="str">
        <x:v>Liquidado</x:v>
      </x:c>
      <x:c r="V379" s="10" t="str">
        <x:v>UND002</x:v>
      </x:c>
    </x:row>
    <x:row r="380" ht="18" customHeight="1">
      <x:c r="A380" s="10" t="str">
        <x:v>PAG00379</x:v>
      </x:c>
      <x:c r="B380" s="10" t="str">
        <x:v>EMP001</x:v>
      </x:c>
      <x:c r="C380" s="10" t="str">
        <x:v>FOR045</x:v>
      </x:c>
      <x:c r="D380" s="10" t="str">
        <x:v>CC006</x:v>
      </x:c>
      <x:c r="E380" s="10" t="str">
        <x:v>CAT009</x:v>
      </x:c>
      <x:c r="F380" s="10" t="str">
        <x:v>CTA002</x:v>
      </x:c>
      <x:c r="G380" s="10" t="str">
        <x:v>NF-100379</x:v>
      </x:c>
      <x:c r="H380" s="10" t="str">
        <x:v>Despesa operacional</x:v>
      </x:c>
      <x:c r="I380" s="16" t="n">
        <x:v>45327.79942494213</x:v>
      </x:c>
      <x:c r="J380" s="16" t="n">
        <x:v>45357.79942494213</x:v>
      </x:c>
      <x:c r="K380" s="16" t="n">
        <x:v>45369.79942494213</x:v>
      </x:c>
      <x:c r="L380" s="20" t="n">
        <x:v>1610.35</x:v>
      </x:c>
      <x:c r="M380" s="20" t="n">
        <x:v>13.53</x:v>
      </x:c>
      <x:c r="N380" s="20" t="n">
        <x:v>0</x:v>
      </x:c>
      <x:c r="O380" s="20" t="n">
        <x:v>1623.88</x:v>
      </x:c>
      <x:c r="P380" s="20" t="n">
        <x:v>0</x:v>
      </x:c>
      <x:c r="Q380" s="10" t="str">
        <x:v>Pago</x:v>
      </x:c>
      <x:c r="R380" s="10" t="str">
        <x:v>Cartão Corporativo</x:v>
      </x:c>
      <x:c r="S380" s="10" t="str">
        <x:v>2024-02</x:v>
      </x:c>
      <x:c r="T380" s="10" t="n">
        <x:v>0</x:v>
      </x:c>
      <x:c r="U380" s="10" t="str">
        <x:v>Liquidado</x:v>
      </x:c>
      <x:c r="V380" s="10" t="str">
        <x:v>UND002</x:v>
      </x:c>
    </x:row>
    <x:row r="381" ht="18" customHeight="1">
      <x:c r="A381" s="10" t="str">
        <x:v>PAG00380</x:v>
      </x:c>
      <x:c r="B381" s="10" t="str">
        <x:v>EMP003</x:v>
      </x:c>
      <x:c r="C381" s="10" t="str">
        <x:v>FOR026</x:v>
      </x:c>
      <x:c r="D381" s="10" t="str">
        <x:v>CC004</x:v>
      </x:c>
      <x:c r="E381" s="10" t="str">
        <x:v>CAT009</x:v>
      </x:c>
      <x:c r="F381" s="10" t="str">
        <x:v>CTA005</x:v>
      </x:c>
      <x:c r="G381" s="10" t="str">
        <x:v>NF-100380</x:v>
      </x:c>
      <x:c r="H381" s="10" t="str">
        <x:v>Prestação de serviços</x:v>
      </x:c>
      <x:c r="I381" s="16" t="n">
        <x:v>45545.925158425925</x:v>
      </x:c>
      <x:c r="J381" s="16" t="n">
        <x:v>45580.925158425925</x:v>
      </x:c>
      <x:c r="K381" s="16" t="n">
        <x:v>45585.925158425925</x:v>
      </x:c>
      <x:c r="L381" s="20" t="n">
        <x:v>3005.39</x:v>
      </x:c>
      <x:c r="M381" s="20" t="n">
        <x:v>10.52</x:v>
      </x:c>
      <x:c r="N381" s="20" t="n">
        <x:v>0</x:v>
      </x:c>
      <x:c r="O381" s="20" t="n">
        <x:v>3015.91</x:v>
      </x:c>
      <x:c r="P381" s="20" t="n">
        <x:v>0</x:v>
      </x:c>
      <x:c r="Q381" s="10" t="str">
        <x:v>Pago</x:v>
      </x:c>
      <x:c r="R381" s="10" t="str">
        <x:v>Débito Automático</x:v>
      </x:c>
      <x:c r="S381" s="10" t="str">
        <x:v>2024-09</x:v>
      </x:c>
      <x:c r="T381" s="10" t="n">
        <x:v>0</x:v>
      </x:c>
      <x:c r="U381" s="10" t="str">
        <x:v>Liquidado</x:v>
      </x:c>
      <x:c r="V381" s="10" t="str">
        <x:v>UND004</x:v>
      </x:c>
    </x:row>
    <x:row r="382" ht="18" customHeight="1">
      <x:c r="A382" s="10" t="str">
        <x:v>PAG00381</x:v>
      </x:c>
      <x:c r="B382" s="10" t="str">
        <x:v>EMP002</x:v>
      </x:c>
      <x:c r="C382" s="10" t="str">
        <x:v>FOR011</x:v>
      </x:c>
      <x:c r="D382" s="10" t="str">
        <x:v>CC006</x:v>
      </x:c>
      <x:c r="E382" s="10" t="str">
        <x:v>CAT011</x:v>
      </x:c>
      <x:c r="F382" s="10" t="str">
        <x:v>CTA003</x:v>
      </x:c>
      <x:c r="G382" s="10" t="str">
        <x:v>NF-100381</x:v>
      </x:c>
      <x:c r="H382" s="10" t="str">
        <x:v>Prestação de serviços</x:v>
      </x:c>
      <x:c r="I382" s="16" t="n">
        <x:v>45464.498786909724</x:v>
      </x:c>
      <x:c r="J382" s="16" t="n">
        <x:v>45492.498786909724</x:v>
      </x:c>
      <x:c r="K382" s="16" t="n">
        <x:v>45503.498786909724</x:v>
      </x:c>
      <x:c r="L382" s="20" t="n">
        <x:v>686.54</x:v>
      </x:c>
      <x:c r="M382" s="20" t="n">
        <x:v>5.29</x:v>
      </x:c>
      <x:c r="N382" s="20" t="n">
        <x:v>0</x:v>
      </x:c>
      <x:c r="O382" s="20" t="n">
        <x:v>691.83</x:v>
      </x:c>
      <x:c r="P382" s="20" t="n">
        <x:v>0</x:v>
      </x:c>
      <x:c r="Q382" s="10" t="str">
        <x:v>Pago</x:v>
      </x:c>
      <x:c r="R382" s="10" t="str">
        <x:v>TED</x:v>
      </x:c>
      <x:c r="S382" s="10" t="str">
        <x:v>2024-06</x:v>
      </x:c>
      <x:c r="T382" s="10" t="n">
        <x:v>0</x:v>
      </x:c>
      <x:c r="U382" s="10" t="str">
        <x:v>Liquidado</x:v>
      </x:c>
      <x:c r="V382" s="10" t="str">
        <x:v>UND003</x:v>
      </x:c>
    </x:row>
    <x:row r="383" ht="18" customHeight="1">
      <x:c r="A383" s="10" t="str">
        <x:v>PAG00382</x:v>
      </x:c>
      <x:c r="B383" s="10" t="str">
        <x:v>EMP002</x:v>
      </x:c>
      <x:c r="C383" s="10" t="str">
        <x:v>FOR020</x:v>
      </x:c>
      <x:c r="D383" s="10" t="str">
        <x:v>CC002</x:v>
      </x:c>
      <x:c r="E383" s="10" t="str">
        <x:v>CAT009</x:v>
      </x:c>
      <x:c r="F383" s="10" t="str">
        <x:v>CTA003</x:v>
      </x:c>
      <x:c r="G383" s="10" t="str">
        <x:v>NF-100382</x:v>
      </x:c>
      <x:c r="H383" s="10" t="str">
        <x:v>Compra de materiais</x:v>
      </x:c>
      <x:c r="I383" s="16" t="n">
        <x:v>45366.80412537037</x:v>
      </x:c>
      <x:c r="J383" s="16" t="n">
        <x:v>45441.80412537037</x:v>
      </x:c>
      <x:c r="K383" s="16" t="n">
        <x:v>45437.80412537037</x:v>
      </x:c>
      <x:c r="L383" s="20" t="n">
        <x:v>18248.59</x:v>
      </x:c>
      <x:c r="M383" s="20" t="n">
        <x:v>0</x:v>
      </x:c>
      <x:c r="N383" s="20" t="n">
        <x:v>182.49</x:v>
      </x:c>
      <x:c r="O383" s="20" t="n">
        <x:v>18066.1</x:v>
      </x:c>
      <x:c r="P383" s="20" t="n">
        <x:v>0</x:v>
      </x:c>
      <x:c r="Q383" s="10" t="str">
        <x:v>Pago</x:v>
      </x:c>
      <x:c r="R383" s="10" t="str">
        <x:v>Boleto</x:v>
      </x:c>
      <x:c r="S383" s="10" t="str">
        <x:v>2024-03</x:v>
      </x:c>
      <x:c r="T383" s="10" t="n">
        <x:v>0</x:v>
      </x:c>
      <x:c r="U383" s="10" t="str">
        <x:v>Liquidado</x:v>
      </x:c>
      <x:c r="V383" s="10" t="str">
        <x:v>UND003</x:v>
      </x:c>
    </x:row>
    <x:row r="384" ht="18" customHeight="1">
      <x:c r="A384" s="10" t="str">
        <x:v>PAG00383</x:v>
      </x:c>
      <x:c r="B384" s="10" t="str">
        <x:v>EMP002</x:v>
      </x:c>
      <x:c r="C384" s="10" t="str">
        <x:v>FOR059</x:v>
      </x:c>
      <x:c r="D384" s="10" t="str">
        <x:v>CC002</x:v>
      </x:c>
      <x:c r="E384" s="10" t="str">
        <x:v>CAT017</x:v>
      </x:c>
      <x:c r="F384" s="10" t="str">
        <x:v>CTA003</x:v>
      </x:c>
      <x:c r="G384" s="10" t="str">
        <x:v>NF-100383</x:v>
      </x:c>
      <x:c r="H384" s="10" t="str">
        <x:v>Compra de materiais</x:v>
      </x:c>
      <x:c r="I384" s="16" t="n">
        <x:v>45783.8221133912</x:v>
      </x:c>
      <x:c r="J384" s="16" t="n">
        <x:v>45818.8221133912</x:v>
      </x:c>
      <x:c r="K384" s="16" t="n">
        <x:v>45810.8221133912</x:v>
      </x:c>
      <x:c r="L384" s="20" t="n">
        <x:v>43859.01</x:v>
      </x:c>
      <x:c r="M384" s="20" t="n">
        <x:v>0</x:v>
      </x:c>
      <x:c r="N384" s="20" t="n">
        <x:v>438.59</x:v>
      </x:c>
      <x:c r="O384" s="20" t="n">
        <x:v>43420.42</x:v>
      </x:c>
      <x:c r="P384" s="20" t="n">
        <x:v>0</x:v>
      </x:c>
      <x:c r="Q384" s="10" t="str">
        <x:v>Pago</x:v>
      </x:c>
      <x:c r="R384" s="10" t="str">
        <x:v>PIX</x:v>
      </x:c>
      <x:c r="S384" s="10" t="str">
        <x:v>2025-05</x:v>
      </x:c>
      <x:c r="T384" s="10" t="n">
        <x:v>0</x:v>
      </x:c>
      <x:c r="U384" s="10" t="str">
        <x:v>Liquidado</x:v>
      </x:c>
      <x:c r="V384" s="10" t="str">
        <x:v>UND003</x:v>
      </x:c>
    </x:row>
    <x:row r="385" ht="18" customHeight="1">
      <x:c r="A385" s="10" t="str">
        <x:v>PAG00384</x:v>
      </x:c>
      <x:c r="B385" s="10" t="str">
        <x:v>EMP002</x:v>
      </x:c>
      <x:c r="C385" s="10" t="str">
        <x:v>FOR037</x:v>
      </x:c>
      <x:c r="D385" s="10" t="str">
        <x:v>CC007</x:v>
      </x:c>
      <x:c r="E385" s="10" t="str">
        <x:v>CAT007</x:v>
      </x:c>
      <x:c r="F385" s="10" t="str">
        <x:v>CTA003</x:v>
      </x:c>
      <x:c r="G385" s="10" t="str">
        <x:v>NF-100384</x:v>
      </x:c>
      <x:c r="H385" s="10" t="str">
        <x:v>Tributos e taxas</x:v>
      </x:c>
      <x:c r="I385" s="16" t="n">
        <x:v>45760.15087065972</x:v>
      </x:c>
      <x:c r="J385" s="16" t="n">
        <x:v>45805.15087065972</x:v>
      </x:c>
      <x:c r="K385" s="16" t="n">
        <x:v>45805.15087065972</x:v>
      </x:c>
      <x:c r="L385" s="20" t="n">
        <x:v>661.7</x:v>
      </x:c>
      <x:c r="M385" s="20" t="n">
        <x:v>0</x:v>
      </x:c>
      <x:c r="N385" s="20" t="n">
        <x:v>0</x:v>
      </x:c>
      <x:c r="O385" s="20" t="n">
        <x:v>661.7</x:v>
      </x:c>
      <x:c r="P385" s="20" t="n">
        <x:v>0</x:v>
      </x:c>
      <x:c r="Q385" s="10" t="str">
        <x:v>Pago</x:v>
      </x:c>
      <x:c r="R385" s="10" t="str">
        <x:v>PIX</x:v>
      </x:c>
      <x:c r="S385" s="10" t="str">
        <x:v>2025-04</x:v>
      </x:c>
      <x:c r="T385" s="10" t="n">
        <x:v>0</x:v>
      </x:c>
      <x:c r="U385" s="10" t="str">
        <x:v>Liquidado</x:v>
      </x:c>
      <x:c r="V385" s="10" t="str">
        <x:v>UND003</x:v>
      </x:c>
    </x:row>
    <x:row r="386" ht="18" customHeight="1">
      <x:c r="A386" s="10" t="str">
        <x:v>PAG00385</x:v>
      </x:c>
      <x:c r="B386" s="10" t="str">
        <x:v>EMP003</x:v>
      </x:c>
      <x:c r="C386" s="10" t="str">
        <x:v>FOR024</x:v>
      </x:c>
      <x:c r="D386" s="10" t="str">
        <x:v>CC007</x:v>
      </x:c>
      <x:c r="E386" s="10" t="str">
        <x:v>CAT013</x:v>
      </x:c>
      <x:c r="F386" s="10" t="str">
        <x:v>CTA006</x:v>
      </x:c>
      <x:c r="G386" s="10" t="str">
        <x:v>NF-100385</x:v>
      </x:c>
      <x:c r="H386" s="10" t="str">
        <x:v>Despesa operacional</x:v>
      </x:c>
      <x:c r="I386" s="16" t="n">
        <x:v>45500.53128106482</x:v>
      </x:c>
      <x:c r="J386" s="16" t="n">
        <x:v>45528.53128106482</x:v>
      </x:c>
      <x:c r="K386" s="16" t="n">
        <x:v>45555.53128106482</x:v>
      </x:c>
      <x:c r="L386" s="20" t="n">
        <x:v>57013.3</x:v>
      </x:c>
      <x:c r="M386" s="20" t="n">
        <x:v>1077.55</x:v>
      </x:c>
      <x:c r="N386" s="20" t="n">
        <x:v>0</x:v>
      </x:c>
      <x:c r="O386" s="20" t="n">
        <x:v>58090.85</x:v>
      </x:c>
      <x:c r="P386" s="20" t="n">
        <x:v>0</x:v>
      </x:c>
      <x:c r="Q386" s="10" t="str">
        <x:v>Pago</x:v>
      </x:c>
      <x:c r="R386" s="10" t="str">
        <x:v>TED</x:v>
      </x:c>
      <x:c r="S386" s="10" t="str">
        <x:v>2024-07</x:v>
      </x:c>
      <x:c r="T386" s="10" t="n">
        <x:v>0</x:v>
      </x:c>
      <x:c r="U386" s="10" t="str">
        <x:v>Liquidado</x:v>
      </x:c>
      <x:c r="V386" s="10" t="str">
        <x:v>UND004</x:v>
      </x:c>
    </x:row>
    <x:row r="387" ht="18" customHeight="1">
      <x:c r="A387" s="10" t="str">
        <x:v>PAG00386</x:v>
      </x:c>
      <x:c r="B387" s="10" t="str">
        <x:v>EMP001</x:v>
      </x:c>
      <x:c r="C387" s="10" t="str">
        <x:v>FOR048</x:v>
      </x:c>
      <x:c r="D387" s="10" t="str">
        <x:v>CC005</x:v>
      </x:c>
      <x:c r="E387" s="10" t="str">
        <x:v>CAT018</x:v>
      </x:c>
      <x:c r="F387" s="10" t="str">
        <x:v>CTA002</x:v>
      </x:c>
      <x:c r="G387" s="10" t="str">
        <x:v>NF-100386</x:v>
      </x:c>
      <x:c r="H387" s="10" t="str">
        <x:v>Despesa operacional</x:v>
      </x:c>
      <x:c r="I387" s="16" t="n">
        <x:v>45843.81047991898</x:v>
      </x:c>
      <x:c r="J387" s="16" t="n">
        <x:v>45918.81047991898</x:v>
      </x:c>
      <x:c r="K387" s="16" t="n">
        <x:v>45922.81047991898</x:v>
      </x:c>
      <x:c r="L387" s="20" t="n">
        <x:v>103439.65</x:v>
      </x:c>
      <x:c r="M387" s="20" t="n">
        <x:v>289.63</x:v>
      </x:c>
      <x:c r="N387" s="20" t="n">
        <x:v>0</x:v>
      </x:c>
      <x:c r="O387" s="20" t="n">
        <x:v>103729.28</x:v>
      </x:c>
      <x:c r="P387" s="20" t="n">
        <x:v>0</x:v>
      </x:c>
      <x:c r="Q387" s="10" t="str">
        <x:v>Pago</x:v>
      </x:c>
      <x:c r="R387" s="10" t="str">
        <x:v>Boleto</x:v>
      </x:c>
      <x:c r="S387" s="10" t="str">
        <x:v>2025-07</x:v>
      </x:c>
      <x:c r="T387" s="10" t="n">
        <x:v>0</x:v>
      </x:c>
      <x:c r="U387" s="10" t="str">
        <x:v>Liquidado</x:v>
      </x:c>
      <x:c r="V387" s="10" t="str">
        <x:v>UND002</x:v>
      </x:c>
    </x:row>
    <x:row r="388" ht="18" customHeight="1">
      <x:c r="A388" s="10" t="str">
        <x:v>PAG00387</x:v>
      </x:c>
      <x:c r="B388" s="10" t="str">
        <x:v>EMP003</x:v>
      </x:c>
      <x:c r="C388" s="10" t="str">
        <x:v>FOR016</x:v>
      </x:c>
      <x:c r="D388" s="10" t="str">
        <x:v>CC008</x:v>
      </x:c>
      <x:c r="E388" s="10" t="str">
        <x:v>CAT011</x:v>
      </x:c>
      <x:c r="F388" s="10" t="str">
        <x:v>CTA006</x:v>
      </x:c>
      <x:c r="G388" s="10" t="str">
        <x:v>NF-100387</x:v>
      </x:c>
      <x:c r="H388" s="10" t="str">
        <x:v>Prestação de serviços</x:v>
      </x:c>
      <x:c r="I388" s="16" t="n">
        <x:v>45888.12490545139</x:v>
      </x:c>
      <x:c r="J388" s="16" t="n">
        <x:v>45916.12490545139</x:v>
      </x:c>
      <x:c r="K388" s="16" t="n">
        <x:v>45916.12490545139</x:v>
      </x:c>
      <x:c r="L388" s="20" t="n">
        <x:v>29811.62</x:v>
      </x:c>
      <x:c r="M388" s="20" t="n">
        <x:v>0</x:v>
      </x:c>
      <x:c r="N388" s="20" t="n">
        <x:v>0</x:v>
      </x:c>
      <x:c r="O388" s="20" t="n">
        <x:v>29811.62</x:v>
      </x:c>
      <x:c r="P388" s="20" t="n">
        <x:v>0</x:v>
      </x:c>
      <x:c r="Q388" s="10" t="str">
        <x:v>Pago</x:v>
      </x:c>
      <x:c r="R388" s="10" t="str">
        <x:v>Boleto</x:v>
      </x:c>
      <x:c r="S388" s="10" t="str">
        <x:v>2025-08</x:v>
      </x:c>
      <x:c r="T388" s="10" t="n">
        <x:v>0</x:v>
      </x:c>
      <x:c r="U388" s="10" t="str">
        <x:v>Liquidado</x:v>
      </x:c>
      <x:c r="V388" s="10" t="str">
        <x:v>UND004</x:v>
      </x:c>
    </x:row>
    <x:row r="389" ht="18" customHeight="1">
      <x:c r="A389" s="10" t="str">
        <x:v>PAG00388</x:v>
      </x:c>
      <x:c r="B389" s="10" t="str">
        <x:v>EMP003</x:v>
      </x:c>
      <x:c r="C389" s="10" t="str">
        <x:v>FOR019</x:v>
      </x:c>
      <x:c r="D389" s="10" t="str">
        <x:v>CC004</x:v>
      </x:c>
      <x:c r="E389" s="10" t="str">
        <x:v>CAT017</x:v>
      </x:c>
      <x:c r="F389" s="10" t="str">
        <x:v>CTA005</x:v>
      </x:c>
      <x:c r="G389" s="10" t="str">
        <x:v>NF-100388</x:v>
      </x:c>
      <x:c r="H389" s="10" t="str">
        <x:v>Tributos e taxas</x:v>
      </x:c>
      <x:c r="I389" s="16" t="n">
        <x:v>45449.522558715274</x:v>
      </x:c>
      <x:c r="J389" s="16" t="n">
        <x:v>45509.522558715274</x:v>
      </x:c>
      <x:c r="K389" s="16" t="n">
        <x:v>45520.522558715274</x:v>
      </x:c>
      <x:c r="L389" s="20" t="n">
        <x:v>78298.99</x:v>
      </x:c>
      <x:c r="M389" s="20" t="n">
        <x:v>602.9</x:v>
      </x:c>
      <x:c r="N389" s="20" t="n">
        <x:v>0</x:v>
      </x:c>
      <x:c r="O389" s="20" t="n">
        <x:v>78901.89</x:v>
      </x:c>
      <x:c r="P389" s="20" t="n">
        <x:v>0</x:v>
      </x:c>
      <x:c r="Q389" s="10" t="str">
        <x:v>Pago</x:v>
      </x:c>
      <x:c r="R389" s="10" t="str">
        <x:v>PIX</x:v>
      </x:c>
      <x:c r="S389" s="10" t="str">
        <x:v>2024-06</x:v>
      </x:c>
      <x:c r="T389" s="10" t="n">
        <x:v>0</x:v>
      </x:c>
      <x:c r="U389" s="10" t="str">
        <x:v>Liquidado</x:v>
      </x:c>
      <x:c r="V389" s="10" t="str">
        <x:v>UND004</x:v>
      </x:c>
    </x:row>
    <x:row r="390" ht="18" customHeight="1">
      <x:c r="A390" s="10" t="str">
        <x:v>PAG00389</x:v>
      </x:c>
      <x:c r="B390" s="10" t="str">
        <x:v>EMP001</x:v>
      </x:c>
      <x:c r="C390" s="10" t="str">
        <x:v>FOR037</x:v>
      </x:c>
      <x:c r="D390" s="10" t="str">
        <x:v>CC001</x:v>
      </x:c>
      <x:c r="E390" s="10" t="str">
        <x:v>CAT009</x:v>
      </x:c>
      <x:c r="F390" s="10" t="str">
        <x:v>CTA002</x:v>
      </x:c>
      <x:c r="G390" s="10" t="str">
        <x:v>NF-100389</x:v>
      </x:c>
      <x:c r="H390" s="10" t="str">
        <x:v>Prestação de serviços</x:v>
      </x:c>
      <x:c r="I390" s="16" t="n">
        <x:v>45548.14380159722</x:v>
      </x:c>
      <x:c r="J390" s="16" t="n">
        <x:v>45576.14380159722</x:v>
      </x:c>
      <x:c r="K390" s="16" t="n">
        <x:v>45571.14380159722</x:v>
      </x:c>
      <x:c r="L390" s="20" t="n">
        <x:v>46075.15</x:v>
      </x:c>
      <x:c r="M390" s="20" t="n">
        <x:v>0</x:v>
      </x:c>
      <x:c r="N390" s="20" t="n">
        <x:v>0</x:v>
      </x:c>
      <x:c r="O390" s="20" t="n">
        <x:v>46075.15</x:v>
      </x:c>
      <x:c r="P390" s="20" t="n">
        <x:v>0</x:v>
      </x:c>
      <x:c r="Q390" s="10" t="str">
        <x:v>Pago</x:v>
      </x:c>
      <x:c r="R390" s="10" t="str">
        <x:v>Cartão Corporativo</x:v>
      </x:c>
      <x:c r="S390" s="10" t="str">
        <x:v>2024-09</x:v>
      </x:c>
      <x:c r="T390" s="10" t="n">
        <x:v>0</x:v>
      </x:c>
      <x:c r="U390" s="10" t="str">
        <x:v>Liquidado</x:v>
      </x:c>
      <x:c r="V390" s="10" t="str">
        <x:v>UND002</x:v>
      </x:c>
    </x:row>
    <x:row r="391" ht="18" customHeight="1">
      <x:c r="A391" s="10" t="str">
        <x:v>PAG00390</x:v>
      </x:c>
      <x:c r="B391" s="10" t="str">
        <x:v>EMP003</x:v>
      </x:c>
      <x:c r="C391" s="10" t="str">
        <x:v>FOR010</x:v>
      </x:c>
      <x:c r="D391" s="10" t="str">
        <x:v>CC004</x:v>
      </x:c>
      <x:c r="E391" s="10" t="str">
        <x:v>CAT017</x:v>
      </x:c>
      <x:c r="F391" s="10" t="str">
        <x:v>CTA006</x:v>
      </x:c>
      <x:c r="G391" s="10" t="str">
        <x:v>NF-100390</x:v>
      </x:c>
      <x:c r="H391" s="10" t="str">
        <x:v>Compra de materiais</x:v>
      </x:c>
      <x:c r="I391" s="16" t="n">
        <x:v>45735.12053150463</x:v>
      </x:c>
      <x:c r="J391" s="16" t="n">
        <x:v>45810.12053150463</x:v>
      </x:c>
      <x:c r="K391" s="16" t="n">
        <x:v>45807.12053150463</x:v>
      </x:c>
      <x:c r="L391" s="20" t="n">
        <x:v>88852.61</x:v>
      </x:c>
      <x:c r="M391" s="20" t="n">
        <x:v>0</x:v>
      </x:c>
      <x:c r="N391" s="20" t="n">
        <x:v>0</x:v>
      </x:c>
      <x:c r="O391" s="20" t="n">
        <x:v>88852.61</x:v>
      </x:c>
      <x:c r="P391" s="20" t="n">
        <x:v>0</x:v>
      </x:c>
      <x:c r="Q391" s="10" t="str">
        <x:v>Pago</x:v>
      </x:c>
      <x:c r="R391" s="10" t="str">
        <x:v>TED</x:v>
      </x:c>
      <x:c r="S391" s="10" t="str">
        <x:v>2025-03</x:v>
      </x:c>
      <x:c r="T391" s="10" t="n">
        <x:v>0</x:v>
      </x:c>
      <x:c r="U391" s="10" t="str">
        <x:v>Liquidado</x:v>
      </x:c>
      <x:c r="V391" s="10" t="str">
        <x:v>UND004</x:v>
      </x:c>
    </x:row>
    <x:row r="392" ht="18" customHeight="1">
      <x:c r="A392" s="10" t="str">
        <x:v>PAG00391</x:v>
      </x:c>
      <x:c r="B392" s="10" t="str">
        <x:v>EMP002</x:v>
      </x:c>
      <x:c r="C392" s="10" t="str">
        <x:v>FOR055</x:v>
      </x:c>
      <x:c r="D392" s="10" t="str">
        <x:v>CC004</x:v>
      </x:c>
      <x:c r="E392" s="10" t="str">
        <x:v>CAT012</x:v>
      </x:c>
      <x:c r="F392" s="10" t="str">
        <x:v>CTA004</x:v>
      </x:c>
      <x:c r="G392" s="10" t="str">
        <x:v>NF-100391</x:v>
      </x:c>
      <x:c r="H392" s="10" t="str">
        <x:v>Tributos e taxas</x:v>
      </x:c>
      <x:c r="I392" s="16" t="n">
        <x:v>45798.78605488426</x:v>
      </x:c>
      <x:c r="J392" s="16" t="n">
        <x:v>45833.78605488426</x:v>
      </x:c>
      <x:c r="K392" s="16" t="n">
        <x:v>45835.78605488426</x:v>
      </x:c>
      <x:c r="L392" s="20" t="n">
        <x:v>21682.48</x:v>
      </x:c>
      <x:c r="M392" s="20" t="n">
        <x:v>30.36</x:v>
      </x:c>
      <x:c r="N392" s="20" t="n">
        <x:v>0</x:v>
      </x:c>
      <x:c r="O392" s="20" t="n">
        <x:v>21712.84</x:v>
      </x:c>
      <x:c r="P392" s="20" t="n">
        <x:v>0</x:v>
      </x:c>
      <x:c r="Q392" s="10" t="str">
        <x:v>Pago</x:v>
      </x:c>
      <x:c r="R392" s="10" t="str">
        <x:v>PIX</x:v>
      </x:c>
      <x:c r="S392" s="10" t="str">
        <x:v>2025-05</x:v>
      </x:c>
      <x:c r="T392" s="10" t="n">
        <x:v>0</x:v>
      </x:c>
      <x:c r="U392" s="10" t="str">
        <x:v>Liquidado</x:v>
      </x:c>
      <x:c r="V392" s="10" t="str">
        <x:v>UND003</x:v>
      </x:c>
    </x:row>
    <x:row r="393" ht="18" customHeight="1">
      <x:c r="A393" s="10" t="str">
        <x:v>PAG00392</x:v>
      </x:c>
      <x:c r="B393" s="10" t="str">
        <x:v>EMP001</x:v>
      </x:c>
      <x:c r="C393" s="10" t="str">
        <x:v>FOR053</x:v>
      </x:c>
      <x:c r="D393" s="10" t="str">
        <x:v>CC006</x:v>
      </x:c>
      <x:c r="E393" s="10" t="str">
        <x:v>CAT015</x:v>
      </x:c>
      <x:c r="F393" s="10" t="str">
        <x:v>CTA001</x:v>
      </x:c>
      <x:c r="G393" s="10" t="str">
        <x:v>NF-100392</x:v>
      </x:c>
      <x:c r="H393" s="10" t="str">
        <x:v>Despesa operacional</x:v>
      </x:c>
      <x:c r="I393" s="16" t="n">
        <x:v>45442.6688171412</x:v>
      </x:c>
      <x:c r="J393" s="16" t="n">
        <x:v>45457.6688171412</x:v>
      </x:c>
      <x:c r="K393" s="16" t="n">
        <x:v>45460.6688171412</x:v>
      </x:c>
      <x:c r="L393" s="20" t="n">
        <x:v>4153.79</x:v>
      </x:c>
      <x:c r="M393" s="20" t="n">
        <x:v>8.72</x:v>
      </x:c>
      <x:c r="N393" s="20" t="n">
        <x:v>0</x:v>
      </x:c>
      <x:c r="O393" s="20" t="n">
        <x:v>4162.51</x:v>
      </x:c>
      <x:c r="P393" s="20" t="n">
        <x:v>0</x:v>
      </x:c>
      <x:c r="Q393" s="10" t="str">
        <x:v>Pago</x:v>
      </x:c>
      <x:c r="R393" s="10" t="str">
        <x:v>TED</x:v>
      </x:c>
      <x:c r="S393" s="10" t="str">
        <x:v>2024-05</x:v>
      </x:c>
      <x:c r="T393" s="10" t="n">
        <x:v>0</x:v>
      </x:c>
      <x:c r="U393" s="10" t="str">
        <x:v>Liquidado</x:v>
      </x:c>
      <x:c r="V393" s="10" t="str">
        <x:v>UND001</x:v>
      </x:c>
    </x:row>
    <x:row r="394" ht="18" customHeight="1">
      <x:c r="A394" s="10" t="str">
        <x:v>PAG00393</x:v>
      </x:c>
      <x:c r="B394" s="10" t="str">
        <x:v>EMP002</x:v>
      </x:c>
      <x:c r="C394" s="10" t="str">
        <x:v>FOR019</x:v>
      </x:c>
      <x:c r="D394" s="10" t="str">
        <x:v>CC008</x:v>
      </x:c>
      <x:c r="E394" s="10" t="str">
        <x:v>CAT006</x:v>
      </x:c>
      <x:c r="F394" s="10" t="str">
        <x:v>CTA004</x:v>
      </x:c>
      <x:c r="G394" s="10" t="str">
        <x:v>NF-100393</x:v>
      </x:c>
      <x:c r="H394" s="10" t="str">
        <x:v>Contrato recorrente</x:v>
      </x:c>
      <x:c r="I394" s="16" t="n">
        <x:v>45306.02459115741</x:v>
      </x:c>
      <x:c r="J394" s="16" t="n">
        <x:v>45336.02459115741</x:v>
      </x:c>
      <x:c r="K394" s="16"/>
      <x:c r="L394" s="20" t="n">
        <x:v>95605.17</x:v>
      </x:c>
      <x:c r="M394" s="20" t="n">
        <x:v>0</x:v>
      </x:c>
      <x:c r="N394" s="20" t="n">
        <x:v>0</x:v>
      </x:c>
      <x:c r="O394" s="20" t="n">
        <x:v>0</x:v>
      </x:c>
      <x:c r="P394" s="20" t="n">
        <x:v>95605.17</x:v>
      </x:c>
      <x:c r="Q394" s="10" t="str">
        <x:v>Vencido</x:v>
      </x:c>
      <x:c r="R394" s="10" t="str">
        <x:v>TED</x:v>
      </x:c>
      <x:c r="S394" s="10" t="str">
        <x:v>2024-01</x:v>
      </x:c>
      <x:c r="T394" s="10" t="n">
        <x:v>685</x:v>
      </x:c>
      <x:c r="U394" s="10" t="str">
        <x:v>&gt; 120 dias</x:v>
      </x:c>
      <x:c r="V394" s="10" t="str">
        <x:v>UND003</x:v>
      </x:c>
    </x:row>
    <x:row r="395" ht="18" customHeight="1">
      <x:c r="A395" s="10" t="str">
        <x:v>PAG00394</x:v>
      </x:c>
      <x:c r="B395" s="10" t="str">
        <x:v>EMP003</x:v>
      </x:c>
      <x:c r="C395" s="10" t="str">
        <x:v>FOR005</x:v>
      </x:c>
      <x:c r="D395" s="10" t="str">
        <x:v>CC008</x:v>
      </x:c>
      <x:c r="E395" s="10" t="str">
        <x:v>CAT006</x:v>
      </x:c>
      <x:c r="F395" s="10" t="str">
        <x:v>CTA005</x:v>
      </x:c>
      <x:c r="G395" s="10" t="str">
        <x:v>NF-100394</x:v>
      </x:c>
      <x:c r="H395" s="10" t="str">
        <x:v>Prestação de serviços</x:v>
      </x:c>
      <x:c r="I395" s="16" t="n">
        <x:v>45880.93808431713</x:v>
      </x:c>
      <x:c r="J395" s="16" t="n">
        <x:v>45910.93808431713</x:v>
      </x:c>
      <x:c r="K395" s="16" t="n">
        <x:v>45913.93808431713</x:v>
      </x:c>
      <x:c r="L395" s="20" t="n">
        <x:v>610.78</x:v>
      </x:c>
      <x:c r="M395" s="20" t="n">
        <x:v>1.28</x:v>
      </x:c>
      <x:c r="N395" s="20" t="n">
        <x:v>0</x:v>
      </x:c>
      <x:c r="O395" s="20" t="n">
        <x:v>612.06</x:v>
      </x:c>
      <x:c r="P395" s="20" t="n">
        <x:v>0</x:v>
      </x:c>
      <x:c r="Q395" s="10" t="str">
        <x:v>Pago</x:v>
      </x:c>
      <x:c r="R395" s="10" t="str">
        <x:v>PIX</x:v>
      </x:c>
      <x:c r="S395" s="10" t="str">
        <x:v>2025-08</x:v>
      </x:c>
      <x:c r="T395" s="10" t="n">
        <x:v>0</x:v>
      </x:c>
      <x:c r="U395" s="10" t="str">
        <x:v>Liquidado</x:v>
      </x:c>
      <x:c r="V395" s="10" t="str">
        <x:v>UND004</x:v>
      </x:c>
    </x:row>
    <x:row r="396" ht="18" customHeight="1">
      <x:c r="A396" s="10" t="str">
        <x:v>PAG00395</x:v>
      </x:c>
      <x:c r="B396" s="10" t="str">
        <x:v>EMP001</x:v>
      </x:c>
      <x:c r="C396" s="10" t="str">
        <x:v>FOR016</x:v>
      </x:c>
      <x:c r="D396" s="10" t="str">
        <x:v>CC005</x:v>
      </x:c>
      <x:c r="E396" s="10" t="str">
        <x:v>CAT010</x:v>
      </x:c>
      <x:c r="F396" s="10" t="str">
        <x:v>CTA002</x:v>
      </x:c>
      <x:c r="G396" s="10" t="str">
        <x:v>NF-100395</x:v>
      </x:c>
      <x:c r="H396" s="10" t="str">
        <x:v>Prestação de serviços</x:v>
      </x:c>
      <x:c r="I396" s="16" t="n">
        <x:v>45769.999553912035</x:v>
      </x:c>
      <x:c r="J396" s="16" t="n">
        <x:v>45814.999553912035</x:v>
      </x:c>
      <x:c r="K396" s="16" t="n">
        <x:v>45807.999553912035</x:v>
      </x:c>
      <x:c r="L396" s="20" t="n">
        <x:v>106690.9</x:v>
      </x:c>
      <x:c r="M396" s="20" t="n">
        <x:v>0</x:v>
      </x:c>
      <x:c r="N396" s="20" t="n">
        <x:v>0</x:v>
      </x:c>
      <x:c r="O396" s="20" t="n">
        <x:v>106690.9</x:v>
      </x:c>
      <x:c r="P396" s="20" t="n">
        <x:v>0</x:v>
      </x:c>
      <x:c r="Q396" s="10" t="str">
        <x:v>Pago</x:v>
      </x:c>
      <x:c r="R396" s="10" t="str">
        <x:v>Boleto</x:v>
      </x:c>
      <x:c r="S396" s="10" t="str">
        <x:v>2025-04</x:v>
      </x:c>
      <x:c r="T396" s="10" t="n">
        <x:v>0</x:v>
      </x:c>
      <x:c r="U396" s="10" t="str">
        <x:v>Liquidado</x:v>
      </x:c>
      <x:c r="V396" s="10" t="str">
        <x:v>UND001</x:v>
      </x:c>
    </x:row>
    <x:row r="397" ht="18" customHeight="1">
      <x:c r="A397" s="10" t="str">
        <x:v>PAG00396</x:v>
      </x:c>
      <x:c r="B397" s="10" t="str">
        <x:v>EMP001</x:v>
      </x:c>
      <x:c r="C397" s="10" t="str">
        <x:v>FOR024</x:v>
      </x:c>
      <x:c r="D397" s="10" t="str">
        <x:v>CC002</x:v>
      </x:c>
      <x:c r="E397" s="10" t="str">
        <x:v>CAT015</x:v>
      </x:c>
      <x:c r="F397" s="10" t="str">
        <x:v>CTA002</x:v>
      </x:c>
      <x:c r="G397" s="10" t="str">
        <x:v>NF-100396</x:v>
      </x:c>
      <x:c r="H397" s="10" t="str">
        <x:v>Tributos e taxas</x:v>
      </x:c>
      <x:c r="I397" s="16" t="n">
        <x:v>45295.78418116898</x:v>
      </x:c>
      <x:c r="J397" s="16" t="n">
        <x:v>45310.78418116898</x:v>
      </x:c>
      <x:c r="K397" s="16" t="n">
        <x:v>45303.78418116898</x:v>
      </x:c>
      <x:c r="L397" s="20" t="n">
        <x:v>13920.36</x:v>
      </x:c>
      <x:c r="M397" s="20" t="n">
        <x:v>0</x:v>
      </x:c>
      <x:c r="N397" s="20" t="n">
        <x:v>0</x:v>
      </x:c>
      <x:c r="O397" s="20" t="n">
        <x:v>13920.36</x:v>
      </x:c>
      <x:c r="P397" s="20" t="n">
        <x:v>0</x:v>
      </x:c>
      <x:c r="Q397" s="10" t="str">
        <x:v>Pago</x:v>
      </x:c>
      <x:c r="R397" s="10" t="str">
        <x:v>Boleto</x:v>
      </x:c>
      <x:c r="S397" s="10" t="str">
        <x:v>2024-01</x:v>
      </x:c>
      <x:c r="T397" s="10" t="n">
        <x:v>0</x:v>
      </x:c>
      <x:c r="U397" s="10" t="str">
        <x:v>Liquidado</x:v>
      </x:c>
      <x:c r="V397" s="10" t="str">
        <x:v>UND001</x:v>
      </x:c>
    </x:row>
    <x:row r="398" ht="18" customHeight="1">
      <x:c r="A398" s="10" t="str">
        <x:v>PAG00397</x:v>
      </x:c>
      <x:c r="B398" s="10" t="str">
        <x:v>EMP001</x:v>
      </x:c>
      <x:c r="C398" s="10" t="str">
        <x:v>FOR049</x:v>
      </x:c>
      <x:c r="D398" s="10" t="str">
        <x:v>CC005</x:v>
      </x:c>
      <x:c r="E398" s="10" t="str">
        <x:v>CAT010</x:v>
      </x:c>
      <x:c r="F398" s="10" t="str">
        <x:v>CTA001</x:v>
      </x:c>
      <x:c r="G398" s="10" t="str">
        <x:v>NF-100397</x:v>
      </x:c>
      <x:c r="H398" s="10" t="str">
        <x:v>Contrato recorrente</x:v>
      </x:c>
      <x:c r="I398" s="16" t="n">
        <x:v>45412.48956019676</x:v>
      </x:c>
      <x:c r="J398" s="16" t="n">
        <x:v>45487.48956019676</x:v>
      </x:c>
      <x:c r="K398" s="16" t="n">
        <x:v>45488.48956019676</x:v>
      </x:c>
      <x:c r="L398" s="20" t="n">
        <x:v>15600.93</x:v>
      </x:c>
      <x:c r="M398" s="20" t="n">
        <x:v>10.92</x:v>
      </x:c>
      <x:c r="N398" s="20" t="n">
        <x:v>0</x:v>
      </x:c>
      <x:c r="O398" s="20" t="n">
        <x:v>15611.85</x:v>
      </x:c>
      <x:c r="P398" s="20" t="n">
        <x:v>0</x:v>
      </x:c>
      <x:c r="Q398" s="10" t="str">
        <x:v>Pago</x:v>
      </x:c>
      <x:c r="R398" s="10" t="str">
        <x:v>Cartão Corporativo</x:v>
      </x:c>
      <x:c r="S398" s="10" t="str">
        <x:v>2024-04</x:v>
      </x:c>
      <x:c r="T398" s="10" t="n">
        <x:v>0</x:v>
      </x:c>
      <x:c r="U398" s="10" t="str">
        <x:v>Liquidado</x:v>
      </x:c>
      <x:c r="V398" s="10" t="str">
        <x:v>UND002</x:v>
      </x:c>
    </x:row>
    <x:row r="399" ht="18" customHeight="1">
      <x:c r="A399" s="10" t="str">
        <x:v>PAG00398</x:v>
      </x:c>
      <x:c r="B399" s="10" t="str">
        <x:v>EMP002</x:v>
      </x:c>
      <x:c r="C399" s="10" t="str">
        <x:v>FOR027</x:v>
      </x:c>
      <x:c r="D399" s="10" t="str">
        <x:v>CC005</x:v>
      </x:c>
      <x:c r="E399" s="10" t="str">
        <x:v>CAT017</x:v>
      </x:c>
      <x:c r="F399" s="10" t="str">
        <x:v>CTA003</x:v>
      </x:c>
      <x:c r="G399" s="10" t="str">
        <x:v>NF-100398</x:v>
      </x:c>
      <x:c r="H399" s="10" t="str">
        <x:v>Prestação de serviços</x:v>
      </x:c>
      <x:c r="I399" s="16" t="n">
        <x:v>45521.95255729167</x:v>
      </x:c>
      <x:c r="J399" s="16" t="n">
        <x:v>45566.95255729167</x:v>
      </x:c>
      <x:c r="K399" s="16" t="n">
        <x:v>45584.95255729167</x:v>
      </x:c>
      <x:c r="L399" s="20" t="n">
        <x:v>90661.34</x:v>
      </x:c>
      <x:c r="M399" s="20" t="n">
        <x:v>1142.33</x:v>
      </x:c>
      <x:c r="N399" s="20" t="n">
        <x:v>0</x:v>
      </x:c>
      <x:c r="O399" s="20" t="n">
        <x:v>91803.67</x:v>
      </x:c>
      <x:c r="P399" s="20" t="n">
        <x:v>0</x:v>
      </x:c>
      <x:c r="Q399" s="10" t="str">
        <x:v>Pago</x:v>
      </x:c>
      <x:c r="R399" s="10" t="str">
        <x:v>PIX</x:v>
      </x:c>
      <x:c r="S399" s="10" t="str">
        <x:v>2024-08</x:v>
      </x:c>
      <x:c r="T399" s="10" t="n">
        <x:v>0</x:v>
      </x:c>
      <x:c r="U399" s="10" t="str">
        <x:v>Liquidado</x:v>
      </x:c>
      <x:c r="V399" s="10" t="str">
        <x:v>UND003</x:v>
      </x:c>
    </x:row>
    <x:row r="400" ht="18" customHeight="1">
      <x:c r="A400" s="10" t="str">
        <x:v>PAG00399</x:v>
      </x:c>
      <x:c r="B400" s="10" t="str">
        <x:v>EMP002</x:v>
      </x:c>
      <x:c r="C400" s="10" t="str">
        <x:v>FOR025</x:v>
      </x:c>
      <x:c r="D400" s="10" t="str">
        <x:v>CC005</x:v>
      </x:c>
      <x:c r="E400" s="10" t="str">
        <x:v>CAT006</x:v>
      </x:c>
      <x:c r="F400" s="10" t="str">
        <x:v>CTA003</x:v>
      </x:c>
      <x:c r="G400" s="10" t="str">
        <x:v>NF-100399</x:v>
      </x:c>
      <x:c r="H400" s="10" t="str">
        <x:v>Tributos e taxas</x:v>
      </x:c>
      <x:c r="I400" s="16" t="n">
        <x:v>45740.33870778935</x:v>
      </x:c>
      <x:c r="J400" s="16" t="n">
        <x:v>45785.33870778935</x:v>
      </x:c>
      <x:c r="K400" s="16" t="n">
        <x:v>45807.33870778935</x:v>
      </x:c>
      <x:c r="L400" s="20" t="n">
        <x:v>47511.76</x:v>
      </x:c>
      <x:c r="M400" s="20" t="n">
        <x:v>731.68</x:v>
      </x:c>
      <x:c r="N400" s="20" t="n">
        <x:v>0</x:v>
      </x:c>
      <x:c r="O400" s="20" t="n">
        <x:v>48243.44</x:v>
      </x:c>
      <x:c r="P400" s="20" t="n">
        <x:v>0</x:v>
      </x:c>
      <x:c r="Q400" s="10" t="str">
        <x:v>Pago</x:v>
      </x:c>
      <x:c r="R400" s="10" t="str">
        <x:v>TED</x:v>
      </x:c>
      <x:c r="S400" s="10" t="str">
        <x:v>2025-03</x:v>
      </x:c>
      <x:c r="T400" s="10" t="n">
        <x:v>0</x:v>
      </x:c>
      <x:c r="U400" s="10" t="str">
        <x:v>Liquidado</x:v>
      </x:c>
      <x:c r="V400" s="10" t="str">
        <x:v>UND003</x:v>
      </x:c>
    </x:row>
    <x:row r="401" ht="18" customHeight="1">
      <x:c r="A401" s="10" t="str">
        <x:v>PAG00400</x:v>
      </x:c>
      <x:c r="B401" s="10" t="str">
        <x:v>EMP002</x:v>
      </x:c>
      <x:c r="C401" s="10" t="str">
        <x:v>FOR029</x:v>
      </x:c>
      <x:c r="D401" s="10" t="str">
        <x:v>CC004</x:v>
      </x:c>
      <x:c r="E401" s="10" t="str">
        <x:v>CAT017</x:v>
      </x:c>
      <x:c r="F401" s="10" t="str">
        <x:v>CTA004</x:v>
      </x:c>
      <x:c r="G401" s="10" t="str">
        <x:v>NF-100400</x:v>
      </x:c>
      <x:c r="H401" s="10" t="str">
        <x:v>Prestação de serviços</x:v>
      </x:c>
      <x:c r="I401" s="16" t="n">
        <x:v>45858.131096770834</x:v>
      </x:c>
      <x:c r="J401" s="16" t="n">
        <x:v>45873.131096770834</x:v>
      </x:c>
      <x:c r="K401" s="16" t="n">
        <x:v>45884.131096770834</x:v>
      </x:c>
      <x:c r="L401" s="20" t="n">
        <x:v>24146.11</x:v>
      </x:c>
      <x:c r="M401" s="20" t="n">
        <x:v>185.93</x:v>
      </x:c>
      <x:c r="N401" s="20" t="n">
        <x:v>0</x:v>
      </x:c>
      <x:c r="O401" s="20" t="n">
        <x:v>24332.04</x:v>
      </x:c>
      <x:c r="P401" s="20" t="n">
        <x:v>0</x:v>
      </x:c>
      <x:c r="Q401" s="10" t="str">
        <x:v>Pago</x:v>
      </x:c>
      <x:c r="R401" s="10" t="str">
        <x:v>TED</x:v>
      </x:c>
      <x:c r="S401" s="10" t="str">
        <x:v>2025-07</x:v>
      </x:c>
      <x:c r="T401" s="10" t="n">
        <x:v>0</x:v>
      </x:c>
      <x:c r="U401" s="10" t="str">
        <x:v>Liquidado</x:v>
      </x:c>
      <x:c r="V401" s="10" t="str">
        <x:v>UND003</x:v>
      </x:c>
    </x:row>
    <x:row r="402" ht="18" customHeight="1">
      <x:c r="A402" s="10" t="str">
        <x:v>PAG00401</x:v>
      </x:c>
      <x:c r="B402" s="10" t="str">
        <x:v>EMP001</x:v>
      </x:c>
      <x:c r="C402" s="10" t="str">
        <x:v>FOR033</x:v>
      </x:c>
      <x:c r="D402" s="10" t="str">
        <x:v>CC001</x:v>
      </x:c>
      <x:c r="E402" s="10" t="str">
        <x:v>CAT011</x:v>
      </x:c>
      <x:c r="F402" s="10" t="str">
        <x:v>CTA001</x:v>
      </x:c>
      <x:c r="G402" s="10" t="str">
        <x:v>NF-100401</x:v>
      </x:c>
      <x:c r="H402" s="10" t="str">
        <x:v>Contrato recorrente</x:v>
      </x:c>
      <x:c r="I402" s="16" t="n">
        <x:v>45311.53369525463</x:v>
      </x:c>
      <x:c r="J402" s="16" t="n">
        <x:v>45386.53369525463</x:v>
      </x:c>
      <x:c r="K402" s="16" t="n">
        <x:v>45385.53369525463</x:v>
      </x:c>
      <x:c r="L402" s="20" t="n">
        <x:v>66397.62</x:v>
      </x:c>
      <x:c r="M402" s="20" t="n">
        <x:v>0</x:v>
      </x:c>
      <x:c r="N402" s="20" t="n">
        <x:v>0</x:v>
      </x:c>
      <x:c r="O402" s="20" t="n">
        <x:v>66397.62</x:v>
      </x:c>
      <x:c r="P402" s="20" t="n">
        <x:v>0</x:v>
      </x:c>
      <x:c r="Q402" s="10" t="str">
        <x:v>Pago</x:v>
      </x:c>
      <x:c r="R402" s="10" t="str">
        <x:v>Boleto</x:v>
      </x:c>
      <x:c r="S402" s="10" t="str">
        <x:v>2024-01</x:v>
      </x:c>
      <x:c r="T402" s="10" t="n">
        <x:v>0</x:v>
      </x:c>
      <x:c r="U402" s="10" t="str">
        <x:v>Liquidado</x:v>
      </x:c>
      <x:c r="V402" s="10" t="str">
        <x:v>UND002</x:v>
      </x:c>
    </x:row>
    <x:row r="403" ht="18" customHeight="1">
      <x:c r="A403" s="10" t="str">
        <x:v>PAG00402</x:v>
      </x:c>
      <x:c r="B403" s="10" t="str">
        <x:v>EMP001</x:v>
      </x:c>
      <x:c r="C403" s="10" t="str">
        <x:v>FOR026</x:v>
      </x:c>
      <x:c r="D403" s="10" t="str">
        <x:v>CC007</x:v>
      </x:c>
      <x:c r="E403" s="10" t="str">
        <x:v>CAT011</x:v>
      </x:c>
      <x:c r="F403" s="10" t="str">
        <x:v>CTA002</x:v>
      </x:c>
      <x:c r="G403" s="10" t="str">
        <x:v>NF-100402</x:v>
      </x:c>
      <x:c r="H403" s="10" t="str">
        <x:v>Tributos e taxas</x:v>
      </x:c>
      <x:c r="I403" s="16" t="n">
        <x:v>45474.676103125</x:v>
      </x:c>
      <x:c r="J403" s="16" t="n">
        <x:v>45534.676103125</x:v>
      </x:c>
      <x:c r="K403" s="16" t="n">
        <x:v>45537.676103125</x:v>
      </x:c>
      <x:c r="L403" s="20" t="n">
        <x:v>4505.85</x:v>
      </x:c>
      <x:c r="M403" s="20" t="n">
        <x:v>9.46</x:v>
      </x:c>
      <x:c r="N403" s="20" t="n">
        <x:v>0</x:v>
      </x:c>
      <x:c r="O403" s="20" t="n">
        <x:v>4515.31</x:v>
      </x:c>
      <x:c r="P403" s="20" t="n">
        <x:v>0</x:v>
      </x:c>
      <x:c r="Q403" s="10" t="str">
        <x:v>Pago</x:v>
      </x:c>
      <x:c r="R403" s="10" t="str">
        <x:v>Cartão Corporativo</x:v>
      </x:c>
      <x:c r="S403" s="10" t="str">
        <x:v>2024-07</x:v>
      </x:c>
      <x:c r="T403" s="10" t="n">
        <x:v>0</x:v>
      </x:c>
      <x:c r="U403" s="10" t="str">
        <x:v>Liquidado</x:v>
      </x:c>
      <x:c r="V403" s="10" t="str">
        <x:v>UND001</x:v>
      </x:c>
    </x:row>
    <x:row r="404" ht="18" customHeight="1">
      <x:c r="A404" s="10" t="str">
        <x:v>PAG00403</x:v>
      </x:c>
      <x:c r="B404" s="10" t="str">
        <x:v>EMP003</x:v>
      </x:c>
      <x:c r="C404" s="10" t="str">
        <x:v>FOR008</x:v>
      </x:c>
      <x:c r="D404" s="10" t="str">
        <x:v>CC008</x:v>
      </x:c>
      <x:c r="E404" s="10" t="str">
        <x:v>CAT005</x:v>
      </x:c>
      <x:c r="F404" s="10" t="str">
        <x:v>CTA006</x:v>
      </x:c>
      <x:c r="G404" s="10" t="str">
        <x:v>NF-100403</x:v>
      </x:c>
      <x:c r="H404" s="10" t="str">
        <x:v>Prestação de serviços</x:v>
      </x:c>
      <x:c r="I404" s="16" t="n">
        <x:v>45812.124582916666</x:v>
      </x:c>
      <x:c r="J404" s="16" t="n">
        <x:v>45887.124582916666</x:v>
      </x:c>
      <x:c r="K404" s="16" t="n">
        <x:v>45883.124582916666</x:v>
      </x:c>
      <x:c r="L404" s="20" t="n">
        <x:v>38433.71</x:v>
      </x:c>
      <x:c r="M404" s="20" t="n">
        <x:v>0</x:v>
      </x:c>
      <x:c r="N404" s="20" t="n">
        <x:v>0</x:v>
      </x:c>
      <x:c r="O404" s="20" t="n">
        <x:v>38433.71</x:v>
      </x:c>
      <x:c r="P404" s="20" t="n">
        <x:v>0</x:v>
      </x:c>
      <x:c r="Q404" s="10" t="str">
        <x:v>Pago</x:v>
      </x:c>
      <x:c r="R404" s="10" t="str">
        <x:v>PIX</x:v>
      </x:c>
      <x:c r="S404" s="10" t="str">
        <x:v>2025-06</x:v>
      </x:c>
      <x:c r="T404" s="10" t="n">
        <x:v>0</x:v>
      </x:c>
      <x:c r="U404" s="10" t="str">
        <x:v>Liquidado</x:v>
      </x:c>
      <x:c r="V404" s="10" t="str">
        <x:v>UND004</x:v>
      </x:c>
    </x:row>
    <x:row r="405" ht="18" customHeight="1">
      <x:c r="A405" s="10" t="str">
        <x:v>PAG00404</x:v>
      </x:c>
      <x:c r="B405" s="10" t="str">
        <x:v>EMP001</x:v>
      </x:c>
      <x:c r="C405" s="10" t="str">
        <x:v>FOR018</x:v>
      </x:c>
      <x:c r="D405" s="10" t="str">
        <x:v>CC007</x:v>
      </x:c>
      <x:c r="E405" s="10" t="str">
        <x:v>CAT013</x:v>
      </x:c>
      <x:c r="F405" s="10" t="str">
        <x:v>CTA002</x:v>
      </x:c>
      <x:c r="G405" s="10" t="str">
        <x:v>NF-100404</x:v>
      </x:c>
      <x:c r="H405" s="10" t="str">
        <x:v>Compra de materiais</x:v>
      </x:c>
      <x:c r="I405" s="16" t="n">
        <x:v>45724.91533708333</x:v>
      </x:c>
      <x:c r="J405" s="16" t="n">
        <x:v>45754.91533708333</x:v>
      </x:c>
      <x:c r="K405" s="16" t="n">
        <x:v>45746.91533708333</x:v>
      </x:c>
      <x:c r="L405" s="20" t="n">
        <x:v>26023.14</x:v>
      </x:c>
      <x:c r="M405" s="20" t="n">
        <x:v>0</x:v>
      </x:c>
      <x:c r="N405" s="20" t="n">
        <x:v>0</x:v>
      </x:c>
      <x:c r="O405" s="20" t="n">
        <x:v>26023.14</x:v>
      </x:c>
      <x:c r="P405" s="20" t="n">
        <x:v>0</x:v>
      </x:c>
      <x:c r="Q405" s="10" t="str">
        <x:v>Pago</x:v>
      </x:c>
      <x:c r="R405" s="10" t="str">
        <x:v>Cartão Corporativo</x:v>
      </x:c>
      <x:c r="S405" s="10" t="str">
        <x:v>2025-03</x:v>
      </x:c>
      <x:c r="T405" s="10" t="n">
        <x:v>0</x:v>
      </x:c>
      <x:c r="U405" s="10" t="str">
        <x:v>Liquidado</x:v>
      </x:c>
      <x:c r="V405" s="10" t="str">
        <x:v>UND001</x:v>
      </x:c>
    </x:row>
    <x:row r="406" ht="18" customHeight="1">
      <x:c r="A406" s="10" t="str">
        <x:v>PAG00405</x:v>
      </x:c>
      <x:c r="B406" s="10" t="str">
        <x:v>EMP003</x:v>
      </x:c>
      <x:c r="C406" s="10" t="str">
        <x:v>FOR056</x:v>
      </x:c>
      <x:c r="D406" s="10" t="str">
        <x:v>CC003</x:v>
      </x:c>
      <x:c r="E406" s="10" t="str">
        <x:v>CAT007</x:v>
      </x:c>
      <x:c r="F406" s="10" t="str">
        <x:v>CTA006</x:v>
      </x:c>
      <x:c r="G406" s="10" t="str">
        <x:v>NF-100405</x:v>
      </x:c>
      <x:c r="H406" s="10" t="str">
        <x:v>Despesa operacional</x:v>
      </x:c>
      <x:c r="I406" s="16" t="n">
        <x:v>45374.930104722225</x:v>
      </x:c>
      <x:c r="J406" s="16" t="n">
        <x:v>45419.930104722225</x:v>
      </x:c>
      <x:c r="K406" s="16"/>
      <x:c r="L406" s="20" t="n">
        <x:v>114098.77</x:v>
      </x:c>
      <x:c r="M406" s="20" t="n">
        <x:v>0</x:v>
      </x:c>
      <x:c r="N406" s="20" t="n">
        <x:v>0</x:v>
      </x:c>
      <x:c r="O406" s="20" t="n">
        <x:v>0</x:v>
      </x:c>
      <x:c r="P406" s="20" t="n">
        <x:v>114098.77</x:v>
      </x:c>
      <x:c r="Q406" s="10" t="str">
        <x:v>Vencido</x:v>
      </x:c>
      <x:c r="R406" s="10" t="str">
        <x:v>Cartão Corporativo</x:v>
      </x:c>
      <x:c r="S406" s="10" t="str">
        <x:v>2024-03</x:v>
      </x:c>
      <x:c r="T406" s="10" t="n">
        <x:v>602</x:v>
      </x:c>
      <x:c r="U406" s="10" t="str">
        <x:v>&gt; 120 dias</x:v>
      </x:c>
      <x:c r="V406" s="10" t="str">
        <x:v>UND004</x:v>
      </x:c>
    </x:row>
    <x:row r="407" ht="18" customHeight="1">
      <x:c r="A407" s="10" t="str">
        <x:v>PAG00406</x:v>
      </x:c>
      <x:c r="B407" s="10" t="str">
        <x:v>EMP001</x:v>
      </x:c>
      <x:c r="C407" s="10" t="str">
        <x:v>FOR050</x:v>
      </x:c>
      <x:c r="D407" s="10" t="str">
        <x:v>CC001</x:v>
      </x:c>
      <x:c r="E407" s="10" t="str">
        <x:v>CAT014</x:v>
      </x:c>
      <x:c r="F407" s="10" t="str">
        <x:v>CTA002</x:v>
      </x:c>
      <x:c r="G407" s="10" t="str">
        <x:v>NF-100406</x:v>
      </x:c>
      <x:c r="H407" s="10" t="str">
        <x:v>Despesa operacional</x:v>
      </x:c>
      <x:c r="I407" s="16" t="n">
        <x:v>45360.71307931713</x:v>
      </x:c>
      <x:c r="J407" s="16" t="n">
        <x:v>45395.71307931713</x:v>
      </x:c>
      <x:c r="K407" s="16" t="n">
        <x:v>45395.71307931713</x:v>
      </x:c>
      <x:c r="L407" s="20" t="n">
        <x:v>24475.75</x:v>
      </x:c>
      <x:c r="M407" s="20" t="n">
        <x:v>0</x:v>
      </x:c>
      <x:c r="N407" s="20" t="n">
        <x:v>0</x:v>
      </x:c>
      <x:c r="O407" s="20" t="n">
        <x:v>24475.75</x:v>
      </x:c>
      <x:c r="P407" s="20" t="n">
        <x:v>0</x:v>
      </x:c>
      <x:c r="Q407" s="10" t="str">
        <x:v>Pago</x:v>
      </x:c>
      <x:c r="R407" s="10" t="str">
        <x:v>PIX</x:v>
      </x:c>
      <x:c r="S407" s="10" t="str">
        <x:v>2024-03</x:v>
      </x:c>
      <x:c r="T407" s="10" t="n">
        <x:v>0</x:v>
      </x:c>
      <x:c r="U407" s="10" t="str">
        <x:v>Liquidado</x:v>
      </x:c>
      <x:c r="V407" s="10" t="str">
        <x:v>UND002</x:v>
      </x:c>
    </x:row>
    <x:row r="408" ht="18" customHeight="1">
      <x:c r="A408" s="10" t="str">
        <x:v>PAG00407</x:v>
      </x:c>
      <x:c r="B408" s="10" t="str">
        <x:v>EMP001</x:v>
      </x:c>
      <x:c r="C408" s="10" t="str">
        <x:v>FOR044</x:v>
      </x:c>
      <x:c r="D408" s="10" t="str">
        <x:v>CC008</x:v>
      </x:c>
      <x:c r="E408" s="10" t="str">
        <x:v>CAT008</x:v>
      </x:c>
      <x:c r="F408" s="10" t="str">
        <x:v>CTA002</x:v>
      </x:c>
      <x:c r="G408" s="10" t="str">
        <x:v>NF-100407</x:v>
      </x:c>
      <x:c r="H408" s="10" t="str">
        <x:v>Contrato recorrente</x:v>
      </x:c>
      <x:c r="I408" s="16" t="n">
        <x:v>45380.92319415509</x:v>
      </x:c>
      <x:c r="J408" s="16" t="n">
        <x:v>45408.92319415509</x:v>
      </x:c>
      <x:c r="K408" s="16" t="n">
        <x:v>45403.92319415509</x:v>
      </x:c>
      <x:c r="L408" s="20" t="n">
        <x:v>90452.28</x:v>
      </x:c>
      <x:c r="M408" s="20" t="n">
        <x:v>0</x:v>
      </x:c>
      <x:c r="N408" s="20" t="n">
        <x:v>0</x:v>
      </x:c>
      <x:c r="O408" s="20" t="n">
        <x:v>90452.28</x:v>
      </x:c>
      <x:c r="P408" s="20" t="n">
        <x:v>0</x:v>
      </x:c>
      <x:c r="Q408" s="10" t="str">
        <x:v>Pago</x:v>
      </x:c>
      <x:c r="R408" s="10" t="str">
        <x:v>PIX</x:v>
      </x:c>
      <x:c r="S408" s="10" t="str">
        <x:v>2024-03</x:v>
      </x:c>
      <x:c r="T408" s="10" t="n">
        <x:v>0</x:v>
      </x:c>
      <x:c r="U408" s="10" t="str">
        <x:v>Liquidado</x:v>
      </x:c>
      <x:c r="V408" s="10" t="str">
        <x:v>UND001</x:v>
      </x:c>
    </x:row>
    <x:row r="409" ht="18" customHeight="1">
      <x:c r="A409" s="10" t="str">
        <x:v>PAG00408</x:v>
      </x:c>
      <x:c r="B409" s="10" t="str">
        <x:v>EMP003</x:v>
      </x:c>
      <x:c r="C409" s="10" t="str">
        <x:v>FOR032</x:v>
      </x:c>
      <x:c r="D409" s="10" t="str">
        <x:v>CC004</x:v>
      </x:c>
      <x:c r="E409" s="10" t="str">
        <x:v>CAT008</x:v>
      </x:c>
      <x:c r="F409" s="10" t="str">
        <x:v>CTA006</x:v>
      </x:c>
      <x:c r="G409" s="10" t="str">
        <x:v>NF-100408</x:v>
      </x:c>
      <x:c r="H409" s="10" t="str">
        <x:v>Tributos e taxas</x:v>
      </x:c>
      <x:c r="I409" s="16" t="n">
        <x:v>45742.174842465276</x:v>
      </x:c>
      <x:c r="J409" s="16" t="n">
        <x:v>45802.174842465276</x:v>
      </x:c>
      <x:c r="K409" s="16"/>
      <x:c r="L409" s="20" t="n">
        <x:v>6957.14</x:v>
      </x:c>
      <x:c r="M409" s="20" t="n">
        <x:v>0</x:v>
      </x:c>
      <x:c r="N409" s="20" t="n">
        <x:v>0</x:v>
      </x:c>
      <x:c r="O409" s="20" t="n">
        <x:v>0</x:v>
      </x:c>
      <x:c r="P409" s="20" t="n">
        <x:v>6957.14</x:v>
      </x:c>
      <x:c r="Q409" s="10" t="str">
        <x:v>Vencido</x:v>
      </x:c>
      <x:c r="R409" s="10" t="str">
        <x:v>Boleto</x:v>
      </x:c>
      <x:c r="S409" s="10" t="str">
        <x:v>2025-03</x:v>
      </x:c>
      <x:c r="T409" s="10" t="n">
        <x:v>219</x:v>
      </x:c>
      <x:c r="U409" s="10" t="str">
        <x:v>&gt; 120 dias</x:v>
      </x:c>
      <x:c r="V409" s="10" t="str">
        <x:v>UND004</x:v>
      </x:c>
    </x:row>
    <x:row r="410" ht="18" customHeight="1">
      <x:c r="A410" s="10" t="str">
        <x:v>PAG00409</x:v>
      </x:c>
      <x:c r="B410" s="10" t="str">
        <x:v>EMP003</x:v>
      </x:c>
      <x:c r="C410" s="10" t="str">
        <x:v>FOR016</x:v>
      </x:c>
      <x:c r="D410" s="10" t="str">
        <x:v>CC005</x:v>
      </x:c>
      <x:c r="E410" s="10" t="str">
        <x:v>CAT016</x:v>
      </x:c>
      <x:c r="F410" s="10" t="str">
        <x:v>CTA005</x:v>
      </x:c>
      <x:c r="G410" s="10" t="str">
        <x:v>NF-100409</x:v>
      </x:c>
      <x:c r="H410" s="10" t="str">
        <x:v>Contrato recorrente</x:v>
      </x:c>
      <x:c r="I410" s="16" t="n">
        <x:v>45956.48766262732</x:v>
      </x:c>
      <x:c r="J410" s="16" t="n">
        <x:v>45976.48766262732</x:v>
      </x:c>
      <x:c r="K410" s="16" t="n">
        <x:v>45977.48766262732</x:v>
      </x:c>
      <x:c r="L410" s="20" t="n">
        <x:v>11946.93</x:v>
      </x:c>
      <x:c r="M410" s="20" t="n">
        <x:v>8.36</x:v>
      </x:c>
      <x:c r="N410" s="20" t="n">
        <x:v>0</x:v>
      </x:c>
      <x:c r="O410" s="20" t="n">
        <x:v>11955.29</x:v>
      </x:c>
      <x:c r="P410" s="20" t="n">
        <x:v>0</x:v>
      </x:c>
      <x:c r="Q410" s="10" t="str">
        <x:v>Pago</x:v>
      </x:c>
      <x:c r="R410" s="10" t="str">
        <x:v>Boleto</x:v>
      </x:c>
      <x:c r="S410" s="10" t="str">
        <x:v>2025-10</x:v>
      </x:c>
      <x:c r="T410" s="10" t="n">
        <x:v>0</x:v>
      </x:c>
      <x:c r="U410" s="10" t="str">
        <x:v>Liquidado</x:v>
      </x:c>
      <x:c r="V410" s="10" t="str">
        <x:v>UND004</x:v>
      </x:c>
    </x:row>
    <x:row r="411" ht="18" customHeight="1">
      <x:c r="A411" s="10" t="str">
        <x:v>PAG00410</x:v>
      </x:c>
      <x:c r="B411" s="10" t="str">
        <x:v>EMP003</x:v>
      </x:c>
      <x:c r="C411" s="10" t="str">
        <x:v>FOR031</x:v>
      </x:c>
      <x:c r="D411" s="10" t="str">
        <x:v>CC006</x:v>
      </x:c>
      <x:c r="E411" s="10" t="str">
        <x:v>CAT015</x:v>
      </x:c>
      <x:c r="F411" s="10" t="str">
        <x:v>CTA005</x:v>
      </x:c>
      <x:c r="G411" s="10" t="str">
        <x:v>NF-100410</x:v>
      </x:c>
      <x:c r="H411" s="10" t="str">
        <x:v>Tributos e taxas</x:v>
      </x:c>
      <x:c r="I411" s="16" t="n">
        <x:v>45703.22774701389</x:v>
      </x:c>
      <x:c r="J411" s="16" t="n">
        <x:v>45718.22774701389</x:v>
      </x:c>
      <x:c r="K411" s="16" t="n">
        <x:v>45712.22774701389</x:v>
      </x:c>
      <x:c r="L411" s="20" t="n">
        <x:v>35907.75</x:v>
      </x:c>
      <x:c r="M411" s="20" t="n">
        <x:v>0</x:v>
      </x:c>
      <x:c r="N411" s="20" t="n">
        <x:v>179.54</x:v>
      </x:c>
      <x:c r="O411" s="20" t="n">
        <x:v>35728.21</x:v>
      </x:c>
      <x:c r="P411" s="20" t="n">
        <x:v>0</x:v>
      </x:c>
      <x:c r="Q411" s="10" t="str">
        <x:v>Pago</x:v>
      </x:c>
      <x:c r="R411" s="10" t="str">
        <x:v>TED</x:v>
      </x:c>
      <x:c r="S411" s="10" t="str">
        <x:v>2025-02</x:v>
      </x:c>
      <x:c r="T411" s="10" t="n">
        <x:v>0</x:v>
      </x:c>
      <x:c r="U411" s="10" t="str">
        <x:v>Liquidado</x:v>
      </x:c>
      <x:c r="V411" s="10" t="str">
        <x:v>UND004</x:v>
      </x:c>
    </x:row>
    <x:row r="412" ht="18" customHeight="1">
      <x:c r="A412" s="10" t="str">
        <x:v>PAG00411</x:v>
      </x:c>
      <x:c r="B412" s="10" t="str">
        <x:v>EMP003</x:v>
      </x:c>
      <x:c r="C412" s="10" t="str">
        <x:v>FOR031</x:v>
      </x:c>
      <x:c r="D412" s="10" t="str">
        <x:v>CC008</x:v>
      </x:c>
      <x:c r="E412" s="10" t="str">
        <x:v>CAT011</x:v>
      </x:c>
      <x:c r="F412" s="10" t="str">
        <x:v>CTA005</x:v>
      </x:c>
      <x:c r="G412" s="10" t="str">
        <x:v>NF-100411</x:v>
      </x:c>
      <x:c r="H412" s="10" t="str">
        <x:v>Prestação de serviços</x:v>
      </x:c>
      <x:c r="I412" s="16" t="n">
        <x:v>45741.20900548611</x:v>
      </x:c>
      <x:c r="J412" s="16" t="n">
        <x:v>45761.20900548611</x:v>
      </x:c>
      <x:c r="K412" s="16"/>
      <x:c r="L412" s="20" t="n">
        <x:v>56973.42</x:v>
      </x:c>
      <x:c r="M412" s="20" t="n">
        <x:v>0</x:v>
      </x:c>
      <x:c r="N412" s="20" t="n">
        <x:v>0</x:v>
      </x:c>
      <x:c r="O412" s="20" t="n">
        <x:v>0</x:v>
      </x:c>
      <x:c r="P412" s="20" t="n">
        <x:v>56973.42</x:v>
      </x:c>
      <x:c r="Q412" s="10" t="str">
        <x:v>Vencido</x:v>
      </x:c>
      <x:c r="R412" s="10" t="str">
        <x:v>Débito Automático</x:v>
      </x:c>
      <x:c r="S412" s="10" t="str">
        <x:v>2025-03</x:v>
      </x:c>
      <x:c r="T412" s="10" t="n">
        <x:v>260</x:v>
      </x:c>
      <x:c r="U412" s="10" t="str">
        <x:v>&gt; 120 dias</x:v>
      </x:c>
      <x:c r="V412" s="10" t="str">
        <x:v>UND004</x:v>
      </x:c>
    </x:row>
    <x:row r="413" ht="18" customHeight="1">
      <x:c r="A413" s="10" t="str">
        <x:v>PAG00412</x:v>
      </x:c>
      <x:c r="B413" s="10" t="str">
        <x:v>EMP003</x:v>
      </x:c>
      <x:c r="C413" s="10" t="str">
        <x:v>FOR024</x:v>
      </x:c>
      <x:c r="D413" s="10" t="str">
        <x:v>CC008</x:v>
      </x:c>
      <x:c r="E413" s="10" t="str">
        <x:v>CAT010</x:v>
      </x:c>
      <x:c r="F413" s="10" t="str">
        <x:v>CTA006</x:v>
      </x:c>
      <x:c r="G413" s="10" t="str">
        <x:v>NF-100412</x:v>
      </x:c>
      <x:c r="H413" s="10" t="str">
        <x:v>Despesa operacional</x:v>
      </x:c>
      <x:c r="I413" s="16" t="n">
        <x:v>45993.432428368054</x:v>
      </x:c>
      <x:c r="J413" s="16" t="n">
        <x:v>46053.432428368054</x:v>
      </x:c>
      <x:c r="K413" s="16"/>
      <x:c r="L413" s="20" t="n">
        <x:v>34752.64</x:v>
      </x:c>
      <x:c r="M413" s="20" t="n">
        <x:v>0</x:v>
      </x:c>
      <x:c r="N413" s="20" t="n">
        <x:v>0</x:v>
      </x:c>
      <x:c r="O413" s="20" t="n">
        <x:v>0</x:v>
      </x:c>
      <x:c r="P413" s="20" t="n">
        <x:v>34752.64</x:v>
      </x:c>
      <x:c r="Q413" s="10" t="str">
        <x:v>A vencer</x:v>
      </x:c>
      <x:c r="R413" s="10" t="str">
        <x:v>Cartão Corporativo</x:v>
      </x:c>
      <x:c r="S413" s="10" t="str">
        <x:v>2025-12</x:v>
      </x:c>
      <x:c r="T413" s="10" t="n">
        <x:v>0</x:v>
      </x:c>
      <x:c r="U413" s="10" t="str">
        <x:v>A vencer</x:v>
      </x:c>
      <x:c r="V413" s="10" t="str">
        <x:v>UND004</x:v>
      </x:c>
    </x:row>
    <x:row r="414" ht="18" customHeight="1">
      <x:c r="A414" s="10" t="str">
        <x:v>PAG00413</x:v>
      </x:c>
      <x:c r="B414" s="10" t="str">
        <x:v>EMP002</x:v>
      </x:c>
      <x:c r="C414" s="10" t="str">
        <x:v>FOR018</x:v>
      </x:c>
      <x:c r="D414" s="10" t="str">
        <x:v>CC001</x:v>
      </x:c>
      <x:c r="E414" s="10" t="str">
        <x:v>CAT014</x:v>
      </x:c>
      <x:c r="F414" s="10" t="str">
        <x:v>CTA003</x:v>
      </x:c>
      <x:c r="G414" s="10" t="str">
        <x:v>NF-100413</x:v>
      </x:c>
      <x:c r="H414" s="10" t="str">
        <x:v>Despesa operacional</x:v>
      </x:c>
      <x:c r="I414" s="16" t="n">
        <x:v>45320.79731763889</x:v>
      </x:c>
      <x:c r="J414" s="16" t="n">
        <x:v>45380.79731763889</x:v>
      </x:c>
      <x:c r="K414" s="16" t="n">
        <x:v>45380.79731763889</x:v>
      </x:c>
      <x:c r="L414" s="20" t="n">
        <x:v>11106.37</x:v>
      </x:c>
      <x:c r="M414" s="20" t="n">
        <x:v>0</x:v>
      </x:c>
      <x:c r="N414" s="20" t="n">
        <x:v>0</x:v>
      </x:c>
      <x:c r="O414" s="20" t="n">
        <x:v>11106.37</x:v>
      </x:c>
      <x:c r="P414" s="20" t="n">
        <x:v>0</x:v>
      </x:c>
      <x:c r="Q414" s="10" t="str">
        <x:v>Pago</x:v>
      </x:c>
      <x:c r="R414" s="10" t="str">
        <x:v>Cartão Corporativo</x:v>
      </x:c>
      <x:c r="S414" s="10" t="str">
        <x:v>2024-01</x:v>
      </x:c>
      <x:c r="T414" s="10" t="n">
        <x:v>0</x:v>
      </x:c>
      <x:c r="U414" s="10" t="str">
        <x:v>Liquidado</x:v>
      </x:c>
      <x:c r="V414" s="10" t="str">
        <x:v>UND003</x:v>
      </x:c>
    </x:row>
    <x:row r="415" ht="18" customHeight="1">
      <x:c r="A415" s="10" t="str">
        <x:v>PAG00414</x:v>
      </x:c>
      <x:c r="B415" s="10" t="str">
        <x:v>EMP001</x:v>
      </x:c>
      <x:c r="C415" s="10" t="str">
        <x:v>FOR011</x:v>
      </x:c>
      <x:c r="D415" s="10" t="str">
        <x:v>CC004</x:v>
      </x:c>
      <x:c r="E415" s="10" t="str">
        <x:v>CAT012</x:v>
      </x:c>
      <x:c r="F415" s="10" t="str">
        <x:v>CTA002</x:v>
      </x:c>
      <x:c r="G415" s="10" t="str">
        <x:v>NF-100414</x:v>
      </x:c>
      <x:c r="H415" s="10" t="str">
        <x:v>Tributos e taxas</x:v>
      </x:c>
      <x:c r="I415" s="16" t="n">
        <x:v>45777.23552436342</x:v>
      </x:c>
      <x:c r="J415" s="16" t="n">
        <x:v>45797.23552436342</x:v>
      </x:c>
      <x:c r="K415" s="16" t="n">
        <x:v>45793.23552436342</x:v>
      </x:c>
      <x:c r="L415" s="20" t="n">
        <x:v>91261.92</x:v>
      </x:c>
      <x:c r="M415" s="20" t="n">
        <x:v>0</x:v>
      </x:c>
      <x:c r="N415" s="20" t="n">
        <x:v>1368.93</x:v>
      </x:c>
      <x:c r="O415" s="20" t="n">
        <x:v>89892.99</x:v>
      </x:c>
      <x:c r="P415" s="20" t="n">
        <x:v>0</x:v>
      </x:c>
      <x:c r="Q415" s="10" t="str">
        <x:v>Pago</x:v>
      </x:c>
      <x:c r="R415" s="10" t="str">
        <x:v>Boleto</x:v>
      </x:c>
      <x:c r="S415" s="10" t="str">
        <x:v>2025-04</x:v>
      </x:c>
      <x:c r="T415" s="10" t="n">
        <x:v>0</x:v>
      </x:c>
      <x:c r="U415" s="10" t="str">
        <x:v>Liquidado</x:v>
      </x:c>
      <x:c r="V415" s="10" t="str">
        <x:v>UND002</x:v>
      </x:c>
    </x:row>
    <x:row r="416" ht="18" customHeight="1">
      <x:c r="A416" s="10" t="str">
        <x:v>PAG00415</x:v>
      </x:c>
      <x:c r="B416" s="10" t="str">
        <x:v>EMP001</x:v>
      </x:c>
      <x:c r="C416" s="10" t="str">
        <x:v>FOR024</x:v>
      </x:c>
      <x:c r="D416" s="10" t="str">
        <x:v>CC003</x:v>
      </x:c>
      <x:c r="E416" s="10" t="str">
        <x:v>CAT009</x:v>
      </x:c>
      <x:c r="F416" s="10" t="str">
        <x:v>CTA001</x:v>
      </x:c>
      <x:c r="G416" s="10" t="str">
        <x:v>NF-100415</x:v>
      </x:c>
      <x:c r="H416" s="10" t="str">
        <x:v>Compra de materiais</x:v>
      </x:c>
      <x:c r="I416" s="16" t="n">
        <x:v>45300.19692663194</x:v>
      </x:c>
      <x:c r="J416" s="16" t="n">
        <x:v>45330.19692663194</x:v>
      </x:c>
      <x:c r="K416" s="16" t="n">
        <x:v>45340.19692663194</x:v>
      </x:c>
      <x:c r="L416" s="20" t="n">
        <x:v>29887.15</x:v>
      </x:c>
      <x:c r="M416" s="20" t="n">
        <x:v>209.21</x:v>
      </x:c>
      <x:c r="N416" s="20" t="n">
        <x:v>0</x:v>
      </x:c>
      <x:c r="O416" s="20" t="n">
        <x:v>30096.36</x:v>
      </x:c>
      <x:c r="P416" s="20" t="n">
        <x:v>0</x:v>
      </x:c>
      <x:c r="Q416" s="10" t="str">
        <x:v>Pago</x:v>
      </x:c>
      <x:c r="R416" s="10" t="str">
        <x:v>PIX</x:v>
      </x:c>
      <x:c r="S416" s="10" t="str">
        <x:v>2024-01</x:v>
      </x:c>
      <x:c r="T416" s="10" t="n">
        <x:v>0</x:v>
      </x:c>
      <x:c r="U416" s="10" t="str">
        <x:v>Liquidado</x:v>
      </x:c>
      <x:c r="V416" s="10" t="str">
        <x:v>UND002</x:v>
      </x:c>
    </x:row>
    <x:row r="417" ht="18" customHeight="1">
      <x:c r="A417" s="10" t="str">
        <x:v>PAG00416</x:v>
      </x:c>
      <x:c r="B417" s="10" t="str">
        <x:v>EMP003</x:v>
      </x:c>
      <x:c r="C417" s="10" t="str">
        <x:v>FOR050</x:v>
      </x:c>
      <x:c r="D417" s="10" t="str">
        <x:v>CC001</x:v>
      </x:c>
      <x:c r="E417" s="10" t="str">
        <x:v>CAT012</x:v>
      </x:c>
      <x:c r="F417" s="10" t="str">
        <x:v>CTA006</x:v>
      </x:c>
      <x:c r="G417" s="10" t="str">
        <x:v>NF-100416</x:v>
      </x:c>
      <x:c r="H417" s="10" t="str">
        <x:v>Contrato recorrente</x:v>
      </x:c>
      <x:c r="I417" s="16" t="n">
        <x:v>45833.66331592593</x:v>
      </x:c>
      <x:c r="J417" s="16" t="n">
        <x:v>45893.66331592593</x:v>
      </x:c>
      <x:c r="K417" s="16" t="n">
        <x:v>45886.66331592593</x:v>
      </x:c>
      <x:c r="L417" s="20" t="n">
        <x:v>34873.73</x:v>
      </x:c>
      <x:c r="M417" s="20" t="n">
        <x:v>0</x:v>
      </x:c>
      <x:c r="N417" s="20" t="n">
        <x:v>0</x:v>
      </x:c>
      <x:c r="O417" s="20" t="n">
        <x:v>34873.73</x:v>
      </x:c>
      <x:c r="P417" s="20" t="n">
        <x:v>0</x:v>
      </x:c>
      <x:c r="Q417" s="10" t="str">
        <x:v>Pago</x:v>
      </x:c>
      <x:c r="R417" s="10" t="str">
        <x:v>Cartão Corporativo</x:v>
      </x:c>
      <x:c r="S417" s="10" t="str">
        <x:v>2025-06</x:v>
      </x:c>
      <x:c r="T417" s="10" t="n">
        <x:v>0</x:v>
      </x:c>
      <x:c r="U417" s="10" t="str">
        <x:v>Liquidado</x:v>
      </x:c>
      <x:c r="V417" s="10" t="str">
        <x:v>UND004</x:v>
      </x:c>
    </x:row>
    <x:row r="418" ht="18" customHeight="1">
      <x:c r="A418" s="10" t="str">
        <x:v>PAG00417</x:v>
      </x:c>
      <x:c r="B418" s="10" t="str">
        <x:v>EMP003</x:v>
      </x:c>
      <x:c r="C418" s="10" t="str">
        <x:v>FOR031</x:v>
      </x:c>
      <x:c r="D418" s="10" t="str">
        <x:v>CC002</x:v>
      </x:c>
      <x:c r="E418" s="10" t="str">
        <x:v>CAT008</x:v>
      </x:c>
      <x:c r="F418" s="10" t="str">
        <x:v>CTA005</x:v>
      </x:c>
      <x:c r="G418" s="10" t="str">
        <x:v>NF-100417</x:v>
      </x:c>
      <x:c r="H418" s="10" t="str">
        <x:v>Despesa operacional</x:v>
      </x:c>
      <x:c r="I418" s="16" t="n">
        <x:v>45415.58467952546</x:v>
      </x:c>
      <x:c r="J418" s="16" t="n">
        <x:v>45450.58467952546</x:v>
      </x:c>
      <x:c r="K418" s="16"/>
      <x:c r="L418" s="20" t="n">
        <x:v>95789.37</x:v>
      </x:c>
      <x:c r="M418" s="20" t="n">
        <x:v>0</x:v>
      </x:c>
      <x:c r="N418" s="20" t="n">
        <x:v>0</x:v>
      </x:c>
      <x:c r="O418" s="20" t="n">
        <x:v>0</x:v>
      </x:c>
      <x:c r="P418" s="20" t="n">
        <x:v>95789.37</x:v>
      </x:c>
      <x:c r="Q418" s="10" t="str">
        <x:v>Vencido</x:v>
      </x:c>
      <x:c r="R418" s="10" t="str">
        <x:v>Boleto</x:v>
      </x:c>
      <x:c r="S418" s="10" t="str">
        <x:v>2024-05</x:v>
      </x:c>
      <x:c r="T418" s="10" t="n">
        <x:v>571</x:v>
      </x:c>
      <x:c r="U418" s="10" t="str">
        <x:v>&gt; 120 dias</x:v>
      </x:c>
      <x:c r="V418" s="10" t="str">
        <x:v>UND004</x:v>
      </x:c>
    </x:row>
    <x:row r="419" ht="18" customHeight="1">
      <x:c r="A419" s="10" t="str">
        <x:v>PAG00418</x:v>
      </x:c>
      <x:c r="B419" s="10" t="str">
        <x:v>EMP003</x:v>
      </x:c>
      <x:c r="C419" s="10" t="str">
        <x:v>FOR022</x:v>
      </x:c>
      <x:c r="D419" s="10" t="str">
        <x:v>CC004</x:v>
      </x:c>
      <x:c r="E419" s="10" t="str">
        <x:v>CAT007</x:v>
      </x:c>
      <x:c r="F419" s="10" t="str">
        <x:v>CTA005</x:v>
      </x:c>
      <x:c r="G419" s="10" t="str">
        <x:v>NF-100418</x:v>
      </x:c>
      <x:c r="H419" s="10" t="str">
        <x:v>Tributos e taxas</x:v>
      </x:c>
      <x:c r="I419" s="16" t="n">
        <x:v>45785.68401538194</x:v>
      </x:c>
      <x:c r="J419" s="16" t="n">
        <x:v>45830.68401538194</x:v>
      </x:c>
      <x:c r="K419" s="16" t="n">
        <x:v>45851.68401538194</x:v>
      </x:c>
      <x:c r="L419" s="20" t="n">
        <x:v>14463.43</x:v>
      </x:c>
      <x:c r="M419" s="20" t="n">
        <x:v>212.61</x:v>
      </x:c>
      <x:c r="N419" s="20" t="n">
        <x:v>0</x:v>
      </x:c>
      <x:c r="O419" s="20" t="n">
        <x:v>14676.04</x:v>
      </x:c>
      <x:c r="P419" s="20" t="n">
        <x:v>0</x:v>
      </x:c>
      <x:c r="Q419" s="10" t="str">
        <x:v>Pago</x:v>
      </x:c>
      <x:c r="R419" s="10" t="str">
        <x:v>PIX</x:v>
      </x:c>
      <x:c r="S419" s="10" t="str">
        <x:v>2025-05</x:v>
      </x:c>
      <x:c r="T419" s="10" t="n">
        <x:v>0</x:v>
      </x:c>
      <x:c r="U419" s="10" t="str">
        <x:v>Liquidado</x:v>
      </x:c>
      <x:c r="V419" s="10" t="str">
        <x:v>UND004</x:v>
      </x:c>
    </x:row>
    <x:row r="420" ht="18" customHeight="1">
      <x:c r="A420" s="10" t="str">
        <x:v>PAG00419</x:v>
      </x:c>
      <x:c r="B420" s="10" t="str">
        <x:v>EMP002</x:v>
      </x:c>
      <x:c r="C420" s="10" t="str">
        <x:v>FOR019</x:v>
      </x:c>
      <x:c r="D420" s="10" t="str">
        <x:v>CC004</x:v>
      </x:c>
      <x:c r="E420" s="10" t="str">
        <x:v>CAT006</x:v>
      </x:c>
      <x:c r="F420" s="10" t="str">
        <x:v>CTA004</x:v>
      </x:c>
      <x:c r="G420" s="10" t="str">
        <x:v>NF-100419</x:v>
      </x:c>
      <x:c r="H420" s="10" t="str">
        <x:v>Prestação de serviços</x:v>
      </x:c>
      <x:c r="I420" s="16" t="n">
        <x:v>45605.715877002316</x:v>
      </x:c>
      <x:c r="J420" s="16" t="n">
        <x:v>45635.715877002316</x:v>
      </x:c>
      <x:c r="K420" s="16" t="n">
        <x:v>45629.715877002316</x:v>
      </x:c>
      <x:c r="L420" s="20" t="n">
        <x:v>716.62</x:v>
      </x:c>
      <x:c r="M420" s="20" t="n">
        <x:v>0</x:v>
      </x:c>
      <x:c r="N420" s="20" t="n">
        <x:v>7.17</x:v>
      </x:c>
      <x:c r="O420" s="20" t="n">
        <x:v>709.45</x:v>
      </x:c>
      <x:c r="P420" s="20" t="n">
        <x:v>0</x:v>
      </x:c>
      <x:c r="Q420" s="10" t="str">
        <x:v>Pago</x:v>
      </x:c>
      <x:c r="R420" s="10" t="str">
        <x:v>Débito Automático</x:v>
      </x:c>
      <x:c r="S420" s="10" t="str">
        <x:v>2024-11</x:v>
      </x:c>
      <x:c r="T420" s="10" t="n">
        <x:v>0</x:v>
      </x:c>
      <x:c r="U420" s="10" t="str">
        <x:v>Liquidado</x:v>
      </x:c>
      <x:c r="V420" s="10" t="str">
        <x:v>UND003</x:v>
      </x:c>
    </x:row>
    <x:row r="421" ht="18" customHeight="1">
      <x:c r="A421" s="10" t="str">
        <x:v>PAG00420</x:v>
      </x:c>
      <x:c r="B421" s="10" t="str">
        <x:v>EMP001</x:v>
      </x:c>
      <x:c r="C421" s="10" t="str">
        <x:v>FOR033</x:v>
      </x:c>
      <x:c r="D421" s="10" t="str">
        <x:v>CC001</x:v>
      </x:c>
      <x:c r="E421" s="10" t="str">
        <x:v>CAT018</x:v>
      </x:c>
      <x:c r="F421" s="10" t="str">
        <x:v>CTA002</x:v>
      </x:c>
      <x:c r="G421" s="10" t="str">
        <x:v>NF-100420</x:v>
      </x:c>
      <x:c r="H421" s="10" t="str">
        <x:v>Despesa operacional</x:v>
      </x:c>
      <x:c r="I421" s="16" t="n">
        <x:v>45484.06123428241</x:v>
      </x:c>
      <x:c r="J421" s="16" t="n">
        <x:v>45559.06123428241</x:v>
      </x:c>
      <x:c r="K421" s="16" t="n">
        <x:v>45555.06123428241</x:v>
      </x:c>
      <x:c r="L421" s="20" t="n">
        <x:v>48602.62</x:v>
      </x:c>
      <x:c r="M421" s="20" t="n">
        <x:v>0</x:v>
      </x:c>
      <x:c r="N421" s="20" t="n">
        <x:v>0</x:v>
      </x:c>
      <x:c r="O421" s="20" t="n">
        <x:v>48602.62</x:v>
      </x:c>
      <x:c r="P421" s="20" t="n">
        <x:v>0</x:v>
      </x:c>
      <x:c r="Q421" s="10" t="str">
        <x:v>Pago</x:v>
      </x:c>
      <x:c r="R421" s="10" t="str">
        <x:v>Débito Automático</x:v>
      </x:c>
      <x:c r="S421" s="10" t="str">
        <x:v>2024-07</x:v>
      </x:c>
      <x:c r="T421" s="10" t="n">
        <x:v>0</x:v>
      </x:c>
      <x:c r="U421" s="10" t="str">
        <x:v>Liquidado</x:v>
      </x:c>
      <x:c r="V421" s="10" t="str">
        <x:v>UND001</x:v>
      </x:c>
    </x:row>
    <x:row r="422" ht="18" customHeight="1">
      <x:c r="A422" s="10" t="str">
        <x:v>PAG00421</x:v>
      </x:c>
      <x:c r="B422" s="10" t="str">
        <x:v>EMP003</x:v>
      </x:c>
      <x:c r="C422" s="10" t="str">
        <x:v>FOR015</x:v>
      </x:c>
      <x:c r="D422" s="10" t="str">
        <x:v>CC004</x:v>
      </x:c>
      <x:c r="E422" s="10" t="str">
        <x:v>CAT009</x:v>
      </x:c>
      <x:c r="F422" s="10" t="str">
        <x:v>CTA005</x:v>
      </x:c>
      <x:c r="G422" s="10" t="str">
        <x:v>NF-100421</x:v>
      </x:c>
      <x:c r="H422" s="10" t="str">
        <x:v>Prestação de serviços</x:v>
      </x:c>
      <x:c r="I422" s="16" t="n">
        <x:v>45816.317491180554</x:v>
      </x:c>
      <x:c r="J422" s="16" t="n">
        <x:v>45836.317491180554</x:v>
      </x:c>
      <x:c r="K422" s="16" t="n">
        <x:v>45847.317491180554</x:v>
      </x:c>
      <x:c r="L422" s="20" t="n">
        <x:v>1174.22</x:v>
      </x:c>
      <x:c r="M422" s="20" t="n">
        <x:v>9.04</x:v>
      </x:c>
      <x:c r="N422" s="20" t="n">
        <x:v>0</x:v>
      </x:c>
      <x:c r="O422" s="20" t="n">
        <x:v>1183.26</x:v>
      </x:c>
      <x:c r="P422" s="20" t="n">
        <x:v>0</x:v>
      </x:c>
      <x:c r="Q422" s="10" t="str">
        <x:v>Pago</x:v>
      </x:c>
      <x:c r="R422" s="10" t="str">
        <x:v>Débito Automático</x:v>
      </x:c>
      <x:c r="S422" s="10" t="str">
        <x:v>2025-06</x:v>
      </x:c>
      <x:c r="T422" s="10" t="n">
        <x:v>0</x:v>
      </x:c>
      <x:c r="U422" s="10" t="str">
        <x:v>Liquidado</x:v>
      </x:c>
      <x:c r="V422" s="10" t="str">
        <x:v>UND004</x:v>
      </x:c>
    </x:row>
    <x:row r="423" ht="18" customHeight="1">
      <x:c r="A423" s="10" t="str">
        <x:v>PAG00422</x:v>
      </x:c>
      <x:c r="B423" s="10" t="str">
        <x:v>EMP001</x:v>
      </x:c>
      <x:c r="C423" s="10" t="str">
        <x:v>FOR048</x:v>
      </x:c>
      <x:c r="D423" s="10" t="str">
        <x:v>CC006</x:v>
      </x:c>
      <x:c r="E423" s="10" t="str">
        <x:v>CAT013</x:v>
      </x:c>
      <x:c r="F423" s="10" t="str">
        <x:v>CTA002</x:v>
      </x:c>
      <x:c r="G423" s="10" t="str">
        <x:v>NF-100422</x:v>
      </x:c>
      <x:c r="H423" s="10" t="str">
        <x:v>Tributos e taxas</x:v>
      </x:c>
      <x:c r="I423" s="16" t="n">
        <x:v>45569.20012622685</x:v>
      </x:c>
      <x:c r="J423" s="16" t="n">
        <x:v>45589.20012622685</x:v>
      </x:c>
      <x:c r="K423" s="16" t="n">
        <x:v>45599.20012622685</x:v>
      </x:c>
      <x:c r="L423" s="20" t="n">
        <x:v>11518.91</x:v>
      </x:c>
      <x:c r="M423" s="20" t="n">
        <x:v>80.63</x:v>
      </x:c>
      <x:c r="N423" s="20" t="n">
        <x:v>0</x:v>
      </x:c>
      <x:c r="O423" s="20" t="n">
        <x:v>11599.54</x:v>
      </x:c>
      <x:c r="P423" s="20" t="n">
        <x:v>0</x:v>
      </x:c>
      <x:c r="Q423" s="10" t="str">
        <x:v>Pago</x:v>
      </x:c>
      <x:c r="R423" s="10" t="str">
        <x:v>PIX</x:v>
      </x:c>
      <x:c r="S423" s="10" t="str">
        <x:v>2024-10</x:v>
      </x:c>
      <x:c r="T423" s="10" t="n">
        <x:v>0</x:v>
      </x:c>
      <x:c r="U423" s="10" t="str">
        <x:v>Liquidado</x:v>
      </x:c>
      <x:c r="V423" s="10" t="str">
        <x:v>UND001</x:v>
      </x:c>
    </x:row>
    <x:row r="424" ht="18" customHeight="1">
      <x:c r="A424" s="10" t="str">
        <x:v>PAG00423</x:v>
      </x:c>
      <x:c r="B424" s="10" t="str">
        <x:v>EMP003</x:v>
      </x:c>
      <x:c r="C424" s="10" t="str">
        <x:v>FOR019</x:v>
      </x:c>
      <x:c r="D424" s="10" t="str">
        <x:v>CC008</x:v>
      </x:c>
      <x:c r="E424" s="10" t="str">
        <x:v>CAT008</x:v>
      </x:c>
      <x:c r="F424" s="10" t="str">
        <x:v>CTA006</x:v>
      </x:c>
      <x:c r="G424" s="10" t="str">
        <x:v>NF-100423</x:v>
      </x:c>
      <x:c r="H424" s="10" t="str">
        <x:v>Prestação de serviços</x:v>
      </x:c>
      <x:c r="I424" s="16" t="n">
        <x:v>45744.759441875</x:v>
      </x:c>
      <x:c r="J424" s="16" t="n">
        <x:v>45764.759441875</x:v>
      </x:c>
      <x:c r="K424" s="16" t="n">
        <x:v>45765.759441875</x:v>
      </x:c>
      <x:c r="L424" s="20" t="n">
        <x:v>19934.29</x:v>
      </x:c>
      <x:c r="M424" s="20" t="n">
        <x:v>13.95</x:v>
      </x:c>
      <x:c r="N424" s="20" t="n">
        <x:v>0</x:v>
      </x:c>
      <x:c r="O424" s="20" t="n">
        <x:v>19948.24</x:v>
      </x:c>
      <x:c r="P424" s="20" t="n">
        <x:v>0</x:v>
      </x:c>
      <x:c r="Q424" s="10" t="str">
        <x:v>Pago</x:v>
      </x:c>
      <x:c r="R424" s="10" t="str">
        <x:v>Cartão Corporativo</x:v>
      </x:c>
      <x:c r="S424" s="10" t="str">
        <x:v>2025-03</x:v>
      </x:c>
      <x:c r="T424" s="10" t="n">
        <x:v>0</x:v>
      </x:c>
      <x:c r="U424" s="10" t="str">
        <x:v>Liquidado</x:v>
      </x:c>
      <x:c r="V424" s="10" t="str">
        <x:v>UND004</x:v>
      </x:c>
    </x:row>
    <x:row r="425" ht="18" customHeight="1">
      <x:c r="A425" s="10" t="str">
        <x:v>PAG00424</x:v>
      </x:c>
      <x:c r="B425" s="10" t="str">
        <x:v>EMP003</x:v>
      </x:c>
      <x:c r="C425" s="10" t="str">
        <x:v>FOR042</x:v>
      </x:c>
      <x:c r="D425" s="10" t="str">
        <x:v>CC006</x:v>
      </x:c>
      <x:c r="E425" s="10" t="str">
        <x:v>CAT008</x:v>
      </x:c>
      <x:c r="F425" s="10" t="str">
        <x:v>CTA005</x:v>
      </x:c>
      <x:c r="G425" s="10" t="str">
        <x:v>NF-100424</x:v>
      </x:c>
      <x:c r="H425" s="10" t="str">
        <x:v>Despesa operacional</x:v>
      </x:c>
      <x:c r="I425" s="16" t="n">
        <x:v>45848.68927244213</x:v>
      </x:c>
      <x:c r="J425" s="16" t="n">
        <x:v>45878.68927244213</x:v>
      </x:c>
      <x:c r="K425" s="16" t="n">
        <x:v>45875.68927244213</x:v>
      </x:c>
      <x:c r="L425" s="20" t="n">
        <x:v>8824.76</x:v>
      </x:c>
      <x:c r="M425" s="20" t="n">
        <x:v>0</x:v>
      </x:c>
      <x:c r="N425" s="20" t="n">
        <x:v>0</x:v>
      </x:c>
      <x:c r="O425" s="20" t="n">
        <x:v>8824.76</x:v>
      </x:c>
      <x:c r="P425" s="20" t="n">
        <x:v>0</x:v>
      </x:c>
      <x:c r="Q425" s="10" t="str">
        <x:v>Pago</x:v>
      </x:c>
      <x:c r="R425" s="10" t="str">
        <x:v>Boleto</x:v>
      </x:c>
      <x:c r="S425" s="10" t="str">
        <x:v>2025-07</x:v>
      </x:c>
      <x:c r="T425" s="10" t="n">
        <x:v>0</x:v>
      </x:c>
      <x:c r="U425" s="10" t="str">
        <x:v>Liquidado</x:v>
      </x:c>
      <x:c r="V425" s="10" t="str">
        <x:v>UND004</x:v>
      </x:c>
    </x:row>
    <x:row r="426" ht="18" customHeight="1">
      <x:c r="A426" s="10" t="str">
        <x:v>PAG00425</x:v>
      </x:c>
      <x:c r="B426" s="10" t="str">
        <x:v>EMP002</x:v>
      </x:c>
      <x:c r="C426" s="10" t="str">
        <x:v>FOR015</x:v>
      </x:c>
      <x:c r="D426" s="10" t="str">
        <x:v>CC003</x:v>
      </x:c>
      <x:c r="E426" s="10" t="str">
        <x:v>CAT017</x:v>
      </x:c>
      <x:c r="F426" s="10" t="str">
        <x:v>CTA003</x:v>
      </x:c>
      <x:c r="G426" s="10" t="str">
        <x:v>NF-100425</x:v>
      </x:c>
      <x:c r="H426" s="10" t="str">
        <x:v>Contrato recorrente</x:v>
      </x:c>
      <x:c r="I426" s="16" t="n">
        <x:v>45640.38610570602</x:v>
      </x:c>
      <x:c r="J426" s="16" t="n">
        <x:v>45670.38610570602</x:v>
      </x:c>
      <x:c r="K426" s="16" t="n">
        <x:v>45677.38610570602</x:v>
      </x:c>
      <x:c r="L426" s="20" t="n">
        <x:v>619.78</x:v>
      </x:c>
      <x:c r="M426" s="20" t="n">
        <x:v>3.04</x:v>
      </x:c>
      <x:c r="N426" s="20" t="n">
        <x:v>0</x:v>
      </x:c>
      <x:c r="O426" s="20" t="n">
        <x:v>622.82</x:v>
      </x:c>
      <x:c r="P426" s="20" t="n">
        <x:v>0</x:v>
      </x:c>
      <x:c r="Q426" s="10" t="str">
        <x:v>Pago</x:v>
      </x:c>
      <x:c r="R426" s="10" t="str">
        <x:v>Boleto</x:v>
      </x:c>
      <x:c r="S426" s="10" t="str">
        <x:v>2024-12</x:v>
      </x:c>
      <x:c r="T426" s="10" t="n">
        <x:v>0</x:v>
      </x:c>
      <x:c r="U426" s="10" t="str">
        <x:v>Liquidado</x:v>
      </x:c>
      <x:c r="V426" s="10" t="str">
        <x:v>UND003</x:v>
      </x:c>
    </x:row>
    <x:row r="427" ht="18" customHeight="1">
      <x:c r="A427" s="10" t="str">
        <x:v>PAG00426</x:v>
      </x:c>
      <x:c r="B427" s="10" t="str">
        <x:v>EMP003</x:v>
      </x:c>
      <x:c r="C427" s="10" t="str">
        <x:v>FOR011</x:v>
      </x:c>
      <x:c r="D427" s="10" t="str">
        <x:v>CC005</x:v>
      </x:c>
      <x:c r="E427" s="10" t="str">
        <x:v>CAT016</x:v>
      </x:c>
      <x:c r="F427" s="10" t="str">
        <x:v>CTA005</x:v>
      </x:c>
      <x:c r="G427" s="10" t="str">
        <x:v>NF-100426</x:v>
      </x:c>
      <x:c r="H427" s="10" t="str">
        <x:v>Despesa operacional</x:v>
      </x:c>
      <x:c r="I427" s="16" t="n">
        <x:v>45867.20670167824</x:v>
      </x:c>
      <x:c r="J427" s="16" t="n">
        <x:v>45882.20670167824</x:v>
      </x:c>
      <x:c r="K427" s="16" t="n">
        <x:v>45886.20670167824</x:v>
      </x:c>
      <x:c r="L427" s="20" t="n">
        <x:v>5695.89</x:v>
      </x:c>
      <x:c r="M427" s="20" t="n">
        <x:v>15.95</x:v>
      </x:c>
      <x:c r="N427" s="20" t="n">
        <x:v>0</x:v>
      </x:c>
      <x:c r="O427" s="20" t="n">
        <x:v>5711.84</x:v>
      </x:c>
      <x:c r="P427" s="20" t="n">
        <x:v>0</x:v>
      </x:c>
      <x:c r="Q427" s="10" t="str">
        <x:v>Pago</x:v>
      </x:c>
      <x:c r="R427" s="10" t="str">
        <x:v>Boleto</x:v>
      </x:c>
      <x:c r="S427" s="10" t="str">
        <x:v>2025-07</x:v>
      </x:c>
      <x:c r="T427" s="10" t="n">
        <x:v>0</x:v>
      </x:c>
      <x:c r="U427" s="10" t="str">
        <x:v>Liquidado</x:v>
      </x:c>
      <x:c r="V427" s="10" t="str">
        <x:v>UND004</x:v>
      </x:c>
    </x:row>
    <x:row r="428" ht="18" customHeight="1">
      <x:c r="A428" s="10" t="str">
        <x:v>PAG00427</x:v>
      </x:c>
      <x:c r="B428" s="10" t="str">
        <x:v>EMP002</x:v>
      </x:c>
      <x:c r="C428" s="10" t="str">
        <x:v>FOR043</x:v>
      </x:c>
      <x:c r="D428" s="10" t="str">
        <x:v>CC001</x:v>
      </x:c>
      <x:c r="E428" s="10" t="str">
        <x:v>CAT018</x:v>
      </x:c>
      <x:c r="F428" s="10" t="str">
        <x:v>CTA003</x:v>
      </x:c>
      <x:c r="G428" s="10" t="str">
        <x:v>NF-100427</x:v>
      </x:c>
      <x:c r="H428" s="10" t="str">
        <x:v>Prestação de serviços</x:v>
      </x:c>
      <x:c r="I428" s="16" t="n">
        <x:v>45336.46977873843</x:v>
      </x:c>
      <x:c r="J428" s="16" t="n">
        <x:v>45366.46977873843</x:v>
      </x:c>
      <x:c r="K428" s="16"/>
      <x:c r="L428" s="20" t="n">
        <x:v>66213.31</x:v>
      </x:c>
      <x:c r="M428" s="20" t="n">
        <x:v>0</x:v>
      </x:c>
      <x:c r="N428" s="20" t="n">
        <x:v>0</x:v>
      </x:c>
      <x:c r="O428" s="20" t="n">
        <x:v>0</x:v>
      </x:c>
      <x:c r="P428" s="20" t="n">
        <x:v>66213.31</x:v>
      </x:c>
      <x:c r="Q428" s="10" t="str">
        <x:v>Vencido</x:v>
      </x:c>
      <x:c r="R428" s="10" t="str">
        <x:v>PIX</x:v>
      </x:c>
      <x:c r="S428" s="10" t="str">
        <x:v>2024-02</x:v>
      </x:c>
      <x:c r="T428" s="10" t="n">
        <x:v>655</x:v>
      </x:c>
      <x:c r="U428" s="10" t="str">
        <x:v>&gt; 120 dias</x:v>
      </x:c>
      <x:c r="V428" s="10" t="str">
        <x:v>UND003</x:v>
      </x:c>
    </x:row>
    <x:row r="429" ht="18" customHeight="1">
      <x:c r="A429" s="10" t="str">
        <x:v>PAG00428</x:v>
      </x:c>
      <x:c r="B429" s="10" t="str">
        <x:v>EMP002</x:v>
      </x:c>
      <x:c r="C429" s="10" t="str">
        <x:v>FOR048</x:v>
      </x:c>
      <x:c r="D429" s="10" t="str">
        <x:v>CC001</x:v>
      </x:c>
      <x:c r="E429" s="10" t="str">
        <x:v>CAT014</x:v>
      </x:c>
      <x:c r="F429" s="10" t="str">
        <x:v>CTA003</x:v>
      </x:c>
      <x:c r="G429" s="10" t="str">
        <x:v>NF-100428</x:v>
      </x:c>
      <x:c r="H429" s="10" t="str">
        <x:v>Despesa operacional</x:v>
      </x:c>
      <x:c r="I429" s="16" t="n">
        <x:v>45454.467950150465</x:v>
      </x:c>
      <x:c r="J429" s="16" t="n">
        <x:v>45484.467950150465</x:v>
      </x:c>
      <x:c r="K429" s="16" t="n">
        <x:v>45492.467950150465</x:v>
      </x:c>
      <x:c r="L429" s="20" t="n">
        <x:v>26165.39</x:v>
      </x:c>
      <x:c r="M429" s="20" t="n">
        <x:v>146.53</x:v>
      </x:c>
      <x:c r="N429" s="20" t="n">
        <x:v>0</x:v>
      </x:c>
      <x:c r="O429" s="20" t="n">
        <x:v>26311.92</x:v>
      </x:c>
      <x:c r="P429" s="20" t="n">
        <x:v>0</x:v>
      </x:c>
      <x:c r="Q429" s="10" t="str">
        <x:v>Pago</x:v>
      </x:c>
      <x:c r="R429" s="10" t="str">
        <x:v>PIX</x:v>
      </x:c>
      <x:c r="S429" s="10" t="str">
        <x:v>2024-06</x:v>
      </x:c>
      <x:c r="T429" s="10" t="n">
        <x:v>0</x:v>
      </x:c>
      <x:c r="U429" s="10" t="str">
        <x:v>Liquidado</x:v>
      </x:c>
      <x:c r="V429" s="10" t="str">
        <x:v>UND003</x:v>
      </x:c>
    </x:row>
    <x:row r="430" ht="18" customHeight="1">
      <x:c r="A430" s="10" t="str">
        <x:v>PAG00429</x:v>
      </x:c>
      <x:c r="B430" s="10" t="str">
        <x:v>EMP003</x:v>
      </x:c>
      <x:c r="C430" s="10" t="str">
        <x:v>FOR025</x:v>
      </x:c>
      <x:c r="D430" s="10" t="str">
        <x:v>CC003</x:v>
      </x:c>
      <x:c r="E430" s="10" t="str">
        <x:v>CAT013</x:v>
      </x:c>
      <x:c r="F430" s="10" t="str">
        <x:v>CTA005</x:v>
      </x:c>
      <x:c r="G430" s="10" t="str">
        <x:v>NF-100429</x:v>
      </x:c>
      <x:c r="H430" s="10" t="str">
        <x:v>Prestação de serviços</x:v>
      </x:c>
      <x:c r="I430" s="16" t="n">
        <x:v>45420.21403984954</x:v>
      </x:c>
      <x:c r="J430" s="16" t="n">
        <x:v>45450.21403984954</x:v>
      </x:c>
      <x:c r="K430" s="16" t="n">
        <x:v>45451.21403984954</x:v>
      </x:c>
      <x:c r="L430" s="20" t="n">
        <x:v>52715.07</x:v>
      </x:c>
      <x:c r="M430" s="20" t="n">
        <x:v>36.9</x:v>
      </x:c>
      <x:c r="N430" s="20" t="n">
        <x:v>0</x:v>
      </x:c>
      <x:c r="O430" s="20" t="n">
        <x:v>52751.97</x:v>
      </x:c>
      <x:c r="P430" s="20" t="n">
        <x:v>0</x:v>
      </x:c>
      <x:c r="Q430" s="10" t="str">
        <x:v>Pago</x:v>
      </x:c>
      <x:c r="R430" s="10" t="str">
        <x:v>Cartão Corporativo</x:v>
      </x:c>
      <x:c r="S430" s="10" t="str">
        <x:v>2024-05</x:v>
      </x:c>
      <x:c r="T430" s="10" t="n">
        <x:v>0</x:v>
      </x:c>
      <x:c r="U430" s="10" t="str">
        <x:v>Liquidado</x:v>
      </x:c>
      <x:c r="V430" s="10" t="str">
        <x:v>UND004</x:v>
      </x:c>
    </x:row>
    <x:row r="431" ht="18" customHeight="1">
      <x:c r="A431" s="10" t="str">
        <x:v>PAG00430</x:v>
      </x:c>
      <x:c r="B431" s="10" t="str">
        <x:v>EMP003</x:v>
      </x:c>
      <x:c r="C431" s="10" t="str">
        <x:v>FOR045</x:v>
      </x:c>
      <x:c r="D431" s="10" t="str">
        <x:v>CC004</x:v>
      </x:c>
      <x:c r="E431" s="10" t="str">
        <x:v>CAT017</x:v>
      </x:c>
      <x:c r="F431" s="10" t="str">
        <x:v>CTA006</x:v>
      </x:c>
      <x:c r="G431" s="10" t="str">
        <x:v>NF-100430</x:v>
      </x:c>
      <x:c r="H431" s="10" t="str">
        <x:v>Contrato recorrente</x:v>
      </x:c>
      <x:c r="I431" s="16" t="n">
        <x:v>45388.74351619213</x:v>
      </x:c>
      <x:c r="J431" s="16" t="n">
        <x:v>45416.74351619213</x:v>
      </x:c>
      <x:c r="K431" s="16" t="n">
        <x:v>45421.74351619213</x:v>
      </x:c>
      <x:c r="L431" s="20" t="n">
        <x:v>21269.53</x:v>
      </x:c>
      <x:c r="M431" s="20" t="n">
        <x:v>74.44</x:v>
      </x:c>
      <x:c r="N431" s="20" t="n">
        <x:v>0</x:v>
      </x:c>
      <x:c r="O431" s="20" t="n">
        <x:v>21343.97</x:v>
      </x:c>
      <x:c r="P431" s="20" t="n">
        <x:v>0</x:v>
      </x:c>
      <x:c r="Q431" s="10" t="str">
        <x:v>Pago</x:v>
      </x:c>
      <x:c r="R431" s="10" t="str">
        <x:v>PIX</x:v>
      </x:c>
      <x:c r="S431" s="10" t="str">
        <x:v>2024-04</x:v>
      </x:c>
      <x:c r="T431" s="10" t="n">
        <x:v>0</x:v>
      </x:c>
      <x:c r="U431" s="10" t="str">
        <x:v>Liquidado</x:v>
      </x:c>
      <x:c r="V431" s="10" t="str">
        <x:v>UND004</x:v>
      </x:c>
    </x:row>
    <x:row r="432" ht="18" customHeight="1">
      <x:c r="A432" s="10" t="str">
        <x:v>PAG00431</x:v>
      </x:c>
      <x:c r="B432" s="10" t="str">
        <x:v>EMP001</x:v>
      </x:c>
      <x:c r="C432" s="10" t="str">
        <x:v>FOR011</x:v>
      </x:c>
      <x:c r="D432" s="10" t="str">
        <x:v>CC006</x:v>
      </x:c>
      <x:c r="E432" s="10" t="str">
        <x:v>CAT015</x:v>
      </x:c>
      <x:c r="F432" s="10" t="str">
        <x:v>CTA001</x:v>
      </x:c>
      <x:c r="G432" s="10" t="str">
        <x:v>NF-100431</x:v>
      </x:c>
      <x:c r="H432" s="10" t="str">
        <x:v>Tributos e taxas</x:v>
      </x:c>
      <x:c r="I432" s="16" t="n">
        <x:v>45833.50020844908</x:v>
      </x:c>
      <x:c r="J432" s="16" t="n">
        <x:v>45878.50020844908</x:v>
      </x:c>
      <x:c r="K432" s="16" t="n">
        <x:v>45913.50020844908</x:v>
      </x:c>
      <x:c r="L432" s="20" t="n">
        <x:v>48012.83</x:v>
      </x:c>
      <x:c r="M432" s="20" t="n">
        <x:v>1176.31</x:v>
      </x:c>
      <x:c r="N432" s="20" t="n">
        <x:v>0</x:v>
      </x:c>
      <x:c r="O432" s="20" t="n">
        <x:v>49189.14</x:v>
      </x:c>
      <x:c r="P432" s="20" t="n">
        <x:v>0</x:v>
      </x:c>
      <x:c r="Q432" s="10" t="str">
        <x:v>Pago</x:v>
      </x:c>
      <x:c r="R432" s="10" t="str">
        <x:v>PIX</x:v>
      </x:c>
      <x:c r="S432" s="10" t="str">
        <x:v>2025-06</x:v>
      </x:c>
      <x:c r="T432" s="10" t="n">
        <x:v>0</x:v>
      </x:c>
      <x:c r="U432" s="10" t="str">
        <x:v>Liquidado</x:v>
      </x:c>
      <x:c r="V432" s="10" t="str">
        <x:v>UND001</x:v>
      </x:c>
    </x:row>
    <x:row r="433" ht="18" customHeight="1">
      <x:c r="A433" s="10" t="str">
        <x:v>PAG00432</x:v>
      </x:c>
      <x:c r="B433" s="10" t="str">
        <x:v>EMP001</x:v>
      </x:c>
      <x:c r="C433" s="10" t="str">
        <x:v>FOR037</x:v>
      </x:c>
      <x:c r="D433" s="10" t="str">
        <x:v>CC008</x:v>
      </x:c>
      <x:c r="E433" s="10" t="str">
        <x:v>CAT010</x:v>
      </x:c>
      <x:c r="F433" s="10" t="str">
        <x:v>CTA001</x:v>
      </x:c>
      <x:c r="G433" s="10" t="str">
        <x:v>NF-100432</x:v>
      </x:c>
      <x:c r="H433" s="10" t="str">
        <x:v>Contrato recorrente</x:v>
      </x:c>
      <x:c r="I433" s="16" t="n">
        <x:v>45959.25379310185</x:v>
      </x:c>
      <x:c r="J433" s="16" t="n">
        <x:v>45979.25379310185</x:v>
      </x:c>
      <x:c r="K433" s="16" t="n">
        <x:v>45982.25379310185</x:v>
      </x:c>
      <x:c r="L433" s="20" t="n">
        <x:v>115197.17</x:v>
      </x:c>
      <x:c r="M433" s="20" t="n">
        <x:v>241.91</x:v>
      </x:c>
      <x:c r="N433" s="20" t="n">
        <x:v>0</x:v>
      </x:c>
      <x:c r="O433" s="20" t="n">
        <x:v>115439.08</x:v>
      </x:c>
      <x:c r="P433" s="20" t="n">
        <x:v>0</x:v>
      </x:c>
      <x:c r="Q433" s="10" t="str">
        <x:v>Pago</x:v>
      </x:c>
      <x:c r="R433" s="10" t="str">
        <x:v>Cartão Corporativo</x:v>
      </x:c>
      <x:c r="S433" s="10" t="str">
        <x:v>2025-10</x:v>
      </x:c>
      <x:c r="T433" s="10" t="n">
        <x:v>0</x:v>
      </x:c>
      <x:c r="U433" s="10" t="str">
        <x:v>Liquidado</x:v>
      </x:c>
      <x:c r="V433" s="10" t="str">
        <x:v>UND002</x:v>
      </x:c>
    </x:row>
    <x:row r="434" ht="18" customHeight="1">
      <x:c r="A434" s="10" t="str">
        <x:v>PAG00433</x:v>
      </x:c>
      <x:c r="B434" s="10" t="str">
        <x:v>EMP002</x:v>
      </x:c>
      <x:c r="C434" s="10" t="str">
        <x:v>FOR015</x:v>
      </x:c>
      <x:c r="D434" s="10" t="str">
        <x:v>CC001</x:v>
      </x:c>
      <x:c r="E434" s="10" t="str">
        <x:v>CAT010</x:v>
      </x:c>
      <x:c r="F434" s="10" t="str">
        <x:v>CTA004</x:v>
      </x:c>
      <x:c r="G434" s="10" t="str">
        <x:v>NF-100433</x:v>
      </x:c>
      <x:c r="H434" s="10" t="str">
        <x:v>Prestação de serviços</x:v>
      </x:c>
      <x:c r="I434" s="16" t="n">
        <x:v>45750.76040979167</x:v>
      </x:c>
      <x:c r="J434" s="16" t="n">
        <x:v>45825.76040979167</x:v>
      </x:c>
      <x:c r="K434" s="16" t="n">
        <x:v>45835.76040979167</x:v>
      </x:c>
      <x:c r="L434" s="20" t="n">
        <x:v>76366.66</x:v>
      </x:c>
      <x:c r="M434" s="20" t="n">
        <x:v>534.57</x:v>
      </x:c>
      <x:c r="N434" s="20" t="n">
        <x:v>0</x:v>
      </x:c>
      <x:c r="O434" s="20" t="n">
        <x:v>76901.23</x:v>
      </x:c>
      <x:c r="P434" s="20" t="n">
        <x:v>0</x:v>
      </x:c>
      <x:c r="Q434" s="10" t="str">
        <x:v>Pago</x:v>
      </x:c>
      <x:c r="R434" s="10" t="str">
        <x:v>TED</x:v>
      </x:c>
      <x:c r="S434" s="10" t="str">
        <x:v>2025-04</x:v>
      </x:c>
      <x:c r="T434" s="10" t="n">
        <x:v>0</x:v>
      </x:c>
      <x:c r="U434" s="10" t="str">
        <x:v>Liquidado</x:v>
      </x:c>
      <x:c r="V434" s="10" t="str">
        <x:v>UND003</x:v>
      </x:c>
    </x:row>
    <x:row r="435" ht="18" customHeight="1">
      <x:c r="A435" s="10" t="str">
        <x:v>PAG00434</x:v>
      </x:c>
      <x:c r="B435" s="10" t="str">
        <x:v>EMP001</x:v>
      </x:c>
      <x:c r="C435" s="10" t="str">
        <x:v>FOR056</x:v>
      </x:c>
      <x:c r="D435" s="10" t="str">
        <x:v>CC007</x:v>
      </x:c>
      <x:c r="E435" s="10" t="str">
        <x:v>CAT016</x:v>
      </x:c>
      <x:c r="F435" s="10" t="str">
        <x:v>CTA002</x:v>
      </x:c>
      <x:c r="G435" s="10" t="str">
        <x:v>NF-100434</x:v>
      </x:c>
      <x:c r="H435" s="10" t="str">
        <x:v>Tributos e taxas</x:v>
      </x:c>
      <x:c r="I435" s="16" t="n">
        <x:v>45995.353015416666</x:v>
      </x:c>
      <x:c r="J435" s="16" t="n">
        <x:v>46025.353015416666</x:v>
      </x:c>
      <x:c r="K435" s="16"/>
      <x:c r="L435" s="20" t="n">
        <x:v>89554.66</x:v>
      </x:c>
      <x:c r="M435" s="20" t="n">
        <x:v>0</x:v>
      </x:c>
      <x:c r="N435" s="20" t="n">
        <x:v>0</x:v>
      </x:c>
      <x:c r="O435" s="20" t="n">
        <x:v>0</x:v>
      </x:c>
      <x:c r="P435" s="20" t="n">
        <x:v>89554.66</x:v>
      </x:c>
      <x:c r="Q435" s="10" t="str">
        <x:v>A vencer</x:v>
      </x:c>
      <x:c r="R435" s="10" t="str">
        <x:v>TED</x:v>
      </x:c>
      <x:c r="S435" s="10" t="str">
        <x:v>2025-12</x:v>
      </x:c>
      <x:c r="T435" s="10" t="n">
        <x:v>0</x:v>
      </x:c>
      <x:c r="U435" s="10" t="str">
        <x:v>A vencer</x:v>
      </x:c>
      <x:c r="V435" s="10" t="str">
        <x:v>UND001</x:v>
      </x:c>
    </x:row>
    <x:row r="436" ht="18" customHeight="1">
      <x:c r="A436" s="10" t="str">
        <x:v>PAG00435</x:v>
      </x:c>
      <x:c r="B436" s="10" t="str">
        <x:v>EMP002</x:v>
      </x:c>
      <x:c r="C436" s="10" t="str">
        <x:v>FOR036</x:v>
      </x:c>
      <x:c r="D436" s="10" t="str">
        <x:v>CC002</x:v>
      </x:c>
      <x:c r="E436" s="10" t="str">
        <x:v>CAT015</x:v>
      </x:c>
      <x:c r="F436" s="10" t="str">
        <x:v>CTA004</x:v>
      </x:c>
      <x:c r="G436" s="10" t="str">
        <x:v>NF-100435</x:v>
      </x:c>
      <x:c r="H436" s="10" t="str">
        <x:v>Tributos e taxas</x:v>
      </x:c>
      <x:c r="I436" s="16" t="n">
        <x:v>45527.97375392361</x:v>
      </x:c>
      <x:c r="J436" s="16" t="n">
        <x:v>45557.97375392361</x:v>
      </x:c>
      <x:c r="K436" s="16" t="n">
        <x:v>45557.97375392361</x:v>
      </x:c>
      <x:c r="L436" s="20" t="n">
        <x:v>22320.79</x:v>
      </x:c>
      <x:c r="M436" s="20" t="n">
        <x:v>0</x:v>
      </x:c>
      <x:c r="N436" s="20" t="n">
        <x:v>0</x:v>
      </x:c>
      <x:c r="O436" s="20" t="n">
        <x:v>22320.79</x:v>
      </x:c>
      <x:c r="P436" s="20" t="n">
        <x:v>0</x:v>
      </x:c>
      <x:c r="Q436" s="10" t="str">
        <x:v>Pago</x:v>
      </x:c>
      <x:c r="R436" s="10" t="str">
        <x:v>Cartão Corporativo</x:v>
      </x:c>
      <x:c r="S436" s="10" t="str">
        <x:v>2024-08</x:v>
      </x:c>
      <x:c r="T436" s="10" t="n">
        <x:v>0</x:v>
      </x:c>
      <x:c r="U436" s="10" t="str">
        <x:v>Liquidado</x:v>
      </x:c>
      <x:c r="V436" s="10" t="str">
        <x:v>UND003</x:v>
      </x:c>
    </x:row>
    <x:row r="437" ht="18" customHeight="1">
      <x:c r="A437" s="10" t="str">
        <x:v>PAG00436</x:v>
      </x:c>
      <x:c r="B437" s="10" t="str">
        <x:v>EMP003</x:v>
      </x:c>
      <x:c r="C437" s="10" t="str">
        <x:v>FOR042</x:v>
      </x:c>
      <x:c r="D437" s="10" t="str">
        <x:v>CC005</x:v>
      </x:c>
      <x:c r="E437" s="10" t="str">
        <x:v>CAT005</x:v>
      </x:c>
      <x:c r="F437" s="10" t="str">
        <x:v>CTA006</x:v>
      </x:c>
      <x:c r="G437" s="10" t="str">
        <x:v>NF-100436</x:v>
      </x:c>
      <x:c r="H437" s="10" t="str">
        <x:v>Compra de materiais</x:v>
      </x:c>
      <x:c r="I437" s="16" t="n">
        <x:v>45511.682424224535</x:v>
      </x:c>
      <x:c r="J437" s="16" t="n">
        <x:v>45541.682424224535</x:v>
      </x:c>
      <x:c r="K437" s="16" t="n">
        <x:v>45551.682424224535</x:v>
      </x:c>
      <x:c r="L437" s="20" t="n">
        <x:v>6503.03</x:v>
      </x:c>
      <x:c r="M437" s="20" t="n">
        <x:v>45.52</x:v>
      </x:c>
      <x:c r="N437" s="20" t="n">
        <x:v>0</x:v>
      </x:c>
      <x:c r="O437" s="20" t="n">
        <x:v>6548.55</x:v>
      </x:c>
      <x:c r="P437" s="20" t="n">
        <x:v>0</x:v>
      </x:c>
      <x:c r="Q437" s="10" t="str">
        <x:v>Pago</x:v>
      </x:c>
      <x:c r="R437" s="10" t="str">
        <x:v>PIX</x:v>
      </x:c>
      <x:c r="S437" s="10" t="str">
        <x:v>2024-08</x:v>
      </x:c>
      <x:c r="T437" s="10" t="n">
        <x:v>0</x:v>
      </x:c>
      <x:c r="U437" s="10" t="str">
        <x:v>Liquidado</x:v>
      </x:c>
      <x:c r="V437" s="10" t="str">
        <x:v>UND004</x:v>
      </x:c>
    </x:row>
    <x:row r="438" ht="18" customHeight="1">
      <x:c r="A438" s="10" t="str">
        <x:v>PAG00437</x:v>
      </x:c>
      <x:c r="B438" s="10" t="str">
        <x:v>EMP001</x:v>
      </x:c>
      <x:c r="C438" s="10" t="str">
        <x:v>FOR021</x:v>
      </x:c>
      <x:c r="D438" s="10" t="str">
        <x:v>CC001</x:v>
      </x:c>
      <x:c r="E438" s="10" t="str">
        <x:v>CAT010</x:v>
      </x:c>
      <x:c r="F438" s="10" t="str">
        <x:v>CTA002</x:v>
      </x:c>
      <x:c r="G438" s="10" t="str">
        <x:v>NF-100437</x:v>
      </x:c>
      <x:c r="H438" s="10" t="str">
        <x:v>Tributos e taxas</x:v>
      </x:c>
      <x:c r="I438" s="16" t="n">
        <x:v>45928.40523297454</x:v>
      </x:c>
      <x:c r="J438" s="16" t="n">
        <x:v>45948.40523297454</x:v>
      </x:c>
      <x:c r="K438" s="16" t="n">
        <x:v>45976.40523297454</x:v>
      </x:c>
      <x:c r="L438" s="20" t="n">
        <x:v>28509.83</x:v>
      </x:c>
      <x:c r="M438" s="20" t="n">
        <x:v>558.79</x:v>
      </x:c>
      <x:c r="N438" s="20" t="n">
        <x:v>0</x:v>
      </x:c>
      <x:c r="O438" s="20" t="n">
        <x:v>29068.62</x:v>
      </x:c>
      <x:c r="P438" s="20" t="n">
        <x:v>0</x:v>
      </x:c>
      <x:c r="Q438" s="10" t="str">
        <x:v>Pago</x:v>
      </x:c>
      <x:c r="R438" s="10" t="str">
        <x:v>Débito Automático</x:v>
      </x:c>
      <x:c r="S438" s="10" t="str">
        <x:v>2025-09</x:v>
      </x:c>
      <x:c r="T438" s="10" t="n">
        <x:v>0</x:v>
      </x:c>
      <x:c r="U438" s="10" t="str">
        <x:v>Liquidado</x:v>
      </x:c>
      <x:c r="V438" s="10" t="str">
        <x:v>UND002</x:v>
      </x:c>
    </x:row>
    <x:row r="439" ht="18" customHeight="1">
      <x:c r="A439" s="10" t="str">
        <x:v>PAG00438</x:v>
      </x:c>
      <x:c r="B439" s="10" t="str">
        <x:v>EMP003</x:v>
      </x:c>
      <x:c r="C439" s="10" t="str">
        <x:v>FOR031</x:v>
      </x:c>
      <x:c r="D439" s="10" t="str">
        <x:v>CC007</x:v>
      </x:c>
      <x:c r="E439" s="10" t="str">
        <x:v>CAT016</x:v>
      </x:c>
      <x:c r="F439" s="10" t="str">
        <x:v>CTA005</x:v>
      </x:c>
      <x:c r="G439" s="10" t="str">
        <x:v>NF-100438</x:v>
      </x:c>
      <x:c r="H439" s="10" t="str">
        <x:v>Compra de materiais</x:v>
      </x:c>
      <x:c r="I439" s="16" t="n">
        <x:v>45581.382904652775</x:v>
      </x:c>
      <x:c r="J439" s="16" t="n">
        <x:v>45656.382904652775</x:v>
      </x:c>
      <x:c r="K439" s="16" t="n">
        <x:v>45652.382904652775</x:v>
      </x:c>
      <x:c r="L439" s="20" t="n">
        <x:v>2189.1</x:v>
      </x:c>
      <x:c r="M439" s="20" t="n">
        <x:v>0</x:v>
      </x:c>
      <x:c r="N439" s="20" t="n">
        <x:v>21.89</x:v>
      </x:c>
      <x:c r="O439" s="20" t="n">
        <x:v>2167.21</x:v>
      </x:c>
      <x:c r="P439" s="20" t="n">
        <x:v>0</x:v>
      </x:c>
      <x:c r="Q439" s="10" t="str">
        <x:v>Pago</x:v>
      </x:c>
      <x:c r="R439" s="10" t="str">
        <x:v>PIX</x:v>
      </x:c>
      <x:c r="S439" s="10" t="str">
        <x:v>2024-10</x:v>
      </x:c>
      <x:c r="T439" s="10" t="n">
        <x:v>0</x:v>
      </x:c>
      <x:c r="U439" s="10" t="str">
        <x:v>Liquidado</x:v>
      </x:c>
      <x:c r="V439" s="10" t="str">
        <x:v>UND004</x:v>
      </x:c>
    </x:row>
    <x:row r="440" ht="18" customHeight="1">
      <x:c r="A440" s="10" t="str">
        <x:v>PAG00439</x:v>
      </x:c>
      <x:c r="B440" s="10" t="str">
        <x:v>EMP001</x:v>
      </x:c>
      <x:c r="C440" s="10" t="str">
        <x:v>FOR034</x:v>
      </x:c>
      <x:c r="D440" s="10" t="str">
        <x:v>CC005</x:v>
      </x:c>
      <x:c r="E440" s="10" t="str">
        <x:v>CAT018</x:v>
      </x:c>
      <x:c r="F440" s="10" t="str">
        <x:v>CTA002</x:v>
      </x:c>
      <x:c r="G440" s="10" t="str">
        <x:v>NF-100439</x:v>
      </x:c>
      <x:c r="H440" s="10" t="str">
        <x:v>Tributos e taxas</x:v>
      </x:c>
      <x:c r="I440" s="16" t="n">
        <x:v>45623.46364670139</x:v>
      </x:c>
      <x:c r="J440" s="16" t="n">
        <x:v>45638.46364670139</x:v>
      </x:c>
      <x:c r="K440" s="16" t="n">
        <x:v>45638.46364670139</x:v>
      </x:c>
      <x:c r="L440" s="20" t="n">
        <x:v>7988.5</x:v>
      </x:c>
      <x:c r="M440" s="20" t="n">
        <x:v>0</x:v>
      </x:c>
      <x:c r="N440" s="20" t="n">
        <x:v>0</x:v>
      </x:c>
      <x:c r="O440" s="20" t="n">
        <x:v>7988.5</x:v>
      </x:c>
      <x:c r="P440" s="20" t="n">
        <x:v>0</x:v>
      </x:c>
      <x:c r="Q440" s="10" t="str">
        <x:v>Pago</x:v>
      </x:c>
      <x:c r="R440" s="10" t="str">
        <x:v>Débito Automático</x:v>
      </x:c>
      <x:c r="S440" s="10" t="str">
        <x:v>2024-11</x:v>
      </x:c>
      <x:c r="T440" s="10" t="n">
        <x:v>0</x:v>
      </x:c>
      <x:c r="U440" s="10" t="str">
        <x:v>Liquidado</x:v>
      </x:c>
      <x:c r="V440" s="10" t="str">
        <x:v>UND001</x:v>
      </x:c>
    </x:row>
    <x:row r="441" ht="18" customHeight="1">
      <x:c r="A441" s="10" t="str">
        <x:v>PAG00440</x:v>
      </x:c>
      <x:c r="B441" s="10" t="str">
        <x:v>EMP001</x:v>
      </x:c>
      <x:c r="C441" s="10" t="str">
        <x:v>FOR058</x:v>
      </x:c>
      <x:c r="D441" s="10" t="str">
        <x:v>CC007</x:v>
      </x:c>
      <x:c r="E441" s="10" t="str">
        <x:v>CAT017</x:v>
      </x:c>
      <x:c r="F441" s="10" t="str">
        <x:v>CTA001</x:v>
      </x:c>
      <x:c r="G441" s="10" t="str">
        <x:v>NF-100440</x:v>
      </x:c>
      <x:c r="H441" s="10" t="str">
        <x:v>Contrato recorrente</x:v>
      </x:c>
      <x:c r="I441" s="16" t="n">
        <x:v>45757.00840849537</x:v>
      </x:c>
      <x:c r="J441" s="16" t="n">
        <x:v>45787.00840849537</x:v>
      </x:c>
      <x:c r="K441" s="16" t="n">
        <x:v>45780.00840849537</x:v>
      </x:c>
      <x:c r="L441" s="20" t="n">
        <x:v>13549.96</x:v>
      </x:c>
      <x:c r="M441" s="20" t="n">
        <x:v>0</x:v>
      </x:c>
      <x:c r="N441" s="20" t="n">
        <x:v>0</x:v>
      </x:c>
      <x:c r="O441" s="20" t="n">
        <x:v>13549.96</x:v>
      </x:c>
      <x:c r="P441" s="20" t="n">
        <x:v>0</x:v>
      </x:c>
      <x:c r="Q441" s="10" t="str">
        <x:v>Pago</x:v>
      </x:c>
      <x:c r="R441" s="10" t="str">
        <x:v>PIX</x:v>
      </x:c>
      <x:c r="S441" s="10" t="str">
        <x:v>2025-04</x:v>
      </x:c>
      <x:c r="T441" s="10" t="n">
        <x:v>0</x:v>
      </x:c>
      <x:c r="U441" s="10" t="str">
        <x:v>Liquidado</x:v>
      </x:c>
      <x:c r="V441" s="10" t="str">
        <x:v>UND002</x:v>
      </x:c>
    </x:row>
    <x:row r="442" ht="18" customHeight="1">
      <x:c r="A442" s="10" t="str">
        <x:v>PAG00441</x:v>
      </x:c>
      <x:c r="B442" s="10" t="str">
        <x:v>EMP003</x:v>
      </x:c>
      <x:c r="C442" s="10" t="str">
        <x:v>FOR010</x:v>
      </x:c>
      <x:c r="D442" s="10" t="str">
        <x:v>CC004</x:v>
      </x:c>
      <x:c r="E442" s="10" t="str">
        <x:v>CAT005</x:v>
      </x:c>
      <x:c r="F442" s="10" t="str">
        <x:v>CTA005</x:v>
      </x:c>
      <x:c r="G442" s="10" t="str">
        <x:v>NF-100441</x:v>
      </x:c>
      <x:c r="H442" s="10" t="str">
        <x:v>Contrato recorrente</x:v>
      </x:c>
      <x:c r="I442" s="16" t="n">
        <x:v>45428.43594137731</x:v>
      </x:c>
      <x:c r="J442" s="16" t="n">
        <x:v>45458.43594137731</x:v>
      </x:c>
      <x:c r="K442" s="16" t="n">
        <x:v>45470.43594137731</x:v>
      </x:c>
      <x:c r="L442" s="20" t="n">
        <x:v>107568.42</x:v>
      </x:c>
      <x:c r="M442" s="20" t="n">
        <x:v>903.57</x:v>
      </x:c>
      <x:c r="N442" s="20" t="n">
        <x:v>0</x:v>
      </x:c>
      <x:c r="O442" s="20" t="n">
        <x:v>108471.99</x:v>
      </x:c>
      <x:c r="P442" s="20" t="n">
        <x:v>0</x:v>
      </x:c>
      <x:c r="Q442" s="10" t="str">
        <x:v>Pago</x:v>
      </x:c>
      <x:c r="R442" s="10" t="str">
        <x:v>TED</x:v>
      </x:c>
      <x:c r="S442" s="10" t="str">
        <x:v>2024-05</x:v>
      </x:c>
      <x:c r="T442" s="10" t="n">
        <x:v>0</x:v>
      </x:c>
      <x:c r="U442" s="10" t="str">
        <x:v>Liquidado</x:v>
      </x:c>
      <x:c r="V442" s="10" t="str">
        <x:v>UND004</x:v>
      </x:c>
    </x:row>
    <x:row r="443" ht="18" customHeight="1">
      <x:c r="A443" s="10" t="str">
        <x:v>PAG00442</x:v>
      </x:c>
      <x:c r="B443" s="10" t="str">
        <x:v>EMP001</x:v>
      </x:c>
      <x:c r="C443" s="10" t="str">
        <x:v>FOR009</x:v>
      </x:c>
      <x:c r="D443" s="10" t="str">
        <x:v>CC005</x:v>
      </x:c>
      <x:c r="E443" s="10" t="str">
        <x:v>CAT006</x:v>
      </x:c>
      <x:c r="F443" s="10" t="str">
        <x:v>CTA001</x:v>
      </x:c>
      <x:c r="G443" s="10" t="str">
        <x:v>NF-100442</x:v>
      </x:c>
      <x:c r="H443" s="10" t="str">
        <x:v>Compra de materiais</x:v>
      </x:c>
      <x:c r="I443" s="16" t="n">
        <x:v>45433.73322841435</x:v>
      </x:c>
      <x:c r="J443" s="16" t="n">
        <x:v>45453.73322841435</x:v>
      </x:c>
      <x:c r="K443" s="16" t="n">
        <x:v>45477.73322841435</x:v>
      </x:c>
      <x:c r="L443" s="20" t="n">
        <x:v>71725.27</x:v>
      </x:c>
      <x:c r="M443" s="20" t="n">
        <x:v>1204.98</x:v>
      </x:c>
      <x:c r="N443" s="20" t="n">
        <x:v>0</x:v>
      </x:c>
      <x:c r="O443" s="20" t="n">
        <x:v>72930.25</x:v>
      </x:c>
      <x:c r="P443" s="20" t="n">
        <x:v>0</x:v>
      </x:c>
      <x:c r="Q443" s="10" t="str">
        <x:v>Pago</x:v>
      </x:c>
      <x:c r="R443" s="10" t="str">
        <x:v>Cartão Corporativo</x:v>
      </x:c>
      <x:c r="S443" s="10" t="str">
        <x:v>2024-05</x:v>
      </x:c>
      <x:c r="T443" s="10" t="n">
        <x:v>0</x:v>
      </x:c>
      <x:c r="U443" s="10" t="str">
        <x:v>Liquidado</x:v>
      </x:c>
      <x:c r="V443" s="10" t="str">
        <x:v>UND002</x:v>
      </x:c>
    </x:row>
    <x:row r="444" ht="18" customHeight="1">
      <x:c r="A444" s="10" t="str">
        <x:v>PAG00443</x:v>
      </x:c>
      <x:c r="B444" s="10" t="str">
        <x:v>EMP003</x:v>
      </x:c>
      <x:c r="C444" s="10" t="str">
        <x:v>FOR051</x:v>
      </x:c>
      <x:c r="D444" s="10" t="str">
        <x:v>CC001</x:v>
      </x:c>
      <x:c r="E444" s="10" t="str">
        <x:v>CAT018</x:v>
      </x:c>
      <x:c r="F444" s="10" t="str">
        <x:v>CTA006</x:v>
      </x:c>
      <x:c r="G444" s="10" t="str">
        <x:v>NF-100443</x:v>
      </x:c>
      <x:c r="H444" s="10" t="str">
        <x:v>Contrato recorrente</x:v>
      </x:c>
      <x:c r="I444" s="16" t="n">
        <x:v>45793.34337134259</x:v>
      </x:c>
      <x:c r="J444" s="16" t="n">
        <x:v>45813.34337134259</x:v>
      </x:c>
      <x:c r="K444" s="16" t="n">
        <x:v>45824.34337134259</x:v>
      </x:c>
      <x:c r="L444" s="20" t="n">
        <x:v>13988.08</x:v>
      </x:c>
      <x:c r="M444" s="20" t="n">
        <x:v>107.71</x:v>
      </x:c>
      <x:c r="N444" s="20" t="n">
        <x:v>0</x:v>
      </x:c>
      <x:c r="O444" s="20" t="n">
        <x:v>14095.79</x:v>
      </x:c>
      <x:c r="P444" s="20" t="n">
        <x:v>0</x:v>
      </x:c>
      <x:c r="Q444" s="10" t="str">
        <x:v>Pago</x:v>
      </x:c>
      <x:c r="R444" s="10" t="str">
        <x:v>PIX</x:v>
      </x:c>
      <x:c r="S444" s="10" t="str">
        <x:v>2025-05</x:v>
      </x:c>
      <x:c r="T444" s="10" t="n">
        <x:v>0</x:v>
      </x:c>
      <x:c r="U444" s="10" t="str">
        <x:v>Liquidado</x:v>
      </x:c>
      <x:c r="V444" s="10" t="str">
        <x:v>UND004</x:v>
      </x:c>
    </x:row>
    <x:row r="445" ht="18" customHeight="1">
      <x:c r="A445" s="10" t="str">
        <x:v>PAG00444</x:v>
      </x:c>
      <x:c r="B445" s="10" t="str">
        <x:v>EMP001</x:v>
      </x:c>
      <x:c r="C445" s="10" t="str">
        <x:v>FOR015</x:v>
      </x:c>
      <x:c r="D445" s="10" t="str">
        <x:v>CC005</x:v>
      </x:c>
      <x:c r="E445" s="10" t="str">
        <x:v>CAT013</x:v>
      </x:c>
      <x:c r="F445" s="10" t="str">
        <x:v>CTA001</x:v>
      </x:c>
      <x:c r="G445" s="10" t="str">
        <x:v>NF-100444</x:v>
      </x:c>
      <x:c r="H445" s="10" t="str">
        <x:v>Contrato recorrente</x:v>
      </x:c>
      <x:c r="I445" s="16" t="n">
        <x:v>45598.65108094907</x:v>
      </x:c>
      <x:c r="J445" s="16" t="n">
        <x:v>45628.65108094907</x:v>
      </x:c>
      <x:c r="K445" s="16"/>
      <x:c r="L445" s="20" t="n">
        <x:v>96327.21</x:v>
      </x:c>
      <x:c r="M445" s="20" t="n">
        <x:v>0</x:v>
      </x:c>
      <x:c r="N445" s="20" t="n">
        <x:v>0</x:v>
      </x:c>
      <x:c r="O445" s="20" t="n">
        <x:v>0</x:v>
      </x:c>
      <x:c r="P445" s="20" t="n">
        <x:v>96327.21</x:v>
      </x:c>
      <x:c r="Q445" s="10" t="str">
        <x:v>Vencido</x:v>
      </x:c>
      <x:c r="R445" s="10" t="str">
        <x:v>Débito Automático</x:v>
      </x:c>
      <x:c r="S445" s="10" t="str">
        <x:v>2024-11</x:v>
      </x:c>
      <x:c r="T445" s="10" t="n">
        <x:v>393</x:v>
      </x:c>
      <x:c r="U445" s="10" t="str">
        <x:v>&gt; 120 dias</x:v>
      </x:c>
      <x:c r="V445" s="10" t="str">
        <x:v>UND002</x:v>
      </x:c>
    </x:row>
    <x:row r="446" ht="18" customHeight="1">
      <x:c r="A446" s="10" t="str">
        <x:v>PAG00445</x:v>
      </x:c>
      <x:c r="B446" s="10" t="str">
        <x:v>EMP003</x:v>
      </x:c>
      <x:c r="C446" s="10" t="str">
        <x:v>FOR052</x:v>
      </x:c>
      <x:c r="D446" s="10" t="str">
        <x:v>CC001</x:v>
      </x:c>
      <x:c r="E446" s="10" t="str">
        <x:v>CAT016</x:v>
      </x:c>
      <x:c r="F446" s="10" t="str">
        <x:v>CTA006</x:v>
      </x:c>
      <x:c r="G446" s="10" t="str">
        <x:v>NF-100445</x:v>
      </x:c>
      <x:c r="H446" s="10" t="str">
        <x:v>Contrato recorrente</x:v>
      </x:c>
      <x:c r="I446" s="16" t="n">
        <x:v>45831.888903900464</x:v>
      </x:c>
      <x:c r="J446" s="16" t="n">
        <x:v>45876.888903900464</x:v>
      </x:c>
      <x:c r="K446" s="16" t="n">
        <x:v>45875.888903900464</x:v>
      </x:c>
      <x:c r="L446" s="20" t="n">
        <x:v>78258.3</x:v>
      </x:c>
      <x:c r="M446" s="20" t="n">
        <x:v>0</x:v>
      </x:c>
      <x:c r="N446" s="20" t="n">
        <x:v>0</x:v>
      </x:c>
      <x:c r="O446" s="20" t="n">
        <x:v>78258.3</x:v>
      </x:c>
      <x:c r="P446" s="20" t="n">
        <x:v>0</x:v>
      </x:c>
      <x:c r="Q446" s="10" t="str">
        <x:v>Pago</x:v>
      </x:c>
      <x:c r="R446" s="10" t="str">
        <x:v>TED</x:v>
      </x:c>
      <x:c r="S446" s="10" t="str">
        <x:v>2025-06</x:v>
      </x:c>
      <x:c r="T446" s="10" t="n">
        <x:v>0</x:v>
      </x:c>
      <x:c r="U446" s="10" t="str">
        <x:v>Liquidado</x:v>
      </x:c>
      <x:c r="V446" s="10" t="str">
        <x:v>UND004</x:v>
      </x:c>
    </x:row>
    <x:row r="447" ht="18" customHeight="1">
      <x:c r="A447" s="10" t="str">
        <x:v>PAG00446</x:v>
      </x:c>
      <x:c r="B447" s="10" t="str">
        <x:v>EMP003</x:v>
      </x:c>
      <x:c r="C447" s="10" t="str">
        <x:v>FOR018</x:v>
      </x:c>
      <x:c r="D447" s="10" t="str">
        <x:v>CC006</x:v>
      </x:c>
      <x:c r="E447" s="10" t="str">
        <x:v>CAT011</x:v>
      </x:c>
      <x:c r="F447" s="10" t="str">
        <x:v>CTA005</x:v>
      </x:c>
      <x:c r="G447" s="10" t="str">
        <x:v>NF-100446</x:v>
      </x:c>
      <x:c r="H447" s="10" t="str">
        <x:v>Tributos e taxas</x:v>
      </x:c>
      <x:c r="I447" s="16" t="n">
        <x:v>45854.3843153125</x:v>
      </x:c>
      <x:c r="J447" s="16" t="n">
        <x:v>45882.3843153125</x:v>
      </x:c>
      <x:c r="K447" s="16" t="n">
        <x:v>45875.3843153125</x:v>
      </x:c>
      <x:c r="L447" s="20" t="n">
        <x:v>601.44</x:v>
      </x:c>
      <x:c r="M447" s="20" t="n">
        <x:v>0</x:v>
      </x:c>
      <x:c r="N447" s="20" t="n">
        <x:v>3.01</x:v>
      </x:c>
      <x:c r="O447" s="20" t="n">
        <x:v>598.43</x:v>
      </x:c>
      <x:c r="P447" s="20" t="n">
        <x:v>0</x:v>
      </x:c>
      <x:c r="Q447" s="10" t="str">
        <x:v>Pago</x:v>
      </x:c>
      <x:c r="R447" s="10" t="str">
        <x:v>TED</x:v>
      </x:c>
      <x:c r="S447" s="10" t="str">
        <x:v>2025-07</x:v>
      </x:c>
      <x:c r="T447" s="10" t="n">
        <x:v>0</x:v>
      </x:c>
      <x:c r="U447" s="10" t="str">
        <x:v>Liquidado</x:v>
      </x:c>
      <x:c r="V447" s="10" t="str">
        <x:v>UND004</x:v>
      </x:c>
    </x:row>
    <x:row r="448" ht="18" customHeight="1">
      <x:c r="A448" s="10" t="str">
        <x:v>PAG00447</x:v>
      </x:c>
      <x:c r="B448" s="10" t="str">
        <x:v>EMP003</x:v>
      </x:c>
      <x:c r="C448" s="10" t="str">
        <x:v>FOR058</x:v>
      </x:c>
      <x:c r="D448" s="10" t="str">
        <x:v>CC003</x:v>
      </x:c>
      <x:c r="E448" s="10" t="str">
        <x:v>CAT009</x:v>
      </x:c>
      <x:c r="F448" s="10" t="str">
        <x:v>CTA006</x:v>
      </x:c>
      <x:c r="G448" s="10" t="str">
        <x:v>NF-100447</x:v>
      </x:c>
      <x:c r="H448" s="10" t="str">
        <x:v>Compra de materiais</x:v>
      </x:c>
      <x:c r="I448" s="16" t="n">
        <x:v>45709.3418521875</x:v>
      </x:c>
      <x:c r="J448" s="16" t="n">
        <x:v>45784.3418521875</x:v>
      </x:c>
      <x:c r="K448" s="16" t="n">
        <x:v>45790.3418521875</x:v>
      </x:c>
      <x:c r="L448" s="20" t="n">
        <x:v>2639.11</x:v>
      </x:c>
      <x:c r="M448" s="20" t="n">
        <x:v>11.08</x:v>
      </x:c>
      <x:c r="N448" s="20" t="n">
        <x:v>0</x:v>
      </x:c>
      <x:c r="O448" s="20" t="n">
        <x:v>2650.19</x:v>
      </x:c>
      <x:c r="P448" s="20" t="n">
        <x:v>0</x:v>
      </x:c>
      <x:c r="Q448" s="10" t="str">
        <x:v>Pago</x:v>
      </x:c>
      <x:c r="R448" s="10" t="str">
        <x:v>TED</x:v>
      </x:c>
      <x:c r="S448" s="10" t="str">
        <x:v>2025-02</x:v>
      </x:c>
      <x:c r="T448" s="10" t="n">
        <x:v>0</x:v>
      </x:c>
      <x:c r="U448" s="10" t="str">
        <x:v>Liquidado</x:v>
      </x:c>
      <x:c r="V448" s="10" t="str">
        <x:v>UND004</x:v>
      </x:c>
    </x:row>
    <x:row r="449" ht="18" customHeight="1">
      <x:c r="A449" s="10" t="str">
        <x:v>PAG00448</x:v>
      </x:c>
      <x:c r="B449" s="10" t="str">
        <x:v>EMP002</x:v>
      </x:c>
      <x:c r="C449" s="10" t="str">
        <x:v>FOR032</x:v>
      </x:c>
      <x:c r="D449" s="10" t="str">
        <x:v>CC007</x:v>
      </x:c>
      <x:c r="E449" s="10" t="str">
        <x:v>CAT016</x:v>
      </x:c>
      <x:c r="F449" s="10" t="str">
        <x:v>CTA003</x:v>
      </x:c>
      <x:c r="G449" s="10" t="str">
        <x:v>NF-100448</x:v>
      </x:c>
      <x:c r="H449" s="10" t="str">
        <x:v>Despesa operacional</x:v>
      </x:c>
      <x:c r="I449" s="16" t="n">
        <x:v>45956.66941045139</x:v>
      </x:c>
      <x:c r="J449" s="16" t="n">
        <x:v>46031.66941045139</x:v>
      </x:c>
      <x:c r="K449" s="16"/>
      <x:c r="L449" s="20" t="n">
        <x:v>3593.41</x:v>
      </x:c>
      <x:c r="M449" s="20" t="n">
        <x:v>0</x:v>
      </x:c>
      <x:c r="N449" s="20" t="n">
        <x:v>0</x:v>
      </x:c>
      <x:c r="O449" s="20" t="n">
        <x:v>0</x:v>
      </x:c>
      <x:c r="P449" s="20" t="n">
        <x:v>3593.41</x:v>
      </x:c>
      <x:c r="Q449" s="10" t="str">
        <x:v>A vencer</x:v>
      </x:c>
      <x:c r="R449" s="10" t="str">
        <x:v>Cartão Corporativo</x:v>
      </x:c>
      <x:c r="S449" s="10" t="str">
        <x:v>2025-10</x:v>
      </x:c>
      <x:c r="T449" s="10" t="n">
        <x:v>0</x:v>
      </x:c>
      <x:c r="U449" s="10" t="str">
        <x:v>A vencer</x:v>
      </x:c>
      <x:c r="V449" s="10" t="str">
        <x:v>UND003</x:v>
      </x:c>
    </x:row>
    <x:row r="450" ht="18" customHeight="1">
      <x:c r="A450" s="10" t="str">
        <x:v>PAG00449</x:v>
      </x:c>
      <x:c r="B450" s="10" t="str">
        <x:v>EMP003</x:v>
      </x:c>
      <x:c r="C450" s="10" t="str">
        <x:v>FOR007</x:v>
      </x:c>
      <x:c r="D450" s="10" t="str">
        <x:v>CC007</x:v>
      </x:c>
      <x:c r="E450" s="10" t="str">
        <x:v>CAT013</x:v>
      </x:c>
      <x:c r="F450" s="10" t="str">
        <x:v>CTA005</x:v>
      </x:c>
      <x:c r="G450" s="10" t="str">
        <x:v>NF-100449</x:v>
      </x:c>
      <x:c r="H450" s="10" t="str">
        <x:v>Compra de materiais</x:v>
      </x:c>
      <x:c r="I450" s="16" t="n">
        <x:v>45687.51314321759</x:v>
      </x:c>
      <x:c r="J450" s="16" t="n">
        <x:v>45747.51314321759</x:v>
      </x:c>
      <x:c r="K450" s="16" t="n">
        <x:v>45744.51314321759</x:v>
      </x:c>
      <x:c r="L450" s="20" t="n">
        <x:v>33319.42</x:v>
      </x:c>
      <x:c r="M450" s="20" t="n">
        <x:v>0</x:v>
      </x:c>
      <x:c r="N450" s="20" t="n">
        <x:v>166.6</x:v>
      </x:c>
      <x:c r="O450" s="20" t="n">
        <x:v>33152.82</x:v>
      </x:c>
      <x:c r="P450" s="20" t="n">
        <x:v>0</x:v>
      </x:c>
      <x:c r="Q450" s="10" t="str">
        <x:v>Pago</x:v>
      </x:c>
      <x:c r="R450" s="10" t="str">
        <x:v>PIX</x:v>
      </x:c>
      <x:c r="S450" s="10" t="str">
        <x:v>2025-01</x:v>
      </x:c>
      <x:c r="T450" s="10" t="n">
        <x:v>0</x:v>
      </x:c>
      <x:c r="U450" s="10" t="str">
        <x:v>Liquidado</x:v>
      </x:c>
      <x:c r="V450" s="10" t="str">
        <x:v>UND004</x:v>
      </x:c>
    </x:row>
    <x:row r="451" ht="18" customHeight="1">
      <x:c r="A451" s="10" t="str">
        <x:v>PAG00450</x:v>
      </x:c>
      <x:c r="B451" s="10" t="str">
        <x:v>EMP001</x:v>
      </x:c>
      <x:c r="C451" s="10" t="str">
        <x:v>FOR024</x:v>
      </x:c>
      <x:c r="D451" s="10" t="str">
        <x:v>CC006</x:v>
      </x:c>
      <x:c r="E451" s="10" t="str">
        <x:v>CAT017</x:v>
      </x:c>
      <x:c r="F451" s="10" t="str">
        <x:v>CTA001</x:v>
      </x:c>
      <x:c r="G451" s="10" t="str">
        <x:v>NF-100450</x:v>
      </x:c>
      <x:c r="H451" s="10" t="str">
        <x:v>Prestação de serviços</x:v>
      </x:c>
      <x:c r="I451" s="16" t="n">
        <x:v>45478.53004839121</x:v>
      </x:c>
      <x:c r="J451" s="16" t="n">
        <x:v>45523.53004839121</x:v>
      </x:c>
      <x:c r="K451" s="16" t="n">
        <x:v>45515.53004839121</x:v>
      </x:c>
      <x:c r="L451" s="20" t="n">
        <x:v>7158.93</x:v>
      </x:c>
      <x:c r="M451" s="20" t="n">
        <x:v>0</x:v>
      </x:c>
      <x:c r="N451" s="20" t="n">
        <x:v>35.79</x:v>
      </x:c>
      <x:c r="O451" s="20" t="n">
        <x:v>7123.14</x:v>
      </x:c>
      <x:c r="P451" s="20" t="n">
        <x:v>0</x:v>
      </x:c>
      <x:c r="Q451" s="10" t="str">
        <x:v>Pago</x:v>
      </x:c>
      <x:c r="R451" s="10" t="str">
        <x:v>Cartão Corporativo</x:v>
      </x:c>
      <x:c r="S451" s="10" t="str">
        <x:v>2024-07</x:v>
      </x:c>
      <x:c r="T451" s="10" t="n">
        <x:v>0</x:v>
      </x:c>
      <x:c r="U451" s="10" t="str">
        <x:v>Liquidado</x:v>
      </x:c>
      <x:c r="V451" s="10" t="str">
        <x:v>UND001</x:v>
      </x:c>
    </x:row>
    <x:row r="452" ht="18" customHeight="1">
      <x:c r="A452" s="10" t="str">
        <x:v>PAG00451</x:v>
      </x:c>
      <x:c r="B452" s="10" t="str">
        <x:v>EMP003</x:v>
      </x:c>
      <x:c r="C452" s="10" t="str">
        <x:v>FOR057</x:v>
      </x:c>
      <x:c r="D452" s="10" t="str">
        <x:v>CC005</x:v>
      </x:c>
      <x:c r="E452" s="10" t="str">
        <x:v>CAT006</x:v>
      </x:c>
      <x:c r="F452" s="10" t="str">
        <x:v>CTA006</x:v>
      </x:c>
      <x:c r="G452" s="10" t="str">
        <x:v>NF-100451</x:v>
      </x:c>
      <x:c r="H452" s="10" t="str">
        <x:v>Prestação de serviços</x:v>
      </x:c>
      <x:c r="I452" s="16" t="n">
        <x:v>45338.233310208336</x:v>
      </x:c>
      <x:c r="J452" s="16" t="n">
        <x:v>45353.233310208336</x:v>
      </x:c>
      <x:c r="K452" s="16"/>
      <x:c r="L452" s="20" t="n">
        <x:v>37353.92</x:v>
      </x:c>
      <x:c r="M452" s="20" t="n">
        <x:v>0</x:v>
      </x:c>
      <x:c r="N452" s="20" t="n">
        <x:v>0</x:v>
      </x:c>
      <x:c r="O452" s="20" t="n">
        <x:v>0</x:v>
      </x:c>
      <x:c r="P452" s="20" t="n">
        <x:v>37353.92</x:v>
      </x:c>
      <x:c r="Q452" s="10" t="str">
        <x:v>Vencido</x:v>
      </x:c>
      <x:c r="R452" s="10" t="str">
        <x:v>PIX</x:v>
      </x:c>
      <x:c r="S452" s="10" t="str">
        <x:v>2024-02</x:v>
      </x:c>
      <x:c r="T452" s="10" t="n">
        <x:v>668</x:v>
      </x:c>
      <x:c r="U452" s="10" t="str">
        <x:v>&gt; 120 dias</x:v>
      </x:c>
      <x:c r="V452" s="10" t="str">
        <x:v>UND004</x:v>
      </x:c>
    </x:row>
    <x:row r="453" ht="18" customHeight="1">
      <x:c r="A453" s="10" t="str">
        <x:v>PAG00452</x:v>
      </x:c>
      <x:c r="B453" s="10" t="str">
        <x:v>EMP003</x:v>
      </x:c>
      <x:c r="C453" s="10" t="str">
        <x:v>FOR036</x:v>
      </x:c>
      <x:c r="D453" s="10" t="str">
        <x:v>CC003</x:v>
      </x:c>
      <x:c r="E453" s="10" t="str">
        <x:v>CAT014</x:v>
      </x:c>
      <x:c r="F453" s="10" t="str">
        <x:v>CTA005</x:v>
      </x:c>
      <x:c r="G453" s="10" t="str">
        <x:v>NF-100452</x:v>
      </x:c>
      <x:c r="H453" s="10" t="str">
        <x:v>Contrato recorrente</x:v>
      </x:c>
      <x:c r="I453" s="16" t="n">
        <x:v>45613.88677700231</x:v>
      </x:c>
      <x:c r="J453" s="16" t="n">
        <x:v>45688.88677700231</x:v>
      </x:c>
      <x:c r="K453" s="16" t="n">
        <x:v>45691.88677700231</x:v>
      </x:c>
      <x:c r="L453" s="20" t="n">
        <x:v>8732.32</x:v>
      </x:c>
      <x:c r="M453" s="20" t="n">
        <x:v>18.34</x:v>
      </x:c>
      <x:c r="N453" s="20" t="n">
        <x:v>0</x:v>
      </x:c>
      <x:c r="O453" s="20" t="n">
        <x:v>8750.66</x:v>
      </x:c>
      <x:c r="P453" s="20" t="n">
        <x:v>0</x:v>
      </x:c>
      <x:c r="Q453" s="10" t="str">
        <x:v>Pago</x:v>
      </x:c>
      <x:c r="R453" s="10" t="str">
        <x:v>Cartão Corporativo</x:v>
      </x:c>
      <x:c r="S453" s="10" t="str">
        <x:v>2024-11</x:v>
      </x:c>
      <x:c r="T453" s="10" t="n">
        <x:v>0</x:v>
      </x:c>
      <x:c r="U453" s="10" t="str">
        <x:v>Liquidado</x:v>
      </x:c>
      <x:c r="V453" s="10" t="str">
        <x:v>UND004</x:v>
      </x:c>
    </x:row>
    <x:row r="454" ht="18" customHeight="1">
      <x:c r="A454" s="10" t="str">
        <x:v>PAG00453</x:v>
      </x:c>
      <x:c r="B454" s="10" t="str">
        <x:v>EMP001</x:v>
      </x:c>
      <x:c r="C454" s="10" t="str">
        <x:v>FOR036</x:v>
      </x:c>
      <x:c r="D454" s="10" t="str">
        <x:v>CC002</x:v>
      </x:c>
      <x:c r="E454" s="10" t="str">
        <x:v>CAT014</x:v>
      </x:c>
      <x:c r="F454" s="10" t="str">
        <x:v>CTA001</x:v>
      </x:c>
      <x:c r="G454" s="10" t="str">
        <x:v>NF-100453</x:v>
      </x:c>
      <x:c r="H454" s="10" t="str">
        <x:v>Compra de materiais</x:v>
      </x:c>
      <x:c r="I454" s="16" t="n">
        <x:v>45704.81590961805</x:v>
      </x:c>
      <x:c r="J454" s="16" t="n">
        <x:v>45719.81590961805</x:v>
      </x:c>
      <x:c r="K454" s="16" t="n">
        <x:v>45726.81590961805</x:v>
      </x:c>
      <x:c r="L454" s="20" t="n">
        <x:v>35173.46</x:v>
      </x:c>
      <x:c r="M454" s="20" t="n">
        <x:v>172.35</x:v>
      </x:c>
      <x:c r="N454" s="20" t="n">
        <x:v>0</x:v>
      </x:c>
      <x:c r="O454" s="20" t="n">
        <x:v>35345.81</x:v>
      </x:c>
      <x:c r="P454" s="20" t="n">
        <x:v>0</x:v>
      </x:c>
      <x:c r="Q454" s="10" t="str">
        <x:v>Pago</x:v>
      </x:c>
      <x:c r="R454" s="10" t="str">
        <x:v>Débito Automático</x:v>
      </x:c>
      <x:c r="S454" s="10" t="str">
        <x:v>2025-02</x:v>
      </x:c>
      <x:c r="T454" s="10" t="n">
        <x:v>0</x:v>
      </x:c>
      <x:c r="U454" s="10" t="str">
        <x:v>Liquidado</x:v>
      </x:c>
      <x:c r="V454" s="10" t="str">
        <x:v>UND002</x:v>
      </x:c>
    </x:row>
    <x:row r="455" ht="18" customHeight="1">
      <x:c r="A455" s="10" t="str">
        <x:v>PAG00454</x:v>
      </x:c>
      <x:c r="B455" s="10" t="str">
        <x:v>EMP002</x:v>
      </x:c>
      <x:c r="C455" s="10" t="str">
        <x:v>FOR022</x:v>
      </x:c>
      <x:c r="D455" s="10" t="str">
        <x:v>CC004</x:v>
      </x:c>
      <x:c r="E455" s="10" t="str">
        <x:v>CAT011</x:v>
      </x:c>
      <x:c r="F455" s="10" t="str">
        <x:v>CTA003</x:v>
      </x:c>
      <x:c r="G455" s="10" t="str">
        <x:v>NF-100454</x:v>
      </x:c>
      <x:c r="H455" s="10" t="str">
        <x:v>Despesa operacional</x:v>
      </x:c>
      <x:c r="I455" s="16" t="n">
        <x:v>45787.17684976852</x:v>
      </x:c>
      <x:c r="J455" s="16" t="n">
        <x:v>45847.17684976852</x:v>
      </x:c>
      <x:c r="K455" s="16" t="n">
        <x:v>45843.17684976852</x:v>
      </x:c>
      <x:c r="L455" s="20" t="n">
        <x:v>41353.01</x:v>
      </x:c>
      <x:c r="M455" s="20" t="n">
        <x:v>0</x:v>
      </x:c>
      <x:c r="N455" s="20" t="n">
        <x:v>0</x:v>
      </x:c>
      <x:c r="O455" s="20" t="n">
        <x:v>41353.01</x:v>
      </x:c>
      <x:c r="P455" s="20" t="n">
        <x:v>0</x:v>
      </x:c>
      <x:c r="Q455" s="10" t="str">
        <x:v>Pago</x:v>
      </x:c>
      <x:c r="R455" s="10" t="str">
        <x:v>Cartão Corporativo</x:v>
      </x:c>
      <x:c r="S455" s="10" t="str">
        <x:v>2025-05</x:v>
      </x:c>
      <x:c r="T455" s="10" t="n">
        <x:v>0</x:v>
      </x:c>
      <x:c r="U455" s="10" t="str">
        <x:v>Liquidado</x:v>
      </x:c>
      <x:c r="V455" s="10" t="str">
        <x:v>UND003</x:v>
      </x:c>
    </x:row>
    <x:row r="456" ht="18" customHeight="1">
      <x:c r="A456" s="10" t="str">
        <x:v>PAG00455</x:v>
      </x:c>
      <x:c r="B456" s="10" t="str">
        <x:v>EMP001</x:v>
      </x:c>
      <x:c r="C456" s="10" t="str">
        <x:v>FOR048</x:v>
      </x:c>
      <x:c r="D456" s="10" t="str">
        <x:v>CC008</x:v>
      </x:c>
      <x:c r="E456" s="10" t="str">
        <x:v>CAT010</x:v>
      </x:c>
      <x:c r="F456" s="10" t="str">
        <x:v>CTA002</x:v>
      </x:c>
      <x:c r="G456" s="10" t="str">
        <x:v>NF-100455</x:v>
      </x:c>
      <x:c r="H456" s="10" t="str">
        <x:v>Tributos e taxas</x:v>
      </x:c>
      <x:c r="I456" s="16" t="n">
        <x:v>45759.401920289354</x:v>
      </x:c>
      <x:c r="J456" s="16" t="n">
        <x:v>45819.401920289354</x:v>
      </x:c>
      <x:c r="K456" s="16" t="n">
        <x:v>45831.401920289354</x:v>
      </x:c>
      <x:c r="L456" s="20" t="n">
        <x:v>67993.94</x:v>
      </x:c>
      <x:c r="M456" s="20" t="n">
        <x:v>571.15</x:v>
      </x:c>
      <x:c r="N456" s="20" t="n">
        <x:v>0</x:v>
      </x:c>
      <x:c r="O456" s="20" t="n">
        <x:v>68565.09</x:v>
      </x:c>
      <x:c r="P456" s="20" t="n">
        <x:v>0</x:v>
      </x:c>
      <x:c r="Q456" s="10" t="str">
        <x:v>Pago</x:v>
      </x:c>
      <x:c r="R456" s="10" t="str">
        <x:v>Cartão Corporativo</x:v>
      </x:c>
      <x:c r="S456" s="10" t="str">
        <x:v>2025-04</x:v>
      </x:c>
      <x:c r="T456" s="10" t="n">
        <x:v>0</x:v>
      </x:c>
      <x:c r="U456" s="10" t="str">
        <x:v>Liquidado</x:v>
      </x:c>
      <x:c r="V456" s="10" t="str">
        <x:v>UND001</x:v>
      </x:c>
    </x:row>
    <x:row r="457" ht="18" customHeight="1">
      <x:c r="A457" s="10" t="str">
        <x:v>PAG00456</x:v>
      </x:c>
      <x:c r="B457" s="10" t="str">
        <x:v>EMP001</x:v>
      </x:c>
      <x:c r="C457" s="10" t="str">
        <x:v>FOR053</x:v>
      </x:c>
      <x:c r="D457" s="10" t="str">
        <x:v>CC003</x:v>
      </x:c>
      <x:c r="E457" s="10" t="str">
        <x:v>CAT005</x:v>
      </x:c>
      <x:c r="F457" s="10" t="str">
        <x:v>CTA001</x:v>
      </x:c>
      <x:c r="G457" s="10" t="str">
        <x:v>NF-100456</x:v>
      </x:c>
      <x:c r="H457" s="10" t="str">
        <x:v>Tributos e taxas</x:v>
      </x:c>
      <x:c r="I457" s="16" t="n">
        <x:v>45978.82086878472</x:v>
      </x:c>
      <x:c r="J457" s="16" t="n">
        <x:v>46013.82086878472</x:v>
      </x:c>
      <x:c r="K457" s="16" t="n">
        <x:v>46006.82086878472</x:v>
      </x:c>
      <x:c r="L457" s="20" t="n">
        <x:v>52048.2</x:v>
      </x:c>
      <x:c r="M457" s="20" t="n">
        <x:v>0</x:v>
      </x:c>
      <x:c r="N457" s="20" t="n">
        <x:v>0</x:v>
      </x:c>
      <x:c r="O457" s="20" t="n">
        <x:v>52048.2</x:v>
      </x:c>
      <x:c r="P457" s="20" t="n">
        <x:v>0</x:v>
      </x:c>
      <x:c r="Q457" s="10" t="str">
        <x:v>Pago</x:v>
      </x:c>
      <x:c r="R457" s="10" t="str">
        <x:v>Cartão Corporativo</x:v>
      </x:c>
      <x:c r="S457" s="10" t="str">
        <x:v>2025-11</x:v>
      </x:c>
      <x:c r="T457" s="10" t="n">
        <x:v>0</x:v>
      </x:c>
      <x:c r="U457" s="10" t="str">
        <x:v>Liquidado</x:v>
      </x:c>
      <x:c r="V457" s="10" t="str">
        <x:v>UND002</x:v>
      </x:c>
    </x:row>
    <x:row r="458" ht="18" customHeight="1">
      <x:c r="A458" s="10" t="str">
        <x:v>PAG00457</x:v>
      </x:c>
      <x:c r="B458" s="10" t="str">
        <x:v>EMP001</x:v>
      </x:c>
      <x:c r="C458" s="10" t="str">
        <x:v>FOR046</x:v>
      </x:c>
      <x:c r="D458" s="10" t="str">
        <x:v>CC003</x:v>
      </x:c>
      <x:c r="E458" s="10" t="str">
        <x:v>CAT016</x:v>
      </x:c>
      <x:c r="F458" s="10" t="str">
        <x:v>CTA002</x:v>
      </x:c>
      <x:c r="G458" s="10" t="str">
        <x:v>NF-100457</x:v>
      </x:c>
      <x:c r="H458" s="10" t="str">
        <x:v>Contrato recorrente</x:v>
      </x:c>
      <x:c r="I458" s="16" t="n">
        <x:v>45638.05213542824</x:v>
      </x:c>
      <x:c r="J458" s="16" t="n">
        <x:v>45653.05213542824</x:v>
      </x:c>
      <x:c r="K458" s="16" t="n">
        <x:v>45647.05213542824</x:v>
      </x:c>
      <x:c r="L458" s="20" t="n">
        <x:v>59427.08</x:v>
      </x:c>
      <x:c r="M458" s="20" t="n">
        <x:v>0</x:v>
      </x:c>
      <x:c r="N458" s="20" t="n">
        <x:v>0</x:v>
      </x:c>
      <x:c r="O458" s="20" t="n">
        <x:v>59427.08</x:v>
      </x:c>
      <x:c r="P458" s="20" t="n">
        <x:v>0</x:v>
      </x:c>
      <x:c r="Q458" s="10" t="str">
        <x:v>Pago</x:v>
      </x:c>
      <x:c r="R458" s="10" t="str">
        <x:v>PIX</x:v>
      </x:c>
      <x:c r="S458" s="10" t="str">
        <x:v>2024-12</x:v>
      </x:c>
      <x:c r="T458" s="10" t="n">
        <x:v>0</x:v>
      </x:c>
      <x:c r="U458" s="10" t="str">
        <x:v>Liquidado</x:v>
      </x:c>
      <x:c r="V458" s="10" t="str">
        <x:v>UND002</x:v>
      </x:c>
    </x:row>
    <x:row r="459" ht="18" customHeight="1">
      <x:c r="A459" s="10" t="str">
        <x:v>PAG00458</x:v>
      </x:c>
      <x:c r="B459" s="10" t="str">
        <x:v>EMP001</x:v>
      </x:c>
      <x:c r="C459" s="10" t="str">
        <x:v>FOR017</x:v>
      </x:c>
      <x:c r="D459" s="10" t="str">
        <x:v>CC005</x:v>
      </x:c>
      <x:c r="E459" s="10" t="str">
        <x:v>CAT013</x:v>
      </x:c>
      <x:c r="F459" s="10" t="str">
        <x:v>CTA001</x:v>
      </x:c>
      <x:c r="G459" s="10" t="str">
        <x:v>NF-100458</x:v>
      </x:c>
      <x:c r="H459" s="10" t="str">
        <x:v>Despesa operacional</x:v>
      </x:c>
      <x:c r="I459" s="16" t="n">
        <x:v>45986.009407881946</x:v>
      </x:c>
      <x:c r="J459" s="16" t="n">
        <x:v>46006.009407881946</x:v>
      </x:c>
      <x:c r="K459" s="16"/>
      <x:c r="L459" s="20" t="n">
        <x:v>58521.24</x:v>
      </x:c>
      <x:c r="M459" s="20" t="n">
        <x:v>0</x:v>
      </x:c>
      <x:c r="N459" s="20" t="n">
        <x:v>0</x:v>
      </x:c>
      <x:c r="O459" s="20" t="n">
        <x:v>0</x:v>
      </x:c>
      <x:c r="P459" s="20" t="n">
        <x:v>58521.24</x:v>
      </x:c>
      <x:c r="Q459" s="10" t="str">
        <x:v>Vencido</x:v>
      </x:c>
      <x:c r="R459" s="10" t="str">
        <x:v>TED</x:v>
      </x:c>
      <x:c r="S459" s="10" t="str">
        <x:v>2025-11</x:v>
      </x:c>
      <x:c r="T459" s="10" t="n">
        <x:v>15</x:v>
      </x:c>
      <x:c r="U459" s="10" t="str">
        <x:v>1 a 30 dias</x:v>
      </x:c>
      <x:c r="V459" s="10" t="str">
        <x:v>UND002</x:v>
      </x:c>
    </x:row>
    <x:row r="460" ht="18" customHeight="1">
      <x:c r="A460" s="10" t="str">
        <x:v>PAG00459</x:v>
      </x:c>
      <x:c r="B460" s="10" t="str">
        <x:v>EMP002</x:v>
      </x:c>
      <x:c r="C460" s="10" t="str">
        <x:v>FOR006</x:v>
      </x:c>
      <x:c r="D460" s="10" t="str">
        <x:v>CC002</x:v>
      </x:c>
      <x:c r="E460" s="10" t="str">
        <x:v>CAT007</x:v>
      </x:c>
      <x:c r="F460" s="10" t="str">
        <x:v>CTA004</x:v>
      </x:c>
      <x:c r="G460" s="10" t="str">
        <x:v>NF-100459</x:v>
      </x:c>
      <x:c r="H460" s="10" t="str">
        <x:v>Prestação de serviços</x:v>
      </x:c>
      <x:c r="I460" s="16" t="n">
        <x:v>45738.135115509256</x:v>
      </x:c>
      <x:c r="J460" s="16" t="n">
        <x:v>45783.135115509256</x:v>
      </x:c>
      <x:c r="K460" s="16" t="n">
        <x:v>45780.135115509256</x:v>
      </x:c>
      <x:c r="L460" s="20" t="n">
        <x:v>41304.64</x:v>
      </x:c>
      <x:c r="M460" s="20" t="n">
        <x:v>0</x:v>
      </x:c>
      <x:c r="N460" s="20" t="n">
        <x:v>206.52</x:v>
      </x:c>
      <x:c r="O460" s="20" t="n">
        <x:v>41098.12</x:v>
      </x:c>
      <x:c r="P460" s="20" t="n">
        <x:v>0</x:v>
      </x:c>
      <x:c r="Q460" s="10" t="str">
        <x:v>Pago</x:v>
      </x:c>
      <x:c r="R460" s="10" t="str">
        <x:v>PIX</x:v>
      </x:c>
      <x:c r="S460" s="10" t="str">
        <x:v>2025-03</x:v>
      </x:c>
      <x:c r="T460" s="10" t="n">
        <x:v>0</x:v>
      </x:c>
      <x:c r="U460" s="10" t="str">
        <x:v>Liquidado</x:v>
      </x:c>
      <x:c r="V460" s="10" t="str">
        <x:v>UND003</x:v>
      </x:c>
    </x:row>
    <x:row r="461" ht="18" customHeight="1">
      <x:c r="A461" s="10" t="str">
        <x:v>PAG00460</x:v>
      </x:c>
      <x:c r="B461" s="10" t="str">
        <x:v>EMP003</x:v>
      </x:c>
      <x:c r="C461" s="10" t="str">
        <x:v>FOR047</x:v>
      </x:c>
      <x:c r="D461" s="10" t="str">
        <x:v>CC001</x:v>
      </x:c>
      <x:c r="E461" s="10" t="str">
        <x:v>CAT005</x:v>
      </x:c>
      <x:c r="F461" s="10" t="str">
        <x:v>CTA005</x:v>
      </x:c>
      <x:c r="G461" s="10" t="str">
        <x:v>NF-100460</x:v>
      </x:c>
      <x:c r="H461" s="10" t="str">
        <x:v>Compra de materiais</x:v>
      </x:c>
      <x:c r="I461" s="16" t="n">
        <x:v>45499.1227865625</x:v>
      </x:c>
      <x:c r="J461" s="16" t="n">
        <x:v>45534.1227865625</x:v>
      </x:c>
      <x:c r="K461" s="16" t="n">
        <x:v>45546.1227865625</x:v>
      </x:c>
      <x:c r="L461" s="20" t="n">
        <x:v>1037.64</x:v>
      </x:c>
      <x:c r="M461" s="20" t="n">
        <x:v>8.72</x:v>
      </x:c>
      <x:c r="N461" s="20" t="n">
        <x:v>0</x:v>
      </x:c>
      <x:c r="O461" s="20" t="n">
        <x:v>1046.36</x:v>
      </x:c>
      <x:c r="P461" s="20" t="n">
        <x:v>0</x:v>
      </x:c>
      <x:c r="Q461" s="10" t="str">
        <x:v>Pago</x:v>
      </x:c>
      <x:c r="R461" s="10" t="str">
        <x:v>TED</x:v>
      </x:c>
      <x:c r="S461" s="10" t="str">
        <x:v>2024-07</x:v>
      </x:c>
      <x:c r="T461" s="10" t="n">
        <x:v>0</x:v>
      </x:c>
      <x:c r="U461" s="10" t="str">
        <x:v>Liquidado</x:v>
      </x:c>
      <x:c r="V461" s="10" t="str">
        <x:v>UND004</x:v>
      </x:c>
    </x:row>
    <x:row r="462" ht="18" customHeight="1">
      <x:c r="A462" s="10" t="str">
        <x:v>PAG00461</x:v>
      </x:c>
      <x:c r="B462" s="10" t="str">
        <x:v>EMP003</x:v>
      </x:c>
      <x:c r="C462" s="10" t="str">
        <x:v>FOR002</x:v>
      </x:c>
      <x:c r="D462" s="10" t="str">
        <x:v>CC003</x:v>
      </x:c>
      <x:c r="E462" s="10" t="str">
        <x:v>CAT011</x:v>
      </x:c>
      <x:c r="F462" s="10" t="str">
        <x:v>CTA005</x:v>
      </x:c>
      <x:c r="G462" s="10" t="str">
        <x:v>NF-100461</x:v>
      </x:c>
      <x:c r="H462" s="10" t="str">
        <x:v>Prestação de serviços</x:v>
      </x:c>
      <x:c r="I462" s="16" t="n">
        <x:v>45389.259549236114</x:v>
      </x:c>
      <x:c r="J462" s="16" t="n">
        <x:v>45409.259549236114</x:v>
      </x:c>
      <x:c r="K462" s="16" t="n">
        <x:v>45401.259549236114</x:v>
      </x:c>
      <x:c r="L462" s="20" t="n">
        <x:v>65784.79</x:v>
      </x:c>
      <x:c r="M462" s="20" t="n">
        <x:v>0</x:v>
      </x:c>
      <x:c r="N462" s="20" t="n">
        <x:v>0</x:v>
      </x:c>
      <x:c r="O462" s="20" t="n">
        <x:v>65784.79</x:v>
      </x:c>
      <x:c r="P462" s="20" t="n">
        <x:v>0</x:v>
      </x:c>
      <x:c r="Q462" s="10" t="str">
        <x:v>Pago</x:v>
      </x:c>
      <x:c r="R462" s="10" t="str">
        <x:v>Boleto</x:v>
      </x:c>
      <x:c r="S462" s="10" t="str">
        <x:v>2024-04</x:v>
      </x:c>
      <x:c r="T462" s="10" t="n">
        <x:v>0</x:v>
      </x:c>
      <x:c r="U462" s="10" t="str">
        <x:v>Liquidado</x:v>
      </x:c>
      <x:c r="V462" s="10" t="str">
        <x:v>UND004</x:v>
      </x:c>
    </x:row>
    <x:row r="463" ht="18" customHeight="1">
      <x:c r="A463" s="10" t="str">
        <x:v>PAG00462</x:v>
      </x:c>
      <x:c r="B463" s="10" t="str">
        <x:v>EMP002</x:v>
      </x:c>
      <x:c r="C463" s="10" t="str">
        <x:v>FOR031</x:v>
      </x:c>
      <x:c r="D463" s="10" t="str">
        <x:v>CC002</x:v>
      </x:c>
      <x:c r="E463" s="10" t="str">
        <x:v>CAT009</x:v>
      </x:c>
      <x:c r="F463" s="10" t="str">
        <x:v>CTA003</x:v>
      </x:c>
      <x:c r="G463" s="10" t="str">
        <x:v>NF-100462</x:v>
      </x:c>
      <x:c r="H463" s="10" t="str">
        <x:v>Despesa operacional</x:v>
      </x:c>
      <x:c r="I463" s="16" t="n">
        <x:v>45765.06314017361</x:v>
      </x:c>
      <x:c r="J463" s="16" t="n">
        <x:v>45840.06314017361</x:v>
      </x:c>
      <x:c r="K463" s="16" t="n">
        <x:v>45847.06314017361</x:v>
      </x:c>
      <x:c r="L463" s="20" t="n">
        <x:v>79422.42</x:v>
      </x:c>
      <x:c r="M463" s="20" t="n">
        <x:v>389.17</x:v>
      </x:c>
      <x:c r="N463" s="20" t="n">
        <x:v>0</x:v>
      </x:c>
      <x:c r="O463" s="20" t="n">
        <x:v>79811.59</x:v>
      </x:c>
      <x:c r="P463" s="20" t="n">
        <x:v>0</x:v>
      </x:c>
      <x:c r="Q463" s="10" t="str">
        <x:v>Pago</x:v>
      </x:c>
      <x:c r="R463" s="10" t="str">
        <x:v>TED</x:v>
      </x:c>
      <x:c r="S463" s="10" t="str">
        <x:v>2025-04</x:v>
      </x:c>
      <x:c r="T463" s="10" t="n">
        <x:v>0</x:v>
      </x:c>
      <x:c r="U463" s="10" t="str">
        <x:v>Liquidado</x:v>
      </x:c>
      <x:c r="V463" s="10" t="str">
        <x:v>UND003</x:v>
      </x:c>
    </x:row>
    <x:row r="464" ht="18" customHeight="1">
      <x:c r="A464" s="10" t="str">
        <x:v>PAG00463</x:v>
      </x:c>
      <x:c r="B464" s="10" t="str">
        <x:v>EMP002</x:v>
      </x:c>
      <x:c r="C464" s="10" t="str">
        <x:v>FOR007</x:v>
      </x:c>
      <x:c r="D464" s="10" t="str">
        <x:v>CC004</x:v>
      </x:c>
      <x:c r="E464" s="10" t="str">
        <x:v>CAT013</x:v>
      </x:c>
      <x:c r="F464" s="10" t="str">
        <x:v>CTA003</x:v>
      </x:c>
      <x:c r="G464" s="10" t="str">
        <x:v>NF-100463</x:v>
      </x:c>
      <x:c r="H464" s="10" t="str">
        <x:v>Tributos e taxas</x:v>
      </x:c>
      <x:c r="I464" s="16" t="n">
        <x:v>45684.10609688657</x:v>
      </x:c>
      <x:c r="J464" s="16" t="n">
        <x:v>45699.10609688657</x:v>
      </x:c>
      <x:c r="K464" s="16" t="n">
        <x:v>45708.10609688657</x:v>
      </x:c>
      <x:c r="L464" s="20" t="n">
        <x:v>67434.71</x:v>
      </x:c>
      <x:c r="M464" s="20" t="n">
        <x:v>424.84</x:v>
      </x:c>
      <x:c r="N464" s="20" t="n">
        <x:v>0</x:v>
      </x:c>
      <x:c r="O464" s="20" t="n">
        <x:v>67859.55</x:v>
      </x:c>
      <x:c r="P464" s="20" t="n">
        <x:v>0</x:v>
      </x:c>
      <x:c r="Q464" s="10" t="str">
        <x:v>Pago</x:v>
      </x:c>
      <x:c r="R464" s="10" t="str">
        <x:v>PIX</x:v>
      </x:c>
      <x:c r="S464" s="10" t="str">
        <x:v>2025-01</x:v>
      </x:c>
      <x:c r="T464" s="10" t="n">
        <x:v>0</x:v>
      </x:c>
      <x:c r="U464" s="10" t="str">
        <x:v>Liquidado</x:v>
      </x:c>
      <x:c r="V464" s="10" t="str">
        <x:v>UND003</x:v>
      </x:c>
    </x:row>
    <x:row r="465" ht="18" customHeight="1">
      <x:c r="A465" s="10" t="str">
        <x:v>PAG00464</x:v>
      </x:c>
      <x:c r="B465" s="10" t="str">
        <x:v>EMP002</x:v>
      </x:c>
      <x:c r="C465" s="10" t="str">
        <x:v>FOR003</x:v>
      </x:c>
      <x:c r="D465" s="10" t="str">
        <x:v>CC002</x:v>
      </x:c>
      <x:c r="E465" s="10" t="str">
        <x:v>CAT011</x:v>
      </x:c>
      <x:c r="F465" s="10" t="str">
        <x:v>CTA003</x:v>
      </x:c>
      <x:c r="G465" s="10" t="str">
        <x:v>NF-100464</x:v>
      </x:c>
      <x:c r="H465" s="10" t="str">
        <x:v>Prestação de serviços</x:v>
      </x:c>
      <x:c r="I465" s="16" t="n">
        <x:v>45502.09101427083</x:v>
      </x:c>
      <x:c r="J465" s="16" t="n">
        <x:v>45530.09101427083</x:v>
      </x:c>
      <x:c r="K465" s="16" t="n">
        <x:v>45529.09101427083</x:v>
      </x:c>
      <x:c r="L465" s="20" t="n">
        <x:v>683.29</x:v>
      </x:c>
      <x:c r="M465" s="20" t="n">
        <x:v>0</x:v>
      </x:c>
      <x:c r="N465" s="20" t="n">
        <x:v>10.25</x:v>
      </x:c>
      <x:c r="O465" s="20" t="n">
        <x:v>673.04</x:v>
      </x:c>
      <x:c r="P465" s="20" t="n">
        <x:v>0</x:v>
      </x:c>
      <x:c r="Q465" s="10" t="str">
        <x:v>Pago</x:v>
      </x:c>
      <x:c r="R465" s="10" t="str">
        <x:v>TED</x:v>
      </x:c>
      <x:c r="S465" s="10" t="str">
        <x:v>2024-07</x:v>
      </x:c>
      <x:c r="T465" s="10" t="n">
        <x:v>0</x:v>
      </x:c>
      <x:c r="U465" s="10" t="str">
        <x:v>Liquidado</x:v>
      </x:c>
      <x:c r="V465" s="10" t="str">
        <x:v>UND003</x:v>
      </x:c>
    </x:row>
    <x:row r="466" ht="18" customHeight="1">
      <x:c r="A466" s="10" t="str">
        <x:v>PAG00465</x:v>
      </x:c>
      <x:c r="B466" s="10" t="str">
        <x:v>EMP001</x:v>
      </x:c>
      <x:c r="C466" s="10" t="str">
        <x:v>FOR026</x:v>
      </x:c>
      <x:c r="D466" s="10" t="str">
        <x:v>CC006</x:v>
      </x:c>
      <x:c r="E466" s="10" t="str">
        <x:v>CAT005</x:v>
      </x:c>
      <x:c r="F466" s="10" t="str">
        <x:v>CTA002</x:v>
      </x:c>
      <x:c r="G466" s="10" t="str">
        <x:v>NF-100465</x:v>
      </x:c>
      <x:c r="H466" s="10" t="str">
        <x:v>Tributos e taxas</x:v>
      </x:c>
      <x:c r="I466" s="16" t="n">
        <x:v>45961.474928703705</x:v>
      </x:c>
      <x:c r="J466" s="16" t="n">
        <x:v>46006.474928703705</x:v>
      </x:c>
      <x:c r="K466" s="16"/>
      <x:c r="L466" s="20" t="n">
        <x:v>76674.6</x:v>
      </x:c>
      <x:c r="M466" s="20" t="n">
        <x:v>0</x:v>
      </x:c>
      <x:c r="N466" s="20" t="n">
        <x:v>0</x:v>
      </x:c>
      <x:c r="O466" s="20" t="n">
        <x:v>0</x:v>
      </x:c>
      <x:c r="P466" s="20" t="n">
        <x:v>76674.6</x:v>
      </x:c>
      <x:c r="Q466" s="10" t="str">
        <x:v>Vencido</x:v>
      </x:c>
      <x:c r="R466" s="10" t="str">
        <x:v>Cartão Corporativo</x:v>
      </x:c>
      <x:c r="S466" s="10" t="str">
        <x:v>2025-10</x:v>
      </x:c>
      <x:c r="T466" s="10" t="n">
        <x:v>15</x:v>
      </x:c>
      <x:c r="U466" s="10" t="str">
        <x:v>1 a 30 dias</x:v>
      </x:c>
      <x:c r="V466" s="10" t="str">
        <x:v>UND001</x:v>
      </x:c>
    </x:row>
    <x:row r="467" ht="18" customHeight="1">
      <x:c r="A467" s="10" t="str">
        <x:v>PAG00466</x:v>
      </x:c>
      <x:c r="B467" s="10" t="str">
        <x:v>EMP001</x:v>
      </x:c>
      <x:c r="C467" s="10" t="str">
        <x:v>FOR024</x:v>
      </x:c>
      <x:c r="D467" s="10" t="str">
        <x:v>CC001</x:v>
      </x:c>
      <x:c r="E467" s="10" t="str">
        <x:v>CAT008</x:v>
      </x:c>
      <x:c r="F467" s="10" t="str">
        <x:v>CTA002</x:v>
      </x:c>
      <x:c r="G467" s="10" t="str">
        <x:v>NF-100466</x:v>
      </x:c>
      <x:c r="H467" s="10" t="str">
        <x:v>Compra de materiais</x:v>
      </x:c>
      <x:c r="I467" s="16" t="n">
        <x:v>45513.85958435185</x:v>
      </x:c>
      <x:c r="J467" s="16" t="n">
        <x:v>45528.85958435185</x:v>
      </x:c>
      <x:c r="K467" s="16" t="n">
        <x:v>45529.85958435185</x:v>
      </x:c>
      <x:c r="L467" s="20" t="n">
        <x:v>57883.16</x:v>
      </x:c>
      <x:c r="M467" s="20" t="n">
        <x:v>40.52</x:v>
      </x:c>
      <x:c r="N467" s="20" t="n">
        <x:v>0</x:v>
      </x:c>
      <x:c r="O467" s="20" t="n">
        <x:v>57923.68</x:v>
      </x:c>
      <x:c r="P467" s="20" t="n">
        <x:v>0</x:v>
      </x:c>
      <x:c r="Q467" s="10" t="str">
        <x:v>Pago</x:v>
      </x:c>
      <x:c r="R467" s="10" t="str">
        <x:v>Boleto</x:v>
      </x:c>
      <x:c r="S467" s="10" t="str">
        <x:v>2024-08</x:v>
      </x:c>
      <x:c r="T467" s="10" t="n">
        <x:v>0</x:v>
      </x:c>
      <x:c r="U467" s="10" t="str">
        <x:v>Liquidado</x:v>
      </x:c>
      <x:c r="V467" s="10" t="str">
        <x:v>UND002</x:v>
      </x:c>
    </x:row>
    <x:row r="468" ht="18" customHeight="1">
      <x:c r="A468" s="10" t="str">
        <x:v>PAG00467</x:v>
      </x:c>
      <x:c r="B468" s="10" t="str">
        <x:v>EMP003</x:v>
      </x:c>
      <x:c r="C468" s="10" t="str">
        <x:v>FOR018</x:v>
      </x:c>
      <x:c r="D468" s="10" t="str">
        <x:v>CC003</x:v>
      </x:c>
      <x:c r="E468" s="10" t="str">
        <x:v>CAT017</x:v>
      </x:c>
      <x:c r="F468" s="10" t="str">
        <x:v>CTA006</x:v>
      </x:c>
      <x:c r="G468" s="10" t="str">
        <x:v>NF-100467</x:v>
      </x:c>
      <x:c r="H468" s="10" t="str">
        <x:v>Compra de materiais</x:v>
      </x:c>
      <x:c r="I468" s="16" t="n">
        <x:v>45443.799685578706</x:v>
      </x:c>
      <x:c r="J468" s="16" t="n">
        <x:v>45478.799685578706</x:v>
      </x:c>
      <x:c r="K468" s="16" t="n">
        <x:v>45485.799685578706</x:v>
      </x:c>
      <x:c r="L468" s="20" t="n">
        <x:v>71006.41</x:v>
      </x:c>
      <x:c r="M468" s="20" t="n">
        <x:v>347.93</x:v>
      </x:c>
      <x:c r="N468" s="20" t="n">
        <x:v>0</x:v>
      </x:c>
      <x:c r="O468" s="20" t="n">
        <x:v>71354.34</x:v>
      </x:c>
      <x:c r="P468" s="20" t="n">
        <x:v>0</x:v>
      </x:c>
      <x:c r="Q468" s="10" t="str">
        <x:v>Pago</x:v>
      </x:c>
      <x:c r="R468" s="10" t="str">
        <x:v>Débito Automático</x:v>
      </x:c>
      <x:c r="S468" s="10" t="str">
        <x:v>2024-05</x:v>
      </x:c>
      <x:c r="T468" s="10" t="n">
        <x:v>0</x:v>
      </x:c>
      <x:c r="U468" s="10" t="str">
        <x:v>Liquidado</x:v>
      </x:c>
      <x:c r="V468" s="10" t="str">
        <x:v>UND004</x:v>
      </x:c>
    </x:row>
    <x:row r="469" ht="18" customHeight="1">
      <x:c r="A469" s="10" t="str">
        <x:v>PAG00468</x:v>
      </x:c>
      <x:c r="B469" s="10" t="str">
        <x:v>EMP002</x:v>
      </x:c>
      <x:c r="C469" s="10" t="str">
        <x:v>FOR041</x:v>
      </x:c>
      <x:c r="D469" s="10" t="str">
        <x:v>CC002</x:v>
      </x:c>
      <x:c r="E469" s="10" t="str">
        <x:v>CAT011</x:v>
      </x:c>
      <x:c r="F469" s="10" t="str">
        <x:v>CTA004</x:v>
      </x:c>
      <x:c r="G469" s="10" t="str">
        <x:v>NF-100468</x:v>
      </x:c>
      <x:c r="H469" s="10" t="str">
        <x:v>Prestação de serviços</x:v>
      </x:c>
      <x:c r="I469" s="16" t="n">
        <x:v>45585.38245798611</x:v>
      </x:c>
      <x:c r="J469" s="16" t="n">
        <x:v>45605.38245798611</x:v>
      </x:c>
      <x:c r="K469" s="16" t="n">
        <x:v>45637.38245798611</x:v>
      </x:c>
      <x:c r="L469" s="20" t="n">
        <x:v>8793.75</x:v>
      </x:c>
      <x:c r="M469" s="20" t="n">
        <x:v>196.98</x:v>
      </x:c>
      <x:c r="N469" s="20" t="n">
        <x:v>0</x:v>
      </x:c>
      <x:c r="O469" s="20" t="n">
        <x:v>8990.73</x:v>
      </x:c>
      <x:c r="P469" s="20" t="n">
        <x:v>0</x:v>
      </x:c>
      <x:c r="Q469" s="10" t="str">
        <x:v>Pago</x:v>
      </x:c>
      <x:c r="R469" s="10" t="str">
        <x:v>TED</x:v>
      </x:c>
      <x:c r="S469" s="10" t="str">
        <x:v>2024-10</x:v>
      </x:c>
      <x:c r="T469" s="10" t="n">
        <x:v>0</x:v>
      </x:c>
      <x:c r="U469" s="10" t="str">
        <x:v>Liquidado</x:v>
      </x:c>
      <x:c r="V469" s="10" t="str">
        <x:v>UND003</x:v>
      </x:c>
    </x:row>
    <x:row r="470" ht="18" customHeight="1">
      <x:c r="A470" s="10" t="str">
        <x:v>PAG00469</x:v>
      </x:c>
      <x:c r="B470" s="10" t="str">
        <x:v>EMP001</x:v>
      </x:c>
      <x:c r="C470" s="10" t="str">
        <x:v>FOR049</x:v>
      </x:c>
      <x:c r="D470" s="10" t="str">
        <x:v>CC001</x:v>
      </x:c>
      <x:c r="E470" s="10" t="str">
        <x:v>CAT008</x:v>
      </x:c>
      <x:c r="F470" s="10" t="str">
        <x:v>CTA002</x:v>
      </x:c>
      <x:c r="G470" s="10" t="str">
        <x:v>NF-100469</x:v>
      </x:c>
      <x:c r="H470" s="10" t="str">
        <x:v>Contrato recorrente</x:v>
      </x:c>
      <x:c r="I470" s="16" t="n">
        <x:v>45603.53674880787</x:v>
      </x:c>
      <x:c r="J470" s="16" t="n">
        <x:v>45633.53674880787</x:v>
      </x:c>
      <x:c r="K470" s="16"/>
      <x:c r="L470" s="20" t="n">
        <x:v>6625.04</x:v>
      </x:c>
      <x:c r="M470" s="20" t="n">
        <x:v>0</x:v>
      </x:c>
      <x:c r="N470" s="20" t="n">
        <x:v>0</x:v>
      </x:c>
      <x:c r="O470" s="20" t="n">
        <x:v>0</x:v>
      </x:c>
      <x:c r="P470" s="20" t="n">
        <x:v>0</x:v>
      </x:c>
      <x:c r="Q470" s="10" t="str">
        <x:v>Cancelado</x:v>
      </x:c>
      <x:c r="R470" s="10" t="str">
        <x:v>TED</x:v>
      </x:c>
      <x:c r="S470" s="10" t="str">
        <x:v>2024-11</x:v>
      </x:c>
      <x:c r="T470" s="10" t="n">
        <x:v>0</x:v>
      </x:c>
      <x:c r="U470" s="10" t="str">
        <x:v>Cancelado</x:v>
      </x:c>
      <x:c r="V470" s="10" t="str">
        <x:v>UND002</x:v>
      </x:c>
    </x:row>
    <x:row r="471" ht="18" customHeight="1">
      <x:c r="A471" s="10" t="str">
        <x:v>PAG00470</x:v>
      </x:c>
      <x:c r="B471" s="10" t="str">
        <x:v>EMP001</x:v>
      </x:c>
      <x:c r="C471" s="10" t="str">
        <x:v>FOR036</x:v>
      </x:c>
      <x:c r="D471" s="10" t="str">
        <x:v>CC004</x:v>
      </x:c>
      <x:c r="E471" s="10" t="str">
        <x:v>CAT009</x:v>
      </x:c>
      <x:c r="F471" s="10" t="str">
        <x:v>CTA001</x:v>
      </x:c>
      <x:c r="G471" s="10" t="str">
        <x:v>NF-100470</x:v>
      </x:c>
      <x:c r="H471" s="10" t="str">
        <x:v>Despesa operacional</x:v>
      </x:c>
      <x:c r="I471" s="16" t="n">
        <x:v>45793.783155219906</x:v>
      </x:c>
      <x:c r="J471" s="16" t="n">
        <x:v>45808.783155219906</x:v>
      </x:c>
      <x:c r="K471" s="16" t="n">
        <x:v>45816.783155219906</x:v>
      </x:c>
      <x:c r="L471" s="20" t="n">
        <x:v>85178.81</x:v>
      </x:c>
      <x:c r="M471" s="20" t="n">
        <x:v>477</x:v>
      </x:c>
      <x:c r="N471" s="20" t="n">
        <x:v>0</x:v>
      </x:c>
      <x:c r="O471" s="20" t="n">
        <x:v>85655.81</x:v>
      </x:c>
      <x:c r="P471" s="20" t="n">
        <x:v>0</x:v>
      </x:c>
      <x:c r="Q471" s="10" t="str">
        <x:v>Pago</x:v>
      </x:c>
      <x:c r="R471" s="10" t="str">
        <x:v>TED</x:v>
      </x:c>
      <x:c r="S471" s="10" t="str">
        <x:v>2025-05</x:v>
      </x:c>
      <x:c r="T471" s="10" t="n">
        <x:v>0</x:v>
      </x:c>
      <x:c r="U471" s="10" t="str">
        <x:v>Liquidado</x:v>
      </x:c>
      <x:c r="V471" s="10" t="str">
        <x:v>UND002</x:v>
      </x:c>
    </x:row>
    <x:row r="472" ht="18" customHeight="1">
      <x:c r="A472" s="10" t="str">
        <x:v>PAG00471</x:v>
      </x:c>
      <x:c r="B472" s="10" t="str">
        <x:v>EMP003</x:v>
      </x:c>
      <x:c r="C472" s="10" t="str">
        <x:v>FOR022</x:v>
      </x:c>
      <x:c r="D472" s="10" t="str">
        <x:v>CC003</x:v>
      </x:c>
      <x:c r="E472" s="10" t="str">
        <x:v>CAT006</x:v>
      </x:c>
      <x:c r="F472" s="10" t="str">
        <x:v>CTA005</x:v>
      </x:c>
      <x:c r="G472" s="10" t="str">
        <x:v>NF-100471</x:v>
      </x:c>
      <x:c r="H472" s="10" t="str">
        <x:v>Contrato recorrente</x:v>
      </x:c>
      <x:c r="I472" s="16" t="n">
        <x:v>45706.06620475694</x:v>
      </x:c>
      <x:c r="J472" s="16" t="n">
        <x:v>45736.06620475694</x:v>
      </x:c>
      <x:c r="K472" s="16" t="n">
        <x:v>45744.06620475694</x:v>
      </x:c>
      <x:c r="L472" s="20" t="n">
        <x:v>72873.84</x:v>
      </x:c>
      <x:c r="M472" s="20" t="n">
        <x:v>408.09</x:v>
      </x:c>
      <x:c r="N472" s="20" t="n">
        <x:v>0</x:v>
      </x:c>
      <x:c r="O472" s="20" t="n">
        <x:v>73281.93</x:v>
      </x:c>
      <x:c r="P472" s="20" t="n">
        <x:v>0</x:v>
      </x:c>
      <x:c r="Q472" s="10" t="str">
        <x:v>Pago</x:v>
      </x:c>
      <x:c r="R472" s="10" t="str">
        <x:v>TED</x:v>
      </x:c>
      <x:c r="S472" s="10" t="str">
        <x:v>2025-02</x:v>
      </x:c>
      <x:c r="T472" s="10" t="n">
        <x:v>0</x:v>
      </x:c>
      <x:c r="U472" s="10" t="str">
        <x:v>Liquidado</x:v>
      </x:c>
      <x:c r="V472" s="10" t="str">
        <x:v>UND004</x:v>
      </x:c>
    </x:row>
    <x:row r="473" ht="18" customHeight="1">
      <x:c r="A473" s="10" t="str">
        <x:v>PAG00472</x:v>
      </x:c>
      <x:c r="B473" s="10" t="str">
        <x:v>EMP003</x:v>
      </x:c>
      <x:c r="C473" s="10" t="str">
        <x:v>FOR046</x:v>
      </x:c>
      <x:c r="D473" s="10" t="str">
        <x:v>CC005</x:v>
      </x:c>
      <x:c r="E473" s="10" t="str">
        <x:v>CAT016</x:v>
      </x:c>
      <x:c r="F473" s="10" t="str">
        <x:v>CTA005</x:v>
      </x:c>
      <x:c r="G473" s="10" t="str">
        <x:v>NF-100472</x:v>
      </x:c>
      <x:c r="H473" s="10" t="str">
        <x:v>Compra de materiais</x:v>
      </x:c>
      <x:c r="I473" s="16" t="n">
        <x:v>45324.58278729166</x:v>
      </x:c>
      <x:c r="J473" s="16" t="n">
        <x:v>45359.58278729166</x:v>
      </x:c>
      <x:c r="K473" s="16" t="n">
        <x:v>45367.58278729166</x:v>
      </x:c>
      <x:c r="L473" s="20" t="n">
        <x:v>86377.17</x:v>
      </x:c>
      <x:c r="M473" s="20" t="n">
        <x:v>483.71</x:v>
      </x:c>
      <x:c r="N473" s="20" t="n">
        <x:v>0</x:v>
      </x:c>
      <x:c r="O473" s="20" t="n">
        <x:v>86860.88</x:v>
      </x:c>
      <x:c r="P473" s="20" t="n">
        <x:v>0</x:v>
      </x:c>
      <x:c r="Q473" s="10" t="str">
        <x:v>Pago</x:v>
      </x:c>
      <x:c r="R473" s="10" t="str">
        <x:v>Cartão Corporativo</x:v>
      </x:c>
      <x:c r="S473" s="10" t="str">
        <x:v>2024-02</x:v>
      </x:c>
      <x:c r="T473" s="10" t="n">
        <x:v>0</x:v>
      </x:c>
      <x:c r="U473" s="10" t="str">
        <x:v>Liquidado</x:v>
      </x:c>
      <x:c r="V473" s="10" t="str">
        <x:v>UND004</x:v>
      </x:c>
    </x:row>
    <x:row r="474" ht="18" customHeight="1">
      <x:c r="A474" s="10" t="str">
        <x:v>PAG00473</x:v>
      </x:c>
      <x:c r="B474" s="10" t="str">
        <x:v>EMP002</x:v>
      </x:c>
      <x:c r="C474" s="10" t="str">
        <x:v>FOR039</x:v>
      </x:c>
      <x:c r="D474" s="10" t="str">
        <x:v>CC006</x:v>
      </x:c>
      <x:c r="E474" s="10" t="str">
        <x:v>CAT015</x:v>
      </x:c>
      <x:c r="F474" s="10" t="str">
        <x:v>CTA003</x:v>
      </x:c>
      <x:c r="G474" s="10" t="str">
        <x:v>NF-100473</x:v>
      </x:c>
      <x:c r="H474" s="10" t="str">
        <x:v>Compra de materiais</x:v>
      </x:c>
      <x:c r="I474" s="16" t="n">
        <x:v>45914.64871971065</x:v>
      </x:c>
      <x:c r="J474" s="16" t="n">
        <x:v>45929.64871971065</x:v>
      </x:c>
      <x:c r="K474" s="16" t="n">
        <x:v>45926.64871971065</x:v>
      </x:c>
      <x:c r="L474" s="20" t="n">
        <x:v>20672.75</x:v>
      </x:c>
      <x:c r="M474" s="20" t="n">
        <x:v>0</x:v>
      </x:c>
      <x:c r="N474" s="20" t="n">
        <x:v>0</x:v>
      </x:c>
      <x:c r="O474" s="20" t="n">
        <x:v>20672.75</x:v>
      </x:c>
      <x:c r="P474" s="20" t="n">
        <x:v>0</x:v>
      </x:c>
      <x:c r="Q474" s="10" t="str">
        <x:v>Pago</x:v>
      </x:c>
      <x:c r="R474" s="10" t="str">
        <x:v>PIX</x:v>
      </x:c>
      <x:c r="S474" s="10" t="str">
        <x:v>2025-09</x:v>
      </x:c>
      <x:c r="T474" s="10" t="n">
        <x:v>0</x:v>
      </x:c>
      <x:c r="U474" s="10" t="str">
        <x:v>Liquidado</x:v>
      </x:c>
      <x:c r="V474" s="10" t="str">
        <x:v>UND003</x:v>
      </x:c>
    </x:row>
    <x:row r="475" ht="18" customHeight="1">
      <x:c r="A475" s="10" t="str">
        <x:v>PAG00474</x:v>
      </x:c>
      <x:c r="B475" s="10" t="str">
        <x:v>EMP001</x:v>
      </x:c>
      <x:c r="C475" s="10" t="str">
        <x:v>FOR032</x:v>
      </x:c>
      <x:c r="D475" s="10" t="str">
        <x:v>CC006</x:v>
      </x:c>
      <x:c r="E475" s="10" t="str">
        <x:v>CAT017</x:v>
      </x:c>
      <x:c r="F475" s="10" t="str">
        <x:v>CTA001</x:v>
      </x:c>
      <x:c r="G475" s="10" t="str">
        <x:v>NF-100474</x:v>
      </x:c>
      <x:c r="H475" s="10" t="str">
        <x:v>Tributos e taxas</x:v>
      </x:c>
      <x:c r="I475" s="16" t="n">
        <x:v>45864.29057653935</x:v>
      </x:c>
      <x:c r="J475" s="16" t="n">
        <x:v>45892.29057653935</x:v>
      </x:c>
      <x:c r="K475" s="16" t="n">
        <x:v>45885.29057653935</x:v>
      </x:c>
      <x:c r="L475" s="20" t="n">
        <x:v>63998.5</x:v>
      </x:c>
      <x:c r="M475" s="20" t="n">
        <x:v>0</x:v>
      </x:c>
      <x:c r="N475" s="20" t="n">
        <x:v>959.98</x:v>
      </x:c>
      <x:c r="O475" s="20" t="n">
        <x:v>63038.52</x:v>
      </x:c>
      <x:c r="P475" s="20" t="n">
        <x:v>0</x:v>
      </x:c>
      <x:c r="Q475" s="10" t="str">
        <x:v>Pago</x:v>
      </x:c>
      <x:c r="R475" s="10" t="str">
        <x:v>Cartão Corporativo</x:v>
      </x:c>
      <x:c r="S475" s="10" t="str">
        <x:v>2025-07</x:v>
      </x:c>
      <x:c r="T475" s="10" t="n">
        <x:v>0</x:v>
      </x:c>
      <x:c r="U475" s="10" t="str">
        <x:v>Liquidado</x:v>
      </x:c>
      <x:c r="V475" s="10" t="str">
        <x:v>UND002</x:v>
      </x:c>
    </x:row>
    <x:row r="476" ht="18" customHeight="1">
      <x:c r="A476" s="10" t="str">
        <x:v>PAG00475</x:v>
      </x:c>
      <x:c r="B476" s="10" t="str">
        <x:v>EMP001</x:v>
      </x:c>
      <x:c r="C476" s="10" t="str">
        <x:v>FOR003</x:v>
      </x:c>
      <x:c r="D476" s="10" t="str">
        <x:v>CC007</x:v>
      </x:c>
      <x:c r="E476" s="10" t="str">
        <x:v>CAT013</x:v>
      </x:c>
      <x:c r="F476" s="10" t="str">
        <x:v>CTA002</x:v>
      </x:c>
      <x:c r="G476" s="10" t="str">
        <x:v>NF-100475</x:v>
      </x:c>
      <x:c r="H476" s="10" t="str">
        <x:v>Tributos e taxas</x:v>
      </x:c>
      <x:c r="I476" s="16" t="n">
        <x:v>45435.30368290509</x:v>
      </x:c>
      <x:c r="J476" s="16" t="n">
        <x:v>45465.30368290509</x:v>
      </x:c>
      <x:c r="K476" s="16" t="n">
        <x:v>45470.30368290509</x:v>
      </x:c>
      <x:c r="L476" s="20" t="n">
        <x:v>67222.74</x:v>
      </x:c>
      <x:c r="M476" s="20" t="n">
        <x:v>235.28</x:v>
      </x:c>
      <x:c r="N476" s="20" t="n">
        <x:v>0</x:v>
      </x:c>
      <x:c r="O476" s="20" t="n">
        <x:v>67458.02</x:v>
      </x:c>
      <x:c r="P476" s="20" t="n">
        <x:v>0</x:v>
      </x:c>
      <x:c r="Q476" s="10" t="str">
        <x:v>Pago</x:v>
      </x:c>
      <x:c r="R476" s="10" t="str">
        <x:v>TED</x:v>
      </x:c>
      <x:c r="S476" s="10" t="str">
        <x:v>2024-05</x:v>
      </x:c>
      <x:c r="T476" s="10" t="n">
        <x:v>0</x:v>
      </x:c>
      <x:c r="U476" s="10" t="str">
        <x:v>Liquidado</x:v>
      </x:c>
      <x:c r="V476" s="10" t="str">
        <x:v>UND002</x:v>
      </x:c>
    </x:row>
    <x:row r="477" ht="18" customHeight="1">
      <x:c r="A477" s="10" t="str">
        <x:v>PAG00476</x:v>
      </x:c>
      <x:c r="B477" s="10" t="str">
        <x:v>EMP003</x:v>
      </x:c>
      <x:c r="C477" s="10" t="str">
        <x:v>FOR042</x:v>
      </x:c>
      <x:c r="D477" s="10" t="str">
        <x:v>CC001</x:v>
      </x:c>
      <x:c r="E477" s="10" t="str">
        <x:v>CAT008</x:v>
      </x:c>
      <x:c r="F477" s="10" t="str">
        <x:v>CTA006</x:v>
      </x:c>
      <x:c r="G477" s="10" t="str">
        <x:v>NF-100476</x:v>
      </x:c>
      <x:c r="H477" s="10" t="str">
        <x:v>Despesa operacional</x:v>
      </x:c>
      <x:c r="I477" s="16" t="n">
        <x:v>45812.34462582176</x:v>
      </x:c>
      <x:c r="J477" s="16" t="n">
        <x:v>45872.34462582176</x:v>
      </x:c>
      <x:c r="K477" s="16"/>
      <x:c r="L477" s="20" t="n">
        <x:v>23238.85</x:v>
      </x:c>
      <x:c r="M477" s="20" t="n">
        <x:v>0</x:v>
      </x:c>
      <x:c r="N477" s="20" t="n">
        <x:v>0</x:v>
      </x:c>
      <x:c r="O477" s="20" t="n">
        <x:v>0</x:v>
      </x:c>
      <x:c r="P477" s="20" t="n">
        <x:v>0</x:v>
      </x:c>
      <x:c r="Q477" s="10" t="str">
        <x:v>Cancelado</x:v>
      </x:c>
      <x:c r="R477" s="10" t="str">
        <x:v>PIX</x:v>
      </x:c>
      <x:c r="S477" s="10" t="str">
        <x:v>2025-06</x:v>
      </x:c>
      <x:c r="T477" s="10" t="n">
        <x:v>0</x:v>
      </x:c>
      <x:c r="U477" s="10" t="str">
        <x:v>Cancelado</x:v>
      </x:c>
      <x:c r="V477" s="10" t="str">
        <x:v>UND004</x:v>
      </x:c>
    </x:row>
    <x:row r="478" ht="18" customHeight="1">
      <x:c r="A478" s="10" t="str">
        <x:v>PAG00477</x:v>
      </x:c>
      <x:c r="B478" s="10" t="str">
        <x:v>EMP001</x:v>
      </x:c>
      <x:c r="C478" s="10" t="str">
        <x:v>FOR045</x:v>
      </x:c>
      <x:c r="D478" s="10" t="str">
        <x:v>CC005</x:v>
      </x:c>
      <x:c r="E478" s="10" t="str">
        <x:v>CAT016</x:v>
      </x:c>
      <x:c r="F478" s="10" t="str">
        <x:v>CTA001</x:v>
      </x:c>
      <x:c r="G478" s="10" t="str">
        <x:v>NF-100477</x:v>
      </x:c>
      <x:c r="H478" s="10" t="str">
        <x:v>Tributos e taxas</x:v>
      </x:c>
      <x:c r="I478" s="16" t="n">
        <x:v>45958.10744998843</x:v>
      </x:c>
      <x:c r="J478" s="16" t="n">
        <x:v>46003.10744998843</x:v>
      </x:c>
      <x:c r="K478" s="16" t="n">
        <x:v>46011.10744998843</x:v>
      </x:c>
      <x:c r="L478" s="20" t="n">
        <x:v>1046.47</x:v>
      </x:c>
      <x:c r="M478" s="20" t="n">
        <x:v>5.86</x:v>
      </x:c>
      <x:c r="N478" s="20" t="n">
        <x:v>0</x:v>
      </x:c>
      <x:c r="O478" s="20" t="n">
        <x:v>1052.33</x:v>
      </x:c>
      <x:c r="P478" s="20" t="n">
        <x:v>0</x:v>
      </x:c>
      <x:c r="Q478" s="10" t="str">
        <x:v>Pago</x:v>
      </x:c>
      <x:c r="R478" s="10" t="str">
        <x:v>TED</x:v>
      </x:c>
      <x:c r="S478" s="10" t="str">
        <x:v>2025-10</x:v>
      </x:c>
      <x:c r="T478" s="10" t="n">
        <x:v>0</x:v>
      </x:c>
      <x:c r="U478" s="10" t="str">
        <x:v>Liquidado</x:v>
      </x:c>
      <x:c r="V478" s="10" t="str">
        <x:v>UND002</x:v>
      </x:c>
    </x:row>
    <x:row r="479" ht="18" customHeight="1">
      <x:c r="A479" s="10" t="str">
        <x:v>PAG00478</x:v>
      </x:c>
      <x:c r="B479" s="10" t="str">
        <x:v>EMP003</x:v>
      </x:c>
      <x:c r="C479" s="10" t="str">
        <x:v>FOR019</x:v>
      </x:c>
      <x:c r="D479" s="10" t="str">
        <x:v>CC002</x:v>
      </x:c>
      <x:c r="E479" s="10" t="str">
        <x:v>CAT015</x:v>
      </x:c>
      <x:c r="F479" s="10" t="str">
        <x:v>CTA005</x:v>
      </x:c>
      <x:c r="G479" s="10" t="str">
        <x:v>NF-100478</x:v>
      </x:c>
      <x:c r="H479" s="10" t="str">
        <x:v>Prestação de serviços</x:v>
      </x:c>
      <x:c r="I479" s="16" t="n">
        <x:v>45936.9017812963</x:v>
      </x:c>
      <x:c r="J479" s="16" t="n">
        <x:v>45981.9017812963</x:v>
      </x:c>
      <x:c r="K479" s="16" t="n">
        <x:v>45986.9017812963</x:v>
      </x:c>
      <x:c r="L479" s="20" t="n">
        <x:v>43413.93</x:v>
      </x:c>
      <x:c r="M479" s="20" t="n">
        <x:v>151.95</x:v>
      </x:c>
      <x:c r="N479" s="20" t="n">
        <x:v>0</x:v>
      </x:c>
      <x:c r="O479" s="20" t="n">
        <x:v>43565.88</x:v>
      </x:c>
      <x:c r="P479" s="20" t="n">
        <x:v>0</x:v>
      </x:c>
      <x:c r="Q479" s="10" t="str">
        <x:v>Pago</x:v>
      </x:c>
      <x:c r="R479" s="10" t="str">
        <x:v>PIX</x:v>
      </x:c>
      <x:c r="S479" s="10" t="str">
        <x:v>2025-10</x:v>
      </x:c>
      <x:c r="T479" s="10" t="n">
        <x:v>0</x:v>
      </x:c>
      <x:c r="U479" s="10" t="str">
        <x:v>Liquidado</x:v>
      </x:c>
      <x:c r="V479" s="10" t="str">
        <x:v>UND004</x:v>
      </x:c>
    </x:row>
    <x:row r="480" ht="18" customHeight="1">
      <x:c r="A480" s="10" t="str">
        <x:v>PAG00479</x:v>
      </x:c>
      <x:c r="B480" s="10" t="str">
        <x:v>EMP002</x:v>
      </x:c>
      <x:c r="C480" s="10" t="str">
        <x:v>FOR010</x:v>
      </x:c>
      <x:c r="D480" s="10" t="str">
        <x:v>CC007</x:v>
      </x:c>
      <x:c r="E480" s="10" t="str">
        <x:v>CAT016</x:v>
      </x:c>
      <x:c r="F480" s="10" t="str">
        <x:v>CTA003</x:v>
      </x:c>
      <x:c r="G480" s="10" t="str">
        <x:v>NF-100479</x:v>
      </x:c>
      <x:c r="H480" s="10" t="str">
        <x:v>Tributos e taxas</x:v>
      </x:c>
      <x:c r="I480" s="16" t="n">
        <x:v>45881.535003391204</x:v>
      </x:c>
      <x:c r="J480" s="16" t="n">
        <x:v>45941.535003391204</x:v>
      </x:c>
      <x:c r="K480" s="16" t="n">
        <x:v>45936.535003391204</x:v>
      </x:c>
      <x:c r="L480" s="20" t="n">
        <x:v>30372.96</x:v>
      </x:c>
      <x:c r="M480" s="20" t="n">
        <x:v>0</x:v>
      </x:c>
      <x:c r="N480" s="20" t="n">
        <x:v>455.59</x:v>
      </x:c>
      <x:c r="O480" s="20" t="n">
        <x:v>29917.37</x:v>
      </x:c>
      <x:c r="P480" s="20" t="n">
        <x:v>0</x:v>
      </x:c>
      <x:c r="Q480" s="10" t="str">
        <x:v>Pago</x:v>
      </x:c>
      <x:c r="R480" s="10" t="str">
        <x:v>Cartão Corporativo</x:v>
      </x:c>
      <x:c r="S480" s="10" t="str">
        <x:v>2025-08</x:v>
      </x:c>
      <x:c r="T480" s="10" t="n">
        <x:v>0</x:v>
      </x:c>
      <x:c r="U480" s="10" t="str">
        <x:v>Liquidado</x:v>
      </x:c>
      <x:c r="V480" s="10" t="str">
        <x:v>UND003</x:v>
      </x:c>
    </x:row>
    <x:row r="481" ht="18" customHeight="1">
      <x:c r="A481" s="10" t="str">
        <x:v>PAG00480</x:v>
      </x:c>
      <x:c r="B481" s="10" t="str">
        <x:v>EMP001</x:v>
      </x:c>
      <x:c r="C481" s="10" t="str">
        <x:v>FOR051</x:v>
      </x:c>
      <x:c r="D481" s="10" t="str">
        <x:v>CC003</x:v>
      </x:c>
      <x:c r="E481" s="10" t="str">
        <x:v>CAT016</x:v>
      </x:c>
      <x:c r="F481" s="10" t="str">
        <x:v>CTA001</x:v>
      </x:c>
      <x:c r="G481" s="10" t="str">
        <x:v>NF-100480</x:v>
      </x:c>
      <x:c r="H481" s="10" t="str">
        <x:v>Compra de materiais</x:v>
      </x:c>
      <x:c r="I481" s="16" t="n">
        <x:v>45968.40981900463</x:v>
      </x:c>
      <x:c r="J481" s="16" t="n">
        <x:v>45983.40981900463</x:v>
      </x:c>
      <x:c r="K481" s="16" t="n">
        <x:v>45976.40981900463</x:v>
      </x:c>
      <x:c r="L481" s="20" t="n">
        <x:v>3888.8</x:v>
      </x:c>
      <x:c r="M481" s="20" t="n">
        <x:v>0</x:v>
      </x:c>
      <x:c r="N481" s="20" t="n">
        <x:v>0</x:v>
      </x:c>
      <x:c r="O481" s="20" t="n">
        <x:v>3888.8</x:v>
      </x:c>
      <x:c r="P481" s="20" t="n">
        <x:v>0</x:v>
      </x:c>
      <x:c r="Q481" s="10" t="str">
        <x:v>Pago</x:v>
      </x:c>
      <x:c r="R481" s="10" t="str">
        <x:v>Débito Automático</x:v>
      </x:c>
      <x:c r="S481" s="10" t="str">
        <x:v>2025-11</x:v>
      </x:c>
      <x:c r="T481" s="10" t="n">
        <x:v>0</x:v>
      </x:c>
      <x:c r="U481" s="10" t="str">
        <x:v>Liquidado</x:v>
      </x:c>
      <x:c r="V481" s="10" t="str">
        <x:v>UND002</x:v>
      </x:c>
    </x:row>
    <x:row r="482" ht="18" customHeight="1">
      <x:c r="A482" s="10" t="str">
        <x:v>PAG00481</x:v>
      </x:c>
      <x:c r="B482" s="10" t="str">
        <x:v>EMP001</x:v>
      </x:c>
      <x:c r="C482" s="10" t="str">
        <x:v>FOR001</x:v>
      </x:c>
      <x:c r="D482" s="10" t="str">
        <x:v>CC008</x:v>
      </x:c>
      <x:c r="E482" s="10" t="str">
        <x:v>CAT005</x:v>
      </x:c>
      <x:c r="F482" s="10" t="str">
        <x:v>CTA001</x:v>
      </x:c>
      <x:c r="G482" s="10" t="str">
        <x:v>NF-100481</x:v>
      </x:c>
      <x:c r="H482" s="10" t="str">
        <x:v>Tributos e taxas</x:v>
      </x:c>
      <x:c r="I482" s="16" t="n">
        <x:v>45368.943198796296</x:v>
      </x:c>
      <x:c r="J482" s="16" t="n">
        <x:v>45443.943198796296</x:v>
      </x:c>
      <x:c r="K482" s="16" t="n">
        <x:v>45442.943198796296</x:v>
      </x:c>
      <x:c r="L482" s="20" t="n">
        <x:v>13644.1</x:v>
      </x:c>
      <x:c r="M482" s="20" t="n">
        <x:v>0</x:v>
      </x:c>
      <x:c r="N482" s="20" t="n">
        <x:v>0</x:v>
      </x:c>
      <x:c r="O482" s="20" t="n">
        <x:v>13644.1</x:v>
      </x:c>
      <x:c r="P482" s="20" t="n">
        <x:v>0</x:v>
      </x:c>
      <x:c r="Q482" s="10" t="str">
        <x:v>Pago</x:v>
      </x:c>
      <x:c r="R482" s="10" t="str">
        <x:v>Débito Automático</x:v>
      </x:c>
      <x:c r="S482" s="10" t="str">
        <x:v>2024-03</x:v>
      </x:c>
      <x:c r="T482" s="10" t="n">
        <x:v>0</x:v>
      </x:c>
      <x:c r="U482" s="10" t="str">
        <x:v>Liquidado</x:v>
      </x:c>
      <x:c r="V482" s="10" t="str">
        <x:v>UND001</x:v>
      </x:c>
    </x:row>
    <x:row r="483" ht="18" customHeight="1">
      <x:c r="A483" s="10" t="str">
        <x:v>PAG00482</x:v>
      </x:c>
      <x:c r="B483" s="10" t="str">
        <x:v>EMP003</x:v>
      </x:c>
      <x:c r="C483" s="10" t="str">
        <x:v>FOR060</x:v>
      </x:c>
      <x:c r="D483" s="10" t="str">
        <x:v>CC004</x:v>
      </x:c>
      <x:c r="E483" s="10" t="str">
        <x:v>CAT014</x:v>
      </x:c>
      <x:c r="F483" s="10" t="str">
        <x:v>CTA006</x:v>
      </x:c>
      <x:c r="G483" s="10" t="str">
        <x:v>NF-100482</x:v>
      </x:c>
      <x:c r="H483" s="10" t="str">
        <x:v>Prestação de serviços</x:v>
      </x:c>
      <x:c r="I483" s="16" t="n">
        <x:v>45989.29912969907</x:v>
      </x:c>
      <x:c r="J483" s="16" t="n">
        <x:v>46024.29912969907</x:v>
      </x:c>
      <x:c r="K483" s="16"/>
      <x:c r="L483" s="20" t="n">
        <x:v>2598.43</x:v>
      </x:c>
      <x:c r="M483" s="20" t="n">
        <x:v>0</x:v>
      </x:c>
      <x:c r="N483" s="20" t="n">
        <x:v>0</x:v>
      </x:c>
      <x:c r="O483" s="20" t="n">
        <x:v>0</x:v>
      </x:c>
      <x:c r="P483" s="20" t="n">
        <x:v>2598.43</x:v>
      </x:c>
      <x:c r="Q483" s="10" t="str">
        <x:v>A vencer</x:v>
      </x:c>
      <x:c r="R483" s="10" t="str">
        <x:v>PIX</x:v>
      </x:c>
      <x:c r="S483" s="10" t="str">
        <x:v>2025-11</x:v>
      </x:c>
      <x:c r="T483" s="10" t="n">
        <x:v>0</x:v>
      </x:c>
      <x:c r="U483" s="10" t="str">
        <x:v>A vencer</x:v>
      </x:c>
      <x:c r="V483" s="10" t="str">
        <x:v>UND004</x:v>
      </x:c>
    </x:row>
    <x:row r="484" ht="18" customHeight="1">
      <x:c r="A484" s="10" t="str">
        <x:v>PAG00483</x:v>
      </x:c>
      <x:c r="B484" s="10" t="str">
        <x:v>EMP002</x:v>
      </x:c>
      <x:c r="C484" s="10" t="str">
        <x:v>FOR002</x:v>
      </x:c>
      <x:c r="D484" s="10" t="str">
        <x:v>CC007</x:v>
      </x:c>
      <x:c r="E484" s="10" t="str">
        <x:v>CAT012</x:v>
      </x:c>
      <x:c r="F484" s="10" t="str">
        <x:v>CTA003</x:v>
      </x:c>
      <x:c r="G484" s="10" t="str">
        <x:v>NF-100483</x:v>
      </x:c>
      <x:c r="H484" s="10" t="str">
        <x:v>Compra de materiais</x:v>
      </x:c>
      <x:c r="I484" s="16" t="n">
        <x:v>45954.53942903935</x:v>
      </x:c>
      <x:c r="J484" s="16" t="n">
        <x:v>45982.53942903935</x:v>
      </x:c>
      <x:c r="K484" s="16" t="n">
        <x:v>45975.53942903935</x:v>
      </x:c>
      <x:c r="L484" s="20" t="n">
        <x:v>79740.32</x:v>
      </x:c>
      <x:c r="M484" s="20" t="n">
        <x:v>0</x:v>
      </x:c>
      <x:c r="N484" s="20" t="n">
        <x:v>0</x:v>
      </x:c>
      <x:c r="O484" s="20" t="n">
        <x:v>79740.32</x:v>
      </x:c>
      <x:c r="P484" s="20" t="n">
        <x:v>0</x:v>
      </x:c>
      <x:c r="Q484" s="10" t="str">
        <x:v>Pago</x:v>
      </x:c>
      <x:c r="R484" s="10" t="str">
        <x:v>Débito Automático</x:v>
      </x:c>
      <x:c r="S484" s="10" t="str">
        <x:v>2025-10</x:v>
      </x:c>
      <x:c r="T484" s="10" t="n">
        <x:v>0</x:v>
      </x:c>
      <x:c r="U484" s="10" t="str">
        <x:v>Liquidado</x:v>
      </x:c>
      <x:c r="V484" s="10" t="str">
        <x:v>UND003</x:v>
      </x:c>
    </x:row>
    <x:row r="485" ht="18" customHeight="1">
      <x:c r="A485" s="10" t="str">
        <x:v>PAG00484</x:v>
      </x:c>
      <x:c r="B485" s="10" t="str">
        <x:v>EMP003</x:v>
      </x:c>
      <x:c r="C485" s="10" t="str">
        <x:v>FOR023</x:v>
      </x:c>
      <x:c r="D485" s="10" t="str">
        <x:v>CC006</x:v>
      </x:c>
      <x:c r="E485" s="10" t="str">
        <x:v>CAT006</x:v>
      </x:c>
      <x:c r="F485" s="10" t="str">
        <x:v>CTA005</x:v>
      </x:c>
      <x:c r="G485" s="10" t="str">
        <x:v>NF-100484</x:v>
      </x:c>
      <x:c r="H485" s="10" t="str">
        <x:v>Contrato recorrente</x:v>
      </x:c>
      <x:c r="I485" s="16" t="n">
        <x:v>45620.29651893518</x:v>
      </x:c>
      <x:c r="J485" s="16" t="n">
        <x:v>45665.29651893518</x:v>
      </x:c>
      <x:c r="K485" s="16" t="n">
        <x:v>45669.29651893518</x:v>
      </x:c>
      <x:c r="L485" s="20" t="n">
        <x:v>47532.34</x:v>
      </x:c>
      <x:c r="M485" s="20" t="n">
        <x:v>133.09</x:v>
      </x:c>
      <x:c r="N485" s="20" t="n">
        <x:v>0</x:v>
      </x:c>
      <x:c r="O485" s="20" t="n">
        <x:v>47665.43</x:v>
      </x:c>
      <x:c r="P485" s="20" t="n">
        <x:v>0</x:v>
      </x:c>
      <x:c r="Q485" s="10" t="str">
        <x:v>Pago</x:v>
      </x:c>
      <x:c r="R485" s="10" t="str">
        <x:v>TED</x:v>
      </x:c>
      <x:c r="S485" s="10" t="str">
        <x:v>2024-11</x:v>
      </x:c>
      <x:c r="T485" s="10" t="n">
        <x:v>0</x:v>
      </x:c>
      <x:c r="U485" s="10" t="str">
        <x:v>Liquidado</x:v>
      </x:c>
      <x:c r="V485" s="10" t="str">
        <x:v>UND004</x:v>
      </x:c>
    </x:row>
    <x:row r="486" ht="18" customHeight="1">
      <x:c r="A486" s="10" t="str">
        <x:v>PAG00485</x:v>
      </x:c>
      <x:c r="B486" s="10" t="str">
        <x:v>EMP003</x:v>
      </x:c>
      <x:c r="C486" s="10" t="str">
        <x:v>FOR009</x:v>
      </x:c>
      <x:c r="D486" s="10" t="str">
        <x:v>CC007</x:v>
      </x:c>
      <x:c r="E486" s="10" t="str">
        <x:v>CAT011</x:v>
      </x:c>
      <x:c r="F486" s="10" t="str">
        <x:v>CTA005</x:v>
      </x:c>
      <x:c r="G486" s="10" t="str">
        <x:v>NF-100485</x:v>
      </x:c>
      <x:c r="H486" s="10" t="str">
        <x:v>Prestação de serviços</x:v>
      </x:c>
      <x:c r="I486" s="16" t="n">
        <x:v>45486.66176164352</x:v>
      </x:c>
      <x:c r="J486" s="16" t="n">
        <x:v>45506.66176164352</x:v>
      </x:c>
      <x:c r="K486" s="16" t="n">
        <x:v>45516.66176164352</x:v>
      </x:c>
      <x:c r="L486" s="20" t="n">
        <x:v>79943</x:v>
      </x:c>
      <x:c r="M486" s="20" t="n">
        <x:v>559.6</x:v>
      </x:c>
      <x:c r="N486" s="20" t="n">
        <x:v>0</x:v>
      </x:c>
      <x:c r="O486" s="20" t="n">
        <x:v>80502.6</x:v>
      </x:c>
      <x:c r="P486" s="20" t="n">
        <x:v>0</x:v>
      </x:c>
      <x:c r="Q486" s="10" t="str">
        <x:v>Pago</x:v>
      </x:c>
      <x:c r="R486" s="10" t="str">
        <x:v>Débito Automático</x:v>
      </x:c>
      <x:c r="S486" s="10" t="str">
        <x:v>2024-07</x:v>
      </x:c>
      <x:c r="T486" s="10" t="n">
        <x:v>0</x:v>
      </x:c>
      <x:c r="U486" s="10" t="str">
        <x:v>Liquidado</x:v>
      </x:c>
      <x:c r="V486" s="10" t="str">
        <x:v>UND004</x:v>
      </x:c>
    </x:row>
    <x:row r="487" ht="18" customHeight="1">
      <x:c r="A487" s="10" t="str">
        <x:v>PAG00486</x:v>
      </x:c>
      <x:c r="B487" s="10" t="str">
        <x:v>EMP002</x:v>
      </x:c>
      <x:c r="C487" s="10" t="str">
        <x:v>FOR048</x:v>
      </x:c>
      <x:c r="D487" s="10" t="str">
        <x:v>CC008</x:v>
      </x:c>
      <x:c r="E487" s="10" t="str">
        <x:v>CAT015</x:v>
      </x:c>
      <x:c r="F487" s="10" t="str">
        <x:v>CTA004</x:v>
      </x:c>
      <x:c r="G487" s="10" t="str">
        <x:v>NF-100486</x:v>
      </x:c>
      <x:c r="H487" s="10" t="str">
        <x:v>Tributos e taxas</x:v>
      </x:c>
      <x:c r="I487" s="16" t="n">
        <x:v>45655.92099831018</x:v>
      </x:c>
      <x:c r="J487" s="16" t="n">
        <x:v>45715.92099831018</x:v>
      </x:c>
      <x:c r="K487" s="16" t="n">
        <x:v>45707.92099831018</x:v>
      </x:c>
      <x:c r="L487" s="20" t="n">
        <x:v>110923.92</x:v>
      </x:c>
      <x:c r="M487" s="20" t="n">
        <x:v>0</x:v>
      </x:c>
      <x:c r="N487" s="20" t="n">
        <x:v>1663.86</x:v>
      </x:c>
      <x:c r="O487" s="20" t="n">
        <x:v>109260.06</x:v>
      </x:c>
      <x:c r="P487" s="20" t="n">
        <x:v>0</x:v>
      </x:c>
      <x:c r="Q487" s="10" t="str">
        <x:v>Pago</x:v>
      </x:c>
      <x:c r="R487" s="10" t="str">
        <x:v>Débito Automático</x:v>
      </x:c>
      <x:c r="S487" s="10" t="str">
        <x:v>2024-12</x:v>
      </x:c>
      <x:c r="T487" s="10" t="n">
        <x:v>0</x:v>
      </x:c>
      <x:c r="U487" s="10" t="str">
        <x:v>Liquidado</x:v>
      </x:c>
      <x:c r="V487" s="10" t="str">
        <x:v>UND003</x:v>
      </x:c>
    </x:row>
    <x:row r="488" ht="18" customHeight="1">
      <x:c r="A488" s="10" t="str">
        <x:v>PAG00487</x:v>
      </x:c>
      <x:c r="B488" s="10" t="str">
        <x:v>EMP002</x:v>
      </x:c>
      <x:c r="C488" s="10" t="str">
        <x:v>FOR044</x:v>
      </x:c>
      <x:c r="D488" s="10" t="str">
        <x:v>CC003</x:v>
      </x:c>
      <x:c r="E488" s="10" t="str">
        <x:v>CAT006</x:v>
      </x:c>
      <x:c r="F488" s="10" t="str">
        <x:v>CTA003</x:v>
      </x:c>
      <x:c r="G488" s="10" t="str">
        <x:v>NF-100487</x:v>
      </x:c>
      <x:c r="H488" s="10" t="str">
        <x:v>Compra de materiais</x:v>
      </x:c>
      <x:c r="I488" s="16" t="n">
        <x:v>45520.10715271991</x:v>
      </x:c>
      <x:c r="J488" s="16" t="n">
        <x:v>45548.10715271991</x:v>
      </x:c>
      <x:c r="K488" s="16" t="n">
        <x:v>45546.10715271991</x:v>
      </x:c>
      <x:c r="L488" s="20" t="n">
        <x:v>80169.84</x:v>
      </x:c>
      <x:c r="M488" s="20" t="n">
        <x:v>0</x:v>
      </x:c>
      <x:c r="N488" s="20" t="n">
        <x:v>1202.55</x:v>
      </x:c>
      <x:c r="O488" s="20" t="n">
        <x:v>78967.29</x:v>
      </x:c>
      <x:c r="P488" s="20" t="n">
        <x:v>0</x:v>
      </x:c>
      <x:c r="Q488" s="10" t="str">
        <x:v>Pago</x:v>
      </x:c>
      <x:c r="R488" s="10" t="str">
        <x:v>Cartão Corporativo</x:v>
      </x:c>
      <x:c r="S488" s="10" t="str">
        <x:v>2024-08</x:v>
      </x:c>
      <x:c r="T488" s="10" t="n">
        <x:v>0</x:v>
      </x:c>
      <x:c r="U488" s="10" t="str">
        <x:v>Liquidado</x:v>
      </x:c>
      <x:c r="V488" s="10" t="str">
        <x:v>UND003</x:v>
      </x:c>
    </x:row>
    <x:row r="489" ht="18" customHeight="1">
      <x:c r="A489" s="10" t="str">
        <x:v>PAG00488</x:v>
      </x:c>
      <x:c r="B489" s="10" t="str">
        <x:v>EMP003</x:v>
      </x:c>
      <x:c r="C489" s="10" t="str">
        <x:v>FOR052</x:v>
      </x:c>
      <x:c r="D489" s="10" t="str">
        <x:v>CC007</x:v>
      </x:c>
      <x:c r="E489" s="10" t="str">
        <x:v>CAT007</x:v>
      </x:c>
      <x:c r="F489" s="10" t="str">
        <x:v>CTA006</x:v>
      </x:c>
      <x:c r="G489" s="10" t="str">
        <x:v>NF-100488</x:v>
      </x:c>
      <x:c r="H489" s="10" t="str">
        <x:v>Tributos e taxas</x:v>
      </x:c>
      <x:c r="I489" s="16" t="n">
        <x:v>45980.81821579861</x:v>
      </x:c>
      <x:c r="J489" s="16" t="n">
        <x:v>46008.81821579861</x:v>
      </x:c>
      <x:c r="K489" s="16" t="n">
        <x:v>46013.81821579861</x:v>
      </x:c>
      <x:c r="L489" s="20" t="n">
        <x:v>737.11</x:v>
      </x:c>
      <x:c r="M489" s="20" t="n">
        <x:v>2.58</x:v>
      </x:c>
      <x:c r="N489" s="20" t="n">
        <x:v>0</x:v>
      </x:c>
      <x:c r="O489" s="20" t="n">
        <x:v>739.69</x:v>
      </x:c>
      <x:c r="P489" s="20" t="n">
        <x:v>0</x:v>
      </x:c>
      <x:c r="Q489" s="10" t="str">
        <x:v>Pago</x:v>
      </x:c>
      <x:c r="R489" s="10" t="str">
        <x:v>Cartão Corporativo</x:v>
      </x:c>
      <x:c r="S489" s="10" t="str">
        <x:v>2025-11</x:v>
      </x:c>
      <x:c r="T489" s="10" t="n">
        <x:v>0</x:v>
      </x:c>
      <x:c r="U489" s="10" t="str">
        <x:v>Liquidado</x:v>
      </x:c>
      <x:c r="V489" s="10" t="str">
        <x:v>UND004</x:v>
      </x:c>
    </x:row>
    <x:row r="490" ht="18" customHeight="1">
      <x:c r="A490" s="10" t="str">
        <x:v>PAG00489</x:v>
      </x:c>
      <x:c r="B490" s="10" t="str">
        <x:v>EMP001</x:v>
      </x:c>
      <x:c r="C490" s="10" t="str">
        <x:v>FOR038</x:v>
      </x:c>
      <x:c r="D490" s="10" t="str">
        <x:v>CC005</x:v>
      </x:c>
      <x:c r="E490" s="10" t="str">
        <x:v>CAT017</x:v>
      </x:c>
      <x:c r="F490" s="10" t="str">
        <x:v>CTA002</x:v>
      </x:c>
      <x:c r="G490" s="10" t="str">
        <x:v>NF-100489</x:v>
      </x:c>
      <x:c r="H490" s="10" t="str">
        <x:v>Contrato recorrente</x:v>
      </x:c>
      <x:c r="I490" s="16" t="n">
        <x:v>45371.86275832176</x:v>
      </x:c>
      <x:c r="J490" s="16" t="n">
        <x:v>45399.86275832176</x:v>
      </x:c>
      <x:c r="K490" s="16" t="n">
        <x:v>45392.86275832176</x:v>
      </x:c>
      <x:c r="L490" s="20" t="n">
        <x:v>75602.91</x:v>
      </x:c>
      <x:c r="M490" s="20" t="n">
        <x:v>0</x:v>
      </x:c>
      <x:c r="N490" s="20" t="n">
        <x:v>756.03</x:v>
      </x:c>
      <x:c r="O490" s="20" t="n">
        <x:v>74846.88</x:v>
      </x:c>
      <x:c r="P490" s="20" t="n">
        <x:v>0</x:v>
      </x:c>
      <x:c r="Q490" s="10" t="str">
        <x:v>Pago</x:v>
      </x:c>
      <x:c r="R490" s="10" t="str">
        <x:v>PIX</x:v>
      </x:c>
      <x:c r="S490" s="10" t="str">
        <x:v>2024-03</x:v>
      </x:c>
      <x:c r="T490" s="10" t="n">
        <x:v>0</x:v>
      </x:c>
      <x:c r="U490" s="10" t="str">
        <x:v>Liquidado</x:v>
      </x:c>
      <x:c r="V490" s="10" t="str">
        <x:v>UND001</x:v>
      </x:c>
    </x:row>
    <x:row r="491" ht="18" customHeight="1">
      <x:c r="A491" s="10" t="str">
        <x:v>PAG00490</x:v>
      </x:c>
      <x:c r="B491" s="10" t="str">
        <x:v>EMP003</x:v>
      </x:c>
      <x:c r="C491" s="10" t="str">
        <x:v>FOR020</x:v>
      </x:c>
      <x:c r="D491" s="10" t="str">
        <x:v>CC008</x:v>
      </x:c>
      <x:c r="E491" s="10" t="str">
        <x:v>CAT018</x:v>
      </x:c>
      <x:c r="F491" s="10" t="str">
        <x:v>CTA005</x:v>
      </x:c>
      <x:c r="G491" s="10" t="str">
        <x:v>NF-100490</x:v>
      </x:c>
      <x:c r="H491" s="10" t="str">
        <x:v>Prestação de serviços</x:v>
      </x:c>
      <x:c r="I491" s="16" t="n">
        <x:v>45511.65379667824</x:v>
      </x:c>
      <x:c r="J491" s="16" t="n">
        <x:v>45586.65379667824</x:v>
      </x:c>
      <x:c r="K491" s="16" t="n">
        <x:v>45591.65379667824</x:v>
      </x:c>
      <x:c r="L491" s="20" t="n">
        <x:v>16900.61</x:v>
      </x:c>
      <x:c r="M491" s="20" t="n">
        <x:v>59.15</x:v>
      </x:c>
      <x:c r="N491" s="20" t="n">
        <x:v>0</x:v>
      </x:c>
      <x:c r="O491" s="20" t="n">
        <x:v>16959.76</x:v>
      </x:c>
      <x:c r="P491" s="20" t="n">
        <x:v>0</x:v>
      </x:c>
      <x:c r="Q491" s="10" t="str">
        <x:v>Pago</x:v>
      </x:c>
      <x:c r="R491" s="10" t="str">
        <x:v>Cartão Corporativo</x:v>
      </x:c>
      <x:c r="S491" s="10" t="str">
        <x:v>2024-08</x:v>
      </x:c>
      <x:c r="T491" s="10" t="n">
        <x:v>0</x:v>
      </x:c>
      <x:c r="U491" s="10" t="str">
        <x:v>Liquidado</x:v>
      </x:c>
      <x:c r="V491" s="10" t="str">
        <x:v>UND004</x:v>
      </x:c>
    </x:row>
    <x:row r="492" ht="18" customHeight="1">
      <x:c r="A492" s="10" t="str">
        <x:v>PAG00491</x:v>
      </x:c>
      <x:c r="B492" s="10" t="str">
        <x:v>EMP003</x:v>
      </x:c>
      <x:c r="C492" s="10" t="str">
        <x:v>FOR002</x:v>
      </x:c>
      <x:c r="D492" s="10" t="str">
        <x:v>CC002</x:v>
      </x:c>
      <x:c r="E492" s="10" t="str">
        <x:v>CAT013</x:v>
      </x:c>
      <x:c r="F492" s="10" t="str">
        <x:v>CTA005</x:v>
      </x:c>
      <x:c r="G492" s="10" t="str">
        <x:v>NF-100491</x:v>
      </x:c>
      <x:c r="H492" s="10" t="str">
        <x:v>Prestação de serviços</x:v>
      </x:c>
      <x:c r="I492" s="16" t="n">
        <x:v>45678.75014458333</x:v>
      </x:c>
      <x:c r="J492" s="16" t="n">
        <x:v>45738.75014458333</x:v>
      </x:c>
      <x:c r="K492" s="16" t="n">
        <x:v>45737.75014458333</x:v>
      </x:c>
      <x:c r="L492" s="20" t="n">
        <x:v>13599.43</x:v>
      </x:c>
      <x:c r="M492" s="20" t="n">
        <x:v>0</x:v>
      </x:c>
      <x:c r="N492" s="20" t="n">
        <x:v>0</x:v>
      </x:c>
      <x:c r="O492" s="20" t="n">
        <x:v>13599.43</x:v>
      </x:c>
      <x:c r="P492" s="20" t="n">
        <x:v>0</x:v>
      </x:c>
      <x:c r="Q492" s="10" t="str">
        <x:v>Pago</x:v>
      </x:c>
      <x:c r="R492" s="10" t="str">
        <x:v>Débito Automático</x:v>
      </x:c>
      <x:c r="S492" s="10" t="str">
        <x:v>2025-01</x:v>
      </x:c>
      <x:c r="T492" s="10" t="n">
        <x:v>0</x:v>
      </x:c>
      <x:c r="U492" s="10" t="str">
        <x:v>Liquidado</x:v>
      </x:c>
      <x:c r="V492" s="10" t="str">
        <x:v>UND004</x:v>
      </x:c>
    </x:row>
    <x:row r="493" ht="18" customHeight="1">
      <x:c r="A493" s="10" t="str">
        <x:v>PAG00492</x:v>
      </x:c>
      <x:c r="B493" s="10" t="str">
        <x:v>EMP003</x:v>
      </x:c>
      <x:c r="C493" s="10" t="str">
        <x:v>FOR033</x:v>
      </x:c>
      <x:c r="D493" s="10" t="str">
        <x:v>CC003</x:v>
      </x:c>
      <x:c r="E493" s="10" t="str">
        <x:v>CAT009</x:v>
      </x:c>
      <x:c r="F493" s="10" t="str">
        <x:v>CTA005</x:v>
      </x:c>
      <x:c r="G493" s="10" t="str">
        <x:v>NF-100492</x:v>
      </x:c>
      <x:c r="H493" s="10" t="str">
        <x:v>Prestação de serviços</x:v>
      </x:c>
      <x:c r="I493" s="16" t="n">
        <x:v>45652.428644155094</x:v>
      </x:c>
      <x:c r="J493" s="16" t="n">
        <x:v>45697.428644155094</x:v>
      </x:c>
      <x:c r="K493" s="16"/>
      <x:c r="L493" s="20" t="n">
        <x:v>1818.42</x:v>
      </x:c>
      <x:c r="M493" s="20" t="n">
        <x:v>0</x:v>
      </x:c>
      <x:c r="N493" s="20" t="n">
        <x:v>0</x:v>
      </x:c>
      <x:c r="O493" s="20" t="n">
        <x:v>0</x:v>
      </x:c>
      <x:c r="P493" s="20" t="n">
        <x:v>1818.42</x:v>
      </x:c>
      <x:c r="Q493" s="10" t="str">
        <x:v>Vencido</x:v>
      </x:c>
      <x:c r="R493" s="10" t="str">
        <x:v>PIX</x:v>
      </x:c>
      <x:c r="S493" s="10" t="str">
        <x:v>2024-12</x:v>
      </x:c>
      <x:c r="T493" s="10" t="n">
        <x:v>324</x:v>
      </x:c>
      <x:c r="U493" s="10" t="str">
        <x:v>&gt; 120 dias</x:v>
      </x:c>
      <x:c r="V493" s="10" t="str">
        <x:v>UND004</x:v>
      </x:c>
    </x:row>
    <x:row r="494" ht="18" customHeight="1">
      <x:c r="A494" s="10" t="str">
        <x:v>PAG00493</x:v>
      </x:c>
      <x:c r="B494" s="10" t="str">
        <x:v>EMP002</x:v>
      </x:c>
      <x:c r="C494" s="10" t="str">
        <x:v>FOR052</x:v>
      </x:c>
      <x:c r="D494" s="10" t="str">
        <x:v>CC007</x:v>
      </x:c>
      <x:c r="E494" s="10" t="str">
        <x:v>CAT011</x:v>
      </x:c>
      <x:c r="F494" s="10" t="str">
        <x:v>CTA003</x:v>
      </x:c>
      <x:c r="G494" s="10" t="str">
        <x:v>NF-100493</x:v>
      </x:c>
      <x:c r="H494" s="10" t="str">
        <x:v>Compra de materiais</x:v>
      </x:c>
      <x:c r="I494" s="16" t="n">
        <x:v>46009.25020886574</x:v>
      </x:c>
      <x:c r="J494" s="16" t="n">
        <x:v>46029.25020886574</x:v>
      </x:c>
      <x:c r="K494" s="16"/>
      <x:c r="L494" s="20" t="n">
        <x:v>1479.03</x:v>
      </x:c>
      <x:c r="M494" s="20" t="n">
        <x:v>0</x:v>
      </x:c>
      <x:c r="N494" s="20" t="n">
        <x:v>0</x:v>
      </x:c>
      <x:c r="O494" s="20" t="n">
        <x:v>0</x:v>
      </x:c>
      <x:c r="P494" s="20" t="n">
        <x:v>1479.03</x:v>
      </x:c>
      <x:c r="Q494" s="10" t="str">
        <x:v>A vencer</x:v>
      </x:c>
      <x:c r="R494" s="10" t="str">
        <x:v>Boleto</x:v>
      </x:c>
      <x:c r="S494" s="10" t="str">
        <x:v>2025-12</x:v>
      </x:c>
      <x:c r="T494" s="10" t="n">
        <x:v>0</x:v>
      </x:c>
      <x:c r="U494" s="10" t="str">
        <x:v>A vencer</x:v>
      </x:c>
      <x:c r="V494" s="10" t="str">
        <x:v>UND003</x:v>
      </x:c>
    </x:row>
    <x:row r="495" ht="18" customHeight="1">
      <x:c r="A495" s="10" t="str">
        <x:v>PAG00494</x:v>
      </x:c>
      <x:c r="B495" s="10" t="str">
        <x:v>EMP002</x:v>
      </x:c>
      <x:c r="C495" s="10" t="str">
        <x:v>FOR019</x:v>
      </x:c>
      <x:c r="D495" s="10" t="str">
        <x:v>CC004</x:v>
      </x:c>
      <x:c r="E495" s="10" t="str">
        <x:v>CAT006</x:v>
      </x:c>
      <x:c r="F495" s="10" t="str">
        <x:v>CTA004</x:v>
      </x:c>
      <x:c r="G495" s="10" t="str">
        <x:v>NF-100494</x:v>
      </x:c>
      <x:c r="H495" s="10" t="str">
        <x:v>Despesa operacional</x:v>
      </x:c>
      <x:c r="I495" s="16" t="n">
        <x:v>45767.659514976855</x:v>
      </x:c>
      <x:c r="J495" s="16" t="n">
        <x:v>45795.659514976855</x:v>
      </x:c>
      <x:c r="K495" s="16"/>
      <x:c r="L495" s="20" t="n">
        <x:v>96225.84</x:v>
      </x:c>
      <x:c r="M495" s="20" t="n">
        <x:v>0</x:v>
      </x:c>
      <x:c r="N495" s="20" t="n">
        <x:v>0</x:v>
      </x:c>
      <x:c r="O495" s="20" t="n">
        <x:v>0</x:v>
      </x:c>
      <x:c r="P495" s="20" t="n">
        <x:v>0</x:v>
      </x:c>
      <x:c r="Q495" s="10" t="str">
        <x:v>Cancelado</x:v>
      </x:c>
      <x:c r="R495" s="10" t="str">
        <x:v>Débito Automático</x:v>
      </x:c>
      <x:c r="S495" s="10" t="str">
        <x:v>2025-04</x:v>
      </x:c>
      <x:c r="T495" s="10" t="n">
        <x:v>0</x:v>
      </x:c>
      <x:c r="U495" s="10" t="str">
        <x:v>Cancelado</x:v>
      </x:c>
      <x:c r="V495" s="10" t="str">
        <x:v>UND003</x:v>
      </x:c>
    </x:row>
    <x:row r="496" ht="18" customHeight="1">
      <x:c r="A496" s="10" t="str">
        <x:v>PAG00495</x:v>
      </x:c>
      <x:c r="B496" s="10" t="str">
        <x:v>EMP003</x:v>
      </x:c>
      <x:c r="C496" s="10" t="str">
        <x:v>FOR055</x:v>
      </x:c>
      <x:c r="D496" s="10" t="str">
        <x:v>CC005</x:v>
      </x:c>
      <x:c r="E496" s="10" t="str">
        <x:v>CAT007</x:v>
      </x:c>
      <x:c r="F496" s="10" t="str">
        <x:v>CTA006</x:v>
      </x:c>
      <x:c r="G496" s="10" t="str">
        <x:v>NF-100495</x:v>
      </x:c>
      <x:c r="H496" s="10" t="str">
        <x:v>Despesa operacional</x:v>
      </x:c>
      <x:c r="I496" s="16" t="n">
        <x:v>45441.79425456018</x:v>
      </x:c>
      <x:c r="J496" s="16" t="n">
        <x:v>45469.79425456018</x:v>
      </x:c>
      <x:c r="K496" s="16" t="n">
        <x:v>45478.79425456018</x:v>
      </x:c>
      <x:c r="L496" s="20" t="n">
        <x:v>600.39</x:v>
      </x:c>
      <x:c r="M496" s="20" t="n">
        <x:v>3.78</x:v>
      </x:c>
      <x:c r="N496" s="20" t="n">
        <x:v>0</x:v>
      </x:c>
      <x:c r="O496" s="20" t="n">
        <x:v>604.17</x:v>
      </x:c>
      <x:c r="P496" s="20" t="n">
        <x:v>0</x:v>
      </x:c>
      <x:c r="Q496" s="10" t="str">
        <x:v>Pago</x:v>
      </x:c>
      <x:c r="R496" s="10" t="str">
        <x:v>Débito Automático</x:v>
      </x:c>
      <x:c r="S496" s="10" t="str">
        <x:v>2024-05</x:v>
      </x:c>
      <x:c r="T496" s="10" t="n">
        <x:v>0</x:v>
      </x:c>
      <x:c r="U496" s="10" t="str">
        <x:v>Liquidado</x:v>
      </x:c>
      <x:c r="V496" s="10" t="str">
        <x:v>UND004</x:v>
      </x:c>
    </x:row>
    <x:row r="497" ht="18" customHeight="1">
      <x:c r="A497" s="10" t="str">
        <x:v>PAG00496</x:v>
      </x:c>
      <x:c r="B497" s="10" t="str">
        <x:v>EMP001</x:v>
      </x:c>
      <x:c r="C497" s="10" t="str">
        <x:v>FOR022</x:v>
      </x:c>
      <x:c r="D497" s="10" t="str">
        <x:v>CC008</x:v>
      </x:c>
      <x:c r="E497" s="10" t="str">
        <x:v>CAT015</x:v>
      </x:c>
      <x:c r="F497" s="10" t="str">
        <x:v>CTA002</x:v>
      </x:c>
      <x:c r="G497" s="10" t="str">
        <x:v>NF-100496</x:v>
      </x:c>
      <x:c r="H497" s="10" t="str">
        <x:v>Compra de materiais</x:v>
      </x:c>
      <x:c r="I497" s="16" t="n">
        <x:v>45348.43266144676</x:v>
      </x:c>
      <x:c r="J497" s="16" t="n">
        <x:v>45368.43266144676</x:v>
      </x:c>
      <x:c r="K497" s="16"/>
      <x:c r="L497" s="20" t="n">
        <x:v>88075.38</x:v>
      </x:c>
      <x:c r="M497" s="20" t="n">
        <x:v>0</x:v>
      </x:c>
      <x:c r="N497" s="20" t="n">
        <x:v>0</x:v>
      </x:c>
      <x:c r="O497" s="20" t="n">
        <x:v>0</x:v>
      </x:c>
      <x:c r="P497" s="20" t="n">
        <x:v>0</x:v>
      </x:c>
      <x:c r="Q497" s="10" t="str">
        <x:v>Cancelado</x:v>
      </x:c>
      <x:c r="R497" s="10" t="str">
        <x:v>Débito Automático</x:v>
      </x:c>
      <x:c r="S497" s="10" t="str">
        <x:v>2024-02</x:v>
      </x:c>
      <x:c r="T497" s="10" t="n">
        <x:v>0</x:v>
      </x:c>
      <x:c r="U497" s="10" t="str">
        <x:v>Cancelado</x:v>
      </x:c>
      <x:c r="V497" s="10" t="str">
        <x:v>UND001</x:v>
      </x:c>
    </x:row>
    <x:row r="498" ht="18" customHeight="1">
      <x:c r="A498" s="10" t="str">
        <x:v>PAG00497</x:v>
      </x:c>
      <x:c r="B498" s="10" t="str">
        <x:v>EMP002</x:v>
      </x:c>
      <x:c r="C498" s="10" t="str">
        <x:v>FOR017</x:v>
      </x:c>
      <x:c r="D498" s="10" t="str">
        <x:v>CC002</x:v>
      </x:c>
      <x:c r="E498" s="10" t="str">
        <x:v>CAT015</x:v>
      </x:c>
      <x:c r="F498" s="10" t="str">
        <x:v>CTA003</x:v>
      </x:c>
      <x:c r="G498" s="10" t="str">
        <x:v>NF-100497</x:v>
      </x:c>
      <x:c r="H498" s="10" t="str">
        <x:v>Prestação de serviços</x:v>
      </x:c>
      <x:c r="I498" s="16" t="n">
        <x:v>45880.01961128472</x:v>
      </x:c>
      <x:c r="J498" s="16" t="n">
        <x:v>45900.01961128472</x:v>
      </x:c>
      <x:c r="K498" s="16" t="n">
        <x:v>45905.01961128472</x:v>
      </x:c>
      <x:c r="L498" s="20" t="n">
        <x:v>12897.52</x:v>
      </x:c>
      <x:c r="M498" s="20" t="n">
        <x:v>45.14</x:v>
      </x:c>
      <x:c r="N498" s="20" t="n">
        <x:v>0</x:v>
      </x:c>
      <x:c r="O498" s="20" t="n">
        <x:v>12942.66</x:v>
      </x:c>
      <x:c r="P498" s="20" t="n">
        <x:v>0</x:v>
      </x:c>
      <x:c r="Q498" s="10" t="str">
        <x:v>Pago</x:v>
      </x:c>
      <x:c r="R498" s="10" t="str">
        <x:v>TED</x:v>
      </x:c>
      <x:c r="S498" s="10" t="str">
        <x:v>2025-08</x:v>
      </x:c>
      <x:c r="T498" s="10" t="n">
        <x:v>0</x:v>
      </x:c>
      <x:c r="U498" s="10" t="str">
        <x:v>Liquidado</x:v>
      </x:c>
      <x:c r="V498" s="10" t="str">
        <x:v>UND003</x:v>
      </x:c>
    </x:row>
    <x:row r="499" ht="18" customHeight="1">
      <x:c r="A499" s="10" t="str">
        <x:v>PAG00498</x:v>
      </x:c>
      <x:c r="B499" s="10" t="str">
        <x:v>EMP003</x:v>
      </x:c>
      <x:c r="C499" s="10" t="str">
        <x:v>FOR027</x:v>
      </x:c>
      <x:c r="D499" s="10" t="str">
        <x:v>CC008</x:v>
      </x:c>
      <x:c r="E499" s="10" t="str">
        <x:v>CAT007</x:v>
      </x:c>
      <x:c r="F499" s="10" t="str">
        <x:v>CTA005</x:v>
      </x:c>
      <x:c r="G499" s="10" t="str">
        <x:v>NF-100498</x:v>
      </x:c>
      <x:c r="H499" s="10" t="str">
        <x:v>Despesa operacional</x:v>
      </x:c>
      <x:c r="I499" s="16" t="n">
        <x:v>45508.03641001158</x:v>
      </x:c>
      <x:c r="J499" s="16" t="n">
        <x:v>45536.03641001158</x:v>
      </x:c>
      <x:c r="K499" s="16" t="n">
        <x:v>45567.03641001158</x:v>
      </x:c>
      <x:c r="L499" s="20" t="n">
        <x:v>22742.28</x:v>
      </x:c>
      <x:c r="M499" s="20" t="n">
        <x:v>493.51</x:v>
      </x:c>
      <x:c r="N499" s="20" t="n">
        <x:v>0</x:v>
      </x:c>
      <x:c r="O499" s="20" t="n">
        <x:v>23235.79</x:v>
      </x:c>
      <x:c r="P499" s="20" t="n">
        <x:v>0</x:v>
      </x:c>
      <x:c r="Q499" s="10" t="str">
        <x:v>Pago</x:v>
      </x:c>
      <x:c r="R499" s="10" t="str">
        <x:v>Boleto</x:v>
      </x:c>
      <x:c r="S499" s="10" t="str">
        <x:v>2024-08</x:v>
      </x:c>
      <x:c r="T499" s="10" t="n">
        <x:v>0</x:v>
      </x:c>
      <x:c r="U499" s="10" t="str">
        <x:v>Liquidado</x:v>
      </x:c>
      <x:c r="V499" s="10" t="str">
        <x:v>UND004</x:v>
      </x:c>
    </x:row>
    <x:row r="500" ht="18" customHeight="1">
      <x:c r="A500" s="10" t="str">
        <x:v>PAG00499</x:v>
      </x:c>
      <x:c r="B500" s="10" t="str">
        <x:v>EMP001</x:v>
      </x:c>
      <x:c r="C500" s="10" t="str">
        <x:v>FOR055</x:v>
      </x:c>
      <x:c r="D500" s="10" t="str">
        <x:v>CC008</x:v>
      </x:c>
      <x:c r="E500" s="10" t="str">
        <x:v>CAT008</x:v>
      </x:c>
      <x:c r="F500" s="10" t="str">
        <x:v>CTA001</x:v>
      </x:c>
      <x:c r="G500" s="10" t="str">
        <x:v>NF-100499</x:v>
      </x:c>
      <x:c r="H500" s="10" t="str">
        <x:v>Contrato recorrente</x:v>
      </x:c>
      <x:c r="I500" s="16" t="n">
        <x:v>45637.461688020834</x:v>
      </x:c>
      <x:c r="J500" s="16" t="n">
        <x:v>45665.461688020834</x:v>
      </x:c>
      <x:c r="K500" s="16" t="n">
        <x:v>45673.461688020834</x:v>
      </x:c>
      <x:c r="L500" s="20" t="n">
        <x:v>16564.83</x:v>
      </x:c>
      <x:c r="M500" s="20" t="n">
        <x:v>92.76</x:v>
      </x:c>
      <x:c r="N500" s="20" t="n">
        <x:v>0</x:v>
      </x:c>
      <x:c r="O500" s="20" t="n">
        <x:v>16657.59</x:v>
      </x:c>
      <x:c r="P500" s="20" t="n">
        <x:v>0</x:v>
      </x:c>
      <x:c r="Q500" s="10" t="str">
        <x:v>Pago</x:v>
      </x:c>
      <x:c r="R500" s="10" t="str">
        <x:v>Débito Automático</x:v>
      </x:c>
      <x:c r="S500" s="10" t="str">
        <x:v>2024-12</x:v>
      </x:c>
      <x:c r="T500" s="10" t="n">
        <x:v>0</x:v>
      </x:c>
      <x:c r="U500" s="10" t="str">
        <x:v>Liquidado</x:v>
      </x:c>
      <x:c r="V500" s="10" t="str">
        <x:v>UND001</x:v>
      </x:c>
    </x:row>
    <x:row r="501" ht="18" customHeight="1">
      <x:c r="A501" s="10" t="str">
        <x:v>PAG00500</x:v>
      </x:c>
      <x:c r="B501" s="10" t="str">
        <x:v>EMP002</x:v>
      </x:c>
      <x:c r="C501" s="10" t="str">
        <x:v>FOR028</x:v>
      </x:c>
      <x:c r="D501" s="10" t="str">
        <x:v>CC007</x:v>
      </x:c>
      <x:c r="E501" s="10" t="str">
        <x:v>CAT005</x:v>
      </x:c>
      <x:c r="F501" s="10" t="str">
        <x:v>CTA004</x:v>
      </x:c>
      <x:c r="G501" s="10" t="str">
        <x:v>NF-100500</x:v>
      </x:c>
      <x:c r="H501" s="10" t="str">
        <x:v>Despesa operacional</x:v>
      </x:c>
      <x:c r="I501" s="16" t="n">
        <x:v>45864.43836458334</x:v>
      </x:c>
      <x:c r="J501" s="16" t="n">
        <x:v>45939.43836458334</x:v>
      </x:c>
      <x:c r="K501" s="16" t="n">
        <x:v>45947.43836458334</x:v>
      </x:c>
      <x:c r="L501" s="20" t="n">
        <x:v>74113.84</x:v>
      </x:c>
      <x:c r="M501" s="20" t="n">
        <x:v>415.04</x:v>
      </x:c>
      <x:c r="N501" s="20" t="n">
        <x:v>0</x:v>
      </x:c>
      <x:c r="O501" s="20" t="n">
        <x:v>74528.88</x:v>
      </x:c>
      <x:c r="P501" s="20" t="n">
        <x:v>0</x:v>
      </x:c>
      <x:c r="Q501" s="10" t="str">
        <x:v>Pago</x:v>
      </x:c>
      <x:c r="R501" s="10" t="str">
        <x:v>Débito Automático</x:v>
      </x:c>
      <x:c r="S501" s="10" t="str">
        <x:v>2025-07</x:v>
      </x:c>
      <x:c r="T501" s="10" t="n">
        <x:v>0</x:v>
      </x:c>
      <x:c r="U501" s="10" t="str">
        <x:v>Liquidado</x:v>
      </x:c>
      <x:c r="V501" s="10" t="str">
        <x:v>UND003</x:v>
      </x:c>
    </x:row>
    <x:row r="502" ht="18" customHeight="1">
      <x:c r="A502" s="10" t="str">
        <x:v>PAG00501</x:v>
      </x:c>
      <x:c r="B502" s="10" t="str">
        <x:v>EMP003</x:v>
      </x:c>
      <x:c r="C502" s="10" t="str">
        <x:v>FOR016</x:v>
      </x:c>
      <x:c r="D502" s="10" t="str">
        <x:v>CC006</x:v>
      </x:c>
      <x:c r="E502" s="10" t="str">
        <x:v>CAT018</x:v>
      </x:c>
      <x:c r="F502" s="10" t="str">
        <x:v>CTA005</x:v>
      </x:c>
      <x:c r="G502" s="10" t="str">
        <x:v>NF-100501</x:v>
      </x:c>
      <x:c r="H502" s="10" t="str">
        <x:v>Prestação de serviços</x:v>
      </x:c>
      <x:c r="I502" s="16" t="n">
        <x:v>45640.54761978009</x:v>
      </x:c>
      <x:c r="J502" s="16" t="n">
        <x:v>45660.54761978009</x:v>
      </x:c>
      <x:c r="K502" s="16" t="n">
        <x:v>45653.54761978009</x:v>
      </x:c>
      <x:c r="L502" s="20" t="n">
        <x:v>61316.66</x:v>
      </x:c>
      <x:c r="M502" s="20" t="n">
        <x:v>0</x:v>
      </x:c>
      <x:c r="N502" s="20" t="n">
        <x:v>0</x:v>
      </x:c>
      <x:c r="O502" s="20" t="n">
        <x:v>61316.66</x:v>
      </x:c>
      <x:c r="P502" s="20" t="n">
        <x:v>0</x:v>
      </x:c>
      <x:c r="Q502" s="10" t="str">
        <x:v>Pago</x:v>
      </x:c>
      <x:c r="R502" s="10" t="str">
        <x:v>Débito Automático</x:v>
      </x:c>
      <x:c r="S502" s="10" t="str">
        <x:v>2024-12</x:v>
      </x:c>
      <x:c r="T502" s="10" t="n">
        <x:v>0</x:v>
      </x:c>
      <x:c r="U502" s="10" t="str">
        <x:v>Liquidado</x:v>
      </x:c>
      <x:c r="V502" s="10" t="str">
        <x:v>UND004</x:v>
      </x:c>
    </x:row>
    <x:row r="503" ht="18" customHeight="1">
      <x:c r="A503" s="10" t="str">
        <x:v>PAG00502</x:v>
      </x:c>
      <x:c r="B503" s="10" t="str">
        <x:v>EMP002</x:v>
      </x:c>
      <x:c r="C503" s="10" t="str">
        <x:v>FOR037</x:v>
      </x:c>
      <x:c r="D503" s="10" t="str">
        <x:v>CC003</x:v>
      </x:c>
      <x:c r="E503" s="10" t="str">
        <x:v>CAT014</x:v>
      </x:c>
      <x:c r="F503" s="10" t="str">
        <x:v>CTA004</x:v>
      </x:c>
      <x:c r="G503" s="10" t="str">
        <x:v>NF-100502</x:v>
      </x:c>
      <x:c r="H503" s="10" t="str">
        <x:v>Tributos e taxas</x:v>
      </x:c>
      <x:c r="I503" s="16" t="n">
        <x:v>45670.16500422454</x:v>
      </x:c>
      <x:c r="J503" s="16" t="n">
        <x:v>45730.16500422454</x:v>
      </x:c>
      <x:c r="K503" s="16" t="n">
        <x:v>45735.16500422454</x:v>
      </x:c>
      <x:c r="L503" s="20" t="n">
        <x:v>11506.82</x:v>
      </x:c>
      <x:c r="M503" s="20" t="n">
        <x:v>40.27</x:v>
      </x:c>
      <x:c r="N503" s="20" t="n">
        <x:v>0</x:v>
      </x:c>
      <x:c r="O503" s="20" t="n">
        <x:v>11547.09</x:v>
      </x:c>
      <x:c r="P503" s="20" t="n">
        <x:v>0</x:v>
      </x:c>
      <x:c r="Q503" s="10" t="str">
        <x:v>Pago</x:v>
      </x:c>
      <x:c r="R503" s="10" t="str">
        <x:v>TED</x:v>
      </x:c>
      <x:c r="S503" s="10" t="str">
        <x:v>2025-01</x:v>
      </x:c>
      <x:c r="T503" s="10" t="n">
        <x:v>0</x:v>
      </x:c>
      <x:c r="U503" s="10" t="str">
        <x:v>Liquidado</x:v>
      </x:c>
      <x:c r="V503" s="10" t="str">
        <x:v>UND003</x:v>
      </x:c>
    </x:row>
    <x:row r="504" ht="18" customHeight="1">
      <x:c r="A504" s="10" t="str">
        <x:v>PAG00503</x:v>
      </x:c>
      <x:c r="B504" s="10" t="str">
        <x:v>EMP001</x:v>
      </x:c>
      <x:c r="C504" s="10" t="str">
        <x:v>FOR028</x:v>
      </x:c>
      <x:c r="D504" s="10" t="str">
        <x:v>CC001</x:v>
      </x:c>
      <x:c r="E504" s="10" t="str">
        <x:v>CAT018</x:v>
      </x:c>
      <x:c r="F504" s="10" t="str">
        <x:v>CTA002</x:v>
      </x:c>
      <x:c r="G504" s="10" t="str">
        <x:v>NF-100503</x:v>
      </x:c>
      <x:c r="H504" s="10" t="str">
        <x:v>Despesa operacional</x:v>
      </x:c>
      <x:c r="I504" s="16" t="n">
        <x:v>45361.7220943287</x:v>
      </x:c>
      <x:c r="J504" s="16" t="n">
        <x:v>45389.7220943287</x:v>
      </x:c>
      <x:c r="K504" s="16" t="n">
        <x:v>45389.7220943287</x:v>
      </x:c>
      <x:c r="L504" s="20" t="n">
        <x:v>29141.25</x:v>
      </x:c>
      <x:c r="M504" s="20" t="n">
        <x:v>0</x:v>
      </x:c>
      <x:c r="N504" s="20" t="n">
        <x:v>0</x:v>
      </x:c>
      <x:c r="O504" s="20" t="n">
        <x:v>29141.25</x:v>
      </x:c>
      <x:c r="P504" s="20" t="n">
        <x:v>0</x:v>
      </x:c>
      <x:c r="Q504" s="10" t="str">
        <x:v>Pago</x:v>
      </x:c>
      <x:c r="R504" s="10" t="str">
        <x:v>Cartão Corporativo</x:v>
      </x:c>
      <x:c r="S504" s="10" t="str">
        <x:v>2024-03</x:v>
      </x:c>
      <x:c r="T504" s="10" t="n">
        <x:v>0</x:v>
      </x:c>
      <x:c r="U504" s="10" t="str">
        <x:v>Liquidado</x:v>
      </x:c>
      <x:c r="V504" s="10" t="str">
        <x:v>UND001</x:v>
      </x:c>
    </x:row>
    <x:row r="505" ht="18" customHeight="1">
      <x:c r="A505" s="10" t="str">
        <x:v>PAG00504</x:v>
      </x:c>
      <x:c r="B505" s="10" t="str">
        <x:v>EMP002</x:v>
      </x:c>
      <x:c r="C505" s="10" t="str">
        <x:v>FOR037</x:v>
      </x:c>
      <x:c r="D505" s="10" t="str">
        <x:v>CC004</x:v>
      </x:c>
      <x:c r="E505" s="10" t="str">
        <x:v>CAT008</x:v>
      </x:c>
      <x:c r="F505" s="10" t="str">
        <x:v>CTA003</x:v>
      </x:c>
      <x:c r="G505" s="10" t="str">
        <x:v>NF-100504</x:v>
      </x:c>
      <x:c r="H505" s="10" t="str">
        <x:v>Despesa operacional</x:v>
      </x:c>
      <x:c r="I505" s="16" t="n">
        <x:v>45762.3261125</x:v>
      </x:c>
      <x:c r="J505" s="16" t="n">
        <x:v>45837.3261125</x:v>
      </x:c>
      <x:c r="K505" s="16" t="n">
        <x:v>45841.3261125</x:v>
      </x:c>
      <x:c r="L505" s="20" t="n">
        <x:v>30383.35</x:v>
      </x:c>
      <x:c r="M505" s="20" t="n">
        <x:v>85.07</x:v>
      </x:c>
      <x:c r="N505" s="20" t="n">
        <x:v>0</x:v>
      </x:c>
      <x:c r="O505" s="20" t="n">
        <x:v>30468.42</x:v>
      </x:c>
      <x:c r="P505" s="20" t="n">
        <x:v>0</x:v>
      </x:c>
      <x:c r="Q505" s="10" t="str">
        <x:v>Pago</x:v>
      </x:c>
      <x:c r="R505" s="10" t="str">
        <x:v>TED</x:v>
      </x:c>
      <x:c r="S505" s="10" t="str">
        <x:v>2025-04</x:v>
      </x:c>
      <x:c r="T505" s="10" t="n">
        <x:v>0</x:v>
      </x:c>
      <x:c r="U505" s="10" t="str">
        <x:v>Liquidado</x:v>
      </x:c>
      <x:c r="V505" s="10" t="str">
        <x:v>UND003</x:v>
      </x:c>
    </x:row>
    <x:row r="506" ht="18" customHeight="1">
      <x:c r="A506" s="10" t="str">
        <x:v>PAG00505</x:v>
      </x:c>
      <x:c r="B506" s="10" t="str">
        <x:v>EMP001</x:v>
      </x:c>
      <x:c r="C506" s="10" t="str">
        <x:v>FOR021</x:v>
      </x:c>
      <x:c r="D506" s="10" t="str">
        <x:v>CC007</x:v>
      </x:c>
      <x:c r="E506" s="10" t="str">
        <x:v>CAT018</x:v>
      </x:c>
      <x:c r="F506" s="10" t="str">
        <x:v>CTA002</x:v>
      </x:c>
      <x:c r="G506" s="10" t="str">
        <x:v>NF-100505</x:v>
      </x:c>
      <x:c r="H506" s="10" t="str">
        <x:v>Despesa operacional</x:v>
      </x:c>
      <x:c r="I506" s="16" t="n">
        <x:v>45385.220966064815</x:v>
      </x:c>
      <x:c r="J506" s="16" t="n">
        <x:v>45413.220966064815</x:v>
      </x:c>
      <x:c r="K506" s="16" t="n">
        <x:v>45407.220966064815</x:v>
      </x:c>
      <x:c r="L506" s="20" t="n">
        <x:v>20536.08</x:v>
      </x:c>
      <x:c r="M506" s="20" t="n">
        <x:v>0</x:v>
      </x:c>
      <x:c r="N506" s="20" t="n">
        <x:v>0</x:v>
      </x:c>
      <x:c r="O506" s="20" t="n">
        <x:v>20536.08</x:v>
      </x:c>
      <x:c r="P506" s="20" t="n">
        <x:v>0</x:v>
      </x:c>
      <x:c r="Q506" s="10" t="str">
        <x:v>Pago</x:v>
      </x:c>
      <x:c r="R506" s="10" t="str">
        <x:v>TED</x:v>
      </x:c>
      <x:c r="S506" s="10" t="str">
        <x:v>2024-04</x:v>
      </x:c>
      <x:c r="T506" s="10" t="n">
        <x:v>0</x:v>
      </x:c>
      <x:c r="U506" s="10" t="str">
        <x:v>Liquidado</x:v>
      </x:c>
      <x:c r="V506" s="10" t="str">
        <x:v>UND001</x:v>
      </x:c>
    </x:row>
    <x:row r="507" ht="18" customHeight="1">
      <x:c r="A507" s="10" t="str">
        <x:v>PAG00506</x:v>
      </x:c>
      <x:c r="B507" s="10" t="str">
        <x:v>EMP002</x:v>
      </x:c>
      <x:c r="C507" s="10" t="str">
        <x:v>FOR001</x:v>
      </x:c>
      <x:c r="D507" s="10" t="str">
        <x:v>CC007</x:v>
      </x:c>
      <x:c r="E507" s="10" t="str">
        <x:v>CAT013</x:v>
      </x:c>
      <x:c r="F507" s="10" t="str">
        <x:v>CTA003</x:v>
      </x:c>
      <x:c r="G507" s="10" t="str">
        <x:v>NF-100506</x:v>
      </x:c>
      <x:c r="H507" s="10" t="str">
        <x:v>Contrato recorrente</x:v>
      </x:c>
      <x:c r="I507" s="16" t="n">
        <x:v>45368.908389421296</x:v>
      </x:c>
      <x:c r="J507" s="16" t="n">
        <x:v>45443.908389421296</x:v>
      </x:c>
      <x:c r="K507" s="16"/>
      <x:c r="L507" s="20" t="n">
        <x:v>36392.51</x:v>
      </x:c>
      <x:c r="M507" s="20" t="n">
        <x:v>0</x:v>
      </x:c>
      <x:c r="N507" s="20" t="n">
        <x:v>0</x:v>
      </x:c>
      <x:c r="O507" s="20" t="n">
        <x:v>0</x:v>
      </x:c>
      <x:c r="P507" s="20" t="n">
        <x:v>36392.51</x:v>
      </x:c>
      <x:c r="Q507" s="10" t="str">
        <x:v>Vencido</x:v>
      </x:c>
      <x:c r="R507" s="10" t="str">
        <x:v>TED</x:v>
      </x:c>
      <x:c r="S507" s="10" t="str">
        <x:v>2024-03</x:v>
      </x:c>
      <x:c r="T507" s="10" t="n">
        <x:v>578</x:v>
      </x:c>
      <x:c r="U507" s="10" t="str">
        <x:v>&gt; 120 dias</x:v>
      </x:c>
      <x:c r="V507" s="10" t="str">
        <x:v>UND003</x:v>
      </x:c>
    </x:row>
    <x:row r="508" ht="18" customHeight="1">
      <x:c r="A508" s="10" t="str">
        <x:v>PAG00507</x:v>
      </x:c>
      <x:c r="B508" s="10" t="str">
        <x:v>EMP001</x:v>
      </x:c>
      <x:c r="C508" s="10" t="str">
        <x:v>FOR049</x:v>
      </x:c>
      <x:c r="D508" s="10" t="str">
        <x:v>CC006</x:v>
      </x:c>
      <x:c r="E508" s="10" t="str">
        <x:v>CAT007</x:v>
      </x:c>
      <x:c r="F508" s="10" t="str">
        <x:v>CTA002</x:v>
      </x:c>
      <x:c r="G508" s="10" t="str">
        <x:v>NF-100507</x:v>
      </x:c>
      <x:c r="H508" s="10" t="str">
        <x:v>Compra de materiais</x:v>
      </x:c>
      <x:c r="I508" s="16" t="n">
        <x:v>45319.459456770834</x:v>
      </x:c>
      <x:c r="J508" s="16" t="n">
        <x:v>45334.459456770834</x:v>
      </x:c>
      <x:c r="K508" s="16" t="n">
        <x:v>45337.459456770834</x:v>
      </x:c>
      <x:c r="L508" s="20" t="n">
        <x:v>38553.25</x:v>
      </x:c>
      <x:c r="M508" s="20" t="n">
        <x:v>80.96</x:v>
      </x:c>
      <x:c r="N508" s="20" t="n">
        <x:v>0</x:v>
      </x:c>
      <x:c r="O508" s="20" t="n">
        <x:v>38634.21</x:v>
      </x:c>
      <x:c r="P508" s="20" t="n">
        <x:v>0</x:v>
      </x:c>
      <x:c r="Q508" s="10" t="str">
        <x:v>Pago</x:v>
      </x:c>
      <x:c r="R508" s="10" t="str">
        <x:v>Boleto</x:v>
      </x:c>
      <x:c r="S508" s="10" t="str">
        <x:v>2024-01</x:v>
      </x:c>
      <x:c r="T508" s="10" t="n">
        <x:v>0</x:v>
      </x:c>
      <x:c r="U508" s="10" t="str">
        <x:v>Liquidado</x:v>
      </x:c>
      <x:c r="V508" s="10" t="str">
        <x:v>UND002</x:v>
      </x:c>
    </x:row>
    <x:row r="509" ht="18" customHeight="1">
      <x:c r="A509" s="10" t="str">
        <x:v>PAG00508</x:v>
      </x:c>
      <x:c r="B509" s="10" t="str">
        <x:v>EMP001</x:v>
      </x:c>
      <x:c r="C509" s="10" t="str">
        <x:v>FOR029</x:v>
      </x:c>
      <x:c r="D509" s="10" t="str">
        <x:v>CC006</x:v>
      </x:c>
      <x:c r="E509" s="10" t="str">
        <x:v>CAT016</x:v>
      </x:c>
      <x:c r="F509" s="10" t="str">
        <x:v>CTA002</x:v>
      </x:c>
      <x:c r="G509" s="10" t="str">
        <x:v>NF-100508</x:v>
      </x:c>
      <x:c r="H509" s="10" t="str">
        <x:v>Despesa operacional</x:v>
      </x:c>
      <x:c r="I509" s="16" t="n">
        <x:v>45935.394690127316</x:v>
      </x:c>
      <x:c r="J509" s="16" t="n">
        <x:v>45955.394690127316</x:v>
      </x:c>
      <x:c r="K509" s="16" t="n">
        <x:v>45953.394690127316</x:v>
      </x:c>
      <x:c r="L509" s="20" t="n">
        <x:v>10453.99</x:v>
      </x:c>
      <x:c r="M509" s="20" t="n">
        <x:v>0</x:v>
      </x:c>
      <x:c r="N509" s="20" t="n">
        <x:v>0</x:v>
      </x:c>
      <x:c r="O509" s="20" t="n">
        <x:v>10453.99</x:v>
      </x:c>
      <x:c r="P509" s="20" t="n">
        <x:v>0</x:v>
      </x:c>
      <x:c r="Q509" s="10" t="str">
        <x:v>Pago</x:v>
      </x:c>
      <x:c r="R509" s="10" t="str">
        <x:v>Boleto</x:v>
      </x:c>
      <x:c r="S509" s="10" t="str">
        <x:v>2025-10</x:v>
      </x:c>
      <x:c r="T509" s="10" t="n">
        <x:v>0</x:v>
      </x:c>
      <x:c r="U509" s="10" t="str">
        <x:v>Liquidado</x:v>
      </x:c>
      <x:c r="V509" s="10" t="str">
        <x:v>UND001</x:v>
      </x:c>
    </x:row>
    <x:row r="510" ht="18" customHeight="1">
      <x:c r="A510" s="10" t="str">
        <x:v>PAG00509</x:v>
      </x:c>
      <x:c r="B510" s="10" t="str">
        <x:v>EMP001</x:v>
      </x:c>
      <x:c r="C510" s="10" t="str">
        <x:v>FOR015</x:v>
      </x:c>
      <x:c r="D510" s="10" t="str">
        <x:v>CC006</x:v>
      </x:c>
      <x:c r="E510" s="10" t="str">
        <x:v>CAT010</x:v>
      </x:c>
      <x:c r="F510" s="10" t="str">
        <x:v>CTA002</x:v>
      </x:c>
      <x:c r="G510" s="10" t="str">
        <x:v>NF-100509</x:v>
      </x:c>
      <x:c r="H510" s="10" t="str">
        <x:v>Tributos e taxas</x:v>
      </x:c>
      <x:c r="I510" s="16" t="n">
        <x:v>45931.89489603009</x:v>
      </x:c>
      <x:c r="J510" s="16" t="n">
        <x:v>45966.89489603009</x:v>
      </x:c>
      <x:c r="K510" s="16" t="n">
        <x:v>45971.89489603009</x:v>
      </x:c>
      <x:c r="L510" s="20" t="n">
        <x:v>16007.2</x:v>
      </x:c>
      <x:c r="M510" s="20" t="n">
        <x:v>56.03</x:v>
      </x:c>
      <x:c r="N510" s="20" t="n">
        <x:v>0</x:v>
      </x:c>
      <x:c r="O510" s="20" t="n">
        <x:v>16063.23</x:v>
      </x:c>
      <x:c r="P510" s="20" t="n">
        <x:v>0</x:v>
      </x:c>
      <x:c r="Q510" s="10" t="str">
        <x:v>Pago</x:v>
      </x:c>
      <x:c r="R510" s="10" t="str">
        <x:v>PIX</x:v>
      </x:c>
      <x:c r="S510" s="10" t="str">
        <x:v>2025-10</x:v>
      </x:c>
      <x:c r="T510" s="10" t="n">
        <x:v>0</x:v>
      </x:c>
      <x:c r="U510" s="10" t="str">
        <x:v>Liquidado</x:v>
      </x:c>
      <x:c r="V510" s="10" t="str">
        <x:v>UND001</x:v>
      </x:c>
    </x:row>
    <x:row r="511" ht="18" customHeight="1">
      <x:c r="A511" s="10" t="str">
        <x:v>PAG00510</x:v>
      </x:c>
      <x:c r="B511" s="10" t="str">
        <x:v>EMP001</x:v>
      </x:c>
      <x:c r="C511" s="10" t="str">
        <x:v>FOR046</x:v>
      </x:c>
      <x:c r="D511" s="10" t="str">
        <x:v>CC003</x:v>
      </x:c>
      <x:c r="E511" s="10" t="str">
        <x:v>CAT012</x:v>
      </x:c>
      <x:c r="F511" s="10" t="str">
        <x:v>CTA001</x:v>
      </x:c>
      <x:c r="G511" s="10" t="str">
        <x:v>NF-100510</x:v>
      </x:c>
      <x:c r="H511" s="10" t="str">
        <x:v>Contrato recorrente</x:v>
      </x:c>
      <x:c r="I511" s="16" t="n">
        <x:v>45293.26071702546</x:v>
      </x:c>
      <x:c r="J511" s="16" t="n">
        <x:v>45308.26071702546</x:v>
      </x:c>
      <x:c r="K511" s="16" t="n">
        <x:v>45328.26071702546</x:v>
      </x:c>
      <x:c r="L511" s="20" t="n">
        <x:v>26402.16</x:v>
      </x:c>
      <x:c r="M511" s="20" t="n">
        <x:v>369.63</x:v>
      </x:c>
      <x:c r="N511" s="20" t="n">
        <x:v>0</x:v>
      </x:c>
      <x:c r="O511" s="20" t="n">
        <x:v>26771.79</x:v>
      </x:c>
      <x:c r="P511" s="20" t="n">
        <x:v>0</x:v>
      </x:c>
      <x:c r="Q511" s="10" t="str">
        <x:v>Pago</x:v>
      </x:c>
      <x:c r="R511" s="10" t="str">
        <x:v>Débito Automático</x:v>
      </x:c>
      <x:c r="S511" s="10" t="str">
        <x:v>2024-01</x:v>
      </x:c>
      <x:c r="T511" s="10" t="n">
        <x:v>0</x:v>
      </x:c>
      <x:c r="U511" s="10" t="str">
        <x:v>Liquidado</x:v>
      </x:c>
      <x:c r="V511" s="10" t="str">
        <x:v>UND001</x:v>
      </x:c>
    </x:row>
    <x:row r="512" ht="18" customHeight="1">
      <x:c r="A512" s="10" t="str">
        <x:v>PAG00511</x:v>
      </x:c>
      <x:c r="B512" s="10" t="str">
        <x:v>EMP001</x:v>
      </x:c>
      <x:c r="C512" s="10" t="str">
        <x:v>FOR020</x:v>
      </x:c>
      <x:c r="D512" s="10" t="str">
        <x:v>CC005</x:v>
      </x:c>
      <x:c r="E512" s="10" t="str">
        <x:v>CAT006</x:v>
      </x:c>
      <x:c r="F512" s="10" t="str">
        <x:v>CTA002</x:v>
      </x:c>
      <x:c r="G512" s="10" t="str">
        <x:v>NF-100511</x:v>
      </x:c>
      <x:c r="H512" s="10" t="str">
        <x:v>Despesa operacional</x:v>
      </x:c>
      <x:c r="I512" s="16" t="n">
        <x:v>45613.84011762732</x:v>
      </x:c>
      <x:c r="J512" s="16" t="n">
        <x:v>45628.84011762732</x:v>
      </x:c>
      <x:c r="K512" s="16" t="n">
        <x:v>45621.84011762732</x:v>
      </x:c>
      <x:c r="L512" s="20" t="n">
        <x:v>21910.16</x:v>
      </x:c>
      <x:c r="M512" s="20" t="n">
        <x:v>0</x:v>
      </x:c>
      <x:c r="N512" s="20" t="n">
        <x:v>0</x:v>
      </x:c>
      <x:c r="O512" s="20" t="n">
        <x:v>21910.16</x:v>
      </x:c>
      <x:c r="P512" s="20" t="n">
        <x:v>0</x:v>
      </x:c>
      <x:c r="Q512" s="10" t="str">
        <x:v>Pago</x:v>
      </x:c>
      <x:c r="R512" s="10" t="str">
        <x:v>Cartão Corporativo</x:v>
      </x:c>
      <x:c r="S512" s="10" t="str">
        <x:v>2024-11</x:v>
      </x:c>
      <x:c r="T512" s="10" t="n">
        <x:v>0</x:v>
      </x:c>
      <x:c r="U512" s="10" t="str">
        <x:v>Liquidado</x:v>
      </x:c>
      <x:c r="V512" s="10" t="str">
        <x:v>UND001</x:v>
      </x:c>
    </x:row>
    <x:row r="513" ht="18" customHeight="1">
      <x:c r="A513" s="10" t="str">
        <x:v>PAG00512</x:v>
      </x:c>
      <x:c r="B513" s="10" t="str">
        <x:v>EMP001</x:v>
      </x:c>
      <x:c r="C513" s="10" t="str">
        <x:v>FOR029</x:v>
      </x:c>
      <x:c r="D513" s="10" t="str">
        <x:v>CC006</x:v>
      </x:c>
      <x:c r="E513" s="10" t="str">
        <x:v>CAT018</x:v>
      </x:c>
      <x:c r="F513" s="10" t="str">
        <x:v>CTA001</x:v>
      </x:c>
      <x:c r="G513" s="10" t="str">
        <x:v>NF-100512</x:v>
      </x:c>
      <x:c r="H513" s="10" t="str">
        <x:v>Despesa operacional</x:v>
      </x:c>
      <x:c r="I513" s="16" t="n">
        <x:v>45799.265409224536</x:v>
      </x:c>
      <x:c r="J513" s="16" t="n">
        <x:v>45874.265409224536</x:v>
      </x:c>
      <x:c r="K513" s="16" t="n">
        <x:v>45867.265409224536</x:v>
      </x:c>
      <x:c r="L513" s="20" t="n">
        <x:v>2814.65</x:v>
      </x:c>
      <x:c r="M513" s="20" t="n">
        <x:v>0</x:v>
      </x:c>
      <x:c r="N513" s="20" t="n">
        <x:v>0</x:v>
      </x:c>
      <x:c r="O513" s="20" t="n">
        <x:v>2814.65</x:v>
      </x:c>
      <x:c r="P513" s="20" t="n">
        <x:v>0</x:v>
      </x:c>
      <x:c r="Q513" s="10" t="str">
        <x:v>Pago</x:v>
      </x:c>
      <x:c r="R513" s="10" t="str">
        <x:v>PIX</x:v>
      </x:c>
      <x:c r="S513" s="10" t="str">
        <x:v>2025-05</x:v>
      </x:c>
      <x:c r="T513" s="10" t="n">
        <x:v>0</x:v>
      </x:c>
      <x:c r="U513" s="10" t="str">
        <x:v>Liquidado</x:v>
      </x:c>
      <x:c r="V513" s="10" t="str">
        <x:v>UND001</x:v>
      </x:c>
    </x:row>
    <x:row r="514" ht="18" customHeight="1">
      <x:c r="A514" s="10" t="str">
        <x:v>PAG00513</x:v>
      </x:c>
      <x:c r="B514" s="10" t="str">
        <x:v>EMP001</x:v>
      </x:c>
      <x:c r="C514" s="10" t="str">
        <x:v>FOR016</x:v>
      </x:c>
      <x:c r="D514" s="10" t="str">
        <x:v>CC004</x:v>
      </x:c>
      <x:c r="E514" s="10" t="str">
        <x:v>CAT011</x:v>
      </x:c>
      <x:c r="F514" s="10" t="str">
        <x:v>CTA001</x:v>
      </x:c>
      <x:c r="G514" s="10" t="str">
        <x:v>NF-100513</x:v>
      </x:c>
      <x:c r="H514" s="10" t="str">
        <x:v>Compra de materiais</x:v>
      </x:c>
      <x:c r="I514" s="16" t="n">
        <x:v>45609.93807766204</x:v>
      </x:c>
      <x:c r="J514" s="16" t="n">
        <x:v>45637.93807766204</x:v>
      </x:c>
      <x:c r="K514" s="16" t="n">
        <x:v>45635.93807766204</x:v>
      </x:c>
      <x:c r="L514" s="20" t="n">
        <x:v>17985.47</x:v>
      </x:c>
      <x:c r="M514" s="20" t="n">
        <x:v>0</x:v>
      </x:c>
      <x:c r="N514" s="20" t="n">
        <x:v>0</x:v>
      </x:c>
      <x:c r="O514" s="20" t="n">
        <x:v>17985.47</x:v>
      </x:c>
      <x:c r="P514" s="20" t="n">
        <x:v>0</x:v>
      </x:c>
      <x:c r="Q514" s="10" t="str">
        <x:v>Pago</x:v>
      </x:c>
      <x:c r="R514" s="10" t="str">
        <x:v>Cartão Corporativo</x:v>
      </x:c>
      <x:c r="S514" s="10" t="str">
        <x:v>2024-11</x:v>
      </x:c>
      <x:c r="T514" s="10" t="n">
        <x:v>0</x:v>
      </x:c>
      <x:c r="U514" s="10" t="str">
        <x:v>Liquidado</x:v>
      </x:c>
      <x:c r="V514" s="10" t="str">
        <x:v>UND002</x:v>
      </x:c>
    </x:row>
    <x:row r="515" ht="18" customHeight="1">
      <x:c r="A515" s="10" t="str">
        <x:v>PAG00514</x:v>
      </x:c>
      <x:c r="B515" s="10" t="str">
        <x:v>EMP002</x:v>
      </x:c>
      <x:c r="C515" s="10" t="str">
        <x:v>FOR008</x:v>
      </x:c>
      <x:c r="D515" s="10" t="str">
        <x:v>CC006</x:v>
      </x:c>
      <x:c r="E515" s="10" t="str">
        <x:v>CAT018</x:v>
      </x:c>
      <x:c r="F515" s="10" t="str">
        <x:v>CTA004</x:v>
      </x:c>
      <x:c r="G515" s="10" t="str">
        <x:v>NF-100514</x:v>
      </x:c>
      <x:c r="H515" s="10" t="str">
        <x:v>Prestação de serviços</x:v>
      </x:c>
      <x:c r="I515" s="16" t="n">
        <x:v>45403.63831487268</x:v>
      </x:c>
      <x:c r="J515" s="16" t="n">
        <x:v>45478.63831487268</x:v>
      </x:c>
      <x:c r="K515" s="16" t="n">
        <x:v>45488.63831487268</x:v>
      </x:c>
      <x:c r="L515" s="20" t="n">
        <x:v>35338.23</x:v>
      </x:c>
      <x:c r="M515" s="20" t="n">
        <x:v>247.37</x:v>
      </x:c>
      <x:c r="N515" s="20" t="n">
        <x:v>0</x:v>
      </x:c>
      <x:c r="O515" s="20" t="n">
        <x:v>35585.6</x:v>
      </x:c>
      <x:c r="P515" s="20" t="n">
        <x:v>0</x:v>
      </x:c>
      <x:c r="Q515" s="10" t="str">
        <x:v>Pago</x:v>
      </x:c>
      <x:c r="R515" s="10" t="str">
        <x:v>Cartão Corporativo</x:v>
      </x:c>
      <x:c r="S515" s="10" t="str">
        <x:v>2024-04</x:v>
      </x:c>
      <x:c r="T515" s="10" t="n">
        <x:v>0</x:v>
      </x:c>
      <x:c r="U515" s="10" t="str">
        <x:v>Liquidado</x:v>
      </x:c>
      <x:c r="V515" s="10" t="str">
        <x:v>UND003</x:v>
      </x:c>
    </x:row>
    <x:row r="516" ht="18" customHeight="1">
      <x:c r="A516" s="10" t="str">
        <x:v>PAG00515</x:v>
      </x:c>
      <x:c r="B516" s="10" t="str">
        <x:v>EMP003</x:v>
      </x:c>
      <x:c r="C516" s="10" t="str">
        <x:v>FOR020</x:v>
      </x:c>
      <x:c r="D516" s="10" t="str">
        <x:v>CC005</x:v>
      </x:c>
      <x:c r="E516" s="10" t="str">
        <x:v>CAT007</x:v>
      </x:c>
      <x:c r="F516" s="10" t="str">
        <x:v>CTA006</x:v>
      </x:c>
      <x:c r="G516" s="10" t="str">
        <x:v>NF-100515</x:v>
      </x:c>
      <x:c r="H516" s="10" t="str">
        <x:v>Contrato recorrente</x:v>
      </x:c>
      <x:c r="I516" s="16" t="n">
        <x:v>45889.41504446759</x:v>
      </x:c>
      <x:c r="J516" s="16" t="n">
        <x:v>45919.41504446759</x:v>
      </x:c>
      <x:c r="K516" s="16" t="n">
        <x:v>45911.41504446759</x:v>
      </x:c>
      <x:c r="L516" s="20" t="n">
        <x:v>46030.77</x:v>
      </x:c>
      <x:c r="M516" s="20" t="n">
        <x:v>0</x:v>
      </x:c>
      <x:c r="N516" s="20" t="n">
        <x:v>0</x:v>
      </x:c>
      <x:c r="O516" s="20" t="n">
        <x:v>46030.77</x:v>
      </x:c>
      <x:c r="P516" s="20" t="n">
        <x:v>0</x:v>
      </x:c>
      <x:c r="Q516" s="10" t="str">
        <x:v>Pago</x:v>
      </x:c>
      <x:c r="R516" s="10" t="str">
        <x:v>Cartão Corporativo</x:v>
      </x:c>
      <x:c r="S516" s="10" t="str">
        <x:v>2025-08</x:v>
      </x:c>
      <x:c r="T516" s="10" t="n">
        <x:v>0</x:v>
      </x:c>
      <x:c r="U516" s="10" t="str">
        <x:v>Liquidado</x:v>
      </x:c>
      <x:c r="V516" s="10" t="str">
        <x:v>UND004</x:v>
      </x:c>
    </x:row>
    <x:row r="517" ht="18" customHeight="1">
      <x:c r="A517" s="10" t="str">
        <x:v>PAG00516</x:v>
      </x:c>
      <x:c r="B517" s="10" t="str">
        <x:v>EMP003</x:v>
      </x:c>
      <x:c r="C517" s="10" t="str">
        <x:v>FOR050</x:v>
      </x:c>
      <x:c r="D517" s="10" t="str">
        <x:v>CC002</x:v>
      </x:c>
      <x:c r="E517" s="10" t="str">
        <x:v>CAT005</x:v>
      </x:c>
      <x:c r="F517" s="10" t="str">
        <x:v>CTA006</x:v>
      </x:c>
      <x:c r="G517" s="10" t="str">
        <x:v>NF-100516</x:v>
      </x:c>
      <x:c r="H517" s="10" t="str">
        <x:v>Tributos e taxas</x:v>
      </x:c>
      <x:c r="I517" s="16" t="n">
        <x:v>45880.483158703704</x:v>
      </x:c>
      <x:c r="J517" s="16" t="n">
        <x:v>45955.483158703704</x:v>
      </x:c>
      <x:c r="K517" s="16" t="n">
        <x:v>45967.483158703704</x:v>
      </x:c>
      <x:c r="L517" s="20" t="n">
        <x:v>26086.87</x:v>
      </x:c>
      <x:c r="M517" s="20" t="n">
        <x:v>219.13</x:v>
      </x:c>
      <x:c r="N517" s="20" t="n">
        <x:v>0</x:v>
      </x:c>
      <x:c r="O517" s="20" t="n">
        <x:v>26306</x:v>
      </x:c>
      <x:c r="P517" s="20" t="n">
        <x:v>0</x:v>
      </x:c>
      <x:c r="Q517" s="10" t="str">
        <x:v>Pago</x:v>
      </x:c>
      <x:c r="R517" s="10" t="str">
        <x:v>Débito Automático</x:v>
      </x:c>
      <x:c r="S517" s="10" t="str">
        <x:v>2025-08</x:v>
      </x:c>
      <x:c r="T517" s="10" t="n">
        <x:v>0</x:v>
      </x:c>
      <x:c r="U517" s="10" t="str">
        <x:v>Liquidado</x:v>
      </x:c>
      <x:c r="V517" s="10" t="str">
        <x:v>UND004</x:v>
      </x:c>
    </x:row>
    <x:row r="518" ht="18" customHeight="1">
      <x:c r="A518" s="10" t="str">
        <x:v>PAG00517</x:v>
      </x:c>
      <x:c r="B518" s="10" t="str">
        <x:v>EMP003</x:v>
      </x:c>
      <x:c r="C518" s="10" t="str">
        <x:v>FOR043</x:v>
      </x:c>
      <x:c r="D518" s="10" t="str">
        <x:v>CC007</x:v>
      </x:c>
      <x:c r="E518" s="10" t="str">
        <x:v>CAT015</x:v>
      </x:c>
      <x:c r="F518" s="10" t="str">
        <x:v>CTA005</x:v>
      </x:c>
      <x:c r="G518" s="10" t="str">
        <x:v>NF-100517</x:v>
      </x:c>
      <x:c r="H518" s="10" t="str">
        <x:v>Despesa operacional</x:v>
      </x:c>
      <x:c r="I518" s="16" t="n">
        <x:v>45413.512217083335</x:v>
      </x:c>
      <x:c r="J518" s="16" t="n">
        <x:v>45448.512217083335</x:v>
      </x:c>
      <x:c r="K518" s="16"/>
      <x:c r="L518" s="20" t="n">
        <x:v>3000.49</x:v>
      </x:c>
      <x:c r="M518" s="20" t="n">
        <x:v>0</x:v>
      </x:c>
      <x:c r="N518" s="20" t="n">
        <x:v>0</x:v>
      </x:c>
      <x:c r="O518" s="20" t="n">
        <x:v>0</x:v>
      </x:c>
      <x:c r="P518" s="20" t="n">
        <x:v>3000.49</x:v>
      </x:c>
      <x:c r="Q518" s="10" t="str">
        <x:v>Vencido</x:v>
      </x:c>
      <x:c r="R518" s="10" t="str">
        <x:v>Boleto</x:v>
      </x:c>
      <x:c r="S518" s="10" t="str">
        <x:v>2024-05</x:v>
      </x:c>
      <x:c r="T518" s="10" t="n">
        <x:v>573</x:v>
      </x:c>
      <x:c r="U518" s="10" t="str">
        <x:v>&gt; 120 dias</x:v>
      </x:c>
      <x:c r="V518" s="10" t="str">
        <x:v>UND004</x:v>
      </x:c>
    </x:row>
    <x:row r="519" ht="18" customHeight="1">
      <x:c r="A519" s="10" t="str">
        <x:v>PAG00518</x:v>
      </x:c>
      <x:c r="B519" s="10" t="str">
        <x:v>EMP003</x:v>
      </x:c>
      <x:c r="C519" s="10" t="str">
        <x:v>FOR017</x:v>
      </x:c>
      <x:c r="D519" s="10" t="str">
        <x:v>CC005</x:v>
      </x:c>
      <x:c r="E519" s="10" t="str">
        <x:v>CAT007</x:v>
      </x:c>
      <x:c r="F519" s="10" t="str">
        <x:v>CTA005</x:v>
      </x:c>
      <x:c r="G519" s="10" t="str">
        <x:v>NF-100518</x:v>
      </x:c>
      <x:c r="H519" s="10" t="str">
        <x:v>Despesa operacional</x:v>
      </x:c>
      <x:c r="I519" s="16" t="n">
        <x:v>45332.01016385417</x:v>
      </x:c>
      <x:c r="J519" s="16" t="n">
        <x:v>45362.01016385417</x:v>
      </x:c>
      <x:c r="K519" s="16"/>
      <x:c r="L519" s="20" t="n">
        <x:v>54577.78</x:v>
      </x:c>
      <x:c r="M519" s="20" t="n">
        <x:v>0</x:v>
      </x:c>
      <x:c r="N519" s="20" t="n">
        <x:v>0</x:v>
      </x:c>
      <x:c r="O519" s="20" t="n">
        <x:v>0</x:v>
      </x:c>
      <x:c r="P519" s="20" t="n">
        <x:v>54577.78</x:v>
      </x:c>
      <x:c r="Q519" s="10" t="str">
        <x:v>Vencido</x:v>
      </x:c>
      <x:c r="R519" s="10" t="str">
        <x:v>TED</x:v>
      </x:c>
      <x:c r="S519" s="10" t="str">
        <x:v>2024-02</x:v>
      </x:c>
      <x:c r="T519" s="10" t="n">
        <x:v>659</x:v>
      </x:c>
      <x:c r="U519" s="10" t="str">
        <x:v>&gt; 120 dias</x:v>
      </x:c>
      <x:c r="V519" s="10" t="str">
        <x:v>UND004</x:v>
      </x:c>
    </x:row>
    <x:row r="520" ht="18" customHeight="1">
      <x:c r="A520" s="10" t="str">
        <x:v>PAG00519</x:v>
      </x:c>
      <x:c r="B520" s="10" t="str">
        <x:v>EMP001</x:v>
      </x:c>
      <x:c r="C520" s="10" t="str">
        <x:v>FOR044</x:v>
      </x:c>
      <x:c r="D520" s="10" t="str">
        <x:v>CC008</x:v>
      </x:c>
      <x:c r="E520" s="10" t="str">
        <x:v>CAT013</x:v>
      </x:c>
      <x:c r="F520" s="10" t="str">
        <x:v>CTA002</x:v>
      </x:c>
      <x:c r="G520" s="10" t="str">
        <x:v>NF-100519</x:v>
      </x:c>
      <x:c r="H520" s="10" t="str">
        <x:v>Compra de materiais</x:v>
      </x:c>
      <x:c r="I520" s="16" t="n">
        <x:v>45721.944871064814</x:v>
      </x:c>
      <x:c r="J520" s="16" t="n">
        <x:v>45751.944871064814</x:v>
      </x:c>
      <x:c r="K520" s="16" t="n">
        <x:v>45747.944871064814</x:v>
      </x:c>
      <x:c r="L520" s="20" t="n">
        <x:v>37573.2</x:v>
      </x:c>
      <x:c r="M520" s="20" t="n">
        <x:v>0</x:v>
      </x:c>
      <x:c r="N520" s="20" t="n">
        <x:v>0</x:v>
      </x:c>
      <x:c r="O520" s="20" t="n">
        <x:v>37573.2</x:v>
      </x:c>
      <x:c r="P520" s="20" t="n">
        <x:v>0</x:v>
      </x:c>
      <x:c r="Q520" s="10" t="str">
        <x:v>Pago</x:v>
      </x:c>
      <x:c r="R520" s="10" t="str">
        <x:v>PIX</x:v>
      </x:c>
      <x:c r="S520" s="10" t="str">
        <x:v>2025-03</x:v>
      </x:c>
      <x:c r="T520" s="10" t="n">
        <x:v>0</x:v>
      </x:c>
      <x:c r="U520" s="10" t="str">
        <x:v>Liquidado</x:v>
      </x:c>
      <x:c r="V520" s="10" t="str">
        <x:v>UND002</x:v>
      </x:c>
    </x:row>
    <x:row r="521" ht="18" customHeight="1">
      <x:c r="A521" s="10" t="str">
        <x:v>PAG00520</x:v>
      </x:c>
      <x:c r="B521" s="10" t="str">
        <x:v>EMP003</x:v>
      </x:c>
      <x:c r="C521" s="10" t="str">
        <x:v>FOR047</x:v>
      </x:c>
      <x:c r="D521" s="10" t="str">
        <x:v>CC001</x:v>
      </x:c>
      <x:c r="E521" s="10" t="str">
        <x:v>CAT006</x:v>
      </x:c>
      <x:c r="F521" s="10" t="str">
        <x:v>CTA005</x:v>
      </x:c>
      <x:c r="G521" s="10" t="str">
        <x:v>NF-100520</x:v>
      </x:c>
      <x:c r="H521" s="10" t="str">
        <x:v>Contrato recorrente</x:v>
      </x:c>
      <x:c r="I521" s="16" t="n">
        <x:v>45628.2258896875</x:v>
      </x:c>
      <x:c r="J521" s="16" t="n">
        <x:v>45648.2258896875</x:v>
      </x:c>
      <x:c r="K521" s="16" t="n">
        <x:v>45654.2258896875</x:v>
      </x:c>
      <x:c r="L521" s="20" t="n">
        <x:v>12758.24</x:v>
      </x:c>
      <x:c r="M521" s="20" t="n">
        <x:v>53.58</x:v>
      </x:c>
      <x:c r="N521" s="20" t="n">
        <x:v>0</x:v>
      </x:c>
      <x:c r="O521" s="20" t="n">
        <x:v>12811.82</x:v>
      </x:c>
      <x:c r="P521" s="20" t="n">
        <x:v>0</x:v>
      </x:c>
      <x:c r="Q521" s="10" t="str">
        <x:v>Pago</x:v>
      </x:c>
      <x:c r="R521" s="10" t="str">
        <x:v>PIX</x:v>
      </x:c>
      <x:c r="S521" s="10" t="str">
        <x:v>2024-12</x:v>
      </x:c>
      <x:c r="T521" s="10" t="n">
        <x:v>0</x:v>
      </x:c>
      <x:c r="U521" s="10" t="str">
        <x:v>Liquidado</x:v>
      </x:c>
      <x:c r="V521" s="10" t="str">
        <x:v>UND004</x:v>
      </x:c>
    </x:row>
    <x:row r="522" ht="18" customHeight="1">
      <x:c r="A522" s="10" t="str">
        <x:v>PAG00521</x:v>
      </x:c>
      <x:c r="B522" s="10" t="str">
        <x:v>EMP003</x:v>
      </x:c>
      <x:c r="C522" s="10" t="str">
        <x:v>FOR039</x:v>
      </x:c>
      <x:c r="D522" s="10" t="str">
        <x:v>CC005</x:v>
      </x:c>
      <x:c r="E522" s="10" t="str">
        <x:v>CAT011</x:v>
      </x:c>
      <x:c r="F522" s="10" t="str">
        <x:v>CTA005</x:v>
      </x:c>
      <x:c r="G522" s="10" t="str">
        <x:v>NF-100521</x:v>
      </x:c>
      <x:c r="H522" s="10" t="str">
        <x:v>Despesa operacional</x:v>
      </x:c>
      <x:c r="I522" s="16" t="n">
        <x:v>45720.47981162037</x:v>
      </x:c>
      <x:c r="J522" s="16" t="n">
        <x:v>45740.47981162037</x:v>
      </x:c>
      <x:c r="K522" s="16"/>
      <x:c r="L522" s="20" t="n">
        <x:v>98040.17</x:v>
      </x:c>
      <x:c r="M522" s="20" t="n">
        <x:v>0</x:v>
      </x:c>
      <x:c r="N522" s="20" t="n">
        <x:v>0</x:v>
      </x:c>
      <x:c r="O522" s="20" t="n">
        <x:v>0</x:v>
      </x:c>
      <x:c r="P522" s="20" t="n">
        <x:v>98040.17</x:v>
      </x:c>
      <x:c r="Q522" s="10" t="str">
        <x:v>Vencido</x:v>
      </x:c>
      <x:c r="R522" s="10" t="str">
        <x:v>Boleto</x:v>
      </x:c>
      <x:c r="S522" s="10" t="str">
        <x:v>2025-03</x:v>
      </x:c>
      <x:c r="T522" s="10" t="n">
        <x:v>281</x:v>
      </x:c>
      <x:c r="U522" s="10" t="str">
        <x:v>&gt; 120 dias</x:v>
      </x:c>
      <x:c r="V522" s="10" t="str">
        <x:v>UND004</x:v>
      </x:c>
    </x:row>
    <x:row r="523" ht="18" customHeight="1">
      <x:c r="A523" s="10" t="str">
        <x:v>PAG00522</x:v>
      </x:c>
      <x:c r="B523" s="10" t="str">
        <x:v>EMP003</x:v>
      </x:c>
      <x:c r="C523" s="10" t="str">
        <x:v>FOR047</x:v>
      </x:c>
      <x:c r="D523" s="10" t="str">
        <x:v>CC002</x:v>
      </x:c>
      <x:c r="E523" s="10" t="str">
        <x:v>CAT007</x:v>
      </x:c>
      <x:c r="F523" s="10" t="str">
        <x:v>CTA006</x:v>
      </x:c>
      <x:c r="G523" s="10" t="str">
        <x:v>NF-100522</x:v>
      </x:c>
      <x:c r="H523" s="10" t="str">
        <x:v>Tributos e taxas</x:v>
      </x:c>
      <x:c r="I523" s="16" t="n">
        <x:v>45845.49104061343</x:v>
      </x:c>
      <x:c r="J523" s="16" t="n">
        <x:v>45905.49104061343</x:v>
      </x:c>
      <x:c r="K523" s="16" t="n">
        <x:v>45912.49104061343</x:v>
      </x:c>
      <x:c r="L523" s="20" t="n">
        <x:v>90380.91</x:v>
      </x:c>
      <x:c r="M523" s="20" t="n">
        <x:v>442.87</x:v>
      </x:c>
      <x:c r="N523" s="20" t="n">
        <x:v>0</x:v>
      </x:c>
      <x:c r="O523" s="20" t="n">
        <x:v>90823.78</x:v>
      </x:c>
      <x:c r="P523" s="20" t="n">
        <x:v>0</x:v>
      </x:c>
      <x:c r="Q523" s="10" t="str">
        <x:v>Pago</x:v>
      </x:c>
      <x:c r="R523" s="10" t="str">
        <x:v>TED</x:v>
      </x:c>
      <x:c r="S523" s="10" t="str">
        <x:v>2025-07</x:v>
      </x:c>
      <x:c r="T523" s="10" t="n">
        <x:v>0</x:v>
      </x:c>
      <x:c r="U523" s="10" t="str">
        <x:v>Liquidado</x:v>
      </x:c>
      <x:c r="V523" s="10" t="str">
        <x:v>UND004</x:v>
      </x:c>
    </x:row>
    <x:row r="524" ht="18" customHeight="1">
      <x:c r="A524" s="10" t="str">
        <x:v>PAG00523</x:v>
      </x:c>
      <x:c r="B524" s="10" t="str">
        <x:v>EMP001</x:v>
      </x:c>
      <x:c r="C524" s="10" t="str">
        <x:v>FOR002</x:v>
      </x:c>
      <x:c r="D524" s="10" t="str">
        <x:v>CC005</x:v>
      </x:c>
      <x:c r="E524" s="10" t="str">
        <x:v>CAT007</x:v>
      </x:c>
      <x:c r="F524" s="10" t="str">
        <x:v>CTA001</x:v>
      </x:c>
      <x:c r="G524" s="10" t="str">
        <x:v>NF-100523</x:v>
      </x:c>
      <x:c r="H524" s="10" t="str">
        <x:v>Prestação de serviços</x:v>
      </x:c>
      <x:c r="I524" s="16" t="n">
        <x:v>45363.98287130787</x:v>
      </x:c>
      <x:c r="J524" s="16" t="n">
        <x:v>45398.98287130787</x:v>
      </x:c>
      <x:c r="K524" s="16" t="n">
        <x:v>45391.98287130787</x:v>
      </x:c>
      <x:c r="L524" s="20" t="n">
        <x:v>13897.29</x:v>
      </x:c>
      <x:c r="M524" s="20" t="n">
        <x:v>0</x:v>
      </x:c>
      <x:c r="N524" s="20" t="n">
        <x:v>0</x:v>
      </x:c>
      <x:c r="O524" s="20" t="n">
        <x:v>13897.29</x:v>
      </x:c>
      <x:c r="P524" s="20" t="n">
        <x:v>0</x:v>
      </x:c>
      <x:c r="Q524" s="10" t="str">
        <x:v>Pago</x:v>
      </x:c>
      <x:c r="R524" s="10" t="str">
        <x:v>TED</x:v>
      </x:c>
      <x:c r="S524" s="10" t="str">
        <x:v>2024-03</x:v>
      </x:c>
      <x:c r="T524" s="10" t="n">
        <x:v>0</x:v>
      </x:c>
      <x:c r="U524" s="10" t="str">
        <x:v>Liquidado</x:v>
      </x:c>
      <x:c r="V524" s="10" t="str">
        <x:v>UND002</x:v>
      </x:c>
    </x:row>
    <x:row r="525" ht="18" customHeight="1">
      <x:c r="A525" s="10" t="str">
        <x:v>PAG00524</x:v>
      </x:c>
      <x:c r="B525" s="10" t="str">
        <x:v>EMP003</x:v>
      </x:c>
      <x:c r="C525" s="10" t="str">
        <x:v>FOR026</x:v>
      </x:c>
      <x:c r="D525" s="10" t="str">
        <x:v>CC007</x:v>
      </x:c>
      <x:c r="E525" s="10" t="str">
        <x:v>CAT017</x:v>
      </x:c>
      <x:c r="F525" s="10" t="str">
        <x:v>CTA006</x:v>
      </x:c>
      <x:c r="G525" s="10" t="str">
        <x:v>NF-100524</x:v>
      </x:c>
      <x:c r="H525" s="10" t="str">
        <x:v>Contrato recorrente</x:v>
      </x:c>
      <x:c r="I525" s="16" t="n">
        <x:v>45992.73545049768</x:v>
      </x:c>
      <x:c r="J525" s="16" t="n">
        <x:v>46022.73545049768</x:v>
      </x:c>
      <x:c r="K525" s="16"/>
      <x:c r="L525" s="20" t="n">
        <x:v>98924.47</x:v>
      </x:c>
      <x:c r="M525" s="20" t="n">
        <x:v>0</x:v>
      </x:c>
      <x:c r="N525" s="20" t="n">
        <x:v>0</x:v>
      </x:c>
      <x:c r="O525" s="20" t="n">
        <x:v>0</x:v>
      </x:c>
      <x:c r="P525" s="20" t="n">
        <x:v>98924.47</x:v>
      </x:c>
      <x:c r="Q525" s="10" t="str">
        <x:v>A vencer</x:v>
      </x:c>
      <x:c r="R525" s="10" t="str">
        <x:v>TED</x:v>
      </x:c>
      <x:c r="S525" s="10" t="str">
        <x:v>2025-12</x:v>
      </x:c>
      <x:c r="T525" s="10" t="n">
        <x:v>0</x:v>
      </x:c>
      <x:c r="U525" s="10" t="str">
        <x:v>A vencer</x:v>
      </x:c>
      <x:c r="V525" s="10" t="str">
        <x:v>UND004</x:v>
      </x:c>
    </x:row>
    <x:row r="526" ht="18" customHeight="1">
      <x:c r="A526" s="10" t="str">
        <x:v>PAG00525</x:v>
      </x:c>
      <x:c r="B526" s="10" t="str">
        <x:v>EMP002</x:v>
      </x:c>
      <x:c r="C526" s="10" t="str">
        <x:v>FOR049</x:v>
      </x:c>
      <x:c r="D526" s="10" t="str">
        <x:v>CC007</x:v>
      </x:c>
      <x:c r="E526" s="10" t="str">
        <x:v>CAT010</x:v>
      </x:c>
      <x:c r="F526" s="10" t="str">
        <x:v>CTA003</x:v>
      </x:c>
      <x:c r="G526" s="10" t="str">
        <x:v>NF-100525</x:v>
      </x:c>
      <x:c r="H526" s="10" t="str">
        <x:v>Contrato recorrente</x:v>
      </x:c>
      <x:c r="I526" s="16" t="n">
        <x:v>45790.60812885417</x:v>
      </x:c>
      <x:c r="J526" s="16" t="n">
        <x:v>45818.60812885417</x:v>
      </x:c>
      <x:c r="K526" s="16" t="n">
        <x:v>45813.60812885417</x:v>
      </x:c>
      <x:c r="L526" s="20" t="n">
        <x:v>48695.56</x:v>
      </x:c>
      <x:c r="M526" s="20" t="n">
        <x:v>0</x:v>
      </x:c>
      <x:c r="N526" s="20" t="n">
        <x:v>0</x:v>
      </x:c>
      <x:c r="O526" s="20" t="n">
        <x:v>48695.56</x:v>
      </x:c>
      <x:c r="P526" s="20" t="n">
        <x:v>0</x:v>
      </x:c>
      <x:c r="Q526" s="10" t="str">
        <x:v>Pago</x:v>
      </x:c>
      <x:c r="R526" s="10" t="str">
        <x:v>Cartão Corporativo</x:v>
      </x:c>
      <x:c r="S526" s="10" t="str">
        <x:v>2025-05</x:v>
      </x:c>
      <x:c r="T526" s="10" t="n">
        <x:v>0</x:v>
      </x:c>
      <x:c r="U526" s="10" t="str">
        <x:v>Liquidado</x:v>
      </x:c>
      <x:c r="V526" s="10" t="str">
        <x:v>UND003</x:v>
      </x:c>
    </x:row>
    <x:row r="527" ht="18" customHeight="1">
      <x:c r="A527" s="10" t="str">
        <x:v>PAG00526</x:v>
      </x:c>
      <x:c r="B527" s="10" t="str">
        <x:v>EMP001</x:v>
      </x:c>
      <x:c r="C527" s="10" t="str">
        <x:v>FOR007</x:v>
      </x:c>
      <x:c r="D527" s="10" t="str">
        <x:v>CC002</x:v>
      </x:c>
      <x:c r="E527" s="10" t="str">
        <x:v>CAT016</x:v>
      </x:c>
      <x:c r="F527" s="10" t="str">
        <x:v>CTA002</x:v>
      </x:c>
      <x:c r="G527" s="10" t="str">
        <x:v>NF-100526</x:v>
      </x:c>
      <x:c r="H527" s="10" t="str">
        <x:v>Tributos e taxas</x:v>
      </x:c>
      <x:c r="I527" s="16" t="n">
        <x:v>45869.46627082176</x:v>
      </x:c>
      <x:c r="J527" s="16" t="n">
        <x:v>45929.46627082176</x:v>
      </x:c>
      <x:c r="K527" s="16" t="n">
        <x:v>45941.46627082176</x:v>
      </x:c>
      <x:c r="L527" s="20" t="n">
        <x:v>11599.64</x:v>
      </x:c>
      <x:c r="M527" s="20" t="n">
        <x:v>97.44</x:v>
      </x:c>
      <x:c r="N527" s="20" t="n">
        <x:v>0</x:v>
      </x:c>
      <x:c r="O527" s="20" t="n">
        <x:v>11697.08</x:v>
      </x:c>
      <x:c r="P527" s="20" t="n">
        <x:v>0</x:v>
      </x:c>
      <x:c r="Q527" s="10" t="str">
        <x:v>Pago</x:v>
      </x:c>
      <x:c r="R527" s="10" t="str">
        <x:v>PIX</x:v>
      </x:c>
      <x:c r="S527" s="10" t="str">
        <x:v>2025-07</x:v>
      </x:c>
      <x:c r="T527" s="10" t="n">
        <x:v>0</x:v>
      </x:c>
      <x:c r="U527" s="10" t="str">
        <x:v>Liquidado</x:v>
      </x:c>
      <x:c r="V527" s="10" t="str">
        <x:v>UND002</x:v>
      </x:c>
    </x:row>
    <x:row r="528" ht="18" customHeight="1">
      <x:c r="A528" s="10" t="str">
        <x:v>PAG00527</x:v>
      </x:c>
      <x:c r="B528" s="10" t="str">
        <x:v>EMP002</x:v>
      </x:c>
      <x:c r="C528" s="10" t="str">
        <x:v>FOR033</x:v>
      </x:c>
      <x:c r="D528" s="10" t="str">
        <x:v>CC004</x:v>
      </x:c>
      <x:c r="E528" s="10" t="str">
        <x:v>CAT018</x:v>
      </x:c>
      <x:c r="F528" s="10" t="str">
        <x:v>CTA004</x:v>
      </x:c>
      <x:c r="G528" s="10" t="str">
        <x:v>NF-100527</x:v>
      </x:c>
      <x:c r="H528" s="10" t="str">
        <x:v>Contrato recorrente</x:v>
      </x:c>
      <x:c r="I528" s="16" t="n">
        <x:v>45373.55563605324</x:v>
      </x:c>
      <x:c r="J528" s="16" t="n">
        <x:v>45388.55563605324</x:v>
      </x:c>
      <x:c r="K528" s="16" t="n">
        <x:v>45390.55563605324</x:v>
      </x:c>
      <x:c r="L528" s="20" t="n">
        <x:v>28730.24</x:v>
      </x:c>
      <x:c r="M528" s="20" t="n">
        <x:v>40.22</x:v>
      </x:c>
      <x:c r="N528" s="20" t="n">
        <x:v>0</x:v>
      </x:c>
      <x:c r="O528" s="20" t="n">
        <x:v>28770.46</x:v>
      </x:c>
      <x:c r="P528" s="20" t="n">
        <x:v>0</x:v>
      </x:c>
      <x:c r="Q528" s="10" t="str">
        <x:v>Pago</x:v>
      </x:c>
      <x:c r="R528" s="10" t="str">
        <x:v>Cartão Corporativo</x:v>
      </x:c>
      <x:c r="S528" s="10" t="str">
        <x:v>2024-03</x:v>
      </x:c>
      <x:c r="T528" s="10" t="n">
        <x:v>0</x:v>
      </x:c>
      <x:c r="U528" s="10" t="str">
        <x:v>Liquidado</x:v>
      </x:c>
      <x:c r="V528" s="10" t="str">
        <x:v>UND003</x:v>
      </x:c>
    </x:row>
    <x:row r="529" ht="18" customHeight="1">
      <x:c r="A529" s="10" t="str">
        <x:v>PAG00528</x:v>
      </x:c>
      <x:c r="B529" s="10" t="str">
        <x:v>EMP003</x:v>
      </x:c>
      <x:c r="C529" s="10" t="str">
        <x:v>FOR021</x:v>
      </x:c>
      <x:c r="D529" s="10" t="str">
        <x:v>CC004</x:v>
      </x:c>
      <x:c r="E529" s="10" t="str">
        <x:v>CAT013</x:v>
      </x:c>
      <x:c r="F529" s="10" t="str">
        <x:v>CTA006</x:v>
      </x:c>
      <x:c r="G529" s="10" t="str">
        <x:v>NF-100528</x:v>
      </x:c>
      <x:c r="H529" s="10" t="str">
        <x:v>Tributos e taxas</x:v>
      </x:c>
      <x:c r="I529" s="16" t="n">
        <x:v>45573.93456126157</x:v>
      </x:c>
      <x:c r="J529" s="16" t="n">
        <x:v>45608.93456126157</x:v>
      </x:c>
      <x:c r="K529" s="16" t="n">
        <x:v>45608.93456126157</x:v>
      </x:c>
      <x:c r="L529" s="20" t="n">
        <x:v>88537.61</x:v>
      </x:c>
      <x:c r="M529" s="20" t="n">
        <x:v>0</x:v>
      </x:c>
      <x:c r="N529" s="20" t="n">
        <x:v>0</x:v>
      </x:c>
      <x:c r="O529" s="20" t="n">
        <x:v>88537.61</x:v>
      </x:c>
      <x:c r="P529" s="20" t="n">
        <x:v>0</x:v>
      </x:c>
      <x:c r="Q529" s="10" t="str">
        <x:v>Pago</x:v>
      </x:c>
      <x:c r="R529" s="10" t="str">
        <x:v>PIX</x:v>
      </x:c>
      <x:c r="S529" s="10" t="str">
        <x:v>2024-10</x:v>
      </x:c>
      <x:c r="T529" s="10" t="n">
        <x:v>0</x:v>
      </x:c>
      <x:c r="U529" s="10" t="str">
        <x:v>Liquidado</x:v>
      </x:c>
      <x:c r="V529" s="10" t="str">
        <x:v>UND004</x:v>
      </x:c>
    </x:row>
    <x:row r="530" ht="18" customHeight="1">
      <x:c r="A530" s="10" t="str">
        <x:v>PAG00529</x:v>
      </x:c>
      <x:c r="B530" s="10" t="str">
        <x:v>EMP003</x:v>
      </x:c>
      <x:c r="C530" s="10" t="str">
        <x:v>FOR016</x:v>
      </x:c>
      <x:c r="D530" s="10" t="str">
        <x:v>CC008</x:v>
      </x:c>
      <x:c r="E530" s="10" t="str">
        <x:v>CAT015</x:v>
      </x:c>
      <x:c r="F530" s="10" t="str">
        <x:v>CTA006</x:v>
      </x:c>
      <x:c r="G530" s="10" t="str">
        <x:v>NF-100529</x:v>
      </x:c>
      <x:c r="H530" s="10" t="str">
        <x:v>Compra de materiais</x:v>
      </x:c>
      <x:c r="I530" s="16" t="n">
        <x:v>45951.84899922454</x:v>
      </x:c>
      <x:c r="J530" s="16" t="n">
        <x:v>46011.84899922454</x:v>
      </x:c>
      <x:c r="K530" s="16" t="n">
        <x:v>46010.84899922454</x:v>
      </x:c>
      <x:c r="L530" s="20" t="n">
        <x:v>26017.16</x:v>
      </x:c>
      <x:c r="M530" s="20" t="n">
        <x:v>0</x:v>
      </x:c>
      <x:c r="N530" s="20" t="n">
        <x:v>0</x:v>
      </x:c>
      <x:c r="O530" s="20" t="n">
        <x:v>26017.16</x:v>
      </x:c>
      <x:c r="P530" s="20" t="n">
        <x:v>0</x:v>
      </x:c>
      <x:c r="Q530" s="10" t="str">
        <x:v>Pago</x:v>
      </x:c>
      <x:c r="R530" s="10" t="str">
        <x:v>PIX</x:v>
      </x:c>
      <x:c r="S530" s="10" t="str">
        <x:v>2025-10</x:v>
      </x:c>
      <x:c r="T530" s="10" t="n">
        <x:v>0</x:v>
      </x:c>
      <x:c r="U530" s="10" t="str">
        <x:v>Liquidado</x:v>
      </x:c>
      <x:c r="V530" s="10" t="str">
        <x:v>UND004</x:v>
      </x:c>
    </x:row>
    <x:row r="531" ht="18" customHeight="1">
      <x:c r="A531" s="10" t="str">
        <x:v>PAG00530</x:v>
      </x:c>
      <x:c r="B531" s="10" t="str">
        <x:v>EMP003</x:v>
      </x:c>
      <x:c r="C531" s="10" t="str">
        <x:v>FOR025</x:v>
      </x:c>
      <x:c r="D531" s="10" t="str">
        <x:v>CC004</x:v>
      </x:c>
      <x:c r="E531" s="10" t="str">
        <x:v>CAT018</x:v>
      </x:c>
      <x:c r="F531" s="10" t="str">
        <x:v>CTA005</x:v>
      </x:c>
      <x:c r="G531" s="10" t="str">
        <x:v>NF-100530</x:v>
      </x:c>
      <x:c r="H531" s="10" t="str">
        <x:v>Tributos e taxas</x:v>
      </x:c>
      <x:c r="I531" s="16" t="n">
        <x:v>45524.77785225694</x:v>
      </x:c>
      <x:c r="J531" s="16" t="n">
        <x:v>45539.77785225694</x:v>
      </x:c>
      <x:c r="K531" s="16" t="n">
        <x:v>45542.77785225694</x:v>
      </x:c>
      <x:c r="L531" s="20" t="n">
        <x:v>110540.69</x:v>
      </x:c>
      <x:c r="M531" s="20" t="n">
        <x:v>232.14</x:v>
      </x:c>
      <x:c r="N531" s="20" t="n">
        <x:v>0</x:v>
      </x:c>
      <x:c r="O531" s="20" t="n">
        <x:v>110772.83</x:v>
      </x:c>
      <x:c r="P531" s="20" t="n">
        <x:v>0</x:v>
      </x:c>
      <x:c r="Q531" s="10" t="str">
        <x:v>Pago</x:v>
      </x:c>
      <x:c r="R531" s="10" t="str">
        <x:v>Débito Automático</x:v>
      </x:c>
      <x:c r="S531" s="10" t="str">
        <x:v>2024-08</x:v>
      </x:c>
      <x:c r="T531" s="10" t="n">
        <x:v>0</x:v>
      </x:c>
      <x:c r="U531" s="10" t="str">
        <x:v>Liquidado</x:v>
      </x:c>
      <x:c r="V531" s="10" t="str">
        <x:v>UND004</x:v>
      </x:c>
    </x:row>
    <x:row r="532" ht="18" customHeight="1">
      <x:c r="A532" s="10" t="str">
        <x:v>PAG00531</x:v>
      </x:c>
      <x:c r="B532" s="10" t="str">
        <x:v>EMP003</x:v>
      </x:c>
      <x:c r="C532" s="10" t="str">
        <x:v>FOR051</x:v>
      </x:c>
      <x:c r="D532" s="10" t="str">
        <x:v>CC006</x:v>
      </x:c>
      <x:c r="E532" s="10" t="str">
        <x:v>CAT015</x:v>
      </x:c>
      <x:c r="F532" s="10" t="str">
        <x:v>CTA005</x:v>
      </x:c>
      <x:c r="G532" s="10" t="str">
        <x:v>NF-100531</x:v>
      </x:c>
      <x:c r="H532" s="10" t="str">
        <x:v>Prestação de serviços</x:v>
      </x:c>
      <x:c r="I532" s="16" t="n">
        <x:v>45944.26336226852</x:v>
      </x:c>
      <x:c r="J532" s="16" t="n">
        <x:v>46019.26336226852</x:v>
      </x:c>
      <x:c r="K532" s="16"/>
      <x:c r="L532" s="20" t="n">
        <x:v>113970.51</x:v>
      </x:c>
      <x:c r="M532" s="20" t="n">
        <x:v>0</x:v>
      </x:c>
      <x:c r="N532" s="20" t="n">
        <x:v>0</x:v>
      </x:c>
      <x:c r="O532" s="20" t="n">
        <x:v>0</x:v>
      </x:c>
      <x:c r="P532" s="20" t="n">
        <x:v>113970.51</x:v>
      </x:c>
      <x:c r="Q532" s="10" t="str">
        <x:v>Vencido</x:v>
      </x:c>
      <x:c r="R532" s="10" t="str">
        <x:v>Boleto</x:v>
      </x:c>
      <x:c r="S532" s="10" t="str">
        <x:v>2025-10</x:v>
      </x:c>
      <x:c r="T532" s="10" t="n">
        <x:v>2</x:v>
      </x:c>
      <x:c r="U532" s="10" t="str">
        <x:v>1 a 30 dias</x:v>
      </x:c>
      <x:c r="V532" s="10" t="str">
        <x:v>UND004</x:v>
      </x:c>
    </x:row>
    <x:row r="533" ht="18" customHeight="1">
      <x:c r="A533" s="10" t="str">
        <x:v>PAG00532</x:v>
      </x:c>
      <x:c r="B533" s="10" t="str">
        <x:v>EMP002</x:v>
      </x:c>
      <x:c r="C533" s="10" t="str">
        <x:v>FOR060</x:v>
      </x:c>
      <x:c r="D533" s="10" t="str">
        <x:v>CC008</x:v>
      </x:c>
      <x:c r="E533" s="10" t="str">
        <x:v>CAT016</x:v>
      </x:c>
      <x:c r="F533" s="10" t="str">
        <x:v>CTA003</x:v>
      </x:c>
      <x:c r="G533" s="10" t="str">
        <x:v>NF-100532</x:v>
      </x:c>
      <x:c r="H533" s="10" t="str">
        <x:v>Compra de materiais</x:v>
      </x:c>
      <x:c r="I533" s="16" t="n">
        <x:v>45943.320592118056</x:v>
      </x:c>
      <x:c r="J533" s="16" t="n">
        <x:v>46003.320592118056</x:v>
      </x:c>
      <x:c r="K533" s="16" t="n">
        <x:v>46010.320592118056</x:v>
      </x:c>
      <x:c r="L533" s="20" t="n">
        <x:v>14467.81</x:v>
      </x:c>
      <x:c r="M533" s="20" t="n">
        <x:v>70.89</x:v>
      </x:c>
      <x:c r="N533" s="20" t="n">
        <x:v>0</x:v>
      </x:c>
      <x:c r="O533" s="20" t="n">
        <x:v>14538.7</x:v>
      </x:c>
      <x:c r="P533" s="20" t="n">
        <x:v>0</x:v>
      </x:c>
      <x:c r="Q533" s="10" t="str">
        <x:v>Pago</x:v>
      </x:c>
      <x:c r="R533" s="10" t="str">
        <x:v>Débito Automático</x:v>
      </x:c>
      <x:c r="S533" s="10" t="str">
        <x:v>2025-10</x:v>
      </x:c>
      <x:c r="T533" s="10" t="n">
        <x:v>0</x:v>
      </x:c>
      <x:c r="U533" s="10" t="str">
        <x:v>Liquidado</x:v>
      </x:c>
      <x:c r="V533" s="10" t="str">
        <x:v>UND003</x:v>
      </x:c>
    </x:row>
    <x:row r="534" ht="18" customHeight="1">
      <x:c r="A534" s="10" t="str">
        <x:v>PAG00533</x:v>
      </x:c>
      <x:c r="B534" s="10" t="str">
        <x:v>EMP002</x:v>
      </x:c>
      <x:c r="C534" s="10" t="str">
        <x:v>FOR057</x:v>
      </x:c>
      <x:c r="D534" s="10" t="str">
        <x:v>CC003</x:v>
      </x:c>
      <x:c r="E534" s="10" t="str">
        <x:v>CAT015</x:v>
      </x:c>
      <x:c r="F534" s="10" t="str">
        <x:v>CTA003</x:v>
      </x:c>
      <x:c r="G534" s="10" t="str">
        <x:v>NF-100533</x:v>
      </x:c>
      <x:c r="H534" s="10" t="str">
        <x:v>Compra de materiais</x:v>
      </x:c>
      <x:c r="I534" s="16" t="n">
        <x:v>45789.5462262037</x:v>
      </x:c>
      <x:c r="J534" s="16" t="n">
        <x:v>45834.5462262037</x:v>
      </x:c>
      <x:c r="K534" s="16" t="n">
        <x:v>45835.5462262037</x:v>
      </x:c>
      <x:c r="L534" s="20" t="n">
        <x:v>14155.92</x:v>
      </x:c>
      <x:c r="M534" s="20" t="n">
        <x:v>9.91</x:v>
      </x:c>
      <x:c r="N534" s="20" t="n">
        <x:v>0</x:v>
      </x:c>
      <x:c r="O534" s="20" t="n">
        <x:v>14165.83</x:v>
      </x:c>
      <x:c r="P534" s="20" t="n">
        <x:v>0</x:v>
      </x:c>
      <x:c r="Q534" s="10" t="str">
        <x:v>Pago</x:v>
      </x:c>
      <x:c r="R534" s="10" t="str">
        <x:v>Boleto</x:v>
      </x:c>
      <x:c r="S534" s="10" t="str">
        <x:v>2025-05</x:v>
      </x:c>
      <x:c r="T534" s="10" t="n">
        <x:v>0</x:v>
      </x:c>
      <x:c r="U534" s="10" t="str">
        <x:v>Liquidado</x:v>
      </x:c>
      <x:c r="V534" s="10" t="str">
        <x:v>UND003</x:v>
      </x:c>
    </x:row>
    <x:row r="535" ht="18" customHeight="1">
      <x:c r="A535" s="10" t="str">
        <x:v>PAG00534</x:v>
      </x:c>
      <x:c r="B535" s="10" t="str">
        <x:v>EMP001</x:v>
      </x:c>
      <x:c r="C535" s="10" t="str">
        <x:v>FOR040</x:v>
      </x:c>
      <x:c r="D535" s="10" t="str">
        <x:v>CC008</x:v>
      </x:c>
      <x:c r="E535" s="10" t="str">
        <x:v>CAT011</x:v>
      </x:c>
      <x:c r="F535" s="10" t="str">
        <x:v>CTA001</x:v>
      </x:c>
      <x:c r="G535" s="10" t="str">
        <x:v>NF-100534</x:v>
      </x:c>
      <x:c r="H535" s="10" t="str">
        <x:v>Prestação de serviços</x:v>
      </x:c>
      <x:c r="I535" s="16" t="n">
        <x:v>45411.98525158565</x:v>
      </x:c>
      <x:c r="J535" s="16" t="n">
        <x:v>45431.98525158565</x:v>
      </x:c>
      <x:c r="K535" s="16" t="n">
        <x:v>45428.98525158565</x:v>
      </x:c>
      <x:c r="L535" s="20" t="n">
        <x:v>3046.18</x:v>
      </x:c>
      <x:c r="M535" s="20" t="n">
        <x:v>0</x:v>
      </x:c>
      <x:c r="N535" s="20" t="n">
        <x:v>0</x:v>
      </x:c>
      <x:c r="O535" s="20" t="n">
        <x:v>3046.18</x:v>
      </x:c>
      <x:c r="P535" s="20" t="n">
        <x:v>0</x:v>
      </x:c>
      <x:c r="Q535" s="10" t="str">
        <x:v>Pago</x:v>
      </x:c>
      <x:c r="R535" s="10" t="str">
        <x:v>Débito Automático</x:v>
      </x:c>
      <x:c r="S535" s="10" t="str">
        <x:v>2024-04</x:v>
      </x:c>
      <x:c r="T535" s="10" t="n">
        <x:v>0</x:v>
      </x:c>
      <x:c r="U535" s="10" t="str">
        <x:v>Liquidado</x:v>
      </x:c>
      <x:c r="V535" s="10" t="str">
        <x:v>UND001</x:v>
      </x:c>
    </x:row>
    <x:row r="536" ht="18" customHeight="1">
      <x:c r="A536" s="10" t="str">
        <x:v>PAG00535</x:v>
      </x:c>
      <x:c r="B536" s="10" t="str">
        <x:v>EMP003</x:v>
      </x:c>
      <x:c r="C536" s="10" t="str">
        <x:v>FOR041</x:v>
      </x:c>
      <x:c r="D536" s="10" t="str">
        <x:v>CC005</x:v>
      </x:c>
      <x:c r="E536" s="10" t="str">
        <x:v>CAT014</x:v>
      </x:c>
      <x:c r="F536" s="10" t="str">
        <x:v>CTA005</x:v>
      </x:c>
      <x:c r="G536" s="10" t="str">
        <x:v>NF-100535</x:v>
      </x:c>
      <x:c r="H536" s="10" t="str">
        <x:v>Prestação de serviços</x:v>
      </x:c>
      <x:c r="I536" s="16" t="n">
        <x:v>45609.69409824074</x:v>
      </x:c>
      <x:c r="J536" s="16" t="n">
        <x:v>45644.69409824074</x:v>
      </x:c>
      <x:c r="K536" s="16" t="n">
        <x:v>45654.69409824074</x:v>
      </x:c>
      <x:c r="L536" s="20" t="n">
        <x:v>88319.69</x:v>
      </x:c>
      <x:c r="M536" s="20" t="n">
        <x:v>618.24</x:v>
      </x:c>
      <x:c r="N536" s="20" t="n">
        <x:v>0</x:v>
      </x:c>
      <x:c r="O536" s="20" t="n">
        <x:v>88937.93</x:v>
      </x:c>
      <x:c r="P536" s="20" t="n">
        <x:v>0</x:v>
      </x:c>
      <x:c r="Q536" s="10" t="str">
        <x:v>Pago</x:v>
      </x:c>
      <x:c r="R536" s="10" t="str">
        <x:v>Cartão Corporativo</x:v>
      </x:c>
      <x:c r="S536" s="10" t="str">
        <x:v>2024-11</x:v>
      </x:c>
      <x:c r="T536" s="10" t="n">
        <x:v>0</x:v>
      </x:c>
      <x:c r="U536" s="10" t="str">
        <x:v>Liquidado</x:v>
      </x:c>
      <x:c r="V536" s="10" t="str">
        <x:v>UND004</x:v>
      </x:c>
    </x:row>
    <x:row r="537" ht="18" customHeight="1">
      <x:c r="A537" s="10" t="str">
        <x:v>PAG00536</x:v>
      </x:c>
      <x:c r="B537" s="10" t="str">
        <x:v>EMP001</x:v>
      </x:c>
      <x:c r="C537" s="10" t="str">
        <x:v>FOR036</x:v>
      </x:c>
      <x:c r="D537" s="10" t="str">
        <x:v>CC006</x:v>
      </x:c>
      <x:c r="E537" s="10" t="str">
        <x:v>CAT013</x:v>
      </x:c>
      <x:c r="F537" s="10" t="str">
        <x:v>CTA002</x:v>
      </x:c>
      <x:c r="G537" s="10" t="str">
        <x:v>NF-100536</x:v>
      </x:c>
      <x:c r="H537" s="10" t="str">
        <x:v>Compra de materiais</x:v>
      </x:c>
      <x:c r="I537" s="16" t="n">
        <x:v>45764.53257659722</x:v>
      </x:c>
      <x:c r="J537" s="16" t="n">
        <x:v>45809.53257659722</x:v>
      </x:c>
      <x:c r="K537" s="16" t="n">
        <x:v>45808.53257659722</x:v>
      </x:c>
      <x:c r="L537" s="20" t="n">
        <x:v>53244.5</x:v>
      </x:c>
      <x:c r="M537" s="20" t="n">
        <x:v>0</x:v>
      </x:c>
      <x:c r="N537" s="20" t="n">
        <x:v>0</x:v>
      </x:c>
      <x:c r="O537" s="20" t="n">
        <x:v>53244.5</x:v>
      </x:c>
      <x:c r="P537" s="20" t="n">
        <x:v>0</x:v>
      </x:c>
      <x:c r="Q537" s="10" t="str">
        <x:v>Pago</x:v>
      </x:c>
      <x:c r="R537" s="10" t="str">
        <x:v>Boleto</x:v>
      </x:c>
      <x:c r="S537" s="10" t="str">
        <x:v>2025-04</x:v>
      </x:c>
      <x:c r="T537" s="10" t="n">
        <x:v>0</x:v>
      </x:c>
      <x:c r="U537" s="10" t="str">
        <x:v>Liquidado</x:v>
      </x:c>
      <x:c r="V537" s="10" t="str">
        <x:v>UND002</x:v>
      </x:c>
    </x:row>
    <x:row r="538" ht="18" customHeight="1">
      <x:c r="A538" s="10" t="str">
        <x:v>PAG00537</x:v>
      </x:c>
      <x:c r="B538" s="10" t="str">
        <x:v>EMP002</x:v>
      </x:c>
      <x:c r="C538" s="10" t="str">
        <x:v>FOR024</x:v>
      </x:c>
      <x:c r="D538" s="10" t="str">
        <x:v>CC002</x:v>
      </x:c>
      <x:c r="E538" s="10" t="str">
        <x:v>CAT018</x:v>
      </x:c>
      <x:c r="F538" s="10" t="str">
        <x:v>CTA004</x:v>
      </x:c>
      <x:c r="G538" s="10" t="str">
        <x:v>NF-100537</x:v>
      </x:c>
      <x:c r="H538" s="10" t="str">
        <x:v>Despesa operacional</x:v>
      </x:c>
      <x:c r="I538" s="16" t="n">
        <x:v>45324.01436550926</x:v>
      </x:c>
      <x:c r="J538" s="16" t="n">
        <x:v>45359.01436550926</x:v>
      </x:c>
      <x:c r="K538" s="16" t="n">
        <x:v>45367.01436550926</x:v>
      </x:c>
      <x:c r="L538" s="20" t="n">
        <x:v>2046.83</x:v>
      </x:c>
      <x:c r="M538" s="20" t="n">
        <x:v>11.46</x:v>
      </x:c>
      <x:c r="N538" s="20" t="n">
        <x:v>0</x:v>
      </x:c>
      <x:c r="O538" s="20" t="n">
        <x:v>2058.29</x:v>
      </x:c>
      <x:c r="P538" s="20" t="n">
        <x:v>0</x:v>
      </x:c>
      <x:c r="Q538" s="10" t="str">
        <x:v>Pago</x:v>
      </x:c>
      <x:c r="R538" s="10" t="str">
        <x:v>PIX</x:v>
      </x:c>
      <x:c r="S538" s="10" t="str">
        <x:v>2024-02</x:v>
      </x:c>
      <x:c r="T538" s="10" t="n">
        <x:v>0</x:v>
      </x:c>
      <x:c r="U538" s="10" t="str">
        <x:v>Liquidado</x:v>
      </x:c>
      <x:c r="V538" s="10" t="str">
        <x:v>UND003</x:v>
      </x:c>
    </x:row>
    <x:row r="539" ht="18" customHeight="1">
      <x:c r="A539" s="10" t="str">
        <x:v>PAG00538</x:v>
      </x:c>
      <x:c r="B539" s="10" t="str">
        <x:v>EMP002</x:v>
      </x:c>
      <x:c r="C539" s="10" t="str">
        <x:v>FOR018</x:v>
      </x:c>
      <x:c r="D539" s="10" t="str">
        <x:v>CC002</x:v>
      </x:c>
      <x:c r="E539" s="10" t="str">
        <x:v>CAT016</x:v>
      </x:c>
      <x:c r="F539" s="10" t="str">
        <x:v>CTA003</x:v>
      </x:c>
      <x:c r="G539" s="10" t="str">
        <x:v>NF-100538</x:v>
      </x:c>
      <x:c r="H539" s="10" t="str">
        <x:v>Prestação de serviços</x:v>
      </x:c>
      <x:c r="I539" s="16" t="n">
        <x:v>45808.905336145835</x:v>
      </x:c>
      <x:c r="J539" s="16" t="n">
        <x:v>45838.905336145835</x:v>
      </x:c>
      <x:c r="K539" s="16" t="n">
        <x:v>45839.905336145835</x:v>
      </x:c>
      <x:c r="L539" s="20" t="n">
        <x:v>1697.08</x:v>
      </x:c>
      <x:c r="M539" s="20" t="n">
        <x:v>1.19</x:v>
      </x:c>
      <x:c r="N539" s="20" t="n">
        <x:v>0</x:v>
      </x:c>
      <x:c r="O539" s="20" t="n">
        <x:v>1698.27</x:v>
      </x:c>
      <x:c r="P539" s="20" t="n">
        <x:v>0</x:v>
      </x:c>
      <x:c r="Q539" s="10" t="str">
        <x:v>Pago</x:v>
      </x:c>
      <x:c r="R539" s="10" t="str">
        <x:v>TED</x:v>
      </x:c>
      <x:c r="S539" s="10" t="str">
        <x:v>2025-05</x:v>
      </x:c>
      <x:c r="T539" s="10" t="n">
        <x:v>0</x:v>
      </x:c>
      <x:c r="U539" s="10" t="str">
        <x:v>Liquidado</x:v>
      </x:c>
      <x:c r="V539" s="10" t="str">
        <x:v>UND003</x:v>
      </x:c>
    </x:row>
    <x:row r="540" ht="18" customHeight="1">
      <x:c r="A540" s="10" t="str">
        <x:v>PAG00539</x:v>
      </x:c>
      <x:c r="B540" s="10" t="str">
        <x:v>EMP002</x:v>
      </x:c>
      <x:c r="C540" s="10" t="str">
        <x:v>FOR022</x:v>
      </x:c>
      <x:c r="D540" s="10" t="str">
        <x:v>CC003</x:v>
      </x:c>
      <x:c r="E540" s="10" t="str">
        <x:v>CAT013</x:v>
      </x:c>
      <x:c r="F540" s="10" t="str">
        <x:v>CTA004</x:v>
      </x:c>
      <x:c r="G540" s="10" t="str">
        <x:v>NF-100539</x:v>
      </x:c>
      <x:c r="H540" s="10" t="str">
        <x:v>Tributos e taxas</x:v>
      </x:c>
      <x:c r="I540" s="16" t="n">
        <x:v>45826.46982530093</x:v>
      </x:c>
      <x:c r="J540" s="16" t="n">
        <x:v>45886.46982530093</x:v>
      </x:c>
      <x:c r="K540" s="16" t="n">
        <x:v>45887.46982530093</x:v>
      </x:c>
      <x:c r="L540" s="20" t="n">
        <x:v>112087.69</x:v>
      </x:c>
      <x:c r="M540" s="20" t="n">
        <x:v>78.46</x:v>
      </x:c>
      <x:c r="N540" s="20" t="n">
        <x:v>0</x:v>
      </x:c>
      <x:c r="O540" s="20" t="n">
        <x:v>112166.15</x:v>
      </x:c>
      <x:c r="P540" s="20" t="n">
        <x:v>0</x:v>
      </x:c>
      <x:c r="Q540" s="10" t="str">
        <x:v>Pago</x:v>
      </x:c>
      <x:c r="R540" s="10" t="str">
        <x:v>PIX</x:v>
      </x:c>
      <x:c r="S540" s="10" t="str">
        <x:v>2025-06</x:v>
      </x:c>
      <x:c r="T540" s="10" t="n">
        <x:v>0</x:v>
      </x:c>
      <x:c r="U540" s="10" t="str">
        <x:v>Liquidado</x:v>
      </x:c>
      <x:c r="V540" s="10" t="str">
        <x:v>UND003</x:v>
      </x:c>
    </x:row>
    <x:row r="541" ht="18" customHeight="1">
      <x:c r="A541" s="10" t="str">
        <x:v>PAG00540</x:v>
      </x:c>
      <x:c r="B541" s="10" t="str">
        <x:v>EMP001</x:v>
      </x:c>
      <x:c r="C541" s="10" t="str">
        <x:v>FOR020</x:v>
      </x:c>
      <x:c r="D541" s="10" t="str">
        <x:v>CC005</x:v>
      </x:c>
      <x:c r="E541" s="10" t="str">
        <x:v>CAT012</x:v>
      </x:c>
      <x:c r="F541" s="10" t="str">
        <x:v>CTA001</x:v>
      </x:c>
      <x:c r="G541" s="10" t="str">
        <x:v>NF-100540</x:v>
      </x:c>
      <x:c r="H541" s="10" t="str">
        <x:v>Compra de materiais</x:v>
      </x:c>
      <x:c r="I541" s="16" t="n">
        <x:v>45604.93562793981</x:v>
      </x:c>
      <x:c r="J541" s="16" t="n">
        <x:v>45639.93562793981</x:v>
      </x:c>
      <x:c r="K541" s="16" t="n">
        <x:v>45669.93562793981</x:v>
      </x:c>
      <x:c r="L541" s="20" t="n">
        <x:v>95733.63</x:v>
      </x:c>
      <x:c r="M541" s="20" t="n">
        <x:v>2010.41</x:v>
      </x:c>
      <x:c r="N541" s="20" t="n">
        <x:v>0</x:v>
      </x:c>
      <x:c r="O541" s="20" t="n">
        <x:v>97744.04</x:v>
      </x:c>
      <x:c r="P541" s="20" t="n">
        <x:v>0</x:v>
      </x:c>
      <x:c r="Q541" s="10" t="str">
        <x:v>Pago</x:v>
      </x:c>
      <x:c r="R541" s="10" t="str">
        <x:v>PIX</x:v>
      </x:c>
      <x:c r="S541" s="10" t="str">
        <x:v>2024-11</x:v>
      </x:c>
      <x:c r="T541" s="10" t="n">
        <x:v>0</x:v>
      </x:c>
      <x:c r="U541" s="10" t="str">
        <x:v>Liquidado</x:v>
      </x:c>
      <x:c r="V541" s="10" t="str">
        <x:v>UND001</x:v>
      </x:c>
    </x:row>
    <x:row r="542" ht="18" customHeight="1">
      <x:c r="A542" s="10" t="str">
        <x:v>PAG00541</x:v>
      </x:c>
      <x:c r="B542" s="10" t="str">
        <x:v>EMP003</x:v>
      </x:c>
      <x:c r="C542" s="10" t="str">
        <x:v>FOR037</x:v>
      </x:c>
      <x:c r="D542" s="10" t="str">
        <x:v>CC005</x:v>
      </x:c>
      <x:c r="E542" s="10" t="str">
        <x:v>CAT011</x:v>
      </x:c>
      <x:c r="F542" s="10" t="str">
        <x:v>CTA006</x:v>
      </x:c>
      <x:c r="G542" s="10" t="str">
        <x:v>NF-100541</x:v>
      </x:c>
      <x:c r="H542" s="10" t="str">
        <x:v>Prestação de serviços</x:v>
      </x:c>
      <x:c r="I542" s="16" t="n">
        <x:v>45988.52527668981</x:v>
      </x:c>
      <x:c r="J542" s="16" t="n">
        <x:v>46018.52527668981</x:v>
      </x:c>
      <x:c r="K542" s="16"/>
      <x:c r="L542" s="20" t="n">
        <x:v>11532.82</x:v>
      </x:c>
      <x:c r="M542" s="20" t="n">
        <x:v>0</x:v>
      </x:c>
      <x:c r="N542" s="20" t="n">
        <x:v>0</x:v>
      </x:c>
      <x:c r="O542" s="20" t="n">
        <x:v>0</x:v>
      </x:c>
      <x:c r="P542" s="20" t="n">
        <x:v>11532.82</x:v>
      </x:c>
      <x:c r="Q542" s="10" t="str">
        <x:v>Vencido</x:v>
      </x:c>
      <x:c r="R542" s="10" t="str">
        <x:v>PIX</x:v>
      </x:c>
      <x:c r="S542" s="10" t="str">
        <x:v>2025-11</x:v>
      </x:c>
      <x:c r="T542" s="10" t="n">
        <x:v>3</x:v>
      </x:c>
      <x:c r="U542" s="10" t="str">
        <x:v>1 a 30 dias</x:v>
      </x:c>
      <x:c r="V542" s="10" t="str">
        <x:v>UND004</x:v>
      </x:c>
    </x:row>
    <x:row r="543" ht="18" customHeight="1">
      <x:c r="A543" s="10" t="str">
        <x:v>PAG00542</x:v>
      </x:c>
      <x:c r="B543" s="10" t="str">
        <x:v>EMP003</x:v>
      </x:c>
      <x:c r="C543" s="10" t="str">
        <x:v>FOR001</x:v>
      </x:c>
      <x:c r="D543" s="10" t="str">
        <x:v>CC004</x:v>
      </x:c>
      <x:c r="E543" s="10" t="str">
        <x:v>CAT013</x:v>
      </x:c>
      <x:c r="F543" s="10" t="str">
        <x:v>CTA005</x:v>
      </x:c>
      <x:c r="G543" s="10" t="str">
        <x:v>NF-100542</x:v>
      </x:c>
      <x:c r="H543" s="10" t="str">
        <x:v>Contrato recorrente</x:v>
      </x:c>
      <x:c r="I543" s="16" t="n">
        <x:v>45950.695171747684</x:v>
      </x:c>
      <x:c r="J543" s="16" t="n">
        <x:v>45970.695171747684</x:v>
      </x:c>
      <x:c r="K543" s="16" t="n">
        <x:v>45967.695171747684</x:v>
      </x:c>
      <x:c r="L543" s="20" t="n">
        <x:v>54698.25</x:v>
      </x:c>
      <x:c r="M543" s="20" t="n">
        <x:v>0</x:v>
      </x:c>
      <x:c r="N543" s="20" t="n">
        <x:v>0</x:v>
      </x:c>
      <x:c r="O543" s="20" t="n">
        <x:v>54698.25</x:v>
      </x:c>
      <x:c r="P543" s="20" t="n">
        <x:v>0</x:v>
      </x:c>
      <x:c r="Q543" s="10" t="str">
        <x:v>Pago</x:v>
      </x:c>
      <x:c r="R543" s="10" t="str">
        <x:v>Boleto</x:v>
      </x:c>
      <x:c r="S543" s="10" t="str">
        <x:v>2025-10</x:v>
      </x:c>
      <x:c r="T543" s="10" t="n">
        <x:v>0</x:v>
      </x:c>
      <x:c r="U543" s="10" t="str">
        <x:v>Liquidado</x:v>
      </x:c>
      <x:c r="V543" s="10" t="str">
        <x:v>UND004</x:v>
      </x:c>
    </x:row>
    <x:row r="544" ht="18" customHeight="1">
      <x:c r="A544" s="10" t="str">
        <x:v>PAG00543</x:v>
      </x:c>
      <x:c r="B544" s="10" t="str">
        <x:v>EMP003</x:v>
      </x:c>
      <x:c r="C544" s="10" t="str">
        <x:v>FOR008</x:v>
      </x:c>
      <x:c r="D544" s="10" t="str">
        <x:v>CC003</x:v>
      </x:c>
      <x:c r="E544" s="10" t="str">
        <x:v>CAT005</x:v>
      </x:c>
      <x:c r="F544" s="10" t="str">
        <x:v>CTA006</x:v>
      </x:c>
      <x:c r="G544" s="10" t="str">
        <x:v>NF-100543</x:v>
      </x:c>
      <x:c r="H544" s="10" t="str">
        <x:v>Despesa operacional</x:v>
      </x:c>
      <x:c r="I544" s="16" t="n">
        <x:v>45671.061685810186</x:v>
      </x:c>
      <x:c r="J544" s="16" t="n">
        <x:v>45716.061685810186</x:v>
      </x:c>
      <x:c r="K544" s="16" t="n">
        <x:v>45712.061685810186</x:v>
      </x:c>
      <x:c r="L544" s="20" t="n">
        <x:v>5811.83</x:v>
      </x:c>
      <x:c r="M544" s="20" t="n">
        <x:v>0</x:v>
      </x:c>
      <x:c r="N544" s="20" t="n">
        <x:v>0</x:v>
      </x:c>
      <x:c r="O544" s="20" t="n">
        <x:v>5811.83</x:v>
      </x:c>
      <x:c r="P544" s="20" t="n">
        <x:v>0</x:v>
      </x:c>
      <x:c r="Q544" s="10" t="str">
        <x:v>Pago</x:v>
      </x:c>
      <x:c r="R544" s="10" t="str">
        <x:v>Débito Automático</x:v>
      </x:c>
      <x:c r="S544" s="10" t="str">
        <x:v>2025-01</x:v>
      </x:c>
      <x:c r="T544" s="10" t="n">
        <x:v>0</x:v>
      </x:c>
      <x:c r="U544" s="10" t="str">
        <x:v>Liquidado</x:v>
      </x:c>
      <x:c r="V544" s="10" t="str">
        <x:v>UND004</x:v>
      </x:c>
    </x:row>
    <x:row r="545" ht="18" customHeight="1">
      <x:c r="A545" s="10" t="str">
        <x:v>PAG00544</x:v>
      </x:c>
      <x:c r="B545" s="10" t="str">
        <x:v>EMP002</x:v>
      </x:c>
      <x:c r="C545" s="10" t="str">
        <x:v>FOR047</x:v>
      </x:c>
      <x:c r="D545" s="10" t="str">
        <x:v>CC004</x:v>
      </x:c>
      <x:c r="E545" s="10" t="str">
        <x:v>CAT016</x:v>
      </x:c>
      <x:c r="F545" s="10" t="str">
        <x:v>CTA003</x:v>
      </x:c>
      <x:c r="G545" s="10" t="str">
        <x:v>NF-100544</x:v>
      </x:c>
      <x:c r="H545" s="10" t="str">
        <x:v>Contrato recorrente</x:v>
      </x:c>
      <x:c r="I545" s="16" t="n">
        <x:v>45989.25567288195</x:v>
      </x:c>
      <x:c r="J545" s="16" t="n">
        <x:v>46034.25567288195</x:v>
      </x:c>
      <x:c r="K545" s="16"/>
      <x:c r="L545" s="20" t="n">
        <x:v>7001.48</x:v>
      </x:c>
      <x:c r="M545" s="20" t="n">
        <x:v>0</x:v>
      </x:c>
      <x:c r="N545" s="20" t="n">
        <x:v>0</x:v>
      </x:c>
      <x:c r="O545" s="20" t="n">
        <x:v>0</x:v>
      </x:c>
      <x:c r="P545" s="20" t="n">
        <x:v>7001.48</x:v>
      </x:c>
      <x:c r="Q545" s="10" t="str">
        <x:v>A vencer</x:v>
      </x:c>
      <x:c r="R545" s="10" t="str">
        <x:v>Débito Automático</x:v>
      </x:c>
      <x:c r="S545" s="10" t="str">
        <x:v>2025-11</x:v>
      </x:c>
      <x:c r="T545" s="10" t="n">
        <x:v>0</x:v>
      </x:c>
      <x:c r="U545" s="10" t="str">
        <x:v>A vencer</x:v>
      </x:c>
      <x:c r="V545" s="10" t="str">
        <x:v>UND003</x:v>
      </x:c>
    </x:row>
    <x:row r="546" ht="18" customHeight="1">
      <x:c r="A546" s="10" t="str">
        <x:v>PAG00545</x:v>
      </x:c>
      <x:c r="B546" s="10" t="str">
        <x:v>EMP003</x:v>
      </x:c>
      <x:c r="C546" s="10" t="str">
        <x:v>FOR036</x:v>
      </x:c>
      <x:c r="D546" s="10" t="str">
        <x:v>CC004</x:v>
      </x:c>
      <x:c r="E546" s="10" t="str">
        <x:v>CAT018</x:v>
      </x:c>
      <x:c r="F546" s="10" t="str">
        <x:v>CTA005</x:v>
      </x:c>
      <x:c r="G546" s="10" t="str">
        <x:v>NF-100545</x:v>
      </x:c>
      <x:c r="H546" s="10" t="str">
        <x:v>Contrato recorrente</x:v>
      </x:c>
      <x:c r="I546" s="16" t="n">
        <x:v>45373.26343369213</x:v>
      </x:c>
      <x:c r="J546" s="16" t="n">
        <x:v>45403.26343369213</x:v>
      </x:c>
      <x:c r="K546" s="16" t="n">
        <x:v>45403.26343369213</x:v>
      </x:c>
      <x:c r="L546" s="20" t="n">
        <x:v>18277.6</x:v>
      </x:c>
      <x:c r="M546" s="20" t="n">
        <x:v>0</x:v>
      </x:c>
      <x:c r="N546" s="20" t="n">
        <x:v>0</x:v>
      </x:c>
      <x:c r="O546" s="20" t="n">
        <x:v>18277.6</x:v>
      </x:c>
      <x:c r="P546" s="20" t="n">
        <x:v>0</x:v>
      </x:c>
      <x:c r="Q546" s="10" t="str">
        <x:v>Pago</x:v>
      </x:c>
      <x:c r="R546" s="10" t="str">
        <x:v>Boleto</x:v>
      </x:c>
      <x:c r="S546" s="10" t="str">
        <x:v>2024-03</x:v>
      </x:c>
      <x:c r="T546" s="10" t="n">
        <x:v>0</x:v>
      </x:c>
      <x:c r="U546" s="10" t="str">
        <x:v>Liquidado</x:v>
      </x:c>
      <x:c r="V546" s="10" t="str">
        <x:v>UND004</x:v>
      </x:c>
    </x:row>
    <x:row r="547" ht="18" customHeight="1">
      <x:c r="A547" s="10" t="str">
        <x:v>PAG00546</x:v>
      </x:c>
      <x:c r="B547" s="10" t="str">
        <x:v>EMP001</x:v>
      </x:c>
      <x:c r="C547" s="10" t="str">
        <x:v>FOR036</x:v>
      </x:c>
      <x:c r="D547" s="10" t="str">
        <x:v>CC005</x:v>
      </x:c>
      <x:c r="E547" s="10" t="str">
        <x:v>CAT015</x:v>
      </x:c>
      <x:c r="F547" s="10" t="str">
        <x:v>CTA001</x:v>
      </x:c>
      <x:c r="G547" s="10" t="str">
        <x:v>NF-100546</x:v>
      </x:c>
      <x:c r="H547" s="10" t="str">
        <x:v>Contrato recorrente</x:v>
      </x:c>
      <x:c r="I547" s="16" t="n">
        <x:v>45512.47459974537</x:v>
      </x:c>
      <x:c r="J547" s="16" t="n">
        <x:v>45572.47459974537</x:v>
      </x:c>
      <x:c r="K547" s="16" t="n">
        <x:v>45581.47459974537</x:v>
      </x:c>
      <x:c r="L547" s="20" t="n">
        <x:v>3199.71</x:v>
      </x:c>
      <x:c r="M547" s="20" t="n">
        <x:v>20.16</x:v>
      </x:c>
      <x:c r="N547" s="20" t="n">
        <x:v>0</x:v>
      </x:c>
      <x:c r="O547" s="20" t="n">
        <x:v>3219.87</x:v>
      </x:c>
      <x:c r="P547" s="20" t="n">
        <x:v>0</x:v>
      </x:c>
      <x:c r="Q547" s="10" t="str">
        <x:v>Pago</x:v>
      </x:c>
      <x:c r="R547" s="10" t="str">
        <x:v>Cartão Corporativo</x:v>
      </x:c>
      <x:c r="S547" s="10" t="str">
        <x:v>2024-08</x:v>
      </x:c>
      <x:c r="T547" s="10" t="n">
        <x:v>0</x:v>
      </x:c>
      <x:c r="U547" s="10" t="str">
        <x:v>Liquidado</x:v>
      </x:c>
      <x:c r="V547" s="10" t="str">
        <x:v>UND001</x:v>
      </x:c>
    </x:row>
    <x:row r="548" ht="18" customHeight="1">
      <x:c r="A548" s="10" t="str">
        <x:v>PAG00547</x:v>
      </x:c>
      <x:c r="B548" s="10" t="str">
        <x:v>EMP001</x:v>
      </x:c>
      <x:c r="C548" s="10" t="str">
        <x:v>FOR027</x:v>
      </x:c>
      <x:c r="D548" s="10" t="str">
        <x:v>CC008</x:v>
      </x:c>
      <x:c r="E548" s="10" t="str">
        <x:v>CAT011</x:v>
      </x:c>
      <x:c r="F548" s="10" t="str">
        <x:v>CTA002</x:v>
      </x:c>
      <x:c r="G548" s="10" t="str">
        <x:v>NF-100547</x:v>
      </x:c>
      <x:c r="H548" s="10" t="str">
        <x:v>Prestação de serviços</x:v>
      </x:c>
      <x:c r="I548" s="16" t="n">
        <x:v>45624.503773993056</x:v>
      </x:c>
      <x:c r="J548" s="16" t="n">
        <x:v>45699.503773993056</x:v>
      </x:c>
      <x:c r="K548" s="16" t="n">
        <x:v>45694.503773993056</x:v>
      </x:c>
      <x:c r="L548" s="20" t="n">
        <x:v>89658.37</x:v>
      </x:c>
      <x:c r="M548" s="20" t="n">
        <x:v>0</x:v>
      </x:c>
      <x:c r="N548" s="20" t="n">
        <x:v>0</x:v>
      </x:c>
      <x:c r="O548" s="20" t="n">
        <x:v>89658.37</x:v>
      </x:c>
      <x:c r="P548" s="20" t="n">
        <x:v>0</x:v>
      </x:c>
      <x:c r="Q548" s="10" t="str">
        <x:v>Pago</x:v>
      </x:c>
      <x:c r="R548" s="10" t="str">
        <x:v>TED</x:v>
      </x:c>
      <x:c r="S548" s="10" t="str">
        <x:v>2024-11</x:v>
      </x:c>
      <x:c r="T548" s="10" t="n">
        <x:v>0</x:v>
      </x:c>
      <x:c r="U548" s="10" t="str">
        <x:v>Liquidado</x:v>
      </x:c>
      <x:c r="V548" s="10" t="str">
        <x:v>UND001</x:v>
      </x:c>
    </x:row>
    <x:row r="549" ht="18" customHeight="1">
      <x:c r="A549" s="10" t="str">
        <x:v>PAG00548</x:v>
      </x:c>
      <x:c r="B549" s="10" t="str">
        <x:v>EMP001</x:v>
      </x:c>
      <x:c r="C549" s="10" t="str">
        <x:v>FOR055</x:v>
      </x:c>
      <x:c r="D549" s="10" t="str">
        <x:v>CC003</x:v>
      </x:c>
      <x:c r="E549" s="10" t="str">
        <x:v>CAT011</x:v>
      </x:c>
      <x:c r="F549" s="10" t="str">
        <x:v>CTA001</x:v>
      </x:c>
      <x:c r="G549" s="10" t="str">
        <x:v>NF-100548</x:v>
      </x:c>
      <x:c r="H549" s="10" t="str">
        <x:v>Despesa operacional</x:v>
      </x:c>
      <x:c r="I549" s="16" t="n">
        <x:v>45563.766271851855</x:v>
      </x:c>
      <x:c r="J549" s="16" t="n">
        <x:v>45591.766271851855</x:v>
      </x:c>
      <x:c r="K549" s="16" t="n">
        <x:v>45586.766271851855</x:v>
      </x:c>
      <x:c r="L549" s="20" t="n">
        <x:v>63160.31</x:v>
      </x:c>
      <x:c r="M549" s="20" t="n">
        <x:v>0</x:v>
      </x:c>
      <x:c r="N549" s="20" t="n">
        <x:v>947.4</x:v>
      </x:c>
      <x:c r="O549" s="20" t="n">
        <x:v>62212.91</x:v>
      </x:c>
      <x:c r="P549" s="20" t="n">
        <x:v>0</x:v>
      </x:c>
      <x:c r="Q549" s="10" t="str">
        <x:v>Pago</x:v>
      </x:c>
      <x:c r="R549" s="10" t="str">
        <x:v>PIX</x:v>
      </x:c>
      <x:c r="S549" s="10" t="str">
        <x:v>2024-09</x:v>
      </x:c>
      <x:c r="T549" s="10" t="n">
        <x:v>0</x:v>
      </x:c>
      <x:c r="U549" s="10" t="str">
        <x:v>Liquidado</x:v>
      </x:c>
      <x:c r="V549" s="10" t="str">
        <x:v>UND002</x:v>
      </x:c>
    </x:row>
    <x:row r="550" ht="18" customHeight="1">
      <x:c r="A550" s="10" t="str">
        <x:v>PAG00549</x:v>
      </x:c>
      <x:c r="B550" s="10" t="str">
        <x:v>EMP001</x:v>
      </x:c>
      <x:c r="C550" s="10" t="str">
        <x:v>FOR022</x:v>
      </x:c>
      <x:c r="D550" s="10" t="str">
        <x:v>CC008</x:v>
      </x:c>
      <x:c r="E550" s="10" t="str">
        <x:v>CAT005</x:v>
      </x:c>
      <x:c r="F550" s="10" t="str">
        <x:v>CTA001</x:v>
      </x:c>
      <x:c r="G550" s="10" t="str">
        <x:v>NF-100549</x:v>
      </x:c>
      <x:c r="H550" s="10" t="str">
        <x:v>Despesa operacional</x:v>
      </x:c>
      <x:c r="I550" s="16" t="n">
        <x:v>45800.505570810186</x:v>
      </x:c>
      <x:c r="J550" s="16" t="n">
        <x:v>45815.505570810186</x:v>
      </x:c>
      <x:c r="K550" s="16" t="n">
        <x:v>45830.505570810186</x:v>
      </x:c>
      <x:c r="L550" s="20" t="n">
        <x:v>9797.38</x:v>
      </x:c>
      <x:c r="M550" s="20" t="n">
        <x:v>102.87</x:v>
      </x:c>
      <x:c r="N550" s="20" t="n">
        <x:v>0</x:v>
      </x:c>
      <x:c r="O550" s="20" t="n">
        <x:v>9900.25</x:v>
      </x:c>
      <x:c r="P550" s="20" t="n">
        <x:v>0</x:v>
      </x:c>
      <x:c r="Q550" s="10" t="str">
        <x:v>Pago</x:v>
      </x:c>
      <x:c r="R550" s="10" t="str">
        <x:v>Boleto</x:v>
      </x:c>
      <x:c r="S550" s="10" t="str">
        <x:v>2025-05</x:v>
      </x:c>
      <x:c r="T550" s="10" t="n">
        <x:v>0</x:v>
      </x:c>
      <x:c r="U550" s="10" t="str">
        <x:v>Liquidado</x:v>
      </x:c>
      <x:c r="V550" s="10" t="str">
        <x:v>UND002</x:v>
      </x:c>
    </x:row>
    <x:row r="551" ht="18" customHeight="1">
      <x:c r="A551" s="10" t="str">
        <x:v>PAG00550</x:v>
      </x:c>
      <x:c r="B551" s="10" t="str">
        <x:v>EMP001</x:v>
      </x:c>
      <x:c r="C551" s="10" t="str">
        <x:v>FOR018</x:v>
      </x:c>
      <x:c r="D551" s="10" t="str">
        <x:v>CC002</x:v>
      </x:c>
      <x:c r="E551" s="10" t="str">
        <x:v>CAT017</x:v>
      </x:c>
      <x:c r="F551" s="10" t="str">
        <x:v>CTA002</x:v>
      </x:c>
      <x:c r="G551" s="10" t="str">
        <x:v>NF-100550</x:v>
      </x:c>
      <x:c r="H551" s="10" t="str">
        <x:v>Contrato recorrente</x:v>
      </x:c>
      <x:c r="I551" s="16" t="n">
        <x:v>45505.89139012731</x:v>
      </x:c>
      <x:c r="J551" s="16" t="n">
        <x:v>45565.89139012731</x:v>
      </x:c>
      <x:c r="K551" s="16"/>
      <x:c r="L551" s="20" t="n">
        <x:v>62663.67</x:v>
      </x:c>
      <x:c r="M551" s="20" t="n">
        <x:v>0</x:v>
      </x:c>
      <x:c r="N551" s="20" t="n">
        <x:v>0</x:v>
      </x:c>
      <x:c r="O551" s="20" t="n">
        <x:v>0</x:v>
      </x:c>
      <x:c r="P551" s="20" t="n">
        <x:v>0</x:v>
      </x:c>
      <x:c r="Q551" s="10" t="str">
        <x:v>Cancelado</x:v>
      </x:c>
      <x:c r="R551" s="10" t="str">
        <x:v>Boleto</x:v>
      </x:c>
      <x:c r="S551" s="10" t="str">
        <x:v>2024-08</x:v>
      </x:c>
      <x:c r="T551" s="10" t="n">
        <x:v>0</x:v>
      </x:c>
      <x:c r="U551" s="10" t="str">
        <x:v>Cancelado</x:v>
      </x:c>
      <x:c r="V551" s="10" t="str">
        <x:v>UND001</x:v>
      </x:c>
    </x:row>
    <x:row r="552" ht="18" customHeight="1">
      <x:c r="A552" s="10" t="str">
        <x:v>PAG00551</x:v>
      </x:c>
      <x:c r="B552" s="10" t="str">
        <x:v>EMP003</x:v>
      </x:c>
      <x:c r="C552" s="10" t="str">
        <x:v>FOR025</x:v>
      </x:c>
      <x:c r="D552" s="10" t="str">
        <x:v>CC007</x:v>
      </x:c>
      <x:c r="E552" s="10" t="str">
        <x:v>CAT017</x:v>
      </x:c>
      <x:c r="F552" s="10" t="str">
        <x:v>CTA006</x:v>
      </x:c>
      <x:c r="G552" s="10" t="str">
        <x:v>NF-100551</x:v>
      </x:c>
      <x:c r="H552" s="10" t="str">
        <x:v>Tributos e taxas</x:v>
      </x:c>
      <x:c r="I552" s="16" t="n">
        <x:v>45557.3857093287</x:v>
      </x:c>
      <x:c r="J552" s="16" t="n">
        <x:v>45632.3857093287</x:v>
      </x:c>
      <x:c r="K552" s="16" t="n">
        <x:v>45627.3857093287</x:v>
      </x:c>
      <x:c r="L552" s="20" t="n">
        <x:v>19592.44</x:v>
      </x:c>
      <x:c r="M552" s="20" t="n">
        <x:v>0</x:v>
      </x:c>
      <x:c r="N552" s="20" t="n">
        <x:v>0</x:v>
      </x:c>
      <x:c r="O552" s="20" t="n">
        <x:v>19592.44</x:v>
      </x:c>
      <x:c r="P552" s="20" t="n">
        <x:v>0</x:v>
      </x:c>
      <x:c r="Q552" s="10" t="str">
        <x:v>Pago</x:v>
      </x:c>
      <x:c r="R552" s="10" t="str">
        <x:v>PIX</x:v>
      </x:c>
      <x:c r="S552" s="10" t="str">
        <x:v>2024-09</x:v>
      </x:c>
      <x:c r="T552" s="10" t="n">
        <x:v>0</x:v>
      </x:c>
      <x:c r="U552" s="10" t="str">
        <x:v>Liquidado</x:v>
      </x:c>
      <x:c r="V552" s="10" t="str">
        <x:v>UND004</x:v>
      </x:c>
    </x:row>
    <x:row r="553" ht="18" customHeight="1">
      <x:c r="A553" s="10" t="str">
        <x:v>PAG00552</x:v>
      </x:c>
      <x:c r="B553" s="10" t="str">
        <x:v>EMP002</x:v>
      </x:c>
      <x:c r="C553" s="10" t="str">
        <x:v>FOR015</x:v>
      </x:c>
      <x:c r="D553" s="10" t="str">
        <x:v>CC006</x:v>
      </x:c>
      <x:c r="E553" s="10" t="str">
        <x:v>CAT005</x:v>
      </x:c>
      <x:c r="F553" s="10" t="str">
        <x:v>CTA003</x:v>
      </x:c>
      <x:c r="G553" s="10" t="str">
        <x:v>NF-100552</x:v>
      </x:c>
      <x:c r="H553" s="10" t="str">
        <x:v>Despesa operacional</x:v>
      </x:c>
      <x:c r="I553" s="16" t="n">
        <x:v>45693.2685143287</x:v>
      </x:c>
      <x:c r="J553" s="16" t="n">
        <x:v>45708.2685143287</x:v>
      </x:c>
      <x:c r="K553" s="16" t="n">
        <x:v>45733.2685143287</x:v>
      </x:c>
      <x:c r="L553" s="20" t="n">
        <x:v>82189.82</x:v>
      </x:c>
      <x:c r="M553" s="20" t="n">
        <x:v>1438.32</x:v>
      </x:c>
      <x:c r="N553" s="20" t="n">
        <x:v>0</x:v>
      </x:c>
      <x:c r="O553" s="20" t="n">
        <x:v>83628.14</x:v>
      </x:c>
      <x:c r="P553" s="20" t="n">
        <x:v>0</x:v>
      </x:c>
      <x:c r="Q553" s="10" t="str">
        <x:v>Pago</x:v>
      </x:c>
      <x:c r="R553" s="10" t="str">
        <x:v>TED</x:v>
      </x:c>
      <x:c r="S553" s="10" t="str">
        <x:v>2025-02</x:v>
      </x:c>
      <x:c r="T553" s="10" t="n">
        <x:v>0</x:v>
      </x:c>
      <x:c r="U553" s="10" t="str">
        <x:v>Liquidado</x:v>
      </x:c>
      <x:c r="V553" s="10" t="str">
        <x:v>UND003</x:v>
      </x:c>
    </x:row>
    <x:row r="554" ht="18" customHeight="1">
      <x:c r="A554" s="10" t="str">
        <x:v>PAG00553</x:v>
      </x:c>
      <x:c r="B554" s="10" t="str">
        <x:v>EMP001</x:v>
      </x:c>
      <x:c r="C554" s="10" t="str">
        <x:v>FOR019</x:v>
      </x:c>
      <x:c r="D554" s="10" t="str">
        <x:v>CC001</x:v>
      </x:c>
      <x:c r="E554" s="10" t="str">
        <x:v>CAT008</x:v>
      </x:c>
      <x:c r="F554" s="10" t="str">
        <x:v>CTA002</x:v>
      </x:c>
      <x:c r="G554" s="10" t="str">
        <x:v>NF-100553</x:v>
      </x:c>
      <x:c r="H554" s="10" t="str">
        <x:v>Tributos e taxas</x:v>
      </x:c>
      <x:c r="I554" s="16" t="n">
        <x:v>45732.29539428241</x:v>
      </x:c>
      <x:c r="J554" s="16" t="n">
        <x:v>45752.29539428241</x:v>
      </x:c>
      <x:c r="K554" s="16" t="n">
        <x:v>45751.29539428241</x:v>
      </x:c>
      <x:c r="L554" s="20" t="n">
        <x:v>88995.31</x:v>
      </x:c>
      <x:c r="M554" s="20" t="n">
        <x:v>0</x:v>
      </x:c>
      <x:c r="N554" s="20" t="n">
        <x:v>0</x:v>
      </x:c>
      <x:c r="O554" s="20" t="n">
        <x:v>88995.31</x:v>
      </x:c>
      <x:c r="P554" s="20" t="n">
        <x:v>0</x:v>
      </x:c>
      <x:c r="Q554" s="10" t="str">
        <x:v>Pago</x:v>
      </x:c>
      <x:c r="R554" s="10" t="str">
        <x:v>Cartão Corporativo</x:v>
      </x:c>
      <x:c r="S554" s="10" t="str">
        <x:v>2025-03</x:v>
      </x:c>
      <x:c r="T554" s="10" t="n">
        <x:v>0</x:v>
      </x:c>
      <x:c r="U554" s="10" t="str">
        <x:v>Liquidado</x:v>
      </x:c>
      <x:c r="V554" s="10" t="str">
        <x:v>UND002</x:v>
      </x:c>
    </x:row>
    <x:row r="555" ht="18" customHeight="1">
      <x:c r="A555" s="10" t="str">
        <x:v>PAG00554</x:v>
      </x:c>
      <x:c r="B555" s="10" t="str">
        <x:v>EMP003</x:v>
      </x:c>
      <x:c r="C555" s="10" t="str">
        <x:v>FOR023</x:v>
      </x:c>
      <x:c r="D555" s="10" t="str">
        <x:v>CC004</x:v>
      </x:c>
      <x:c r="E555" s="10" t="str">
        <x:v>CAT006</x:v>
      </x:c>
      <x:c r="F555" s="10" t="str">
        <x:v>CTA006</x:v>
      </x:c>
      <x:c r="G555" s="10" t="str">
        <x:v>NF-100554</x:v>
      </x:c>
      <x:c r="H555" s="10" t="str">
        <x:v>Prestação de serviços</x:v>
      </x:c>
      <x:c r="I555" s="16" t="n">
        <x:v>45882.78223175926</x:v>
      </x:c>
      <x:c r="J555" s="16" t="n">
        <x:v>45912.78223175926</x:v>
      </x:c>
      <x:c r="K555" s="16" t="n">
        <x:v>45921.78223175926</x:v>
      </x:c>
      <x:c r="L555" s="20" t="n">
        <x:v>17725.12</x:v>
      </x:c>
      <x:c r="M555" s="20" t="n">
        <x:v>111.67</x:v>
      </x:c>
      <x:c r="N555" s="20" t="n">
        <x:v>0</x:v>
      </x:c>
      <x:c r="O555" s="20" t="n">
        <x:v>17836.79</x:v>
      </x:c>
      <x:c r="P555" s="20" t="n">
        <x:v>0</x:v>
      </x:c>
      <x:c r="Q555" s="10" t="str">
        <x:v>Pago</x:v>
      </x:c>
      <x:c r="R555" s="10" t="str">
        <x:v>PIX</x:v>
      </x:c>
      <x:c r="S555" s="10" t="str">
        <x:v>2025-08</x:v>
      </x:c>
      <x:c r="T555" s="10" t="n">
        <x:v>0</x:v>
      </x:c>
      <x:c r="U555" s="10" t="str">
        <x:v>Liquidado</x:v>
      </x:c>
      <x:c r="V555" s="10" t="str">
        <x:v>UND004</x:v>
      </x:c>
    </x:row>
    <x:row r="556" ht="18" customHeight="1">
      <x:c r="A556" s="10" t="str">
        <x:v>PAG00555</x:v>
      </x:c>
      <x:c r="B556" s="10" t="str">
        <x:v>EMP002</x:v>
      </x:c>
      <x:c r="C556" s="10" t="str">
        <x:v>FOR026</x:v>
      </x:c>
      <x:c r="D556" s="10" t="str">
        <x:v>CC001</x:v>
      </x:c>
      <x:c r="E556" s="10" t="str">
        <x:v>CAT012</x:v>
      </x:c>
      <x:c r="F556" s="10" t="str">
        <x:v>CTA004</x:v>
      </x:c>
      <x:c r="G556" s="10" t="str">
        <x:v>NF-100555</x:v>
      </x:c>
      <x:c r="H556" s="10" t="str">
        <x:v>Prestação de serviços</x:v>
      </x:c>
      <x:c r="I556" s="16" t="n">
        <x:v>45811.99425221065</x:v>
      </x:c>
      <x:c r="J556" s="16" t="n">
        <x:v>45871.99425221065</x:v>
      </x:c>
      <x:c r="K556" s="16" t="n">
        <x:v>45883.99425221065</x:v>
      </x:c>
      <x:c r="L556" s="20" t="n">
        <x:v>25013.89</x:v>
      </x:c>
      <x:c r="M556" s="20" t="n">
        <x:v>210.12</x:v>
      </x:c>
      <x:c r="N556" s="20" t="n">
        <x:v>0</x:v>
      </x:c>
      <x:c r="O556" s="20" t="n">
        <x:v>25224.01</x:v>
      </x:c>
      <x:c r="P556" s="20" t="n">
        <x:v>0</x:v>
      </x:c>
      <x:c r="Q556" s="10" t="str">
        <x:v>Pago</x:v>
      </x:c>
      <x:c r="R556" s="10" t="str">
        <x:v>TED</x:v>
      </x:c>
      <x:c r="S556" s="10" t="str">
        <x:v>2025-06</x:v>
      </x:c>
      <x:c r="T556" s="10" t="n">
        <x:v>0</x:v>
      </x:c>
      <x:c r="U556" s="10" t="str">
        <x:v>Liquidado</x:v>
      </x:c>
      <x:c r="V556" s="10" t="str">
        <x:v>UND003</x:v>
      </x:c>
    </x:row>
    <x:row r="557" ht="18" customHeight="1">
      <x:c r="A557" s="10" t="str">
        <x:v>PAG00556</x:v>
      </x:c>
      <x:c r="B557" s="10" t="str">
        <x:v>EMP001</x:v>
      </x:c>
      <x:c r="C557" s="10" t="str">
        <x:v>FOR021</x:v>
      </x:c>
      <x:c r="D557" s="10" t="str">
        <x:v>CC002</x:v>
      </x:c>
      <x:c r="E557" s="10" t="str">
        <x:v>CAT010</x:v>
      </x:c>
      <x:c r="F557" s="10" t="str">
        <x:v>CTA002</x:v>
      </x:c>
      <x:c r="G557" s="10" t="str">
        <x:v>NF-100556</x:v>
      </x:c>
      <x:c r="H557" s="10" t="str">
        <x:v>Tributos e taxas</x:v>
      </x:c>
      <x:c r="I557" s="16" t="n">
        <x:v>45500.9877719213</x:v>
      </x:c>
      <x:c r="J557" s="16" t="n">
        <x:v>45530.9877719213</x:v>
      </x:c>
      <x:c r="K557" s="16" t="n">
        <x:v>45537.9877719213</x:v>
      </x:c>
      <x:c r="L557" s="20" t="n">
        <x:v>1520.62</x:v>
      </x:c>
      <x:c r="M557" s="20" t="n">
        <x:v>7.45</x:v>
      </x:c>
      <x:c r="N557" s="20" t="n">
        <x:v>0</x:v>
      </x:c>
      <x:c r="O557" s="20" t="n">
        <x:v>1528.07</x:v>
      </x:c>
      <x:c r="P557" s="20" t="n">
        <x:v>0</x:v>
      </x:c>
      <x:c r="Q557" s="10" t="str">
        <x:v>Pago</x:v>
      </x:c>
      <x:c r="R557" s="10" t="str">
        <x:v>TED</x:v>
      </x:c>
      <x:c r="S557" s="10" t="str">
        <x:v>2024-07</x:v>
      </x:c>
      <x:c r="T557" s="10" t="n">
        <x:v>0</x:v>
      </x:c>
      <x:c r="U557" s="10" t="str">
        <x:v>Liquidado</x:v>
      </x:c>
      <x:c r="V557" s="10" t="str">
        <x:v>UND002</x:v>
      </x:c>
    </x:row>
    <x:row r="558" ht="18" customHeight="1">
      <x:c r="A558" s="10" t="str">
        <x:v>PAG00557</x:v>
      </x:c>
      <x:c r="B558" s="10" t="str">
        <x:v>EMP001</x:v>
      </x:c>
      <x:c r="C558" s="10" t="str">
        <x:v>FOR026</x:v>
      </x:c>
      <x:c r="D558" s="10" t="str">
        <x:v>CC008</x:v>
      </x:c>
      <x:c r="E558" s="10" t="str">
        <x:v>CAT014</x:v>
      </x:c>
      <x:c r="F558" s="10" t="str">
        <x:v>CTA002</x:v>
      </x:c>
      <x:c r="G558" s="10" t="str">
        <x:v>NF-100557</x:v>
      </x:c>
      <x:c r="H558" s="10" t="str">
        <x:v>Despesa operacional</x:v>
      </x:c>
      <x:c r="I558" s="16" t="n">
        <x:v>45379.421385601854</x:v>
      </x:c>
      <x:c r="J558" s="16" t="n">
        <x:v>45407.421385601854</x:v>
      </x:c>
      <x:c r="K558" s="16" t="n">
        <x:v>45408.421385601854</x:v>
      </x:c>
      <x:c r="L558" s="20" t="n">
        <x:v>2762.05</x:v>
      </x:c>
      <x:c r="M558" s="20" t="n">
        <x:v>1.93</x:v>
      </x:c>
      <x:c r="N558" s="20" t="n">
        <x:v>0</x:v>
      </x:c>
      <x:c r="O558" s="20" t="n">
        <x:v>2763.98</x:v>
      </x:c>
      <x:c r="P558" s="20" t="n">
        <x:v>0</x:v>
      </x:c>
      <x:c r="Q558" s="10" t="str">
        <x:v>Pago</x:v>
      </x:c>
      <x:c r="R558" s="10" t="str">
        <x:v>Boleto</x:v>
      </x:c>
      <x:c r="S558" s="10" t="str">
        <x:v>2024-03</x:v>
      </x:c>
      <x:c r="T558" s="10" t="n">
        <x:v>0</x:v>
      </x:c>
      <x:c r="U558" s="10" t="str">
        <x:v>Liquidado</x:v>
      </x:c>
      <x:c r="V558" s="10" t="str">
        <x:v>UND001</x:v>
      </x:c>
    </x:row>
    <x:row r="559" ht="18" customHeight="1">
      <x:c r="A559" s="10" t="str">
        <x:v>PAG00558</x:v>
      </x:c>
      <x:c r="B559" s="10" t="str">
        <x:v>EMP002</x:v>
      </x:c>
      <x:c r="C559" s="10" t="str">
        <x:v>FOR004</x:v>
      </x:c>
      <x:c r="D559" s="10" t="str">
        <x:v>CC007</x:v>
      </x:c>
      <x:c r="E559" s="10" t="str">
        <x:v>CAT017</x:v>
      </x:c>
      <x:c r="F559" s="10" t="str">
        <x:v>CTA003</x:v>
      </x:c>
      <x:c r="G559" s="10" t="str">
        <x:v>NF-100558</x:v>
      </x:c>
      <x:c r="H559" s="10" t="str">
        <x:v>Tributos e taxas</x:v>
      </x:c>
      <x:c r="I559" s="16" t="n">
        <x:v>45864.446991400466</x:v>
      </x:c>
      <x:c r="J559" s="16" t="n">
        <x:v>45939.446991400466</x:v>
      </x:c>
      <x:c r="K559" s="16" t="n">
        <x:v>45933.446991400466</x:v>
      </x:c>
      <x:c r="L559" s="20" t="n">
        <x:v>35883.81</x:v>
      </x:c>
      <x:c r="M559" s="20" t="n">
        <x:v>0</x:v>
      </x:c>
      <x:c r="N559" s="20" t="n">
        <x:v>0</x:v>
      </x:c>
      <x:c r="O559" s="20" t="n">
        <x:v>35883.81</x:v>
      </x:c>
      <x:c r="P559" s="20" t="n">
        <x:v>0</x:v>
      </x:c>
      <x:c r="Q559" s="10" t="str">
        <x:v>Pago</x:v>
      </x:c>
      <x:c r="R559" s="10" t="str">
        <x:v>TED</x:v>
      </x:c>
      <x:c r="S559" s="10" t="str">
        <x:v>2025-07</x:v>
      </x:c>
      <x:c r="T559" s="10" t="n">
        <x:v>0</x:v>
      </x:c>
      <x:c r="U559" s="10" t="str">
        <x:v>Liquidado</x:v>
      </x:c>
      <x:c r="V559" s="10" t="str">
        <x:v>UND003</x:v>
      </x:c>
    </x:row>
    <x:row r="560" ht="18" customHeight="1">
      <x:c r="A560" s="10" t="str">
        <x:v>PAG00559</x:v>
      </x:c>
      <x:c r="B560" s="10" t="str">
        <x:v>EMP003</x:v>
      </x:c>
      <x:c r="C560" s="10" t="str">
        <x:v>FOR042</x:v>
      </x:c>
      <x:c r="D560" s="10" t="str">
        <x:v>CC005</x:v>
      </x:c>
      <x:c r="E560" s="10" t="str">
        <x:v>CAT010</x:v>
      </x:c>
      <x:c r="F560" s="10" t="str">
        <x:v>CTA005</x:v>
      </x:c>
      <x:c r="G560" s="10" t="str">
        <x:v>NF-100559</x:v>
      </x:c>
      <x:c r="H560" s="10" t="str">
        <x:v>Contrato recorrente</x:v>
      </x:c>
      <x:c r="I560" s="16" t="n">
        <x:v>45774.15910387731</x:v>
      </x:c>
      <x:c r="J560" s="16" t="n">
        <x:v>45789.15910387731</x:v>
      </x:c>
      <x:c r="K560" s="16" t="n">
        <x:v>45786.15910387731</x:v>
      </x:c>
      <x:c r="L560" s="20" t="n">
        <x:v>3506.97</x:v>
      </x:c>
      <x:c r="M560" s="20" t="n">
        <x:v>0</x:v>
      </x:c>
      <x:c r="N560" s="20" t="n">
        <x:v>0</x:v>
      </x:c>
      <x:c r="O560" s="20" t="n">
        <x:v>3506.97</x:v>
      </x:c>
      <x:c r="P560" s="20" t="n">
        <x:v>0</x:v>
      </x:c>
      <x:c r="Q560" s="10" t="str">
        <x:v>Pago</x:v>
      </x:c>
      <x:c r="R560" s="10" t="str">
        <x:v>Cartão Corporativo</x:v>
      </x:c>
      <x:c r="S560" s="10" t="str">
        <x:v>2025-04</x:v>
      </x:c>
      <x:c r="T560" s="10" t="n">
        <x:v>0</x:v>
      </x:c>
      <x:c r="U560" s="10" t="str">
        <x:v>Liquidado</x:v>
      </x:c>
      <x:c r="V560" s="10" t="str">
        <x:v>UND004</x:v>
      </x:c>
    </x:row>
    <x:row r="561" ht="18" customHeight="1">
      <x:c r="A561" s="10" t="str">
        <x:v>PAG00560</x:v>
      </x:c>
      <x:c r="B561" s="10" t="str">
        <x:v>EMP001</x:v>
      </x:c>
      <x:c r="C561" s="10" t="str">
        <x:v>FOR058</x:v>
      </x:c>
      <x:c r="D561" s="10" t="str">
        <x:v>CC002</x:v>
      </x:c>
      <x:c r="E561" s="10" t="str">
        <x:v>CAT008</x:v>
      </x:c>
      <x:c r="F561" s="10" t="str">
        <x:v>CTA002</x:v>
      </x:c>
      <x:c r="G561" s="10" t="str">
        <x:v>NF-100560</x:v>
      </x:c>
      <x:c r="H561" s="10" t="str">
        <x:v>Compra de materiais</x:v>
      </x:c>
      <x:c r="I561" s="16" t="n">
        <x:v>46009.17024131944</x:v>
      </x:c>
      <x:c r="J561" s="16" t="n">
        <x:v>46054.17024131944</x:v>
      </x:c>
      <x:c r="K561" s="16"/>
      <x:c r="L561" s="20" t="n">
        <x:v>16726.71</x:v>
      </x:c>
      <x:c r="M561" s="20" t="n">
        <x:v>0</x:v>
      </x:c>
      <x:c r="N561" s="20" t="n">
        <x:v>0</x:v>
      </x:c>
      <x:c r="O561" s="20" t="n">
        <x:v>0</x:v>
      </x:c>
      <x:c r="P561" s="20" t="n">
        <x:v>16726.71</x:v>
      </x:c>
      <x:c r="Q561" s="10" t="str">
        <x:v>A vencer</x:v>
      </x:c>
      <x:c r="R561" s="10" t="str">
        <x:v>TED</x:v>
      </x:c>
      <x:c r="S561" s="10" t="str">
        <x:v>2025-12</x:v>
      </x:c>
      <x:c r="T561" s="10" t="n">
        <x:v>0</x:v>
      </x:c>
      <x:c r="U561" s="10" t="str">
        <x:v>A vencer</x:v>
      </x:c>
      <x:c r="V561" s="10" t="str">
        <x:v>UND001</x:v>
      </x:c>
    </x:row>
    <x:row r="562" ht="18" customHeight="1">
      <x:c r="A562" s="10" t="str">
        <x:v>PAG00561</x:v>
      </x:c>
      <x:c r="B562" s="10" t="str">
        <x:v>EMP003</x:v>
      </x:c>
      <x:c r="C562" s="10" t="str">
        <x:v>FOR004</x:v>
      </x:c>
      <x:c r="D562" s="10" t="str">
        <x:v>CC001</x:v>
      </x:c>
      <x:c r="E562" s="10" t="str">
        <x:v>CAT011</x:v>
      </x:c>
      <x:c r="F562" s="10" t="str">
        <x:v>CTA005</x:v>
      </x:c>
      <x:c r="G562" s="10" t="str">
        <x:v>NF-100561</x:v>
      </x:c>
      <x:c r="H562" s="10" t="str">
        <x:v>Prestação de serviços</x:v>
      </x:c>
      <x:c r="I562" s="16" t="n">
        <x:v>45435.830559456015</x:v>
      </x:c>
      <x:c r="J562" s="16" t="n">
        <x:v>45450.830559456015</x:v>
      </x:c>
      <x:c r="K562" s="16" t="n">
        <x:v>45461.830559456015</x:v>
      </x:c>
      <x:c r="L562" s="20" t="n">
        <x:v>53333.46</x:v>
      </x:c>
      <x:c r="M562" s="20" t="n">
        <x:v>410.67</x:v>
      </x:c>
      <x:c r="N562" s="20" t="n">
        <x:v>0</x:v>
      </x:c>
      <x:c r="O562" s="20" t="n">
        <x:v>53744.13</x:v>
      </x:c>
      <x:c r="P562" s="20" t="n">
        <x:v>0</x:v>
      </x:c>
      <x:c r="Q562" s="10" t="str">
        <x:v>Pago</x:v>
      </x:c>
      <x:c r="R562" s="10" t="str">
        <x:v>Boleto</x:v>
      </x:c>
      <x:c r="S562" s="10" t="str">
        <x:v>2024-05</x:v>
      </x:c>
      <x:c r="T562" s="10" t="n">
        <x:v>0</x:v>
      </x:c>
      <x:c r="U562" s="10" t="str">
        <x:v>Liquidado</x:v>
      </x:c>
      <x:c r="V562" s="10" t="str">
        <x:v>UND004</x:v>
      </x:c>
    </x:row>
    <x:row r="563" ht="18" customHeight="1">
      <x:c r="A563" s="10" t="str">
        <x:v>PAG00562</x:v>
      </x:c>
      <x:c r="B563" s="10" t="str">
        <x:v>EMP002</x:v>
      </x:c>
      <x:c r="C563" s="10" t="str">
        <x:v>FOR034</x:v>
      </x:c>
      <x:c r="D563" s="10" t="str">
        <x:v>CC003</x:v>
      </x:c>
      <x:c r="E563" s="10" t="str">
        <x:v>CAT009</x:v>
      </x:c>
      <x:c r="F563" s="10" t="str">
        <x:v>CTA003</x:v>
      </x:c>
      <x:c r="G563" s="10" t="str">
        <x:v>NF-100562</x:v>
      </x:c>
      <x:c r="H563" s="10" t="str">
        <x:v>Prestação de serviços</x:v>
      </x:c>
      <x:c r="I563" s="16" t="n">
        <x:v>45921.932593564816</x:v>
      </x:c>
      <x:c r="J563" s="16" t="n">
        <x:v>45949.932593564816</x:v>
      </x:c>
      <x:c r="K563" s="16" t="n">
        <x:v>45944.932593564816</x:v>
      </x:c>
      <x:c r="L563" s="20" t="n">
        <x:v>113428.2</x:v>
      </x:c>
      <x:c r="M563" s="20" t="n">
        <x:v>0</x:v>
      </x:c>
      <x:c r="N563" s="20" t="n">
        <x:v>0</x:v>
      </x:c>
      <x:c r="O563" s="20" t="n">
        <x:v>113428.2</x:v>
      </x:c>
      <x:c r="P563" s="20" t="n">
        <x:v>0</x:v>
      </x:c>
      <x:c r="Q563" s="10" t="str">
        <x:v>Pago</x:v>
      </x:c>
      <x:c r="R563" s="10" t="str">
        <x:v>Débito Automático</x:v>
      </x:c>
      <x:c r="S563" s="10" t="str">
        <x:v>2025-09</x:v>
      </x:c>
      <x:c r="T563" s="10" t="n">
        <x:v>0</x:v>
      </x:c>
      <x:c r="U563" s="10" t="str">
        <x:v>Liquidado</x:v>
      </x:c>
      <x:c r="V563" s="10" t="str">
        <x:v>UND003</x:v>
      </x:c>
    </x:row>
    <x:row r="564" ht="18" customHeight="1">
      <x:c r="A564" s="10" t="str">
        <x:v>PAG00563</x:v>
      </x:c>
      <x:c r="B564" s="10" t="str">
        <x:v>EMP002</x:v>
      </x:c>
      <x:c r="C564" s="10" t="str">
        <x:v>FOR026</x:v>
      </x:c>
      <x:c r="D564" s="10" t="str">
        <x:v>CC003</x:v>
      </x:c>
      <x:c r="E564" s="10" t="str">
        <x:v>CAT018</x:v>
      </x:c>
      <x:c r="F564" s="10" t="str">
        <x:v>CTA004</x:v>
      </x:c>
      <x:c r="G564" s="10" t="str">
        <x:v>NF-100563</x:v>
      </x:c>
      <x:c r="H564" s="10" t="str">
        <x:v>Compra de materiais</x:v>
      </x:c>
      <x:c r="I564" s="16" t="n">
        <x:v>45687.6581441088</x:v>
      </x:c>
      <x:c r="J564" s="16" t="n">
        <x:v>45715.6581441088</x:v>
      </x:c>
      <x:c r="K564" s="16" t="n">
        <x:v>45713.6581441088</x:v>
      </x:c>
      <x:c r="L564" s="20" t="n">
        <x:v>82677.12</x:v>
      </x:c>
      <x:c r="M564" s="20" t="n">
        <x:v>0</x:v>
      </x:c>
      <x:c r="N564" s="20" t="n">
        <x:v>0</x:v>
      </x:c>
      <x:c r="O564" s="20" t="n">
        <x:v>82677.12</x:v>
      </x:c>
      <x:c r="P564" s="20" t="n">
        <x:v>0</x:v>
      </x:c>
      <x:c r="Q564" s="10" t="str">
        <x:v>Pago</x:v>
      </x:c>
      <x:c r="R564" s="10" t="str">
        <x:v>PIX</x:v>
      </x:c>
      <x:c r="S564" s="10" t="str">
        <x:v>2025-01</x:v>
      </x:c>
      <x:c r="T564" s="10" t="n">
        <x:v>0</x:v>
      </x:c>
      <x:c r="U564" s="10" t="str">
        <x:v>Liquidado</x:v>
      </x:c>
      <x:c r="V564" s="10" t="str">
        <x:v>UND003</x:v>
      </x:c>
    </x:row>
    <x:row r="565" ht="18" customHeight="1">
      <x:c r="A565" s="10" t="str">
        <x:v>PAG00564</x:v>
      </x:c>
      <x:c r="B565" s="10" t="str">
        <x:v>EMP003</x:v>
      </x:c>
      <x:c r="C565" s="10" t="str">
        <x:v>FOR008</x:v>
      </x:c>
      <x:c r="D565" s="10" t="str">
        <x:v>CC004</x:v>
      </x:c>
      <x:c r="E565" s="10" t="str">
        <x:v>CAT016</x:v>
      </x:c>
      <x:c r="F565" s="10" t="str">
        <x:v>CTA006</x:v>
      </x:c>
      <x:c r="G565" s="10" t="str">
        <x:v>NF-100564</x:v>
      </x:c>
      <x:c r="H565" s="10" t="str">
        <x:v>Prestação de serviços</x:v>
      </x:c>
      <x:c r="I565" s="16" t="n">
        <x:v>45885.79681693287</x:v>
      </x:c>
      <x:c r="J565" s="16" t="n">
        <x:v>45905.79681693287</x:v>
      </x:c>
      <x:c r="K565" s="16"/>
      <x:c r="L565" s="20" t="n">
        <x:v>44377.71</x:v>
      </x:c>
      <x:c r="M565" s="20" t="n">
        <x:v>0</x:v>
      </x:c>
      <x:c r="N565" s="20" t="n">
        <x:v>0</x:v>
      </x:c>
      <x:c r="O565" s="20" t="n">
        <x:v>0</x:v>
      </x:c>
      <x:c r="P565" s="20" t="n">
        <x:v>44377.71</x:v>
      </x:c>
      <x:c r="Q565" s="10" t="str">
        <x:v>Vencido</x:v>
      </x:c>
      <x:c r="R565" s="10" t="str">
        <x:v>Boleto</x:v>
      </x:c>
      <x:c r="S565" s="10" t="str">
        <x:v>2025-08</x:v>
      </x:c>
      <x:c r="T565" s="10" t="n">
        <x:v>116</x:v>
      </x:c>
      <x:c r="U565" s="10" t="str">
        <x:v>91 a 120 dias</x:v>
      </x:c>
      <x:c r="V565" s="10" t="str">
        <x:v>UND004</x:v>
      </x:c>
    </x:row>
    <x:row r="566" ht="18" customHeight="1">
      <x:c r="A566" s="10" t="str">
        <x:v>PAG00565</x:v>
      </x:c>
      <x:c r="B566" s="10" t="str">
        <x:v>EMP003</x:v>
      </x:c>
      <x:c r="C566" s="10" t="str">
        <x:v>FOR036</x:v>
      </x:c>
      <x:c r="D566" s="10" t="str">
        <x:v>CC001</x:v>
      </x:c>
      <x:c r="E566" s="10" t="str">
        <x:v>CAT013</x:v>
      </x:c>
      <x:c r="F566" s="10" t="str">
        <x:v>CTA005</x:v>
      </x:c>
      <x:c r="G566" s="10" t="str">
        <x:v>NF-100565</x:v>
      </x:c>
      <x:c r="H566" s="10" t="str">
        <x:v>Compra de materiais</x:v>
      </x:c>
      <x:c r="I566" s="16" t="n">
        <x:v>45394.83104486111</x:v>
      </x:c>
      <x:c r="J566" s="16" t="n">
        <x:v>45409.83104486111</x:v>
      </x:c>
      <x:c r="K566" s="16" t="n">
        <x:v>45409.83104486111</x:v>
      </x:c>
      <x:c r="L566" s="20" t="n">
        <x:v>859.14</x:v>
      </x:c>
      <x:c r="M566" s="20" t="n">
        <x:v>0</x:v>
      </x:c>
      <x:c r="N566" s="20" t="n">
        <x:v>0</x:v>
      </x:c>
      <x:c r="O566" s="20" t="n">
        <x:v>859.14</x:v>
      </x:c>
      <x:c r="P566" s="20" t="n">
        <x:v>0</x:v>
      </x:c>
      <x:c r="Q566" s="10" t="str">
        <x:v>Pago</x:v>
      </x:c>
      <x:c r="R566" s="10" t="str">
        <x:v>PIX</x:v>
      </x:c>
      <x:c r="S566" s="10" t="str">
        <x:v>2024-04</x:v>
      </x:c>
      <x:c r="T566" s="10" t="n">
        <x:v>0</x:v>
      </x:c>
      <x:c r="U566" s="10" t="str">
        <x:v>Liquidado</x:v>
      </x:c>
      <x:c r="V566" s="10" t="str">
        <x:v>UND004</x:v>
      </x:c>
    </x:row>
    <x:row r="567" ht="18" customHeight="1">
      <x:c r="A567" s="10" t="str">
        <x:v>PAG00566</x:v>
      </x:c>
      <x:c r="B567" s="10" t="str">
        <x:v>EMP002</x:v>
      </x:c>
      <x:c r="C567" s="10" t="str">
        <x:v>FOR031</x:v>
      </x:c>
      <x:c r="D567" s="10" t="str">
        <x:v>CC005</x:v>
      </x:c>
      <x:c r="E567" s="10" t="str">
        <x:v>CAT018</x:v>
      </x:c>
      <x:c r="F567" s="10" t="str">
        <x:v>CTA003</x:v>
      </x:c>
      <x:c r="G567" s="10" t="str">
        <x:v>NF-100566</x:v>
      </x:c>
      <x:c r="H567" s="10" t="str">
        <x:v>Prestação de serviços</x:v>
      </x:c>
      <x:c r="I567" s="16" t="n">
        <x:v>45821.08037304398</x:v>
      </x:c>
      <x:c r="J567" s="16" t="n">
        <x:v>45866.08037304398</x:v>
      </x:c>
      <x:c r="K567" s="16" t="n">
        <x:v>45866.08037304398</x:v>
      </x:c>
      <x:c r="L567" s="20" t="n">
        <x:v>9428.29</x:v>
      </x:c>
      <x:c r="M567" s="20" t="n">
        <x:v>0</x:v>
      </x:c>
      <x:c r="N567" s="20" t="n">
        <x:v>0</x:v>
      </x:c>
      <x:c r="O567" s="20" t="n">
        <x:v>9428.29</x:v>
      </x:c>
      <x:c r="P567" s="20" t="n">
        <x:v>0</x:v>
      </x:c>
      <x:c r="Q567" s="10" t="str">
        <x:v>Pago</x:v>
      </x:c>
      <x:c r="R567" s="10" t="str">
        <x:v>Boleto</x:v>
      </x:c>
      <x:c r="S567" s="10" t="str">
        <x:v>2025-06</x:v>
      </x:c>
      <x:c r="T567" s="10" t="n">
        <x:v>0</x:v>
      </x:c>
      <x:c r="U567" s="10" t="str">
        <x:v>Liquidado</x:v>
      </x:c>
      <x:c r="V567" s="10" t="str">
        <x:v>UND003</x:v>
      </x:c>
    </x:row>
    <x:row r="568" ht="18" customHeight="1">
      <x:c r="A568" s="10" t="str">
        <x:v>PAG00567</x:v>
      </x:c>
      <x:c r="B568" s="10" t="str">
        <x:v>EMP003</x:v>
      </x:c>
      <x:c r="C568" s="10" t="str">
        <x:v>FOR012</x:v>
      </x:c>
      <x:c r="D568" s="10" t="str">
        <x:v>CC003</x:v>
      </x:c>
      <x:c r="E568" s="10" t="str">
        <x:v>CAT010</x:v>
      </x:c>
      <x:c r="F568" s="10" t="str">
        <x:v>CTA006</x:v>
      </x:c>
      <x:c r="G568" s="10" t="str">
        <x:v>NF-100567</x:v>
      </x:c>
      <x:c r="H568" s="10" t="str">
        <x:v>Tributos e taxas</x:v>
      </x:c>
      <x:c r="I568" s="16" t="n">
        <x:v>45678.58717556713</x:v>
      </x:c>
      <x:c r="J568" s="16" t="n">
        <x:v>45708.58717556713</x:v>
      </x:c>
      <x:c r="K568" s="16" t="n">
        <x:v>45711.58717556713</x:v>
      </x:c>
      <x:c r="L568" s="20" t="n">
        <x:v>2825.95</x:v>
      </x:c>
      <x:c r="M568" s="20" t="n">
        <x:v>5.93</x:v>
      </x:c>
      <x:c r="N568" s="20" t="n">
        <x:v>0</x:v>
      </x:c>
      <x:c r="O568" s="20" t="n">
        <x:v>2831.88</x:v>
      </x:c>
      <x:c r="P568" s="20" t="n">
        <x:v>0</x:v>
      </x:c>
      <x:c r="Q568" s="10" t="str">
        <x:v>Pago</x:v>
      </x:c>
      <x:c r="R568" s="10" t="str">
        <x:v>TED</x:v>
      </x:c>
      <x:c r="S568" s="10" t="str">
        <x:v>2025-01</x:v>
      </x:c>
      <x:c r="T568" s="10" t="n">
        <x:v>0</x:v>
      </x:c>
      <x:c r="U568" s="10" t="str">
        <x:v>Liquidado</x:v>
      </x:c>
      <x:c r="V568" s="10" t="str">
        <x:v>UND004</x:v>
      </x:c>
    </x:row>
    <x:row r="569" ht="18" customHeight="1">
      <x:c r="A569" s="10" t="str">
        <x:v>PAG00568</x:v>
      </x:c>
      <x:c r="B569" s="10" t="str">
        <x:v>EMP001</x:v>
      </x:c>
      <x:c r="C569" s="10" t="str">
        <x:v>FOR036</x:v>
      </x:c>
      <x:c r="D569" s="10" t="str">
        <x:v>CC004</x:v>
      </x:c>
      <x:c r="E569" s="10" t="str">
        <x:v>CAT014</x:v>
      </x:c>
      <x:c r="F569" s="10" t="str">
        <x:v>CTA001</x:v>
      </x:c>
      <x:c r="G569" s="10" t="str">
        <x:v>NF-100568</x:v>
      </x:c>
      <x:c r="H569" s="10" t="str">
        <x:v>Compra de materiais</x:v>
      </x:c>
      <x:c r="I569" s="16" t="n">
        <x:v>45306.93350244213</x:v>
      </x:c>
      <x:c r="J569" s="16" t="n">
        <x:v>45326.93350244213</x:v>
      </x:c>
      <x:c r="K569" s="16" t="n">
        <x:v>45323.93350244213</x:v>
      </x:c>
      <x:c r="L569" s="20" t="n">
        <x:v>4642.07</x:v>
      </x:c>
      <x:c r="M569" s="20" t="n">
        <x:v>0</x:v>
      </x:c>
      <x:c r="N569" s="20" t="n">
        <x:v>0</x:v>
      </x:c>
      <x:c r="O569" s="20" t="n">
        <x:v>4642.07</x:v>
      </x:c>
      <x:c r="P569" s="20" t="n">
        <x:v>0</x:v>
      </x:c>
      <x:c r="Q569" s="10" t="str">
        <x:v>Pago</x:v>
      </x:c>
      <x:c r="R569" s="10" t="str">
        <x:v>TED</x:v>
      </x:c>
      <x:c r="S569" s="10" t="str">
        <x:v>2024-01</x:v>
      </x:c>
      <x:c r="T569" s="10" t="n">
        <x:v>0</x:v>
      </x:c>
      <x:c r="U569" s="10" t="str">
        <x:v>Liquidado</x:v>
      </x:c>
      <x:c r="V569" s="10" t="str">
        <x:v>UND001</x:v>
      </x:c>
    </x:row>
    <x:row r="570" ht="18" customHeight="1">
      <x:c r="A570" s="10" t="str">
        <x:v>PAG00569</x:v>
      </x:c>
      <x:c r="B570" s="10" t="str">
        <x:v>EMP002</x:v>
      </x:c>
      <x:c r="C570" s="10" t="str">
        <x:v>FOR048</x:v>
      </x:c>
      <x:c r="D570" s="10" t="str">
        <x:v>CC005</x:v>
      </x:c>
      <x:c r="E570" s="10" t="str">
        <x:v>CAT009</x:v>
      </x:c>
      <x:c r="F570" s="10" t="str">
        <x:v>CTA004</x:v>
      </x:c>
      <x:c r="G570" s="10" t="str">
        <x:v>NF-100569</x:v>
      </x:c>
      <x:c r="H570" s="10" t="str">
        <x:v>Despesa operacional</x:v>
      </x:c>
      <x:c r="I570" s="16" t="n">
        <x:v>45903.187076319446</x:v>
      </x:c>
      <x:c r="J570" s="16" t="n">
        <x:v>45933.187076319446</x:v>
      </x:c>
      <x:c r="K570" s="16" t="n">
        <x:v>45926.187076319446</x:v>
      </x:c>
      <x:c r="L570" s="20" t="n">
        <x:v>91933.47</x:v>
      </x:c>
      <x:c r="M570" s="20" t="n">
        <x:v>0</x:v>
      </x:c>
      <x:c r="N570" s="20" t="n">
        <x:v>459.67</x:v>
      </x:c>
      <x:c r="O570" s="20" t="n">
        <x:v>91473.8</x:v>
      </x:c>
      <x:c r="P570" s="20" t="n">
        <x:v>0</x:v>
      </x:c>
      <x:c r="Q570" s="10" t="str">
        <x:v>Pago</x:v>
      </x:c>
      <x:c r="R570" s="10" t="str">
        <x:v>Cartão Corporativo</x:v>
      </x:c>
      <x:c r="S570" s="10" t="str">
        <x:v>2025-09</x:v>
      </x:c>
      <x:c r="T570" s="10" t="n">
        <x:v>0</x:v>
      </x:c>
      <x:c r="U570" s="10" t="str">
        <x:v>Liquidado</x:v>
      </x:c>
      <x:c r="V570" s="10" t="str">
        <x:v>UND003</x:v>
      </x:c>
    </x:row>
    <x:row r="571" ht="18" customHeight="1">
      <x:c r="A571" s="10" t="str">
        <x:v>PAG00570</x:v>
      </x:c>
      <x:c r="B571" s="10" t="str">
        <x:v>EMP003</x:v>
      </x:c>
      <x:c r="C571" s="10" t="str">
        <x:v>FOR048</x:v>
      </x:c>
      <x:c r="D571" s="10" t="str">
        <x:v>CC001</x:v>
      </x:c>
      <x:c r="E571" s="10" t="str">
        <x:v>CAT016</x:v>
      </x:c>
      <x:c r="F571" s="10" t="str">
        <x:v>CTA005</x:v>
      </x:c>
      <x:c r="G571" s="10" t="str">
        <x:v>NF-100570</x:v>
      </x:c>
      <x:c r="H571" s="10" t="str">
        <x:v>Despesa operacional</x:v>
      </x:c>
      <x:c r="I571" s="16" t="n">
        <x:v>45638.281834270834</x:v>
      </x:c>
      <x:c r="J571" s="16" t="n">
        <x:v>45683.281834270834</x:v>
      </x:c>
      <x:c r="K571" s="16" t="n">
        <x:v>45676.281834270834</x:v>
      </x:c>
      <x:c r="L571" s="20" t="n">
        <x:v>8617.14</x:v>
      </x:c>
      <x:c r="M571" s="20" t="n">
        <x:v>0</x:v>
      </x:c>
      <x:c r="N571" s="20" t="n">
        <x:v>0</x:v>
      </x:c>
      <x:c r="O571" s="20" t="n">
        <x:v>8617.14</x:v>
      </x:c>
      <x:c r="P571" s="20" t="n">
        <x:v>0</x:v>
      </x:c>
      <x:c r="Q571" s="10" t="str">
        <x:v>Pago</x:v>
      </x:c>
      <x:c r="R571" s="10" t="str">
        <x:v>Boleto</x:v>
      </x:c>
      <x:c r="S571" s="10" t="str">
        <x:v>2024-12</x:v>
      </x:c>
      <x:c r="T571" s="10" t="n">
        <x:v>0</x:v>
      </x:c>
      <x:c r="U571" s="10" t="str">
        <x:v>Liquidado</x:v>
      </x:c>
      <x:c r="V571" s="10" t="str">
        <x:v>UND004</x:v>
      </x:c>
    </x:row>
    <x:row r="572" ht="18" customHeight="1">
      <x:c r="A572" s="10" t="str">
        <x:v>PAG00571</x:v>
      </x:c>
      <x:c r="B572" s="10" t="str">
        <x:v>EMP002</x:v>
      </x:c>
      <x:c r="C572" s="10" t="str">
        <x:v>FOR002</x:v>
      </x:c>
      <x:c r="D572" s="10" t="str">
        <x:v>CC003</x:v>
      </x:c>
      <x:c r="E572" s="10" t="str">
        <x:v>CAT016</x:v>
      </x:c>
      <x:c r="F572" s="10" t="str">
        <x:v>CTA004</x:v>
      </x:c>
      <x:c r="G572" s="10" t="str">
        <x:v>NF-100571</x:v>
      </x:c>
      <x:c r="H572" s="10" t="str">
        <x:v>Prestação de serviços</x:v>
      </x:c>
      <x:c r="I572" s="16" t="n">
        <x:v>45921.44584638889</x:v>
      </x:c>
      <x:c r="J572" s="16" t="n">
        <x:v>45981.44584638889</x:v>
      </x:c>
      <x:c r="K572" s="16" t="n">
        <x:v>45989.44584638889</x:v>
      </x:c>
      <x:c r="L572" s="20" t="n">
        <x:v>63886.69</x:v>
      </x:c>
      <x:c r="M572" s="20" t="n">
        <x:v>357.77</x:v>
      </x:c>
      <x:c r="N572" s="20" t="n">
        <x:v>0</x:v>
      </x:c>
      <x:c r="O572" s="20" t="n">
        <x:v>64244.46</x:v>
      </x:c>
      <x:c r="P572" s="20" t="n">
        <x:v>0</x:v>
      </x:c>
      <x:c r="Q572" s="10" t="str">
        <x:v>Pago</x:v>
      </x:c>
      <x:c r="R572" s="10" t="str">
        <x:v>Boleto</x:v>
      </x:c>
      <x:c r="S572" s="10" t="str">
        <x:v>2025-09</x:v>
      </x:c>
      <x:c r="T572" s="10" t="n">
        <x:v>0</x:v>
      </x:c>
      <x:c r="U572" s="10" t="str">
        <x:v>Liquidado</x:v>
      </x:c>
      <x:c r="V572" s="10" t="str">
        <x:v>UND003</x:v>
      </x:c>
    </x:row>
    <x:row r="573" ht="18" customHeight="1">
      <x:c r="A573" s="10" t="str">
        <x:v>PAG00572</x:v>
      </x:c>
      <x:c r="B573" s="10" t="str">
        <x:v>EMP002</x:v>
      </x:c>
      <x:c r="C573" s="10" t="str">
        <x:v>FOR015</x:v>
      </x:c>
      <x:c r="D573" s="10" t="str">
        <x:v>CC004</x:v>
      </x:c>
      <x:c r="E573" s="10" t="str">
        <x:v>CAT010</x:v>
      </x:c>
      <x:c r="F573" s="10" t="str">
        <x:v>CTA004</x:v>
      </x:c>
      <x:c r="G573" s="10" t="str">
        <x:v>NF-100572</x:v>
      </x:c>
      <x:c r="H573" s="10" t="str">
        <x:v>Tributos e taxas</x:v>
      </x:c>
      <x:c r="I573" s="16" t="n">
        <x:v>45588.71914729167</x:v>
      </x:c>
      <x:c r="J573" s="16" t="n">
        <x:v>45648.71914729167</x:v>
      </x:c>
      <x:c r="K573" s="16" t="n">
        <x:v>45642.71914729167</x:v>
      </x:c>
      <x:c r="L573" s="20" t="n">
        <x:v>46195.87</x:v>
      </x:c>
      <x:c r="M573" s="20" t="n">
        <x:v>0</x:v>
      </x:c>
      <x:c r="N573" s="20" t="n">
        <x:v>0</x:v>
      </x:c>
      <x:c r="O573" s="20" t="n">
        <x:v>46195.87</x:v>
      </x:c>
      <x:c r="P573" s="20" t="n">
        <x:v>0</x:v>
      </x:c>
      <x:c r="Q573" s="10" t="str">
        <x:v>Pago</x:v>
      </x:c>
      <x:c r="R573" s="10" t="str">
        <x:v>PIX</x:v>
      </x:c>
      <x:c r="S573" s="10" t="str">
        <x:v>2024-10</x:v>
      </x:c>
      <x:c r="T573" s="10" t="n">
        <x:v>0</x:v>
      </x:c>
      <x:c r="U573" s="10" t="str">
        <x:v>Liquidado</x:v>
      </x:c>
      <x:c r="V573" s="10" t="str">
        <x:v>UND003</x:v>
      </x:c>
    </x:row>
    <x:row r="574" ht="18" customHeight="1">
      <x:c r="A574" s="10" t="str">
        <x:v>PAG00573</x:v>
      </x:c>
      <x:c r="B574" s="10" t="str">
        <x:v>EMP003</x:v>
      </x:c>
      <x:c r="C574" s="10" t="str">
        <x:v>FOR059</x:v>
      </x:c>
      <x:c r="D574" s="10" t="str">
        <x:v>CC004</x:v>
      </x:c>
      <x:c r="E574" s="10" t="str">
        <x:v>CAT008</x:v>
      </x:c>
      <x:c r="F574" s="10" t="str">
        <x:v>CTA005</x:v>
      </x:c>
      <x:c r="G574" s="10" t="str">
        <x:v>NF-100573</x:v>
      </x:c>
      <x:c r="H574" s="10" t="str">
        <x:v>Contrato recorrente</x:v>
      </x:c>
      <x:c r="I574" s="16" t="n">
        <x:v>45885.28180462963</x:v>
      </x:c>
      <x:c r="J574" s="16" t="n">
        <x:v>45905.28180462963</x:v>
      </x:c>
      <x:c r="K574" s="16" t="n">
        <x:v>45905.28180462963</x:v>
      </x:c>
      <x:c r="L574" s="20" t="n">
        <x:v>38101.84</x:v>
      </x:c>
      <x:c r="M574" s="20" t="n">
        <x:v>0</x:v>
      </x:c>
      <x:c r="N574" s="20" t="n">
        <x:v>0</x:v>
      </x:c>
      <x:c r="O574" s="20" t="n">
        <x:v>38101.84</x:v>
      </x:c>
      <x:c r="P574" s="20" t="n">
        <x:v>0</x:v>
      </x:c>
      <x:c r="Q574" s="10" t="str">
        <x:v>Pago</x:v>
      </x:c>
      <x:c r="R574" s="10" t="str">
        <x:v>Boleto</x:v>
      </x:c>
      <x:c r="S574" s="10" t="str">
        <x:v>2025-08</x:v>
      </x:c>
      <x:c r="T574" s="10" t="n">
        <x:v>0</x:v>
      </x:c>
      <x:c r="U574" s="10" t="str">
        <x:v>Liquidado</x:v>
      </x:c>
      <x:c r="V574" s="10" t="str">
        <x:v>UND004</x:v>
      </x:c>
    </x:row>
    <x:row r="575" ht="18" customHeight="1">
      <x:c r="A575" s="10" t="str">
        <x:v>PAG00574</x:v>
      </x:c>
      <x:c r="B575" s="10" t="str">
        <x:v>EMP001</x:v>
      </x:c>
      <x:c r="C575" s="10" t="str">
        <x:v>FOR013</x:v>
      </x:c>
      <x:c r="D575" s="10" t="str">
        <x:v>CC003</x:v>
      </x:c>
      <x:c r="E575" s="10" t="str">
        <x:v>CAT005</x:v>
      </x:c>
      <x:c r="F575" s="10" t="str">
        <x:v>CTA001</x:v>
      </x:c>
      <x:c r="G575" s="10" t="str">
        <x:v>NF-100574</x:v>
      </x:c>
      <x:c r="H575" s="10" t="str">
        <x:v>Prestação de serviços</x:v>
      </x:c>
      <x:c r="I575" s="16" t="n">
        <x:v>45683.79576262731</x:v>
      </x:c>
      <x:c r="J575" s="16" t="n">
        <x:v>45743.79576262731</x:v>
      </x:c>
      <x:c r="K575" s="16"/>
      <x:c r="L575" s="20" t="n">
        <x:v>81068.33</x:v>
      </x:c>
      <x:c r="M575" s="20" t="n">
        <x:v>0</x:v>
      </x:c>
      <x:c r="N575" s="20" t="n">
        <x:v>0</x:v>
      </x:c>
      <x:c r="O575" s="20" t="n">
        <x:v>0</x:v>
      </x:c>
      <x:c r="P575" s="20" t="n">
        <x:v>81068.33</x:v>
      </x:c>
      <x:c r="Q575" s="10" t="str">
        <x:v>Vencido</x:v>
      </x:c>
      <x:c r="R575" s="10" t="str">
        <x:v>Débito Automático</x:v>
      </x:c>
      <x:c r="S575" s="10" t="str">
        <x:v>2025-01</x:v>
      </x:c>
      <x:c r="T575" s="10" t="n">
        <x:v>278</x:v>
      </x:c>
      <x:c r="U575" s="10" t="str">
        <x:v>&gt; 120 dias</x:v>
      </x:c>
      <x:c r="V575" s="10" t="str">
        <x:v>UND001</x:v>
      </x:c>
    </x:row>
    <x:row r="576" ht="18" customHeight="1">
      <x:c r="A576" s="10" t="str">
        <x:v>PAG00575</x:v>
      </x:c>
      <x:c r="B576" s="10" t="str">
        <x:v>EMP002</x:v>
      </x:c>
      <x:c r="C576" s="10" t="str">
        <x:v>FOR008</x:v>
      </x:c>
      <x:c r="D576" s="10" t="str">
        <x:v>CC002</x:v>
      </x:c>
      <x:c r="E576" s="10" t="str">
        <x:v>CAT017</x:v>
      </x:c>
      <x:c r="F576" s="10" t="str">
        <x:v>CTA004</x:v>
      </x:c>
      <x:c r="G576" s="10" t="str">
        <x:v>NF-100575</x:v>
      </x:c>
      <x:c r="H576" s="10" t="str">
        <x:v>Tributos e taxas</x:v>
      </x:c>
      <x:c r="I576" s="16" t="n">
        <x:v>45533.15374543981</x:v>
      </x:c>
      <x:c r="J576" s="16" t="n">
        <x:v>45553.15374543981</x:v>
      </x:c>
      <x:c r="K576" s="16" t="n">
        <x:v>45549.15374543981</x:v>
      </x:c>
      <x:c r="L576" s="20" t="n">
        <x:v>7708.26</x:v>
      </x:c>
      <x:c r="M576" s="20" t="n">
        <x:v>0</x:v>
      </x:c>
      <x:c r="N576" s="20" t="n">
        <x:v>0</x:v>
      </x:c>
      <x:c r="O576" s="20" t="n">
        <x:v>7708.26</x:v>
      </x:c>
      <x:c r="P576" s="20" t="n">
        <x:v>0</x:v>
      </x:c>
      <x:c r="Q576" s="10" t="str">
        <x:v>Pago</x:v>
      </x:c>
      <x:c r="R576" s="10" t="str">
        <x:v>PIX</x:v>
      </x:c>
      <x:c r="S576" s="10" t="str">
        <x:v>2024-08</x:v>
      </x:c>
      <x:c r="T576" s="10" t="n">
        <x:v>0</x:v>
      </x:c>
      <x:c r="U576" s="10" t="str">
        <x:v>Liquidado</x:v>
      </x:c>
      <x:c r="V576" s="10" t="str">
        <x:v>UND003</x:v>
      </x:c>
    </x:row>
    <x:row r="577" ht="18" customHeight="1">
      <x:c r="A577" s="10" t="str">
        <x:v>PAG00576</x:v>
      </x:c>
      <x:c r="B577" s="10" t="str">
        <x:v>EMP003</x:v>
      </x:c>
      <x:c r="C577" s="10" t="str">
        <x:v>FOR009</x:v>
      </x:c>
      <x:c r="D577" s="10" t="str">
        <x:v>CC003</x:v>
      </x:c>
      <x:c r="E577" s="10" t="str">
        <x:v>CAT017</x:v>
      </x:c>
      <x:c r="F577" s="10" t="str">
        <x:v>CTA006</x:v>
      </x:c>
      <x:c r="G577" s="10" t="str">
        <x:v>NF-100576</x:v>
      </x:c>
      <x:c r="H577" s="10" t="str">
        <x:v>Tributos e taxas</x:v>
      </x:c>
      <x:c r="I577" s="16" t="n">
        <x:v>45380.77236701389</x:v>
      </x:c>
      <x:c r="J577" s="16" t="n">
        <x:v>45408.77236701389</x:v>
      </x:c>
      <x:c r="K577" s="16" t="n">
        <x:v>45402.77236701389</x:v>
      </x:c>
      <x:c r="L577" s="20" t="n">
        <x:v>14795.97</x:v>
      </x:c>
      <x:c r="M577" s="20" t="n">
        <x:v>0</x:v>
      </x:c>
      <x:c r="N577" s="20" t="n">
        <x:v>0</x:v>
      </x:c>
      <x:c r="O577" s="20" t="n">
        <x:v>14795.97</x:v>
      </x:c>
      <x:c r="P577" s="20" t="n">
        <x:v>0</x:v>
      </x:c>
      <x:c r="Q577" s="10" t="str">
        <x:v>Pago</x:v>
      </x:c>
      <x:c r="R577" s="10" t="str">
        <x:v>Débito Automático</x:v>
      </x:c>
      <x:c r="S577" s="10" t="str">
        <x:v>2024-03</x:v>
      </x:c>
      <x:c r="T577" s="10" t="n">
        <x:v>0</x:v>
      </x:c>
      <x:c r="U577" s="10" t="str">
        <x:v>Liquidado</x:v>
      </x:c>
      <x:c r="V577" s="10" t="str">
        <x:v>UND004</x:v>
      </x:c>
    </x:row>
    <x:row r="578" ht="18" customHeight="1">
      <x:c r="A578" s="10" t="str">
        <x:v>PAG00577</x:v>
      </x:c>
      <x:c r="B578" s="10" t="str">
        <x:v>EMP003</x:v>
      </x:c>
      <x:c r="C578" s="10" t="str">
        <x:v>FOR041</x:v>
      </x:c>
      <x:c r="D578" s="10" t="str">
        <x:v>CC006</x:v>
      </x:c>
      <x:c r="E578" s="10" t="str">
        <x:v>CAT014</x:v>
      </x:c>
      <x:c r="F578" s="10" t="str">
        <x:v>CTA005</x:v>
      </x:c>
      <x:c r="G578" s="10" t="str">
        <x:v>NF-100577</x:v>
      </x:c>
      <x:c r="H578" s="10" t="str">
        <x:v>Despesa operacional</x:v>
      </x:c>
      <x:c r="I578" s="16" t="n">
        <x:v>45308.14411664352</x:v>
      </x:c>
      <x:c r="J578" s="16" t="n">
        <x:v>45353.14411664352</x:v>
      </x:c>
      <x:c r="K578" s="16" t="n">
        <x:v>45381.14411664352</x:v>
      </x:c>
      <x:c r="L578" s="20" t="n">
        <x:v>9135.33</x:v>
      </x:c>
      <x:c r="M578" s="20" t="n">
        <x:v>179.05</x:v>
      </x:c>
      <x:c r="N578" s="20" t="n">
        <x:v>0</x:v>
      </x:c>
      <x:c r="O578" s="20" t="n">
        <x:v>9314.38</x:v>
      </x:c>
      <x:c r="P578" s="20" t="n">
        <x:v>0</x:v>
      </x:c>
      <x:c r="Q578" s="10" t="str">
        <x:v>Pago</x:v>
      </x:c>
      <x:c r="R578" s="10" t="str">
        <x:v>Cartão Corporativo</x:v>
      </x:c>
      <x:c r="S578" s="10" t="str">
        <x:v>2024-01</x:v>
      </x:c>
      <x:c r="T578" s="10" t="n">
        <x:v>0</x:v>
      </x:c>
      <x:c r="U578" s="10" t="str">
        <x:v>Liquidado</x:v>
      </x:c>
      <x:c r="V578" s="10" t="str">
        <x:v>UND004</x:v>
      </x:c>
    </x:row>
    <x:row r="579" ht="18" customHeight="1">
      <x:c r="A579" s="10" t="str">
        <x:v>PAG00578</x:v>
      </x:c>
      <x:c r="B579" s="10" t="str">
        <x:v>EMP001</x:v>
      </x:c>
      <x:c r="C579" s="10" t="str">
        <x:v>FOR012</x:v>
      </x:c>
      <x:c r="D579" s="10" t="str">
        <x:v>CC004</x:v>
      </x:c>
      <x:c r="E579" s="10" t="str">
        <x:v>CAT013</x:v>
      </x:c>
      <x:c r="F579" s="10" t="str">
        <x:v>CTA001</x:v>
      </x:c>
      <x:c r="G579" s="10" t="str">
        <x:v>NF-100578</x:v>
      </x:c>
      <x:c r="H579" s="10" t="str">
        <x:v>Contrato recorrente</x:v>
      </x:c>
      <x:c r="I579" s="16" t="n">
        <x:v>45948.407702766206</x:v>
      </x:c>
      <x:c r="J579" s="16" t="n">
        <x:v>45976.407702766206</x:v>
      </x:c>
      <x:c r="K579" s="16" t="n">
        <x:v>45973.407702766206</x:v>
      </x:c>
      <x:c r="L579" s="20" t="n">
        <x:v>25941.71</x:v>
      </x:c>
      <x:c r="M579" s="20" t="n">
        <x:v>0</x:v>
      </x:c>
      <x:c r="N579" s="20" t="n">
        <x:v>0</x:v>
      </x:c>
      <x:c r="O579" s="20" t="n">
        <x:v>25941.71</x:v>
      </x:c>
      <x:c r="P579" s="20" t="n">
        <x:v>0</x:v>
      </x:c>
      <x:c r="Q579" s="10" t="str">
        <x:v>Pago</x:v>
      </x:c>
      <x:c r="R579" s="10" t="str">
        <x:v>TED</x:v>
      </x:c>
      <x:c r="S579" s="10" t="str">
        <x:v>2025-10</x:v>
      </x:c>
      <x:c r="T579" s="10" t="n">
        <x:v>0</x:v>
      </x:c>
      <x:c r="U579" s="10" t="str">
        <x:v>Liquidado</x:v>
      </x:c>
      <x:c r="V579" s="10" t="str">
        <x:v>UND001</x:v>
      </x:c>
    </x:row>
    <x:row r="580" ht="18" customHeight="1">
      <x:c r="A580" s="10" t="str">
        <x:v>PAG00579</x:v>
      </x:c>
      <x:c r="B580" s="10" t="str">
        <x:v>EMP001</x:v>
      </x:c>
      <x:c r="C580" s="10" t="str">
        <x:v>FOR004</x:v>
      </x:c>
      <x:c r="D580" s="10" t="str">
        <x:v>CC005</x:v>
      </x:c>
      <x:c r="E580" s="10" t="str">
        <x:v>CAT018</x:v>
      </x:c>
      <x:c r="F580" s="10" t="str">
        <x:v>CTA002</x:v>
      </x:c>
      <x:c r="G580" s="10" t="str">
        <x:v>NF-100579</x:v>
      </x:c>
      <x:c r="H580" s="10" t="str">
        <x:v>Prestação de serviços</x:v>
      </x:c>
      <x:c r="I580" s="16" t="n">
        <x:v>45800.122827962965</x:v>
      </x:c>
      <x:c r="J580" s="16" t="n">
        <x:v>45845.122827962965</x:v>
      </x:c>
      <x:c r="K580" s="16" t="n">
        <x:v>45869.122827962965</x:v>
      </x:c>
      <x:c r="L580" s="20" t="n">
        <x:v>108002.04</x:v>
      </x:c>
      <x:c r="M580" s="20" t="n">
        <x:v>1814.43</x:v>
      </x:c>
      <x:c r="N580" s="20" t="n">
        <x:v>0</x:v>
      </x:c>
      <x:c r="O580" s="20" t="n">
        <x:v>109816.47</x:v>
      </x:c>
      <x:c r="P580" s="20" t="n">
        <x:v>0</x:v>
      </x:c>
      <x:c r="Q580" s="10" t="str">
        <x:v>Pago</x:v>
      </x:c>
      <x:c r="R580" s="10" t="str">
        <x:v>PIX</x:v>
      </x:c>
      <x:c r="S580" s="10" t="str">
        <x:v>2025-05</x:v>
      </x:c>
      <x:c r="T580" s="10" t="n">
        <x:v>0</x:v>
      </x:c>
      <x:c r="U580" s="10" t="str">
        <x:v>Liquidado</x:v>
      </x:c>
      <x:c r="V580" s="10" t="str">
        <x:v>UND002</x:v>
      </x:c>
    </x:row>
    <x:row r="581" ht="18" customHeight="1">
      <x:c r="A581" s="10" t="str">
        <x:v>PAG00580</x:v>
      </x:c>
      <x:c r="B581" s="10" t="str">
        <x:v>EMP003</x:v>
      </x:c>
      <x:c r="C581" s="10" t="str">
        <x:v>FOR018</x:v>
      </x:c>
      <x:c r="D581" s="10" t="str">
        <x:v>CC006</x:v>
      </x:c>
      <x:c r="E581" s="10" t="str">
        <x:v>CAT010</x:v>
      </x:c>
      <x:c r="F581" s="10" t="str">
        <x:v>CTA005</x:v>
      </x:c>
      <x:c r="G581" s="10" t="str">
        <x:v>NF-100580</x:v>
      </x:c>
      <x:c r="H581" s="10" t="str">
        <x:v>Tributos e taxas</x:v>
      </x:c>
      <x:c r="I581" s="16" t="n">
        <x:v>45741.76455467592</x:v>
      </x:c>
      <x:c r="J581" s="16" t="n">
        <x:v>45776.76455467592</x:v>
      </x:c>
      <x:c r="K581" s="16" t="n">
        <x:v>45769.76455467592</x:v>
      </x:c>
      <x:c r="L581" s="20" t="n">
        <x:v>100060.06</x:v>
      </x:c>
      <x:c r="M581" s="20" t="n">
        <x:v>0</x:v>
      </x:c>
      <x:c r="N581" s="20" t="n">
        <x:v>0</x:v>
      </x:c>
      <x:c r="O581" s="20" t="n">
        <x:v>100060.06</x:v>
      </x:c>
      <x:c r="P581" s="20" t="n">
        <x:v>0</x:v>
      </x:c>
      <x:c r="Q581" s="10" t="str">
        <x:v>Pago</x:v>
      </x:c>
      <x:c r="R581" s="10" t="str">
        <x:v>Débito Automático</x:v>
      </x:c>
      <x:c r="S581" s="10" t="str">
        <x:v>2025-03</x:v>
      </x:c>
      <x:c r="T581" s="10" t="n">
        <x:v>0</x:v>
      </x:c>
      <x:c r="U581" s="10" t="str">
        <x:v>Liquidado</x:v>
      </x:c>
      <x:c r="V581" s="10" t="str">
        <x:v>UND004</x:v>
      </x:c>
    </x:row>
    <x:row r="582" ht="18" customHeight="1">
      <x:c r="A582" s="10" t="str">
        <x:v>PAG00581</x:v>
      </x:c>
      <x:c r="B582" s="10" t="str">
        <x:v>EMP001</x:v>
      </x:c>
      <x:c r="C582" s="10" t="str">
        <x:v>FOR032</x:v>
      </x:c>
      <x:c r="D582" s="10" t="str">
        <x:v>CC002</x:v>
      </x:c>
      <x:c r="E582" s="10" t="str">
        <x:v>CAT013</x:v>
      </x:c>
      <x:c r="F582" s="10" t="str">
        <x:v>CTA002</x:v>
      </x:c>
      <x:c r="G582" s="10" t="str">
        <x:v>NF-100581</x:v>
      </x:c>
      <x:c r="H582" s="10" t="str">
        <x:v>Contrato recorrente</x:v>
      </x:c>
      <x:c r="I582" s="16" t="n">
        <x:v>45495.938046574076</x:v>
      </x:c>
      <x:c r="J582" s="16" t="n">
        <x:v>45525.938046574076</x:v>
      </x:c>
      <x:c r="K582" s="16" t="n">
        <x:v>45525.938046574076</x:v>
      </x:c>
      <x:c r="L582" s="20" t="n">
        <x:v>82583.16</x:v>
      </x:c>
      <x:c r="M582" s="20" t="n">
        <x:v>0</x:v>
      </x:c>
      <x:c r="N582" s="20" t="n">
        <x:v>0</x:v>
      </x:c>
      <x:c r="O582" s="20" t="n">
        <x:v>82583.16</x:v>
      </x:c>
      <x:c r="P582" s="20" t="n">
        <x:v>0</x:v>
      </x:c>
      <x:c r="Q582" s="10" t="str">
        <x:v>Pago</x:v>
      </x:c>
      <x:c r="R582" s="10" t="str">
        <x:v>Boleto</x:v>
      </x:c>
      <x:c r="S582" s="10" t="str">
        <x:v>2024-07</x:v>
      </x:c>
      <x:c r="T582" s="10" t="n">
        <x:v>0</x:v>
      </x:c>
      <x:c r="U582" s="10" t="str">
        <x:v>Liquidado</x:v>
      </x:c>
      <x:c r="V582" s="10" t="str">
        <x:v>UND001</x:v>
      </x:c>
    </x:row>
    <x:row r="583" ht="18" customHeight="1">
      <x:c r="A583" s="10" t="str">
        <x:v>PAG00582</x:v>
      </x:c>
      <x:c r="B583" s="10" t="str">
        <x:v>EMP001</x:v>
      </x:c>
      <x:c r="C583" s="10" t="str">
        <x:v>FOR060</x:v>
      </x:c>
      <x:c r="D583" s="10" t="str">
        <x:v>CC008</x:v>
      </x:c>
      <x:c r="E583" s="10" t="str">
        <x:v>CAT016</x:v>
      </x:c>
      <x:c r="F583" s="10" t="str">
        <x:v>CTA002</x:v>
      </x:c>
      <x:c r="G583" s="10" t="str">
        <x:v>NF-100582</x:v>
      </x:c>
      <x:c r="H583" s="10" t="str">
        <x:v>Tributos e taxas</x:v>
      </x:c>
      <x:c r="I583" s="16" t="n">
        <x:v>45839.62724253472</x:v>
      </x:c>
      <x:c r="J583" s="16" t="n">
        <x:v>45867.62724253472</x:v>
      </x:c>
      <x:c r="K583" s="16" t="n">
        <x:v>45859.62724253472</x:v>
      </x:c>
      <x:c r="L583" s="20" t="n">
        <x:v>78675.26</x:v>
      </x:c>
      <x:c r="M583" s="20" t="n">
        <x:v>0</x:v>
      </x:c>
      <x:c r="N583" s="20" t="n">
        <x:v>0</x:v>
      </x:c>
      <x:c r="O583" s="20" t="n">
        <x:v>78675.26</x:v>
      </x:c>
      <x:c r="P583" s="20" t="n">
        <x:v>0</x:v>
      </x:c>
      <x:c r="Q583" s="10" t="str">
        <x:v>Pago</x:v>
      </x:c>
      <x:c r="R583" s="10" t="str">
        <x:v>Cartão Corporativo</x:v>
      </x:c>
      <x:c r="S583" s="10" t="str">
        <x:v>2025-07</x:v>
      </x:c>
      <x:c r="T583" s="10" t="n">
        <x:v>0</x:v>
      </x:c>
      <x:c r="U583" s="10" t="str">
        <x:v>Liquidado</x:v>
      </x:c>
      <x:c r="V583" s="10" t="str">
        <x:v>UND002</x:v>
      </x:c>
    </x:row>
    <x:row r="584" ht="18" customHeight="1">
      <x:c r="A584" s="10" t="str">
        <x:v>PAG00583</x:v>
      </x:c>
      <x:c r="B584" s="10" t="str">
        <x:v>EMP001</x:v>
      </x:c>
      <x:c r="C584" s="10" t="str">
        <x:v>FOR037</x:v>
      </x:c>
      <x:c r="D584" s="10" t="str">
        <x:v>CC006</x:v>
      </x:c>
      <x:c r="E584" s="10" t="str">
        <x:v>CAT008</x:v>
      </x:c>
      <x:c r="F584" s="10" t="str">
        <x:v>CTA001</x:v>
      </x:c>
      <x:c r="G584" s="10" t="str">
        <x:v>NF-100583</x:v>
      </x:c>
      <x:c r="H584" s="10" t="str">
        <x:v>Despesa operacional</x:v>
      </x:c>
      <x:c r="I584" s="16" t="n">
        <x:v>45751.085747337966</x:v>
      </x:c>
      <x:c r="J584" s="16" t="n">
        <x:v>45786.085747337966</x:v>
      </x:c>
      <x:c r="K584" s="16" t="n">
        <x:v>45809.085747337966</x:v>
      </x:c>
      <x:c r="L584" s="20" t="n">
        <x:v>20506.05</x:v>
      </x:c>
      <x:c r="M584" s="20" t="n">
        <x:v>330.15</x:v>
      </x:c>
      <x:c r="N584" s="20" t="n">
        <x:v>0</x:v>
      </x:c>
      <x:c r="O584" s="20" t="n">
        <x:v>20836.2</x:v>
      </x:c>
      <x:c r="P584" s="20" t="n">
        <x:v>0</x:v>
      </x:c>
      <x:c r="Q584" s="10" t="str">
        <x:v>Pago</x:v>
      </x:c>
      <x:c r="R584" s="10" t="str">
        <x:v>TED</x:v>
      </x:c>
      <x:c r="S584" s="10" t="str">
        <x:v>2025-04</x:v>
      </x:c>
      <x:c r="T584" s="10" t="n">
        <x:v>0</x:v>
      </x:c>
      <x:c r="U584" s="10" t="str">
        <x:v>Liquidado</x:v>
      </x:c>
      <x:c r="V584" s="10" t="str">
        <x:v>UND002</x:v>
      </x:c>
    </x:row>
    <x:row r="585" ht="18" customHeight="1">
      <x:c r="A585" s="10" t="str">
        <x:v>PAG00584</x:v>
      </x:c>
      <x:c r="B585" s="10" t="str">
        <x:v>EMP002</x:v>
      </x:c>
      <x:c r="C585" s="10" t="str">
        <x:v>FOR010</x:v>
      </x:c>
      <x:c r="D585" s="10" t="str">
        <x:v>CC006</x:v>
      </x:c>
      <x:c r="E585" s="10" t="str">
        <x:v>CAT017</x:v>
      </x:c>
      <x:c r="F585" s="10" t="str">
        <x:v>CTA003</x:v>
      </x:c>
      <x:c r="G585" s="10" t="str">
        <x:v>NF-100584</x:v>
      </x:c>
      <x:c r="H585" s="10" t="str">
        <x:v>Despesa operacional</x:v>
      </x:c>
      <x:c r="I585" s="16" t="n">
        <x:v>45584.97284679398</x:v>
      </x:c>
      <x:c r="J585" s="16" t="n">
        <x:v>45659.97284679398</x:v>
      </x:c>
      <x:c r="K585" s="16" t="n">
        <x:v>45668.97284679398</x:v>
      </x:c>
      <x:c r="L585" s="20" t="n">
        <x:v>29652.19</x:v>
      </x:c>
      <x:c r="M585" s="20" t="n">
        <x:v>186.81</x:v>
      </x:c>
      <x:c r="N585" s="20" t="n">
        <x:v>0</x:v>
      </x:c>
      <x:c r="O585" s="20" t="n">
        <x:v>29839</x:v>
      </x:c>
      <x:c r="P585" s="20" t="n">
        <x:v>0</x:v>
      </x:c>
      <x:c r="Q585" s="10" t="str">
        <x:v>Pago</x:v>
      </x:c>
      <x:c r="R585" s="10" t="str">
        <x:v>Cartão Corporativo</x:v>
      </x:c>
      <x:c r="S585" s="10" t="str">
        <x:v>2024-10</x:v>
      </x:c>
      <x:c r="T585" s="10" t="n">
        <x:v>0</x:v>
      </x:c>
      <x:c r="U585" s="10" t="str">
        <x:v>Liquidado</x:v>
      </x:c>
      <x:c r="V585" s="10" t="str">
        <x:v>UND003</x:v>
      </x:c>
    </x:row>
    <x:row r="586" ht="18" customHeight="1">
      <x:c r="A586" s="10" t="str">
        <x:v>PAG00585</x:v>
      </x:c>
      <x:c r="B586" s="10" t="str">
        <x:v>EMP003</x:v>
      </x:c>
      <x:c r="C586" s="10" t="str">
        <x:v>FOR018</x:v>
      </x:c>
      <x:c r="D586" s="10" t="str">
        <x:v>CC008</x:v>
      </x:c>
      <x:c r="E586" s="10" t="str">
        <x:v>CAT018</x:v>
      </x:c>
      <x:c r="F586" s="10" t="str">
        <x:v>CTA006</x:v>
      </x:c>
      <x:c r="G586" s="10" t="str">
        <x:v>NF-100585</x:v>
      </x:c>
      <x:c r="H586" s="10" t="str">
        <x:v>Despesa operacional</x:v>
      </x:c>
      <x:c r="I586" s="16" t="n">
        <x:v>45338.72226048611</x:v>
      </x:c>
      <x:c r="J586" s="16" t="n">
        <x:v>45353.72226048611</x:v>
      </x:c>
      <x:c r="K586" s="16"/>
      <x:c r="L586" s="20" t="n">
        <x:v>90090.61</x:v>
      </x:c>
      <x:c r="M586" s="20" t="n">
        <x:v>0</x:v>
      </x:c>
      <x:c r="N586" s="20" t="n">
        <x:v>0</x:v>
      </x:c>
      <x:c r="O586" s="20" t="n">
        <x:v>0</x:v>
      </x:c>
      <x:c r="P586" s="20" t="n">
        <x:v>90090.61</x:v>
      </x:c>
      <x:c r="Q586" s="10" t="str">
        <x:v>Vencido</x:v>
      </x:c>
      <x:c r="R586" s="10" t="str">
        <x:v>Boleto</x:v>
      </x:c>
      <x:c r="S586" s="10" t="str">
        <x:v>2024-02</x:v>
      </x:c>
      <x:c r="T586" s="10" t="n">
        <x:v>668</x:v>
      </x:c>
      <x:c r="U586" s="10" t="str">
        <x:v>&gt; 120 dias</x:v>
      </x:c>
      <x:c r="V586" s="10" t="str">
        <x:v>UND004</x:v>
      </x:c>
    </x:row>
    <x:row r="587" ht="18" customHeight="1">
      <x:c r="A587" s="10" t="str">
        <x:v>PAG00586</x:v>
      </x:c>
      <x:c r="B587" s="10" t="str">
        <x:v>EMP001</x:v>
      </x:c>
      <x:c r="C587" s="10" t="str">
        <x:v>FOR045</x:v>
      </x:c>
      <x:c r="D587" s="10" t="str">
        <x:v>CC003</x:v>
      </x:c>
      <x:c r="E587" s="10" t="str">
        <x:v>CAT005</x:v>
      </x:c>
      <x:c r="F587" s="10" t="str">
        <x:v>CTA002</x:v>
      </x:c>
      <x:c r="G587" s="10" t="str">
        <x:v>NF-100586</x:v>
      </x:c>
      <x:c r="H587" s="10" t="str">
        <x:v>Compra de materiais</x:v>
      </x:c>
      <x:c r="I587" s="16" t="n">
        <x:v>45899.86140083333</x:v>
      </x:c>
      <x:c r="J587" s="16" t="n">
        <x:v>45927.86140083333</x:v>
      </x:c>
      <x:c r="K587" s="16"/>
      <x:c r="L587" s="20" t="n">
        <x:v>82620</x:v>
      </x:c>
      <x:c r="M587" s="20" t="n">
        <x:v>0</x:v>
      </x:c>
      <x:c r="N587" s="20" t="n">
        <x:v>0</x:v>
      </x:c>
      <x:c r="O587" s="20" t="n">
        <x:v>0</x:v>
      </x:c>
      <x:c r="P587" s="20" t="n">
        <x:v>82620</x:v>
      </x:c>
      <x:c r="Q587" s="10" t="str">
        <x:v>Vencido</x:v>
      </x:c>
      <x:c r="R587" s="10" t="str">
        <x:v>TED</x:v>
      </x:c>
      <x:c r="S587" s="10" t="str">
        <x:v>2025-08</x:v>
      </x:c>
      <x:c r="T587" s="10" t="n">
        <x:v>94</x:v>
      </x:c>
      <x:c r="U587" s="10" t="str">
        <x:v>91 a 120 dias</x:v>
      </x:c>
      <x:c r="V587" s="10" t="str">
        <x:v>UND002</x:v>
      </x:c>
    </x:row>
    <x:row r="588" ht="18" customHeight="1">
      <x:c r="A588" s="10" t="str">
        <x:v>PAG00587</x:v>
      </x:c>
      <x:c r="B588" s="10" t="str">
        <x:v>EMP003</x:v>
      </x:c>
      <x:c r="C588" s="10" t="str">
        <x:v>FOR032</x:v>
      </x:c>
      <x:c r="D588" s="10" t="str">
        <x:v>CC007</x:v>
      </x:c>
      <x:c r="E588" s="10" t="str">
        <x:v>CAT015</x:v>
      </x:c>
      <x:c r="F588" s="10" t="str">
        <x:v>CTA005</x:v>
      </x:c>
      <x:c r="G588" s="10" t="str">
        <x:v>NF-100587</x:v>
      </x:c>
      <x:c r="H588" s="10" t="str">
        <x:v>Tributos e taxas</x:v>
      </x:c>
      <x:c r="I588" s="16" t="n">
        <x:v>45977.45276851852</x:v>
      </x:c>
      <x:c r="J588" s="16" t="n">
        <x:v>46022.45276851852</x:v>
      </x:c>
      <x:c r="K588" s="16"/>
      <x:c r="L588" s="20" t="n">
        <x:v>21496.28</x:v>
      </x:c>
      <x:c r="M588" s="20" t="n">
        <x:v>0</x:v>
      </x:c>
      <x:c r="N588" s="20" t="n">
        <x:v>0</x:v>
      </x:c>
      <x:c r="O588" s="20" t="n">
        <x:v>0</x:v>
      </x:c>
      <x:c r="P588" s="20" t="n">
        <x:v>21496.28</x:v>
      </x:c>
      <x:c r="Q588" s="10" t="str">
        <x:v>A vencer</x:v>
      </x:c>
      <x:c r="R588" s="10" t="str">
        <x:v>Boleto</x:v>
      </x:c>
      <x:c r="S588" s="10" t="str">
        <x:v>2025-11</x:v>
      </x:c>
      <x:c r="T588" s="10" t="n">
        <x:v>0</x:v>
      </x:c>
      <x:c r="U588" s="10" t="str">
        <x:v>A vencer</x:v>
      </x:c>
      <x:c r="V588" s="10" t="str">
        <x:v>UND004</x:v>
      </x:c>
    </x:row>
    <x:row r="589" ht="18" customHeight="1">
      <x:c r="A589" s="10" t="str">
        <x:v>PAG00588</x:v>
      </x:c>
      <x:c r="B589" s="10" t="str">
        <x:v>EMP002</x:v>
      </x:c>
      <x:c r="C589" s="10" t="str">
        <x:v>FOR010</x:v>
      </x:c>
      <x:c r="D589" s="10" t="str">
        <x:v>CC006</x:v>
      </x:c>
      <x:c r="E589" s="10" t="str">
        <x:v>CAT005</x:v>
      </x:c>
      <x:c r="F589" s="10" t="str">
        <x:v>CTA004</x:v>
      </x:c>
      <x:c r="G589" s="10" t="str">
        <x:v>NF-100588</x:v>
      </x:c>
      <x:c r="H589" s="10" t="str">
        <x:v>Despesa operacional</x:v>
      </x:c>
      <x:c r="I589" s="16" t="n">
        <x:v>45758.93973259259</x:v>
      </x:c>
      <x:c r="J589" s="16" t="n">
        <x:v>45818.93973259259</x:v>
      </x:c>
      <x:c r="K589" s="16" t="n">
        <x:v>45828.93973259259</x:v>
      </x:c>
      <x:c r="L589" s="20" t="n">
        <x:v>38737.94</x:v>
      </x:c>
      <x:c r="M589" s="20" t="n">
        <x:v>271.17</x:v>
      </x:c>
      <x:c r="N589" s="20" t="n">
        <x:v>0</x:v>
      </x:c>
      <x:c r="O589" s="20" t="n">
        <x:v>39009.11</x:v>
      </x:c>
      <x:c r="P589" s="20" t="n">
        <x:v>0</x:v>
      </x:c>
      <x:c r="Q589" s="10" t="str">
        <x:v>Pago</x:v>
      </x:c>
      <x:c r="R589" s="10" t="str">
        <x:v>TED</x:v>
      </x:c>
      <x:c r="S589" s="10" t="str">
        <x:v>2025-04</x:v>
      </x:c>
      <x:c r="T589" s="10" t="n">
        <x:v>0</x:v>
      </x:c>
      <x:c r="U589" s="10" t="str">
        <x:v>Liquidado</x:v>
      </x:c>
      <x:c r="V589" s="10" t="str">
        <x:v>UND003</x:v>
      </x:c>
    </x:row>
    <x:row r="590" ht="18" customHeight="1">
      <x:c r="A590" s="10" t="str">
        <x:v>PAG00589</x:v>
      </x:c>
      <x:c r="B590" s="10" t="str">
        <x:v>EMP002</x:v>
      </x:c>
      <x:c r="C590" s="10" t="str">
        <x:v>FOR047</x:v>
      </x:c>
      <x:c r="D590" s="10" t="str">
        <x:v>CC005</x:v>
      </x:c>
      <x:c r="E590" s="10" t="str">
        <x:v>CAT009</x:v>
      </x:c>
      <x:c r="F590" s="10" t="str">
        <x:v>CTA004</x:v>
      </x:c>
      <x:c r="G590" s="10" t="str">
        <x:v>NF-100589</x:v>
      </x:c>
      <x:c r="H590" s="10" t="str">
        <x:v>Compra de materiais</x:v>
      </x:c>
      <x:c r="I590" s="16" t="n">
        <x:v>45991.38746612269</x:v>
      </x:c>
      <x:c r="J590" s="16" t="n">
        <x:v>46051.38746612269</x:v>
      </x:c>
      <x:c r="K590" s="16"/>
      <x:c r="L590" s="20" t="n">
        <x:v>1498.56</x:v>
      </x:c>
      <x:c r="M590" s="20" t="n">
        <x:v>0</x:v>
      </x:c>
      <x:c r="N590" s="20" t="n">
        <x:v>0</x:v>
      </x:c>
      <x:c r="O590" s="20" t="n">
        <x:v>0</x:v>
      </x:c>
      <x:c r="P590" s="20" t="n">
        <x:v>1498.56</x:v>
      </x:c>
      <x:c r="Q590" s="10" t="str">
        <x:v>A vencer</x:v>
      </x:c>
      <x:c r="R590" s="10" t="str">
        <x:v>TED</x:v>
      </x:c>
      <x:c r="S590" s="10" t="str">
        <x:v>2025-11</x:v>
      </x:c>
      <x:c r="T590" s="10" t="n">
        <x:v>0</x:v>
      </x:c>
      <x:c r="U590" s="10" t="str">
        <x:v>A vencer</x:v>
      </x:c>
      <x:c r="V590" s="10" t="str">
        <x:v>UND003</x:v>
      </x:c>
    </x:row>
    <x:row r="591" ht="18" customHeight="1">
      <x:c r="A591" s="10" t="str">
        <x:v>PAG00590</x:v>
      </x:c>
      <x:c r="B591" s="10" t="str">
        <x:v>EMP003</x:v>
      </x:c>
      <x:c r="C591" s="10" t="str">
        <x:v>FOR045</x:v>
      </x:c>
      <x:c r="D591" s="10" t="str">
        <x:v>CC006</x:v>
      </x:c>
      <x:c r="E591" s="10" t="str">
        <x:v>CAT008</x:v>
      </x:c>
      <x:c r="F591" s="10" t="str">
        <x:v>CTA005</x:v>
      </x:c>
      <x:c r="G591" s="10" t="str">
        <x:v>NF-100590</x:v>
      </x:c>
      <x:c r="H591" s="10" t="str">
        <x:v>Tributos e taxas</x:v>
      </x:c>
      <x:c r="I591" s="16" t="n">
        <x:v>45317.561745949075</x:v>
      </x:c>
      <x:c r="J591" s="16" t="n">
        <x:v>45352.561745949075</x:v>
      </x:c>
      <x:c r="K591" s="16" t="n">
        <x:v>45379.561745949075</x:v>
      </x:c>
      <x:c r="L591" s="20" t="n">
        <x:v>111016.6</x:v>
      </x:c>
      <x:c r="M591" s="20" t="n">
        <x:v>2098.21</x:v>
      </x:c>
      <x:c r="N591" s="20" t="n">
        <x:v>0</x:v>
      </x:c>
      <x:c r="O591" s="20" t="n">
        <x:v>113114.81</x:v>
      </x:c>
      <x:c r="P591" s="20" t="n">
        <x:v>0</x:v>
      </x:c>
      <x:c r="Q591" s="10" t="str">
        <x:v>Pago</x:v>
      </x:c>
      <x:c r="R591" s="10" t="str">
        <x:v>TED</x:v>
      </x:c>
      <x:c r="S591" s="10" t="str">
        <x:v>2024-01</x:v>
      </x:c>
      <x:c r="T591" s="10" t="n">
        <x:v>0</x:v>
      </x:c>
      <x:c r="U591" s="10" t="str">
        <x:v>Liquidado</x:v>
      </x:c>
      <x:c r="V591" s="10" t="str">
        <x:v>UND004</x:v>
      </x:c>
    </x:row>
    <x:row r="592" ht="18" customHeight="1">
      <x:c r="A592" s="10" t="str">
        <x:v>PAG00591</x:v>
      </x:c>
      <x:c r="B592" s="10" t="str">
        <x:v>EMP003</x:v>
      </x:c>
      <x:c r="C592" s="10" t="str">
        <x:v>FOR004</x:v>
      </x:c>
      <x:c r="D592" s="10" t="str">
        <x:v>CC008</x:v>
      </x:c>
      <x:c r="E592" s="10" t="str">
        <x:v>CAT005</x:v>
      </x:c>
      <x:c r="F592" s="10" t="str">
        <x:v>CTA006</x:v>
      </x:c>
      <x:c r="G592" s="10" t="str">
        <x:v>NF-100591</x:v>
      </x:c>
      <x:c r="H592" s="10" t="str">
        <x:v>Despesa operacional</x:v>
      </x:c>
      <x:c r="I592" s="16" t="n">
        <x:v>45505.492498541666</x:v>
      </x:c>
      <x:c r="J592" s="16" t="n">
        <x:v>45540.492498541666</x:v>
      </x:c>
      <x:c r="K592" s="16" t="n">
        <x:v>45547.492498541666</x:v>
      </x:c>
      <x:c r="L592" s="20" t="n">
        <x:v>62274.65</x:v>
      </x:c>
      <x:c r="M592" s="20" t="n">
        <x:v>305.15</x:v>
      </x:c>
      <x:c r="N592" s="20" t="n">
        <x:v>0</x:v>
      </x:c>
      <x:c r="O592" s="20" t="n">
        <x:v>62579.8</x:v>
      </x:c>
      <x:c r="P592" s="20" t="n">
        <x:v>0</x:v>
      </x:c>
      <x:c r="Q592" s="10" t="str">
        <x:v>Pago</x:v>
      </x:c>
      <x:c r="R592" s="10" t="str">
        <x:v>Débito Automático</x:v>
      </x:c>
      <x:c r="S592" s="10" t="str">
        <x:v>2024-08</x:v>
      </x:c>
      <x:c r="T592" s="10" t="n">
        <x:v>0</x:v>
      </x:c>
      <x:c r="U592" s="10" t="str">
        <x:v>Liquidado</x:v>
      </x:c>
      <x:c r="V592" s="10" t="str">
        <x:v>UND004</x:v>
      </x:c>
    </x:row>
    <x:row r="593" ht="18" customHeight="1">
      <x:c r="A593" s="10" t="str">
        <x:v>PAG00592</x:v>
      </x:c>
      <x:c r="B593" s="10" t="str">
        <x:v>EMP001</x:v>
      </x:c>
      <x:c r="C593" s="10" t="str">
        <x:v>FOR043</x:v>
      </x:c>
      <x:c r="D593" s="10" t="str">
        <x:v>CC004</x:v>
      </x:c>
      <x:c r="E593" s="10" t="str">
        <x:v>CAT018</x:v>
      </x:c>
      <x:c r="F593" s="10" t="str">
        <x:v>CTA002</x:v>
      </x:c>
      <x:c r="G593" s="10" t="str">
        <x:v>NF-100592</x:v>
      </x:c>
      <x:c r="H593" s="10" t="str">
        <x:v>Compra de materiais</x:v>
      </x:c>
      <x:c r="I593" s="16" t="n">
        <x:v>45900.16457930556</x:v>
      </x:c>
      <x:c r="J593" s="16" t="n">
        <x:v>45935.16457930556</x:v>
      </x:c>
      <x:c r="K593" s="16" t="n">
        <x:v>45934.16457930556</x:v>
      </x:c>
      <x:c r="L593" s="20" t="n">
        <x:v>20426.48</x:v>
      </x:c>
      <x:c r="M593" s="20" t="n">
        <x:v>0</x:v>
      </x:c>
      <x:c r="N593" s="20" t="n">
        <x:v>0</x:v>
      </x:c>
      <x:c r="O593" s="20" t="n">
        <x:v>20426.48</x:v>
      </x:c>
      <x:c r="P593" s="20" t="n">
        <x:v>0</x:v>
      </x:c>
      <x:c r="Q593" s="10" t="str">
        <x:v>Pago</x:v>
      </x:c>
      <x:c r="R593" s="10" t="str">
        <x:v>Boleto</x:v>
      </x:c>
      <x:c r="S593" s="10" t="str">
        <x:v>2025-08</x:v>
      </x:c>
      <x:c r="T593" s="10" t="n">
        <x:v>0</x:v>
      </x:c>
      <x:c r="U593" s="10" t="str">
        <x:v>Liquidado</x:v>
      </x:c>
      <x:c r="V593" s="10" t="str">
        <x:v>UND001</x:v>
      </x:c>
    </x:row>
    <x:row r="594" ht="18" customHeight="1">
      <x:c r="A594" s="10" t="str">
        <x:v>PAG00593</x:v>
      </x:c>
      <x:c r="B594" s="10" t="str">
        <x:v>EMP003</x:v>
      </x:c>
      <x:c r="C594" s="10" t="str">
        <x:v>FOR045</x:v>
      </x:c>
      <x:c r="D594" s="10" t="str">
        <x:v>CC006</x:v>
      </x:c>
      <x:c r="E594" s="10" t="str">
        <x:v>CAT013</x:v>
      </x:c>
      <x:c r="F594" s="10" t="str">
        <x:v>CTA005</x:v>
      </x:c>
      <x:c r="G594" s="10" t="str">
        <x:v>NF-100593</x:v>
      </x:c>
      <x:c r="H594" s="10" t="str">
        <x:v>Contrato recorrente</x:v>
      </x:c>
      <x:c r="I594" s="16" t="n">
        <x:v>45334.50401960648</x:v>
      </x:c>
      <x:c r="J594" s="16" t="n">
        <x:v>45354.50401960648</x:v>
      </x:c>
      <x:c r="K594" s="16" t="n">
        <x:v>45356.50401960648</x:v>
      </x:c>
      <x:c r="L594" s="20" t="n">
        <x:v>34946.26</x:v>
      </x:c>
      <x:c r="M594" s="20" t="n">
        <x:v>48.92</x:v>
      </x:c>
      <x:c r="N594" s="20" t="n">
        <x:v>0</x:v>
      </x:c>
      <x:c r="O594" s="20" t="n">
        <x:v>34995.18</x:v>
      </x:c>
      <x:c r="P594" s="20" t="n">
        <x:v>0</x:v>
      </x:c>
      <x:c r="Q594" s="10" t="str">
        <x:v>Pago</x:v>
      </x:c>
      <x:c r="R594" s="10" t="str">
        <x:v>Débito Automático</x:v>
      </x:c>
      <x:c r="S594" s="10" t="str">
        <x:v>2024-02</x:v>
      </x:c>
      <x:c r="T594" s="10" t="n">
        <x:v>0</x:v>
      </x:c>
      <x:c r="U594" s="10" t="str">
        <x:v>Liquidado</x:v>
      </x:c>
      <x:c r="V594" s="10" t="str">
        <x:v>UND004</x:v>
      </x:c>
    </x:row>
    <x:row r="595" ht="18" customHeight="1">
      <x:c r="A595" s="10" t="str">
        <x:v>PAG00594</x:v>
      </x:c>
      <x:c r="B595" s="10" t="str">
        <x:v>EMP003</x:v>
      </x:c>
      <x:c r="C595" s="10" t="str">
        <x:v>FOR059</x:v>
      </x:c>
      <x:c r="D595" s="10" t="str">
        <x:v>CC002</x:v>
      </x:c>
      <x:c r="E595" s="10" t="str">
        <x:v>CAT015</x:v>
      </x:c>
      <x:c r="F595" s="10" t="str">
        <x:v>CTA005</x:v>
      </x:c>
      <x:c r="G595" s="10" t="str">
        <x:v>NF-100594</x:v>
      </x:c>
      <x:c r="H595" s="10" t="str">
        <x:v>Compra de materiais</x:v>
      </x:c>
      <x:c r="I595" s="16" t="n">
        <x:v>45728.049877337966</x:v>
      </x:c>
      <x:c r="J595" s="16" t="n">
        <x:v>45748.049877337966</x:v>
      </x:c>
      <x:c r="K595" s="16" t="n">
        <x:v>45753.049877337966</x:v>
      </x:c>
      <x:c r="L595" s="20" t="n">
        <x:v>78112.51</x:v>
      </x:c>
      <x:c r="M595" s="20" t="n">
        <x:v>273.39</x:v>
      </x:c>
      <x:c r="N595" s="20" t="n">
        <x:v>0</x:v>
      </x:c>
      <x:c r="O595" s="20" t="n">
        <x:v>78385.9</x:v>
      </x:c>
      <x:c r="P595" s="20" t="n">
        <x:v>0</x:v>
      </x:c>
      <x:c r="Q595" s="10" t="str">
        <x:v>Pago</x:v>
      </x:c>
      <x:c r="R595" s="10" t="str">
        <x:v>TED</x:v>
      </x:c>
      <x:c r="S595" s="10" t="str">
        <x:v>2025-03</x:v>
      </x:c>
      <x:c r="T595" s="10" t="n">
        <x:v>0</x:v>
      </x:c>
      <x:c r="U595" s="10" t="str">
        <x:v>Liquidado</x:v>
      </x:c>
      <x:c r="V595" s="10" t="str">
        <x:v>UND004</x:v>
      </x:c>
    </x:row>
    <x:row r="596" ht="18" customHeight="1">
      <x:c r="A596" s="10" t="str">
        <x:v>PAG00595</x:v>
      </x:c>
      <x:c r="B596" s="10" t="str">
        <x:v>EMP001</x:v>
      </x:c>
      <x:c r="C596" s="10" t="str">
        <x:v>FOR036</x:v>
      </x:c>
      <x:c r="D596" s="10" t="str">
        <x:v>CC008</x:v>
      </x:c>
      <x:c r="E596" s="10" t="str">
        <x:v>CAT015</x:v>
      </x:c>
      <x:c r="F596" s="10" t="str">
        <x:v>CTA002</x:v>
      </x:c>
      <x:c r="G596" s="10" t="str">
        <x:v>NF-100595</x:v>
      </x:c>
      <x:c r="H596" s="10" t="str">
        <x:v>Prestação de serviços</x:v>
      </x:c>
      <x:c r="I596" s="16" t="n">
        <x:v>45880.79640885417</x:v>
      </x:c>
      <x:c r="J596" s="16" t="n">
        <x:v>45895.79640885417</x:v>
      </x:c>
      <x:c r="K596" s="16"/>
      <x:c r="L596" s="20" t="n">
        <x:v>59392.22</x:v>
      </x:c>
      <x:c r="M596" s="20" t="n">
        <x:v>0</x:v>
      </x:c>
      <x:c r="N596" s="20" t="n">
        <x:v>0</x:v>
      </x:c>
      <x:c r="O596" s="20" t="n">
        <x:v>0</x:v>
      </x:c>
      <x:c r="P596" s="20" t="n">
        <x:v>59392.22</x:v>
      </x:c>
      <x:c r="Q596" s="10" t="str">
        <x:v>Vencido</x:v>
      </x:c>
      <x:c r="R596" s="10" t="str">
        <x:v>PIX</x:v>
      </x:c>
      <x:c r="S596" s="10" t="str">
        <x:v>2025-08</x:v>
      </x:c>
      <x:c r="T596" s="10" t="n">
        <x:v>126</x:v>
      </x:c>
      <x:c r="U596" s="10" t="str">
        <x:v>&gt; 120 dias</x:v>
      </x:c>
      <x:c r="V596" s="10" t="str">
        <x:v>UND001</x:v>
      </x:c>
    </x:row>
    <x:row r="597" ht="18" customHeight="1">
      <x:c r="A597" s="10" t="str">
        <x:v>PAG00596</x:v>
      </x:c>
      <x:c r="B597" s="10" t="str">
        <x:v>EMP001</x:v>
      </x:c>
      <x:c r="C597" s="10" t="str">
        <x:v>FOR025</x:v>
      </x:c>
      <x:c r="D597" s="10" t="str">
        <x:v>CC003</x:v>
      </x:c>
      <x:c r="E597" s="10" t="str">
        <x:v>CAT015</x:v>
      </x:c>
      <x:c r="F597" s="10" t="str">
        <x:v>CTA001</x:v>
      </x:c>
      <x:c r="G597" s="10" t="str">
        <x:v>NF-100596</x:v>
      </x:c>
      <x:c r="H597" s="10" t="str">
        <x:v>Tributos e taxas</x:v>
      </x:c>
      <x:c r="I597" s="16" t="n">
        <x:v>45671.34110409722</x:v>
      </x:c>
      <x:c r="J597" s="16" t="n">
        <x:v>45746.34110409722</x:v>
      </x:c>
      <x:c r="K597" s="16" t="n">
        <x:v>45746.34110409722</x:v>
      </x:c>
      <x:c r="L597" s="20" t="n">
        <x:v>77336.67</x:v>
      </x:c>
      <x:c r="M597" s="20" t="n">
        <x:v>0</x:v>
      </x:c>
      <x:c r="N597" s="20" t="n">
        <x:v>0</x:v>
      </x:c>
      <x:c r="O597" s="20" t="n">
        <x:v>77336.67</x:v>
      </x:c>
      <x:c r="P597" s="20" t="n">
        <x:v>0</x:v>
      </x:c>
      <x:c r="Q597" s="10" t="str">
        <x:v>Pago</x:v>
      </x:c>
      <x:c r="R597" s="10" t="str">
        <x:v>Cartão Corporativo</x:v>
      </x:c>
      <x:c r="S597" s="10" t="str">
        <x:v>2025-01</x:v>
      </x:c>
      <x:c r="T597" s="10" t="n">
        <x:v>0</x:v>
      </x:c>
      <x:c r="U597" s="10" t="str">
        <x:v>Liquidado</x:v>
      </x:c>
      <x:c r="V597" s="10" t="str">
        <x:v>UND001</x:v>
      </x:c>
    </x:row>
    <x:row r="598" ht="18" customHeight="1">
      <x:c r="A598" s="10" t="str">
        <x:v>PAG00597</x:v>
      </x:c>
      <x:c r="B598" s="10" t="str">
        <x:v>EMP002</x:v>
      </x:c>
      <x:c r="C598" s="10" t="str">
        <x:v>FOR059</x:v>
      </x:c>
      <x:c r="D598" s="10" t="str">
        <x:v>CC005</x:v>
      </x:c>
      <x:c r="E598" s="10" t="str">
        <x:v>CAT007</x:v>
      </x:c>
      <x:c r="F598" s="10" t="str">
        <x:v>CTA004</x:v>
      </x:c>
      <x:c r="G598" s="10" t="str">
        <x:v>NF-100597</x:v>
      </x:c>
      <x:c r="H598" s="10" t="str">
        <x:v>Tributos e taxas</x:v>
      </x:c>
      <x:c r="I598" s="16" t="n">
        <x:v>45716.850906875</x:v>
      </x:c>
      <x:c r="J598" s="16" t="n">
        <x:v>45751.850906875</x:v>
      </x:c>
      <x:c r="K598" s="16" t="n">
        <x:v>45756.850906875</x:v>
      </x:c>
      <x:c r="L598" s="20" t="n">
        <x:v>682.84</x:v>
      </x:c>
      <x:c r="M598" s="20" t="n">
        <x:v>2.39</x:v>
      </x:c>
      <x:c r="N598" s="20" t="n">
        <x:v>0</x:v>
      </x:c>
      <x:c r="O598" s="20" t="n">
        <x:v>685.23</x:v>
      </x:c>
      <x:c r="P598" s="20" t="n">
        <x:v>0</x:v>
      </x:c>
      <x:c r="Q598" s="10" t="str">
        <x:v>Pago</x:v>
      </x:c>
      <x:c r="R598" s="10" t="str">
        <x:v>Cartão Corporativo</x:v>
      </x:c>
      <x:c r="S598" s="10" t="str">
        <x:v>2025-02</x:v>
      </x:c>
      <x:c r="T598" s="10" t="n">
        <x:v>0</x:v>
      </x:c>
      <x:c r="U598" s="10" t="str">
        <x:v>Liquidado</x:v>
      </x:c>
      <x:c r="V598" s="10" t="str">
        <x:v>UND003</x:v>
      </x:c>
    </x:row>
    <x:row r="599" ht="18" customHeight="1">
      <x:c r="A599" s="10" t="str">
        <x:v>PAG00598</x:v>
      </x:c>
      <x:c r="B599" s="10" t="str">
        <x:v>EMP003</x:v>
      </x:c>
      <x:c r="C599" s="10" t="str">
        <x:v>FOR013</x:v>
      </x:c>
      <x:c r="D599" s="10" t="str">
        <x:v>CC001</x:v>
      </x:c>
      <x:c r="E599" s="10" t="str">
        <x:v>CAT016</x:v>
      </x:c>
      <x:c r="F599" s="10" t="str">
        <x:v>CTA006</x:v>
      </x:c>
      <x:c r="G599" s="10" t="str">
        <x:v>NF-100598</x:v>
      </x:c>
      <x:c r="H599" s="10" t="str">
        <x:v>Tributos e taxas</x:v>
      </x:c>
      <x:c r="I599" s="16" t="n">
        <x:v>45325.725444375</x:v>
      </x:c>
      <x:c r="J599" s="16" t="n">
        <x:v>45345.725444375</x:v>
      </x:c>
      <x:c r="K599" s="16" t="n">
        <x:v>45343.725444375</x:v>
      </x:c>
      <x:c r="L599" s="20" t="n">
        <x:v>99622.38</x:v>
      </x:c>
      <x:c r="M599" s="20" t="n">
        <x:v>0</x:v>
      </x:c>
      <x:c r="N599" s="20" t="n">
        <x:v>996.22</x:v>
      </x:c>
      <x:c r="O599" s="20" t="n">
        <x:v>98626.16</x:v>
      </x:c>
      <x:c r="P599" s="20" t="n">
        <x:v>0</x:v>
      </x:c>
      <x:c r="Q599" s="10" t="str">
        <x:v>Pago</x:v>
      </x:c>
      <x:c r="R599" s="10" t="str">
        <x:v>Débito Automático</x:v>
      </x:c>
      <x:c r="S599" s="10" t="str">
        <x:v>2024-02</x:v>
      </x:c>
      <x:c r="T599" s="10" t="n">
        <x:v>0</x:v>
      </x:c>
      <x:c r="U599" s="10" t="str">
        <x:v>Liquidado</x:v>
      </x:c>
      <x:c r="V599" s="10" t="str">
        <x:v>UND004</x:v>
      </x:c>
    </x:row>
    <x:row r="600" ht="18" customHeight="1">
      <x:c r="A600" s="10" t="str">
        <x:v>PAG00599</x:v>
      </x:c>
      <x:c r="B600" s="10" t="str">
        <x:v>EMP002</x:v>
      </x:c>
      <x:c r="C600" s="10" t="str">
        <x:v>FOR028</x:v>
      </x:c>
      <x:c r="D600" s="10" t="str">
        <x:v>CC001</x:v>
      </x:c>
      <x:c r="E600" s="10" t="str">
        <x:v>CAT015</x:v>
      </x:c>
      <x:c r="F600" s="10" t="str">
        <x:v>CTA004</x:v>
      </x:c>
      <x:c r="G600" s="10" t="str">
        <x:v>NF-100599</x:v>
      </x:c>
      <x:c r="H600" s="10" t="str">
        <x:v>Compra de materiais</x:v>
      </x:c>
      <x:c r="I600" s="16" t="n">
        <x:v>45314.53155450231</x:v>
      </x:c>
      <x:c r="J600" s="16" t="n">
        <x:v>45349.53155450231</x:v>
      </x:c>
      <x:c r="K600" s="16" t="n">
        <x:v>45359.53155450231</x:v>
      </x:c>
      <x:c r="L600" s="20" t="n">
        <x:v>88887.04</x:v>
      </x:c>
      <x:c r="M600" s="20" t="n">
        <x:v>622.21</x:v>
      </x:c>
      <x:c r="N600" s="20" t="n">
        <x:v>0</x:v>
      </x:c>
      <x:c r="O600" s="20" t="n">
        <x:v>89509.25</x:v>
      </x:c>
      <x:c r="P600" s="20" t="n">
        <x:v>0</x:v>
      </x:c>
      <x:c r="Q600" s="10" t="str">
        <x:v>Pago</x:v>
      </x:c>
      <x:c r="R600" s="10" t="str">
        <x:v>Cartão Corporativo</x:v>
      </x:c>
      <x:c r="S600" s="10" t="str">
        <x:v>2024-01</x:v>
      </x:c>
      <x:c r="T600" s="10" t="n">
        <x:v>0</x:v>
      </x:c>
      <x:c r="U600" s="10" t="str">
        <x:v>Liquidado</x:v>
      </x:c>
      <x:c r="V600" s="10" t="str">
        <x:v>UND003</x:v>
      </x:c>
    </x:row>
    <x:row r="601" ht="18" customHeight="1">
      <x:c r="A601" s="10" t="str">
        <x:v>PAG00600</x:v>
      </x:c>
      <x:c r="B601" s="10" t="str">
        <x:v>EMP003</x:v>
      </x:c>
      <x:c r="C601" s="10" t="str">
        <x:v>FOR037</x:v>
      </x:c>
      <x:c r="D601" s="10" t="str">
        <x:v>CC008</x:v>
      </x:c>
      <x:c r="E601" s="10" t="str">
        <x:v>CAT013</x:v>
      </x:c>
      <x:c r="F601" s="10" t="str">
        <x:v>CTA006</x:v>
      </x:c>
      <x:c r="G601" s="10" t="str">
        <x:v>NF-100600</x:v>
      </x:c>
      <x:c r="H601" s="10" t="str">
        <x:v>Prestação de serviços</x:v>
      </x:c>
      <x:c r="I601" s="16" t="n">
        <x:v>45373.93031315972</x:v>
      </x:c>
      <x:c r="J601" s="16" t="n">
        <x:v>45433.93031315972</x:v>
      </x:c>
      <x:c r="K601" s="16" t="n">
        <x:v>45438.93031315972</x:v>
      </x:c>
      <x:c r="L601" s="20" t="n">
        <x:v>40149.39</x:v>
      </x:c>
      <x:c r="M601" s="20" t="n">
        <x:v>140.52</x:v>
      </x:c>
      <x:c r="N601" s="20" t="n">
        <x:v>0</x:v>
      </x:c>
      <x:c r="O601" s="20" t="n">
        <x:v>40289.91</x:v>
      </x:c>
      <x:c r="P601" s="20" t="n">
        <x:v>0</x:v>
      </x:c>
      <x:c r="Q601" s="10" t="str">
        <x:v>Pago</x:v>
      </x:c>
      <x:c r="R601" s="10" t="str">
        <x:v>TED</x:v>
      </x:c>
      <x:c r="S601" s="10" t="str">
        <x:v>2024-03</x:v>
      </x:c>
      <x:c r="T601" s="10" t="n">
        <x:v>0</x:v>
      </x:c>
      <x:c r="U601" s="10" t="str">
        <x:v>Liquidado</x:v>
      </x:c>
      <x:c r="V601" s="10" t="str">
        <x:v>UND004</x:v>
      </x:c>
    </x:row>
    <x:row r="602" ht="18" customHeight="1">
      <x:c r="A602" s="10" t="str">
        <x:v>PAG00601</x:v>
      </x:c>
      <x:c r="B602" s="10" t="str">
        <x:v>EMP002</x:v>
      </x:c>
      <x:c r="C602" s="10" t="str">
        <x:v>FOR031</x:v>
      </x:c>
      <x:c r="D602" s="10" t="str">
        <x:v>CC007</x:v>
      </x:c>
      <x:c r="E602" s="10" t="str">
        <x:v>CAT011</x:v>
      </x:c>
      <x:c r="F602" s="10" t="str">
        <x:v>CTA004</x:v>
      </x:c>
      <x:c r="G602" s="10" t="str">
        <x:v>NF-100601</x:v>
      </x:c>
      <x:c r="H602" s="10" t="str">
        <x:v>Contrato recorrente</x:v>
      </x:c>
      <x:c r="I602" s="16" t="n">
        <x:v>45881.59614753472</x:v>
      </x:c>
      <x:c r="J602" s="16" t="n">
        <x:v>45916.59614753472</x:v>
      </x:c>
      <x:c r="K602" s="16" t="n">
        <x:v>45931.59614753472</x:v>
      </x:c>
      <x:c r="L602" s="20" t="n">
        <x:v>111015.88</x:v>
      </x:c>
      <x:c r="M602" s="20" t="n">
        <x:v>1165.67</x:v>
      </x:c>
      <x:c r="N602" s="20" t="n">
        <x:v>0</x:v>
      </x:c>
      <x:c r="O602" s="20" t="n">
        <x:v>112181.55</x:v>
      </x:c>
      <x:c r="P602" s="20" t="n">
        <x:v>0</x:v>
      </x:c>
      <x:c r="Q602" s="10" t="str">
        <x:v>Pago</x:v>
      </x:c>
      <x:c r="R602" s="10" t="str">
        <x:v>PIX</x:v>
      </x:c>
      <x:c r="S602" s="10" t="str">
        <x:v>2025-08</x:v>
      </x:c>
      <x:c r="T602" s="10" t="n">
        <x:v>0</x:v>
      </x:c>
      <x:c r="U602" s="10" t="str">
        <x:v>Liquidado</x:v>
      </x:c>
      <x:c r="V602" s="10" t="str">
        <x:v>UND003</x:v>
      </x:c>
    </x:row>
    <x:row r="603" ht="18" customHeight="1">
      <x:c r="A603" s="10" t="str">
        <x:v>PAG00602</x:v>
      </x:c>
      <x:c r="B603" s="10" t="str">
        <x:v>EMP001</x:v>
      </x:c>
      <x:c r="C603" s="10" t="str">
        <x:v>FOR050</x:v>
      </x:c>
      <x:c r="D603" s="10" t="str">
        <x:v>CC006</x:v>
      </x:c>
      <x:c r="E603" s="10" t="str">
        <x:v>CAT011</x:v>
      </x:c>
      <x:c r="F603" s="10" t="str">
        <x:v>CTA002</x:v>
      </x:c>
      <x:c r="G603" s="10" t="str">
        <x:v>NF-100602</x:v>
      </x:c>
      <x:c r="H603" s="10" t="str">
        <x:v>Prestação de serviços</x:v>
      </x:c>
      <x:c r="I603" s="16" t="n">
        <x:v>45400.08658548611</x:v>
      </x:c>
      <x:c r="J603" s="16" t="n">
        <x:v>45475.08658548611</x:v>
      </x:c>
      <x:c r="K603" s="16" t="n">
        <x:v>45476.08658548611</x:v>
      </x:c>
      <x:c r="L603" s="20" t="n">
        <x:v>4308.48</x:v>
      </x:c>
      <x:c r="M603" s="20" t="n">
        <x:v>3.02</x:v>
      </x:c>
      <x:c r="N603" s="20" t="n">
        <x:v>0</x:v>
      </x:c>
      <x:c r="O603" s="20" t="n">
        <x:v>4311.5</x:v>
      </x:c>
      <x:c r="P603" s="20" t="n">
        <x:v>0</x:v>
      </x:c>
      <x:c r="Q603" s="10" t="str">
        <x:v>Pago</x:v>
      </x:c>
      <x:c r="R603" s="10" t="str">
        <x:v>Cartão Corporativo</x:v>
      </x:c>
      <x:c r="S603" s="10" t="str">
        <x:v>2024-04</x:v>
      </x:c>
      <x:c r="T603" s="10" t="n">
        <x:v>0</x:v>
      </x:c>
      <x:c r="U603" s="10" t="str">
        <x:v>Liquidado</x:v>
      </x:c>
      <x:c r="V603" s="10" t="str">
        <x:v>UND001</x:v>
      </x:c>
    </x:row>
    <x:row r="604" ht="18" customHeight="1">
      <x:c r="A604" s="10" t="str">
        <x:v>PAG00603</x:v>
      </x:c>
      <x:c r="B604" s="10" t="str">
        <x:v>EMP002</x:v>
      </x:c>
      <x:c r="C604" s="10" t="str">
        <x:v>FOR002</x:v>
      </x:c>
      <x:c r="D604" s="10" t="str">
        <x:v>CC003</x:v>
      </x:c>
      <x:c r="E604" s="10" t="str">
        <x:v>CAT016</x:v>
      </x:c>
      <x:c r="F604" s="10" t="str">
        <x:v>CTA003</x:v>
      </x:c>
      <x:c r="G604" s="10" t="str">
        <x:v>NF-100603</x:v>
      </x:c>
      <x:c r="H604" s="10" t="str">
        <x:v>Tributos e taxas</x:v>
      </x:c>
      <x:c r="I604" s="16" t="n">
        <x:v>45773.69718087963</x:v>
      </x:c>
      <x:c r="J604" s="16" t="n">
        <x:v>45833.69718087963</x:v>
      </x:c>
      <x:c r="K604" s="16" t="n">
        <x:v>45829.69718087963</x:v>
      </x:c>
      <x:c r="L604" s="20" t="n">
        <x:v>17886.43</x:v>
      </x:c>
      <x:c r="M604" s="20" t="n">
        <x:v>0</x:v>
      </x:c>
      <x:c r="N604" s="20" t="n">
        <x:v>178.86</x:v>
      </x:c>
      <x:c r="O604" s="20" t="n">
        <x:v>17707.57</x:v>
      </x:c>
      <x:c r="P604" s="20" t="n">
        <x:v>0</x:v>
      </x:c>
      <x:c r="Q604" s="10" t="str">
        <x:v>Pago</x:v>
      </x:c>
      <x:c r="R604" s="10" t="str">
        <x:v>TED</x:v>
      </x:c>
      <x:c r="S604" s="10" t="str">
        <x:v>2025-04</x:v>
      </x:c>
      <x:c r="T604" s="10" t="n">
        <x:v>0</x:v>
      </x:c>
      <x:c r="U604" s="10" t="str">
        <x:v>Liquidado</x:v>
      </x:c>
      <x:c r="V604" s="10" t="str">
        <x:v>UND003</x:v>
      </x:c>
    </x:row>
    <x:row r="605" ht="18" customHeight="1">
      <x:c r="A605" s="10" t="str">
        <x:v>PAG00604</x:v>
      </x:c>
      <x:c r="B605" s="10" t="str">
        <x:v>EMP001</x:v>
      </x:c>
      <x:c r="C605" s="10" t="str">
        <x:v>FOR044</x:v>
      </x:c>
      <x:c r="D605" s="10" t="str">
        <x:v>CC004</x:v>
      </x:c>
      <x:c r="E605" s="10" t="str">
        <x:v>CAT006</x:v>
      </x:c>
      <x:c r="F605" s="10" t="str">
        <x:v>CTA002</x:v>
      </x:c>
      <x:c r="G605" s="10" t="str">
        <x:v>NF-100604</x:v>
      </x:c>
      <x:c r="H605" s="10" t="str">
        <x:v>Tributos e taxas</x:v>
      </x:c>
      <x:c r="I605" s="16" t="n">
        <x:v>45929.67886818287</x:v>
      </x:c>
      <x:c r="J605" s="16" t="n">
        <x:v>45964.67886818287</x:v>
      </x:c>
      <x:c r="K605" s="16" t="n">
        <x:v>45968.67886818287</x:v>
      </x:c>
      <x:c r="L605" s="20" t="n">
        <x:v>2123.08</x:v>
      </x:c>
      <x:c r="M605" s="20" t="n">
        <x:v>5.94</x:v>
      </x:c>
      <x:c r="N605" s="20" t="n">
        <x:v>0</x:v>
      </x:c>
      <x:c r="O605" s="20" t="n">
        <x:v>2129.02</x:v>
      </x:c>
      <x:c r="P605" s="20" t="n">
        <x:v>0</x:v>
      </x:c>
      <x:c r="Q605" s="10" t="str">
        <x:v>Pago</x:v>
      </x:c>
      <x:c r="R605" s="10" t="str">
        <x:v>Boleto</x:v>
      </x:c>
      <x:c r="S605" s="10" t="str">
        <x:v>2025-09</x:v>
      </x:c>
      <x:c r="T605" s="10" t="n">
        <x:v>0</x:v>
      </x:c>
      <x:c r="U605" s="10" t="str">
        <x:v>Liquidado</x:v>
      </x:c>
      <x:c r="V605" s="10" t="str">
        <x:v>UND002</x:v>
      </x:c>
    </x:row>
    <x:row r="606" ht="18" customHeight="1">
      <x:c r="A606" s="10" t="str">
        <x:v>PAG00605</x:v>
      </x:c>
      <x:c r="B606" s="10" t="str">
        <x:v>EMP003</x:v>
      </x:c>
      <x:c r="C606" s="10" t="str">
        <x:v>FOR010</x:v>
      </x:c>
      <x:c r="D606" s="10" t="str">
        <x:v>CC006</x:v>
      </x:c>
      <x:c r="E606" s="10" t="str">
        <x:v>CAT010</x:v>
      </x:c>
      <x:c r="F606" s="10" t="str">
        <x:v>CTA006</x:v>
      </x:c>
      <x:c r="G606" s="10" t="str">
        <x:v>NF-100605</x:v>
      </x:c>
      <x:c r="H606" s="10" t="str">
        <x:v>Despesa operacional</x:v>
      </x:c>
      <x:c r="I606" s="16" t="n">
        <x:v>45320.58205159722</x:v>
      </x:c>
      <x:c r="J606" s="16" t="n">
        <x:v>45365.58205159722</x:v>
      </x:c>
      <x:c r="K606" s="16" t="n">
        <x:v>45365.58205159722</x:v>
      </x:c>
      <x:c r="L606" s="20" t="n">
        <x:v>112369.05</x:v>
      </x:c>
      <x:c r="M606" s="20" t="n">
        <x:v>0</x:v>
      </x:c>
      <x:c r="N606" s="20" t="n">
        <x:v>0</x:v>
      </x:c>
      <x:c r="O606" s="20" t="n">
        <x:v>112369.05</x:v>
      </x:c>
      <x:c r="P606" s="20" t="n">
        <x:v>0</x:v>
      </x:c>
      <x:c r="Q606" s="10" t="str">
        <x:v>Pago</x:v>
      </x:c>
      <x:c r="R606" s="10" t="str">
        <x:v>TED</x:v>
      </x:c>
      <x:c r="S606" s="10" t="str">
        <x:v>2024-01</x:v>
      </x:c>
      <x:c r="T606" s="10" t="n">
        <x:v>0</x:v>
      </x:c>
      <x:c r="U606" s="10" t="str">
        <x:v>Liquidado</x:v>
      </x:c>
      <x:c r="V606" s="10" t="str">
        <x:v>UND004</x:v>
      </x:c>
    </x:row>
    <x:row r="607" ht="18" customHeight="1">
      <x:c r="A607" s="10" t="str">
        <x:v>PAG00606</x:v>
      </x:c>
      <x:c r="B607" s="10" t="str">
        <x:v>EMP003</x:v>
      </x:c>
      <x:c r="C607" s="10" t="str">
        <x:v>FOR033</x:v>
      </x:c>
      <x:c r="D607" s="10" t="str">
        <x:v>CC005</x:v>
      </x:c>
      <x:c r="E607" s="10" t="str">
        <x:v>CAT006</x:v>
      </x:c>
      <x:c r="F607" s="10" t="str">
        <x:v>CTA006</x:v>
      </x:c>
      <x:c r="G607" s="10" t="str">
        <x:v>NF-100606</x:v>
      </x:c>
      <x:c r="H607" s="10" t="str">
        <x:v>Contrato recorrente</x:v>
      </x:c>
      <x:c r="I607" s="16" t="n">
        <x:v>45803.63782431713</x:v>
      </x:c>
      <x:c r="J607" s="16" t="n">
        <x:v>45848.63782431713</x:v>
      </x:c>
      <x:c r="K607" s="16" t="n">
        <x:v>45849.63782431713</x:v>
      </x:c>
      <x:c r="L607" s="20" t="n">
        <x:v>82610.93</x:v>
      </x:c>
      <x:c r="M607" s="20" t="n">
        <x:v>57.83</x:v>
      </x:c>
      <x:c r="N607" s="20" t="n">
        <x:v>0</x:v>
      </x:c>
      <x:c r="O607" s="20" t="n">
        <x:v>82668.76</x:v>
      </x:c>
      <x:c r="P607" s="20" t="n">
        <x:v>0</x:v>
      </x:c>
      <x:c r="Q607" s="10" t="str">
        <x:v>Pago</x:v>
      </x:c>
      <x:c r="R607" s="10" t="str">
        <x:v>TED</x:v>
      </x:c>
      <x:c r="S607" s="10" t="str">
        <x:v>2025-05</x:v>
      </x:c>
      <x:c r="T607" s="10" t="n">
        <x:v>0</x:v>
      </x:c>
      <x:c r="U607" s="10" t="str">
        <x:v>Liquidado</x:v>
      </x:c>
      <x:c r="V607" s="10" t="str">
        <x:v>UND004</x:v>
      </x:c>
    </x:row>
    <x:row r="608" ht="18" customHeight="1">
      <x:c r="A608" s="10" t="str">
        <x:v>PAG00607</x:v>
      </x:c>
      <x:c r="B608" s="10" t="str">
        <x:v>EMP001</x:v>
      </x:c>
      <x:c r="C608" s="10" t="str">
        <x:v>FOR016</x:v>
      </x:c>
      <x:c r="D608" s="10" t="str">
        <x:v>CC008</x:v>
      </x:c>
      <x:c r="E608" s="10" t="str">
        <x:v>CAT018</x:v>
      </x:c>
      <x:c r="F608" s="10" t="str">
        <x:v>CTA001</x:v>
      </x:c>
      <x:c r="G608" s="10" t="str">
        <x:v>NF-100607</x:v>
      </x:c>
      <x:c r="H608" s="10" t="str">
        <x:v>Despesa operacional</x:v>
      </x:c>
      <x:c r="I608" s="16" t="n">
        <x:v>45341.415412407405</x:v>
      </x:c>
      <x:c r="J608" s="16" t="n">
        <x:v>45361.415412407405</x:v>
      </x:c>
      <x:c r="K608" s="16" t="n">
        <x:v>45356.415412407405</x:v>
      </x:c>
      <x:c r="L608" s="20" t="n">
        <x:v>101871.88</x:v>
      </x:c>
      <x:c r="M608" s="20" t="n">
        <x:v>0</x:v>
      </x:c>
      <x:c r="N608" s="20" t="n">
        <x:v>0</x:v>
      </x:c>
      <x:c r="O608" s="20" t="n">
        <x:v>101871.88</x:v>
      </x:c>
      <x:c r="P608" s="20" t="n">
        <x:v>0</x:v>
      </x:c>
      <x:c r="Q608" s="10" t="str">
        <x:v>Pago</x:v>
      </x:c>
      <x:c r="R608" s="10" t="str">
        <x:v>Débito Automático</x:v>
      </x:c>
      <x:c r="S608" s="10" t="str">
        <x:v>2024-02</x:v>
      </x:c>
      <x:c r="T608" s="10" t="n">
        <x:v>0</x:v>
      </x:c>
      <x:c r="U608" s="10" t="str">
        <x:v>Liquidado</x:v>
      </x:c>
      <x:c r="V608" s="10" t="str">
        <x:v>UND001</x:v>
      </x:c>
    </x:row>
    <x:row r="609" ht="18" customHeight="1">
      <x:c r="A609" s="10" t="str">
        <x:v>PAG00608</x:v>
      </x:c>
      <x:c r="B609" s="10" t="str">
        <x:v>EMP002</x:v>
      </x:c>
      <x:c r="C609" s="10" t="str">
        <x:v>FOR060</x:v>
      </x:c>
      <x:c r="D609" s="10" t="str">
        <x:v>CC006</x:v>
      </x:c>
      <x:c r="E609" s="10" t="str">
        <x:v>CAT006</x:v>
      </x:c>
      <x:c r="F609" s="10" t="str">
        <x:v>CTA004</x:v>
      </x:c>
      <x:c r="G609" s="10" t="str">
        <x:v>NF-100608</x:v>
      </x:c>
      <x:c r="H609" s="10" t="str">
        <x:v>Contrato recorrente</x:v>
      </x:c>
      <x:c r="I609" s="16" t="n">
        <x:v>45791.15990450232</x:v>
      </x:c>
      <x:c r="J609" s="16" t="n">
        <x:v>45811.15990450232</x:v>
      </x:c>
      <x:c r="K609" s="16" t="n">
        <x:v>45818.15990450232</x:v>
      </x:c>
      <x:c r="L609" s="20" t="n">
        <x:v>2301.72</x:v>
      </x:c>
      <x:c r="M609" s="20" t="n">
        <x:v>11.28</x:v>
      </x:c>
      <x:c r="N609" s="20" t="n">
        <x:v>0</x:v>
      </x:c>
      <x:c r="O609" s="20" t="n">
        <x:v>2313</x:v>
      </x:c>
      <x:c r="P609" s="20" t="n">
        <x:v>0</x:v>
      </x:c>
      <x:c r="Q609" s="10" t="str">
        <x:v>Pago</x:v>
      </x:c>
      <x:c r="R609" s="10" t="str">
        <x:v>Boleto</x:v>
      </x:c>
      <x:c r="S609" s="10" t="str">
        <x:v>2025-05</x:v>
      </x:c>
      <x:c r="T609" s="10" t="n">
        <x:v>0</x:v>
      </x:c>
      <x:c r="U609" s="10" t="str">
        <x:v>Liquidado</x:v>
      </x:c>
      <x:c r="V609" s="10" t="str">
        <x:v>UND003</x:v>
      </x:c>
    </x:row>
    <x:row r="610" ht="18" customHeight="1">
      <x:c r="A610" s="10" t="str">
        <x:v>PAG00609</x:v>
      </x:c>
      <x:c r="B610" s="10" t="str">
        <x:v>EMP001</x:v>
      </x:c>
      <x:c r="C610" s="10" t="str">
        <x:v>FOR004</x:v>
      </x:c>
      <x:c r="D610" s="10" t="str">
        <x:v>CC001</x:v>
      </x:c>
      <x:c r="E610" s="10" t="str">
        <x:v>CAT009</x:v>
      </x:c>
      <x:c r="F610" s="10" t="str">
        <x:v>CTA002</x:v>
      </x:c>
      <x:c r="G610" s="10" t="str">
        <x:v>NF-100609</x:v>
      </x:c>
      <x:c r="H610" s="10" t="str">
        <x:v>Tributos e taxas</x:v>
      </x:c>
      <x:c r="I610" s="16" t="n">
        <x:v>45593.43197428241</x:v>
      </x:c>
      <x:c r="J610" s="16" t="n">
        <x:v>45668.43197428241</x:v>
      </x:c>
      <x:c r="K610" s="16" t="n">
        <x:v>45692.43197428241</x:v>
      </x:c>
      <x:c r="L610" s="20" t="n">
        <x:v>114840.24</x:v>
      </x:c>
      <x:c r="M610" s="20" t="n">
        <x:v>1929.32</x:v>
      </x:c>
      <x:c r="N610" s="20" t="n">
        <x:v>0</x:v>
      </x:c>
      <x:c r="O610" s="20" t="n">
        <x:v>116769.56</x:v>
      </x:c>
      <x:c r="P610" s="20" t="n">
        <x:v>0</x:v>
      </x:c>
      <x:c r="Q610" s="10" t="str">
        <x:v>Pago</x:v>
      </x:c>
      <x:c r="R610" s="10" t="str">
        <x:v>PIX</x:v>
      </x:c>
      <x:c r="S610" s="10" t="str">
        <x:v>2024-10</x:v>
      </x:c>
      <x:c r="T610" s="10" t="n">
        <x:v>0</x:v>
      </x:c>
      <x:c r="U610" s="10" t="str">
        <x:v>Liquidado</x:v>
      </x:c>
      <x:c r="V610" s="10" t="str">
        <x:v>UND001</x:v>
      </x:c>
    </x:row>
    <x:row r="611" ht="18" customHeight="1">
      <x:c r="A611" s="10" t="str">
        <x:v>PAG00610</x:v>
      </x:c>
      <x:c r="B611" s="10" t="str">
        <x:v>EMP002</x:v>
      </x:c>
      <x:c r="C611" s="10" t="str">
        <x:v>FOR047</x:v>
      </x:c>
      <x:c r="D611" s="10" t="str">
        <x:v>CC001</x:v>
      </x:c>
      <x:c r="E611" s="10" t="str">
        <x:v>CAT006</x:v>
      </x:c>
      <x:c r="F611" s="10" t="str">
        <x:v>CTA004</x:v>
      </x:c>
      <x:c r="G611" s="10" t="str">
        <x:v>NF-100610</x:v>
      </x:c>
      <x:c r="H611" s="10" t="str">
        <x:v>Despesa operacional</x:v>
      </x:c>
      <x:c r="I611" s="16" t="n">
        <x:v>45541.46281909722</x:v>
      </x:c>
      <x:c r="J611" s="16" t="n">
        <x:v>45569.46281909722</x:v>
      </x:c>
      <x:c r="K611" s="16" t="n">
        <x:v>45581.46281909722</x:v>
      </x:c>
      <x:c r="L611" s="20" t="n">
        <x:v>740.15</x:v>
      </x:c>
      <x:c r="M611" s="20" t="n">
        <x:v>6.22</x:v>
      </x:c>
      <x:c r="N611" s="20" t="n">
        <x:v>0</x:v>
      </x:c>
      <x:c r="O611" s="20" t="n">
        <x:v>746.37</x:v>
      </x:c>
      <x:c r="P611" s="20" t="n">
        <x:v>0</x:v>
      </x:c>
      <x:c r="Q611" s="10" t="str">
        <x:v>Pago</x:v>
      </x:c>
      <x:c r="R611" s="10" t="str">
        <x:v>TED</x:v>
      </x:c>
      <x:c r="S611" s="10" t="str">
        <x:v>2024-09</x:v>
      </x:c>
      <x:c r="T611" s="10" t="n">
        <x:v>0</x:v>
      </x:c>
      <x:c r="U611" s="10" t="str">
        <x:v>Liquidado</x:v>
      </x:c>
      <x:c r="V611" s="10" t="str">
        <x:v>UND003</x:v>
      </x:c>
    </x:row>
    <x:row r="612" ht="18" customHeight="1">
      <x:c r="A612" s="10" t="str">
        <x:v>PAG00611</x:v>
      </x:c>
      <x:c r="B612" s="10" t="str">
        <x:v>EMP003</x:v>
      </x:c>
      <x:c r="C612" s="10" t="str">
        <x:v>FOR058</x:v>
      </x:c>
      <x:c r="D612" s="10" t="str">
        <x:v>CC003</x:v>
      </x:c>
      <x:c r="E612" s="10" t="str">
        <x:v>CAT017</x:v>
      </x:c>
      <x:c r="F612" s="10" t="str">
        <x:v>CTA006</x:v>
      </x:c>
      <x:c r="G612" s="10" t="str">
        <x:v>NF-100611</x:v>
      </x:c>
      <x:c r="H612" s="10" t="str">
        <x:v>Prestação de serviços</x:v>
      </x:c>
      <x:c r="I612" s="16" t="n">
        <x:v>45811.00127763889</x:v>
      </x:c>
      <x:c r="J612" s="16" t="n">
        <x:v>45871.00127763889</x:v>
      </x:c>
      <x:c r="K612" s="16" t="n">
        <x:v>45863.00127763889</x:v>
      </x:c>
      <x:c r="L612" s="20" t="n">
        <x:v>18259.72</x:v>
      </x:c>
      <x:c r="M612" s="20" t="n">
        <x:v>0</x:v>
      </x:c>
      <x:c r="N612" s="20" t="n">
        <x:v>0</x:v>
      </x:c>
      <x:c r="O612" s="20" t="n">
        <x:v>18259.72</x:v>
      </x:c>
      <x:c r="P612" s="20" t="n">
        <x:v>0</x:v>
      </x:c>
      <x:c r="Q612" s="10" t="str">
        <x:v>Pago</x:v>
      </x:c>
      <x:c r="R612" s="10" t="str">
        <x:v>PIX</x:v>
      </x:c>
      <x:c r="S612" s="10" t="str">
        <x:v>2025-06</x:v>
      </x:c>
      <x:c r="T612" s="10" t="n">
        <x:v>0</x:v>
      </x:c>
      <x:c r="U612" s="10" t="str">
        <x:v>Liquidado</x:v>
      </x:c>
      <x:c r="V612" s="10" t="str">
        <x:v>UND004</x:v>
      </x:c>
    </x:row>
    <x:row r="613" ht="18" customHeight="1">
      <x:c r="A613" s="10" t="str">
        <x:v>PAG00612</x:v>
      </x:c>
      <x:c r="B613" s="10" t="str">
        <x:v>EMP001</x:v>
      </x:c>
      <x:c r="C613" s="10" t="str">
        <x:v>FOR039</x:v>
      </x:c>
      <x:c r="D613" s="10" t="str">
        <x:v>CC002</x:v>
      </x:c>
      <x:c r="E613" s="10" t="str">
        <x:v>CAT005</x:v>
      </x:c>
      <x:c r="F613" s="10" t="str">
        <x:v>CTA002</x:v>
      </x:c>
      <x:c r="G613" s="10" t="str">
        <x:v>NF-100612</x:v>
      </x:c>
      <x:c r="H613" s="10" t="str">
        <x:v>Despesa operacional</x:v>
      </x:c>
      <x:c r="I613" s="16" t="n">
        <x:v>45701.83335857639</x:v>
      </x:c>
      <x:c r="J613" s="16" t="n">
        <x:v>45736.83335857639</x:v>
      </x:c>
      <x:c r="K613" s="16" t="n">
        <x:v>45740.83335857639</x:v>
      </x:c>
      <x:c r="L613" s="20" t="n">
        <x:v>24851.93</x:v>
      </x:c>
      <x:c r="M613" s="20" t="n">
        <x:v>69.59</x:v>
      </x:c>
      <x:c r="N613" s="20" t="n">
        <x:v>0</x:v>
      </x:c>
      <x:c r="O613" s="20" t="n">
        <x:v>24921.52</x:v>
      </x:c>
      <x:c r="P613" s="20" t="n">
        <x:v>0</x:v>
      </x:c>
      <x:c r="Q613" s="10" t="str">
        <x:v>Pago</x:v>
      </x:c>
      <x:c r="R613" s="10" t="str">
        <x:v>PIX</x:v>
      </x:c>
      <x:c r="S613" s="10" t="str">
        <x:v>2025-02</x:v>
      </x:c>
      <x:c r="T613" s="10" t="n">
        <x:v>0</x:v>
      </x:c>
      <x:c r="U613" s="10" t="str">
        <x:v>Liquidado</x:v>
      </x:c>
      <x:c r="V613" s="10" t="str">
        <x:v>UND001</x:v>
      </x:c>
    </x:row>
    <x:row r="614" ht="18" customHeight="1">
      <x:c r="A614" s="10" t="str">
        <x:v>PAG00613</x:v>
      </x:c>
      <x:c r="B614" s="10" t="str">
        <x:v>EMP001</x:v>
      </x:c>
      <x:c r="C614" s="10" t="str">
        <x:v>FOR033</x:v>
      </x:c>
      <x:c r="D614" s="10" t="str">
        <x:v>CC008</x:v>
      </x:c>
      <x:c r="E614" s="10" t="str">
        <x:v>CAT007</x:v>
      </x:c>
      <x:c r="F614" s="10" t="str">
        <x:v>CTA002</x:v>
      </x:c>
      <x:c r="G614" s="10" t="str">
        <x:v>NF-100613</x:v>
      </x:c>
      <x:c r="H614" s="10" t="str">
        <x:v>Contrato recorrente</x:v>
      </x:c>
      <x:c r="I614" s="16" t="n">
        <x:v>45919.697049965274</x:v>
      </x:c>
      <x:c r="J614" s="16" t="n">
        <x:v>45939.697049965274</x:v>
      </x:c>
      <x:c r="K614" s="16" t="n">
        <x:v>45932.697049965274</x:v>
      </x:c>
      <x:c r="L614" s="20" t="n">
        <x:v>65201.78</x:v>
      </x:c>
      <x:c r="M614" s="20" t="n">
        <x:v>0</x:v>
      </x:c>
      <x:c r="N614" s="20" t="n">
        <x:v>978.03</x:v>
      </x:c>
      <x:c r="O614" s="20" t="n">
        <x:v>64223.75</x:v>
      </x:c>
      <x:c r="P614" s="20" t="n">
        <x:v>0</x:v>
      </x:c>
      <x:c r="Q614" s="10" t="str">
        <x:v>Pago</x:v>
      </x:c>
      <x:c r="R614" s="10" t="str">
        <x:v>Boleto</x:v>
      </x:c>
      <x:c r="S614" s="10" t="str">
        <x:v>2025-09</x:v>
      </x:c>
      <x:c r="T614" s="10" t="n">
        <x:v>0</x:v>
      </x:c>
      <x:c r="U614" s="10" t="str">
        <x:v>Liquidado</x:v>
      </x:c>
      <x:c r="V614" s="10" t="str">
        <x:v>UND001</x:v>
      </x:c>
    </x:row>
    <x:row r="615" ht="18" customHeight="1">
      <x:c r="A615" s="10" t="str">
        <x:v>PAG00614</x:v>
      </x:c>
      <x:c r="B615" s="10" t="str">
        <x:v>EMP003</x:v>
      </x:c>
      <x:c r="C615" s="10" t="str">
        <x:v>FOR021</x:v>
      </x:c>
      <x:c r="D615" s="10" t="str">
        <x:v>CC007</x:v>
      </x:c>
      <x:c r="E615" s="10" t="str">
        <x:v>CAT012</x:v>
      </x:c>
      <x:c r="F615" s="10" t="str">
        <x:v>CTA006</x:v>
      </x:c>
      <x:c r="G615" s="10" t="str">
        <x:v>NF-100614</x:v>
      </x:c>
      <x:c r="H615" s="10" t="str">
        <x:v>Contrato recorrente</x:v>
      </x:c>
      <x:c r="I615" s="16" t="n">
        <x:v>45560.56250460648</x:v>
      </x:c>
      <x:c r="J615" s="16" t="n">
        <x:v>45635.56250460648</x:v>
      </x:c>
      <x:c r="K615" s="16" t="n">
        <x:v>45643.56250460648</x:v>
      </x:c>
      <x:c r="L615" s="20" t="n">
        <x:v>66256.09</x:v>
      </x:c>
      <x:c r="M615" s="20" t="n">
        <x:v>371.03</x:v>
      </x:c>
      <x:c r="N615" s="20" t="n">
        <x:v>0</x:v>
      </x:c>
      <x:c r="O615" s="20" t="n">
        <x:v>66627.12</x:v>
      </x:c>
      <x:c r="P615" s="20" t="n">
        <x:v>0</x:v>
      </x:c>
      <x:c r="Q615" s="10" t="str">
        <x:v>Pago</x:v>
      </x:c>
      <x:c r="R615" s="10" t="str">
        <x:v>PIX</x:v>
      </x:c>
      <x:c r="S615" s="10" t="str">
        <x:v>2024-09</x:v>
      </x:c>
      <x:c r="T615" s="10" t="n">
        <x:v>0</x:v>
      </x:c>
      <x:c r="U615" s="10" t="str">
        <x:v>Liquidado</x:v>
      </x:c>
      <x:c r="V615" s="10" t="str">
        <x:v>UND004</x:v>
      </x:c>
    </x:row>
    <x:row r="616" ht="18" customHeight="1">
      <x:c r="A616" s="10" t="str">
        <x:v>PAG00615</x:v>
      </x:c>
      <x:c r="B616" s="10" t="str">
        <x:v>EMP001</x:v>
      </x:c>
      <x:c r="C616" s="10" t="str">
        <x:v>FOR003</x:v>
      </x:c>
      <x:c r="D616" s="10" t="str">
        <x:v>CC005</x:v>
      </x:c>
      <x:c r="E616" s="10" t="str">
        <x:v>CAT010</x:v>
      </x:c>
      <x:c r="F616" s="10" t="str">
        <x:v>CTA001</x:v>
      </x:c>
      <x:c r="G616" s="10" t="str">
        <x:v>NF-100615</x:v>
      </x:c>
      <x:c r="H616" s="10" t="str">
        <x:v>Contrato recorrente</x:v>
      </x:c>
      <x:c r="I616" s="16" t="n">
        <x:v>45550.143076782406</x:v>
      </x:c>
      <x:c r="J616" s="16" t="n">
        <x:v>45625.143076782406</x:v>
      </x:c>
      <x:c r="K616" s="16" t="n">
        <x:v>45630.143076782406</x:v>
      </x:c>
      <x:c r="L616" s="20" t="n">
        <x:v>56321.43</x:v>
      </x:c>
      <x:c r="M616" s="20" t="n">
        <x:v>197.13</x:v>
      </x:c>
      <x:c r="N616" s="20" t="n">
        <x:v>0</x:v>
      </x:c>
      <x:c r="O616" s="20" t="n">
        <x:v>56518.56</x:v>
      </x:c>
      <x:c r="P616" s="20" t="n">
        <x:v>0</x:v>
      </x:c>
      <x:c r="Q616" s="10" t="str">
        <x:v>Pago</x:v>
      </x:c>
      <x:c r="R616" s="10" t="str">
        <x:v>Cartão Corporativo</x:v>
      </x:c>
      <x:c r="S616" s="10" t="str">
        <x:v>2024-09</x:v>
      </x:c>
      <x:c r="T616" s="10" t="n">
        <x:v>0</x:v>
      </x:c>
      <x:c r="U616" s="10" t="str">
        <x:v>Liquidado</x:v>
      </x:c>
      <x:c r="V616" s="10" t="str">
        <x:v>UND001</x:v>
      </x:c>
    </x:row>
    <x:row r="617" ht="18" customHeight="1">
      <x:c r="A617" s="10" t="str">
        <x:v>PAG00616</x:v>
      </x:c>
      <x:c r="B617" s="10" t="str">
        <x:v>EMP001</x:v>
      </x:c>
      <x:c r="C617" s="10" t="str">
        <x:v>FOR007</x:v>
      </x:c>
      <x:c r="D617" s="10" t="str">
        <x:v>CC002</x:v>
      </x:c>
      <x:c r="E617" s="10" t="str">
        <x:v>CAT012</x:v>
      </x:c>
      <x:c r="F617" s="10" t="str">
        <x:v>CTA001</x:v>
      </x:c>
      <x:c r="G617" s="10" t="str">
        <x:v>NF-100616</x:v>
      </x:c>
      <x:c r="H617" s="10" t="str">
        <x:v>Contrato recorrente</x:v>
      </x:c>
      <x:c r="I617" s="16" t="n">
        <x:v>45788.48624436343</x:v>
      </x:c>
      <x:c r="J617" s="16" t="n">
        <x:v>45863.48624436343</x:v>
      </x:c>
      <x:c r="K617" s="16" t="n">
        <x:v>45868.48624436343</x:v>
      </x:c>
      <x:c r="L617" s="20" t="n">
        <x:v>48653.04</x:v>
      </x:c>
      <x:c r="M617" s="20" t="n">
        <x:v>170.29</x:v>
      </x:c>
      <x:c r="N617" s="20" t="n">
        <x:v>0</x:v>
      </x:c>
      <x:c r="O617" s="20" t="n">
        <x:v>48823.33</x:v>
      </x:c>
      <x:c r="P617" s="20" t="n">
        <x:v>0</x:v>
      </x:c>
      <x:c r="Q617" s="10" t="str">
        <x:v>Pago</x:v>
      </x:c>
      <x:c r="R617" s="10" t="str">
        <x:v>Débito Automático</x:v>
      </x:c>
      <x:c r="S617" s="10" t="str">
        <x:v>2025-05</x:v>
      </x:c>
      <x:c r="T617" s="10" t="n">
        <x:v>0</x:v>
      </x:c>
      <x:c r="U617" s="10" t="str">
        <x:v>Liquidado</x:v>
      </x:c>
      <x:c r="V617" s="10" t="str">
        <x:v>UND001</x:v>
      </x:c>
    </x:row>
    <x:row r="618" ht="18" customHeight="1">
      <x:c r="A618" s="10" t="str">
        <x:v>PAG00617</x:v>
      </x:c>
      <x:c r="B618" s="10" t="str">
        <x:v>EMP003</x:v>
      </x:c>
      <x:c r="C618" s="10" t="str">
        <x:v>FOR012</x:v>
      </x:c>
      <x:c r="D618" s="10" t="str">
        <x:v>CC002</x:v>
      </x:c>
      <x:c r="E618" s="10" t="str">
        <x:v>CAT012</x:v>
      </x:c>
      <x:c r="F618" s="10" t="str">
        <x:v>CTA006</x:v>
      </x:c>
      <x:c r="G618" s="10" t="str">
        <x:v>NF-100617</x:v>
      </x:c>
      <x:c r="H618" s="10" t="str">
        <x:v>Prestação de serviços</x:v>
      </x:c>
      <x:c r="I618" s="16" t="n">
        <x:v>45593.73567158565</x:v>
      </x:c>
      <x:c r="J618" s="16" t="n">
        <x:v>45613.73567158565</x:v>
      </x:c>
      <x:c r="K618" s="16" t="n">
        <x:v>45625.73567158565</x:v>
      </x:c>
      <x:c r="L618" s="20" t="n">
        <x:v>18806.09</x:v>
      </x:c>
      <x:c r="M618" s="20" t="n">
        <x:v>157.97</x:v>
      </x:c>
      <x:c r="N618" s="20" t="n">
        <x:v>0</x:v>
      </x:c>
      <x:c r="O618" s="20" t="n">
        <x:v>18964.06</x:v>
      </x:c>
      <x:c r="P618" s="20" t="n">
        <x:v>0</x:v>
      </x:c>
      <x:c r="Q618" s="10" t="str">
        <x:v>Pago</x:v>
      </x:c>
      <x:c r="R618" s="10" t="str">
        <x:v>Débito Automático</x:v>
      </x:c>
      <x:c r="S618" s="10" t="str">
        <x:v>2024-10</x:v>
      </x:c>
      <x:c r="T618" s="10" t="n">
        <x:v>0</x:v>
      </x:c>
      <x:c r="U618" s="10" t="str">
        <x:v>Liquidado</x:v>
      </x:c>
      <x:c r="V618" s="10" t="str">
        <x:v>UND004</x:v>
      </x:c>
    </x:row>
    <x:row r="619" ht="18" customHeight="1">
      <x:c r="A619" s="10" t="str">
        <x:v>PAG00618</x:v>
      </x:c>
      <x:c r="B619" s="10" t="str">
        <x:v>EMP001</x:v>
      </x:c>
      <x:c r="C619" s="10" t="str">
        <x:v>FOR018</x:v>
      </x:c>
      <x:c r="D619" s="10" t="str">
        <x:v>CC004</x:v>
      </x:c>
      <x:c r="E619" s="10" t="str">
        <x:v>CAT017</x:v>
      </x:c>
      <x:c r="F619" s="10" t="str">
        <x:v>CTA001</x:v>
      </x:c>
      <x:c r="G619" s="10" t="str">
        <x:v>NF-100618</x:v>
      </x:c>
      <x:c r="H619" s="10" t="str">
        <x:v>Contrato recorrente</x:v>
      </x:c>
      <x:c r="I619" s="16" t="n">
        <x:v>45511.88373055556</x:v>
      </x:c>
      <x:c r="J619" s="16" t="n">
        <x:v>45586.88373055556</x:v>
      </x:c>
      <x:c r="K619" s="16" t="n">
        <x:v>45578.88373055556</x:v>
      </x:c>
      <x:c r="L619" s="20" t="n">
        <x:v>55002.78</x:v>
      </x:c>
      <x:c r="M619" s="20" t="n">
        <x:v>0</x:v>
      </x:c>
      <x:c r="N619" s="20" t="n">
        <x:v>825.04</x:v>
      </x:c>
      <x:c r="O619" s="20" t="n">
        <x:v>54177.74</x:v>
      </x:c>
      <x:c r="P619" s="20" t="n">
        <x:v>0</x:v>
      </x:c>
      <x:c r="Q619" s="10" t="str">
        <x:v>Pago</x:v>
      </x:c>
      <x:c r="R619" s="10" t="str">
        <x:v>Débito Automático</x:v>
      </x:c>
      <x:c r="S619" s="10" t="str">
        <x:v>2024-08</x:v>
      </x:c>
      <x:c r="T619" s="10" t="n">
        <x:v>0</x:v>
      </x:c>
      <x:c r="U619" s="10" t="str">
        <x:v>Liquidado</x:v>
      </x:c>
      <x:c r="V619" s="10" t="str">
        <x:v>UND002</x:v>
      </x:c>
    </x:row>
    <x:row r="620" ht="18" customHeight="1">
      <x:c r="A620" s="10" t="str">
        <x:v>PAG00619</x:v>
      </x:c>
      <x:c r="B620" s="10" t="str">
        <x:v>EMP003</x:v>
      </x:c>
      <x:c r="C620" s="10" t="str">
        <x:v>FOR024</x:v>
      </x:c>
      <x:c r="D620" s="10" t="str">
        <x:v>CC002</x:v>
      </x:c>
      <x:c r="E620" s="10" t="str">
        <x:v>CAT012</x:v>
      </x:c>
      <x:c r="F620" s="10" t="str">
        <x:v>CTA005</x:v>
      </x:c>
      <x:c r="G620" s="10" t="str">
        <x:v>NF-100619</x:v>
      </x:c>
      <x:c r="H620" s="10" t="str">
        <x:v>Despesa operacional</x:v>
      </x:c>
      <x:c r="I620" s="16" t="n">
        <x:v>45658.889386284725</x:v>
      </x:c>
      <x:c r="J620" s="16" t="n">
        <x:v>45688.889386284725</x:v>
      </x:c>
      <x:c r="K620" s="16" t="n">
        <x:v>45699.889386284725</x:v>
      </x:c>
      <x:c r="L620" s="20" t="n">
        <x:v>2669.19</x:v>
      </x:c>
      <x:c r="M620" s="20" t="n">
        <x:v>20.55</x:v>
      </x:c>
      <x:c r="N620" s="20" t="n">
        <x:v>0</x:v>
      </x:c>
      <x:c r="O620" s="20" t="n">
        <x:v>2689.74</x:v>
      </x:c>
      <x:c r="P620" s="20" t="n">
        <x:v>0</x:v>
      </x:c>
      <x:c r="Q620" s="10" t="str">
        <x:v>Pago</x:v>
      </x:c>
      <x:c r="R620" s="10" t="str">
        <x:v>PIX</x:v>
      </x:c>
      <x:c r="S620" s="10" t="str">
        <x:v>2025-01</x:v>
      </x:c>
      <x:c r="T620" s="10" t="n">
        <x:v>0</x:v>
      </x:c>
      <x:c r="U620" s="10" t="str">
        <x:v>Liquidado</x:v>
      </x:c>
      <x:c r="V620" s="10" t="str">
        <x:v>UND004</x:v>
      </x:c>
    </x:row>
    <x:row r="621" ht="18" customHeight="1">
      <x:c r="A621" s="10" t="str">
        <x:v>PAG00620</x:v>
      </x:c>
      <x:c r="B621" s="10" t="str">
        <x:v>EMP001</x:v>
      </x:c>
      <x:c r="C621" s="10" t="str">
        <x:v>FOR053</x:v>
      </x:c>
      <x:c r="D621" s="10" t="str">
        <x:v>CC006</x:v>
      </x:c>
      <x:c r="E621" s="10" t="str">
        <x:v>CAT014</x:v>
      </x:c>
      <x:c r="F621" s="10" t="str">
        <x:v>CTA002</x:v>
      </x:c>
      <x:c r="G621" s="10" t="str">
        <x:v>NF-100620</x:v>
      </x:c>
      <x:c r="H621" s="10" t="str">
        <x:v>Compra de materiais</x:v>
      </x:c>
      <x:c r="I621" s="16" t="n">
        <x:v>45489.261507152776</x:v>
      </x:c>
      <x:c r="J621" s="16" t="n">
        <x:v>45519.261507152776</x:v>
      </x:c>
      <x:c r="K621" s="16" t="n">
        <x:v>45519.261507152776</x:v>
      </x:c>
      <x:c r="L621" s="20" t="n">
        <x:v>14537.89</x:v>
      </x:c>
      <x:c r="M621" s="20" t="n">
        <x:v>0</x:v>
      </x:c>
      <x:c r="N621" s="20" t="n">
        <x:v>0</x:v>
      </x:c>
      <x:c r="O621" s="20" t="n">
        <x:v>14537.89</x:v>
      </x:c>
      <x:c r="P621" s="20" t="n">
        <x:v>0</x:v>
      </x:c>
      <x:c r="Q621" s="10" t="str">
        <x:v>Pago</x:v>
      </x:c>
      <x:c r="R621" s="10" t="str">
        <x:v>Débito Automático</x:v>
      </x:c>
      <x:c r="S621" s="10" t="str">
        <x:v>2024-07</x:v>
      </x:c>
      <x:c r="T621" s="10" t="n">
        <x:v>0</x:v>
      </x:c>
      <x:c r="U621" s="10" t="str">
        <x:v>Liquidado</x:v>
      </x:c>
      <x:c r="V621" s="10" t="str">
        <x:v>UND002</x:v>
      </x:c>
    </x:row>
    <x:row r="622" ht="18" customHeight="1">
      <x:c r="A622" s="10" t="str">
        <x:v>PAG00621</x:v>
      </x:c>
      <x:c r="B622" s="10" t="str">
        <x:v>EMP001</x:v>
      </x:c>
      <x:c r="C622" s="10" t="str">
        <x:v>FOR049</x:v>
      </x:c>
      <x:c r="D622" s="10" t="str">
        <x:v>CC005</x:v>
      </x:c>
      <x:c r="E622" s="10" t="str">
        <x:v>CAT017</x:v>
      </x:c>
      <x:c r="F622" s="10" t="str">
        <x:v>CTA002</x:v>
      </x:c>
      <x:c r="G622" s="10" t="str">
        <x:v>NF-100621</x:v>
      </x:c>
      <x:c r="H622" s="10" t="str">
        <x:v>Tributos e taxas</x:v>
      </x:c>
      <x:c r="I622" s="16" t="n">
        <x:v>45491.808720416666</x:v>
      </x:c>
      <x:c r="J622" s="16" t="n">
        <x:v>45551.808720416666</x:v>
      </x:c>
      <x:c r="K622" s="16" t="n">
        <x:v>45556.808720416666</x:v>
      </x:c>
      <x:c r="L622" s="20" t="n">
        <x:v>35301.08</x:v>
      </x:c>
      <x:c r="M622" s="20" t="n">
        <x:v>123.55</x:v>
      </x:c>
      <x:c r="N622" s="20" t="n">
        <x:v>0</x:v>
      </x:c>
      <x:c r="O622" s="20" t="n">
        <x:v>35424.63</x:v>
      </x:c>
      <x:c r="P622" s="20" t="n">
        <x:v>0</x:v>
      </x:c>
      <x:c r="Q622" s="10" t="str">
        <x:v>Pago</x:v>
      </x:c>
      <x:c r="R622" s="10" t="str">
        <x:v>Boleto</x:v>
      </x:c>
      <x:c r="S622" s="10" t="str">
        <x:v>2024-07</x:v>
      </x:c>
      <x:c r="T622" s="10" t="n">
        <x:v>0</x:v>
      </x:c>
      <x:c r="U622" s="10" t="str">
        <x:v>Liquidado</x:v>
      </x:c>
      <x:c r="V622" s="10" t="str">
        <x:v>UND001</x:v>
      </x:c>
    </x:row>
    <x:row r="623" ht="18" customHeight="1">
      <x:c r="A623" s="10" t="str">
        <x:v>PAG00622</x:v>
      </x:c>
      <x:c r="B623" s="10" t="str">
        <x:v>EMP002</x:v>
      </x:c>
      <x:c r="C623" s="10" t="str">
        <x:v>FOR044</x:v>
      </x:c>
      <x:c r="D623" s="10" t="str">
        <x:v>CC001</x:v>
      </x:c>
      <x:c r="E623" s="10" t="str">
        <x:v>CAT016</x:v>
      </x:c>
      <x:c r="F623" s="10" t="str">
        <x:v>CTA004</x:v>
      </x:c>
      <x:c r="G623" s="10" t="str">
        <x:v>NF-100622</x:v>
      </x:c>
      <x:c r="H623" s="10" t="str">
        <x:v>Compra de materiais</x:v>
      </x:c>
      <x:c r="I623" s="16" t="n">
        <x:v>45688.51802645833</x:v>
      </x:c>
      <x:c r="J623" s="16" t="n">
        <x:v>45703.51802645833</x:v>
      </x:c>
      <x:c r="K623" s="16" t="n">
        <x:v>45735.51802645833</x:v>
      </x:c>
      <x:c r="L623" s="20" t="n">
        <x:v>24193.35</x:v>
      </x:c>
      <x:c r="M623" s="20" t="n">
        <x:v>541.93</x:v>
      </x:c>
      <x:c r="N623" s="20" t="n">
        <x:v>0</x:v>
      </x:c>
      <x:c r="O623" s="20" t="n">
        <x:v>24735.28</x:v>
      </x:c>
      <x:c r="P623" s="20" t="n">
        <x:v>0</x:v>
      </x:c>
      <x:c r="Q623" s="10" t="str">
        <x:v>Pago</x:v>
      </x:c>
      <x:c r="R623" s="10" t="str">
        <x:v>Débito Automático</x:v>
      </x:c>
      <x:c r="S623" s="10" t="str">
        <x:v>2025-01</x:v>
      </x:c>
      <x:c r="T623" s="10" t="n">
        <x:v>0</x:v>
      </x:c>
      <x:c r="U623" s="10" t="str">
        <x:v>Liquidado</x:v>
      </x:c>
      <x:c r="V623" s="10" t="str">
        <x:v>UND003</x:v>
      </x:c>
    </x:row>
    <x:row r="624" ht="18" customHeight="1">
      <x:c r="A624" s="10" t="str">
        <x:v>PAG00623</x:v>
      </x:c>
      <x:c r="B624" s="10" t="str">
        <x:v>EMP003</x:v>
      </x:c>
      <x:c r="C624" s="10" t="str">
        <x:v>FOR047</x:v>
      </x:c>
      <x:c r="D624" s="10" t="str">
        <x:v>CC005</x:v>
      </x:c>
      <x:c r="E624" s="10" t="str">
        <x:v>CAT007</x:v>
      </x:c>
      <x:c r="F624" s="10" t="str">
        <x:v>CTA006</x:v>
      </x:c>
      <x:c r="G624" s="10" t="str">
        <x:v>NF-100623</x:v>
      </x:c>
      <x:c r="H624" s="10" t="str">
        <x:v>Prestação de serviços</x:v>
      </x:c>
      <x:c r="I624" s="16" t="n">
        <x:v>45959.78295806713</x:v>
      </x:c>
      <x:c r="J624" s="16" t="n">
        <x:v>46004.78295806713</x:v>
      </x:c>
      <x:c r="K624" s="16"/>
      <x:c r="L624" s="20" t="n">
        <x:v>44903.32</x:v>
      </x:c>
      <x:c r="M624" s="20" t="n">
        <x:v>0</x:v>
      </x:c>
      <x:c r="N624" s="20" t="n">
        <x:v>0</x:v>
      </x:c>
      <x:c r="O624" s="20" t="n">
        <x:v>0</x:v>
      </x:c>
      <x:c r="P624" s="20" t="n">
        <x:v>44903.32</x:v>
      </x:c>
      <x:c r="Q624" s="10" t="str">
        <x:v>Vencido</x:v>
      </x:c>
      <x:c r="R624" s="10" t="str">
        <x:v>Boleto</x:v>
      </x:c>
      <x:c r="S624" s="10" t="str">
        <x:v>2025-10</x:v>
      </x:c>
      <x:c r="T624" s="10" t="n">
        <x:v>17</x:v>
      </x:c>
      <x:c r="U624" s="10" t="str">
        <x:v>1 a 30 dias</x:v>
      </x:c>
      <x:c r="V624" s="10" t="str">
        <x:v>UND004</x:v>
      </x:c>
    </x:row>
    <x:row r="625" ht="18" customHeight="1">
      <x:c r="A625" s="10" t="str">
        <x:v>PAG00624</x:v>
      </x:c>
      <x:c r="B625" s="10" t="str">
        <x:v>EMP003</x:v>
      </x:c>
      <x:c r="C625" s="10" t="str">
        <x:v>FOR047</x:v>
      </x:c>
      <x:c r="D625" s="10" t="str">
        <x:v>CC004</x:v>
      </x:c>
      <x:c r="E625" s="10" t="str">
        <x:v>CAT018</x:v>
      </x:c>
      <x:c r="F625" s="10" t="str">
        <x:v>CTA006</x:v>
      </x:c>
      <x:c r="G625" s="10" t="str">
        <x:v>NF-100624</x:v>
      </x:c>
      <x:c r="H625" s="10" t="str">
        <x:v>Despesa operacional</x:v>
      </x:c>
      <x:c r="I625" s="16" t="n">
        <x:v>45539.734448194446</x:v>
      </x:c>
      <x:c r="J625" s="16" t="n">
        <x:v>45567.734448194446</x:v>
      </x:c>
      <x:c r="K625" s="16" t="n">
        <x:v>45567.734448194446</x:v>
      </x:c>
      <x:c r="L625" s="20" t="n">
        <x:v>3915.73</x:v>
      </x:c>
      <x:c r="M625" s="20" t="n">
        <x:v>0</x:v>
      </x:c>
      <x:c r="N625" s="20" t="n">
        <x:v>0</x:v>
      </x:c>
      <x:c r="O625" s="20" t="n">
        <x:v>3915.73</x:v>
      </x:c>
      <x:c r="P625" s="20" t="n">
        <x:v>0</x:v>
      </x:c>
      <x:c r="Q625" s="10" t="str">
        <x:v>Pago</x:v>
      </x:c>
      <x:c r="R625" s="10" t="str">
        <x:v>Cartão Corporativo</x:v>
      </x:c>
      <x:c r="S625" s="10" t="str">
        <x:v>2024-09</x:v>
      </x:c>
      <x:c r="T625" s="10" t="n">
        <x:v>0</x:v>
      </x:c>
      <x:c r="U625" s="10" t="str">
        <x:v>Liquidado</x:v>
      </x:c>
      <x:c r="V625" s="10" t="str">
        <x:v>UND004</x:v>
      </x:c>
    </x:row>
    <x:row r="626" ht="18" customHeight="1">
      <x:c r="A626" s="10" t="str">
        <x:v>PAG00625</x:v>
      </x:c>
      <x:c r="B626" s="10" t="str">
        <x:v>EMP002</x:v>
      </x:c>
      <x:c r="C626" s="10" t="str">
        <x:v>FOR029</x:v>
      </x:c>
      <x:c r="D626" s="10" t="str">
        <x:v>CC005</x:v>
      </x:c>
      <x:c r="E626" s="10" t="str">
        <x:v>CAT005</x:v>
      </x:c>
      <x:c r="F626" s="10" t="str">
        <x:v>CTA003</x:v>
      </x:c>
      <x:c r="G626" s="10" t="str">
        <x:v>NF-100625</x:v>
      </x:c>
      <x:c r="H626" s="10" t="str">
        <x:v>Compra de materiais</x:v>
      </x:c>
      <x:c r="I626" s="16" t="n">
        <x:v>45939.859251180555</x:v>
      </x:c>
      <x:c r="J626" s="16" t="n">
        <x:v>46014.859251180555</x:v>
      </x:c>
      <x:c r="K626" s="16"/>
      <x:c r="L626" s="20" t="n">
        <x:v>10638.4</x:v>
      </x:c>
      <x:c r="M626" s="20" t="n">
        <x:v>0</x:v>
      </x:c>
      <x:c r="N626" s="20" t="n">
        <x:v>0</x:v>
      </x:c>
      <x:c r="O626" s="20" t="n">
        <x:v>0</x:v>
      </x:c>
      <x:c r="P626" s="20" t="n">
        <x:v>10638.4</x:v>
      </x:c>
      <x:c r="Q626" s="10" t="str">
        <x:v>Vencido</x:v>
      </x:c>
      <x:c r="R626" s="10" t="str">
        <x:v>Cartão Corporativo</x:v>
      </x:c>
      <x:c r="S626" s="10" t="str">
        <x:v>2025-10</x:v>
      </x:c>
      <x:c r="T626" s="10" t="n">
        <x:v>7</x:v>
      </x:c>
      <x:c r="U626" s="10" t="str">
        <x:v>1 a 30 dias</x:v>
      </x:c>
      <x:c r="V626" s="10" t="str">
        <x:v>UND003</x:v>
      </x:c>
    </x:row>
    <x:row r="627" ht="18" customHeight="1">
      <x:c r="A627" s="10" t="str">
        <x:v>PAG00626</x:v>
      </x:c>
      <x:c r="B627" s="10" t="str">
        <x:v>EMP002</x:v>
      </x:c>
      <x:c r="C627" s="10" t="str">
        <x:v>FOR049</x:v>
      </x:c>
      <x:c r="D627" s="10" t="str">
        <x:v>CC002</x:v>
      </x:c>
      <x:c r="E627" s="10" t="str">
        <x:v>CAT006</x:v>
      </x:c>
      <x:c r="F627" s="10" t="str">
        <x:v>CTA004</x:v>
      </x:c>
      <x:c r="G627" s="10" t="str">
        <x:v>NF-100626</x:v>
      </x:c>
      <x:c r="H627" s="10" t="str">
        <x:v>Compra de materiais</x:v>
      </x:c>
      <x:c r="I627" s="16" t="n">
        <x:v>45450.98033763889</x:v>
      </x:c>
      <x:c r="J627" s="16" t="n">
        <x:v>45525.98033763889</x:v>
      </x:c>
      <x:c r="K627" s="16" t="n">
        <x:v>45531.98033763889</x:v>
      </x:c>
      <x:c r="L627" s="20" t="n">
        <x:v>98276.62</x:v>
      </x:c>
      <x:c r="M627" s="20" t="n">
        <x:v>412.76</x:v>
      </x:c>
      <x:c r="N627" s="20" t="n">
        <x:v>0</x:v>
      </x:c>
      <x:c r="O627" s="20" t="n">
        <x:v>98689.38</x:v>
      </x:c>
      <x:c r="P627" s="20" t="n">
        <x:v>0</x:v>
      </x:c>
      <x:c r="Q627" s="10" t="str">
        <x:v>Pago</x:v>
      </x:c>
      <x:c r="R627" s="10" t="str">
        <x:v>PIX</x:v>
      </x:c>
      <x:c r="S627" s="10" t="str">
        <x:v>2024-06</x:v>
      </x:c>
      <x:c r="T627" s="10" t="n">
        <x:v>0</x:v>
      </x:c>
      <x:c r="U627" s="10" t="str">
        <x:v>Liquidado</x:v>
      </x:c>
      <x:c r="V627" s="10" t="str">
        <x:v>UND003</x:v>
      </x:c>
    </x:row>
    <x:row r="628" ht="18" customHeight="1">
      <x:c r="A628" s="10" t="str">
        <x:v>PAG00627</x:v>
      </x:c>
      <x:c r="B628" s="10" t="str">
        <x:v>EMP002</x:v>
      </x:c>
      <x:c r="C628" s="10" t="str">
        <x:v>FOR032</x:v>
      </x:c>
      <x:c r="D628" s="10" t="str">
        <x:v>CC007</x:v>
      </x:c>
      <x:c r="E628" s="10" t="str">
        <x:v>CAT014</x:v>
      </x:c>
      <x:c r="F628" s="10" t="str">
        <x:v>CTA003</x:v>
      </x:c>
      <x:c r="G628" s="10" t="str">
        <x:v>NF-100627</x:v>
      </x:c>
      <x:c r="H628" s="10" t="str">
        <x:v>Tributos e taxas</x:v>
      </x:c>
      <x:c r="I628" s="16" t="n">
        <x:v>45458.36723849537</x:v>
      </x:c>
      <x:c r="J628" s="16" t="n">
        <x:v>45518.36723849537</x:v>
      </x:c>
      <x:c r="K628" s="16" t="n">
        <x:v>45525.36723849537</x:v>
      </x:c>
      <x:c r="L628" s="20" t="n">
        <x:v>33409.18</x:v>
      </x:c>
      <x:c r="M628" s="20" t="n">
        <x:v>163.7</x:v>
      </x:c>
      <x:c r="N628" s="20" t="n">
        <x:v>0</x:v>
      </x:c>
      <x:c r="O628" s="20" t="n">
        <x:v>33572.88</x:v>
      </x:c>
      <x:c r="P628" s="20" t="n">
        <x:v>0</x:v>
      </x:c>
      <x:c r="Q628" s="10" t="str">
        <x:v>Pago</x:v>
      </x:c>
      <x:c r="R628" s="10" t="str">
        <x:v>Débito Automático</x:v>
      </x:c>
      <x:c r="S628" s="10" t="str">
        <x:v>2024-06</x:v>
      </x:c>
      <x:c r="T628" s="10" t="n">
        <x:v>0</x:v>
      </x:c>
      <x:c r="U628" s="10" t="str">
        <x:v>Liquidado</x:v>
      </x:c>
      <x:c r="V628" s="10" t="str">
        <x:v>UND003</x:v>
      </x:c>
    </x:row>
    <x:row r="629" ht="18" customHeight="1">
      <x:c r="A629" s="10" t="str">
        <x:v>PAG00628</x:v>
      </x:c>
      <x:c r="B629" s="10" t="str">
        <x:v>EMP003</x:v>
      </x:c>
      <x:c r="C629" s="10" t="str">
        <x:v>FOR006</x:v>
      </x:c>
      <x:c r="D629" s="10" t="str">
        <x:v>CC006</x:v>
      </x:c>
      <x:c r="E629" s="10" t="str">
        <x:v>CAT016</x:v>
      </x:c>
      <x:c r="F629" s="10" t="str">
        <x:v>CTA006</x:v>
      </x:c>
      <x:c r="G629" s="10" t="str">
        <x:v>NF-100628</x:v>
      </x:c>
      <x:c r="H629" s="10" t="str">
        <x:v>Tributos e taxas</x:v>
      </x:c>
      <x:c r="I629" s="16" t="n">
        <x:v>45797.07516177083</x:v>
      </x:c>
      <x:c r="J629" s="16" t="n">
        <x:v>45817.07516177083</x:v>
      </x:c>
      <x:c r="K629" s="16" t="n">
        <x:v>45840.07516177083</x:v>
      </x:c>
      <x:c r="L629" s="20" t="n">
        <x:v>66054.02</x:v>
      </x:c>
      <x:c r="M629" s="20" t="n">
        <x:v>1063.47</x:v>
      </x:c>
      <x:c r="N629" s="20" t="n">
        <x:v>0</x:v>
      </x:c>
      <x:c r="O629" s="20" t="n">
        <x:v>67117.49</x:v>
      </x:c>
      <x:c r="P629" s="20" t="n">
        <x:v>0</x:v>
      </x:c>
      <x:c r="Q629" s="10" t="str">
        <x:v>Pago</x:v>
      </x:c>
      <x:c r="R629" s="10" t="str">
        <x:v>Boleto</x:v>
      </x:c>
      <x:c r="S629" s="10" t="str">
        <x:v>2025-05</x:v>
      </x:c>
      <x:c r="T629" s="10" t="n">
        <x:v>0</x:v>
      </x:c>
      <x:c r="U629" s="10" t="str">
        <x:v>Liquidado</x:v>
      </x:c>
      <x:c r="V629" s="10" t="str">
        <x:v>UND004</x:v>
      </x:c>
    </x:row>
    <x:row r="630" ht="18" customHeight="1">
      <x:c r="A630" s="10" t="str">
        <x:v>PAG00629</x:v>
      </x:c>
      <x:c r="B630" s="10" t="str">
        <x:v>EMP003</x:v>
      </x:c>
      <x:c r="C630" s="10" t="str">
        <x:v>FOR051</x:v>
      </x:c>
      <x:c r="D630" s="10" t="str">
        <x:v>CC008</x:v>
      </x:c>
      <x:c r="E630" s="10" t="str">
        <x:v>CAT010</x:v>
      </x:c>
      <x:c r="F630" s="10" t="str">
        <x:v>CTA005</x:v>
      </x:c>
      <x:c r="G630" s="10" t="str">
        <x:v>NF-100629</x:v>
      </x:c>
      <x:c r="H630" s="10" t="str">
        <x:v>Tributos e taxas</x:v>
      </x:c>
      <x:c r="I630" s="16" t="n">
        <x:v>45852.981855949074</x:v>
      </x:c>
      <x:c r="J630" s="16" t="n">
        <x:v>45882.981855949074</x:v>
      </x:c>
      <x:c r="K630" s="16" t="n">
        <x:v>45891.981855949074</x:v>
      </x:c>
      <x:c r="L630" s="20" t="n">
        <x:v>75073.64</x:v>
      </x:c>
      <x:c r="M630" s="20" t="n">
        <x:v>472.96</x:v>
      </x:c>
      <x:c r="N630" s="20" t="n">
        <x:v>0</x:v>
      </x:c>
      <x:c r="O630" s="20" t="n">
        <x:v>75546.6</x:v>
      </x:c>
      <x:c r="P630" s="20" t="n">
        <x:v>0</x:v>
      </x:c>
      <x:c r="Q630" s="10" t="str">
        <x:v>Pago</x:v>
      </x:c>
      <x:c r="R630" s="10" t="str">
        <x:v>Boleto</x:v>
      </x:c>
      <x:c r="S630" s="10" t="str">
        <x:v>2025-07</x:v>
      </x:c>
      <x:c r="T630" s="10" t="n">
        <x:v>0</x:v>
      </x:c>
      <x:c r="U630" s="10" t="str">
        <x:v>Liquidado</x:v>
      </x:c>
      <x:c r="V630" s="10" t="str">
        <x:v>UND004</x:v>
      </x:c>
    </x:row>
    <x:row r="631" ht="18" customHeight="1">
      <x:c r="A631" s="10" t="str">
        <x:v>PAG00630</x:v>
      </x:c>
      <x:c r="B631" s="10" t="str">
        <x:v>EMP002</x:v>
      </x:c>
      <x:c r="C631" s="10" t="str">
        <x:v>FOR010</x:v>
      </x:c>
      <x:c r="D631" s="10" t="str">
        <x:v>CC005</x:v>
      </x:c>
      <x:c r="E631" s="10" t="str">
        <x:v>CAT017</x:v>
      </x:c>
      <x:c r="F631" s="10" t="str">
        <x:v>CTA004</x:v>
      </x:c>
      <x:c r="G631" s="10" t="str">
        <x:v>NF-100630</x:v>
      </x:c>
      <x:c r="H631" s="10" t="str">
        <x:v>Compra de materiais</x:v>
      </x:c>
      <x:c r="I631" s="16" t="n">
        <x:v>45855.513454224536</x:v>
      </x:c>
      <x:c r="J631" s="16" t="n">
        <x:v>45885.513454224536</x:v>
      </x:c>
      <x:c r="K631" s="16" t="n">
        <x:v>45915.513454224536</x:v>
      </x:c>
      <x:c r="L631" s="20" t="n">
        <x:v>888.54</x:v>
      </x:c>
      <x:c r="M631" s="20" t="n">
        <x:v>18.66</x:v>
      </x:c>
      <x:c r="N631" s="20" t="n">
        <x:v>0</x:v>
      </x:c>
      <x:c r="O631" s="20" t="n">
        <x:v>907.2</x:v>
      </x:c>
      <x:c r="P631" s="20" t="n">
        <x:v>0</x:v>
      </x:c>
      <x:c r="Q631" s="10" t="str">
        <x:v>Pago</x:v>
      </x:c>
      <x:c r="R631" s="10" t="str">
        <x:v>Boleto</x:v>
      </x:c>
      <x:c r="S631" s="10" t="str">
        <x:v>2025-07</x:v>
      </x:c>
      <x:c r="T631" s="10" t="n">
        <x:v>0</x:v>
      </x:c>
      <x:c r="U631" s="10" t="str">
        <x:v>Liquidado</x:v>
      </x:c>
      <x:c r="V631" s="10" t="str">
        <x:v>UND003</x:v>
      </x:c>
    </x:row>
    <x:row r="632" ht="18" customHeight="1">
      <x:c r="A632" s="10" t="str">
        <x:v>PAG00631</x:v>
      </x:c>
      <x:c r="B632" s="10" t="str">
        <x:v>EMP002</x:v>
      </x:c>
      <x:c r="C632" s="10" t="str">
        <x:v>FOR039</x:v>
      </x:c>
      <x:c r="D632" s="10" t="str">
        <x:v>CC007</x:v>
      </x:c>
      <x:c r="E632" s="10" t="str">
        <x:v>CAT010</x:v>
      </x:c>
      <x:c r="F632" s="10" t="str">
        <x:v>CTA004</x:v>
      </x:c>
      <x:c r="G632" s="10" t="str">
        <x:v>NF-100631</x:v>
      </x:c>
      <x:c r="H632" s="10" t="str">
        <x:v>Compra de materiais</x:v>
      </x:c>
      <x:c r="I632" s="16" t="n">
        <x:v>45414.693854212965</x:v>
      </x:c>
      <x:c r="J632" s="16" t="n">
        <x:v>45429.693854212965</x:v>
      </x:c>
      <x:c r="K632" s="16" t="n">
        <x:v>45457.693854212965</x:v>
      </x:c>
      <x:c r="L632" s="20" t="n">
        <x:v>1444.46</x:v>
      </x:c>
      <x:c r="M632" s="20" t="n">
        <x:v>28.31</x:v>
      </x:c>
      <x:c r="N632" s="20" t="n">
        <x:v>0</x:v>
      </x:c>
      <x:c r="O632" s="20" t="n">
        <x:v>1472.77</x:v>
      </x:c>
      <x:c r="P632" s="20" t="n">
        <x:v>0</x:v>
      </x:c>
      <x:c r="Q632" s="10" t="str">
        <x:v>Pago</x:v>
      </x:c>
      <x:c r="R632" s="10" t="str">
        <x:v>Débito Automático</x:v>
      </x:c>
      <x:c r="S632" s="10" t="str">
        <x:v>2024-05</x:v>
      </x:c>
      <x:c r="T632" s="10" t="n">
        <x:v>0</x:v>
      </x:c>
      <x:c r="U632" s="10" t="str">
        <x:v>Liquidado</x:v>
      </x:c>
      <x:c r="V632" s="10" t="str">
        <x:v>UND003</x:v>
      </x:c>
    </x:row>
    <x:row r="633" ht="18" customHeight="1">
      <x:c r="A633" s="10" t="str">
        <x:v>PAG00632</x:v>
      </x:c>
      <x:c r="B633" s="10" t="str">
        <x:v>EMP003</x:v>
      </x:c>
      <x:c r="C633" s="10" t="str">
        <x:v>FOR001</x:v>
      </x:c>
      <x:c r="D633" s="10" t="str">
        <x:v>CC001</x:v>
      </x:c>
      <x:c r="E633" s="10" t="str">
        <x:v>CAT012</x:v>
      </x:c>
      <x:c r="F633" s="10" t="str">
        <x:v>CTA006</x:v>
      </x:c>
      <x:c r="G633" s="10" t="str">
        <x:v>NF-100632</x:v>
      </x:c>
      <x:c r="H633" s="10" t="str">
        <x:v>Tributos e taxas</x:v>
      </x:c>
      <x:c r="I633" s="16" t="n">
        <x:v>45676.299309953705</x:v>
      </x:c>
      <x:c r="J633" s="16" t="n">
        <x:v>45711.299309953705</x:v>
      </x:c>
      <x:c r="K633" s="16" t="n">
        <x:v>45707.299309953705</x:v>
      </x:c>
      <x:c r="L633" s="20" t="n">
        <x:v>26121.73</x:v>
      </x:c>
      <x:c r="M633" s="20" t="n">
        <x:v>0</x:v>
      </x:c>
      <x:c r="N633" s="20" t="n">
        <x:v>0</x:v>
      </x:c>
      <x:c r="O633" s="20" t="n">
        <x:v>26121.73</x:v>
      </x:c>
      <x:c r="P633" s="20" t="n">
        <x:v>0</x:v>
      </x:c>
      <x:c r="Q633" s="10" t="str">
        <x:v>Pago</x:v>
      </x:c>
      <x:c r="R633" s="10" t="str">
        <x:v>TED</x:v>
      </x:c>
      <x:c r="S633" s="10" t="str">
        <x:v>2025-01</x:v>
      </x:c>
      <x:c r="T633" s="10" t="n">
        <x:v>0</x:v>
      </x:c>
      <x:c r="U633" s="10" t="str">
        <x:v>Liquidado</x:v>
      </x:c>
      <x:c r="V633" s="10" t="str">
        <x:v>UND004</x:v>
      </x:c>
    </x:row>
    <x:row r="634" ht="18" customHeight="1">
      <x:c r="A634" s="10" t="str">
        <x:v>PAG00633</x:v>
      </x:c>
      <x:c r="B634" s="10" t="str">
        <x:v>EMP001</x:v>
      </x:c>
      <x:c r="C634" s="10" t="str">
        <x:v>FOR025</x:v>
      </x:c>
      <x:c r="D634" s="10" t="str">
        <x:v>CC003</x:v>
      </x:c>
      <x:c r="E634" s="10" t="str">
        <x:v>CAT012</x:v>
      </x:c>
      <x:c r="F634" s="10" t="str">
        <x:v>CTA002</x:v>
      </x:c>
      <x:c r="G634" s="10" t="str">
        <x:v>NF-100633</x:v>
      </x:c>
      <x:c r="H634" s="10" t="str">
        <x:v>Prestação de serviços</x:v>
      </x:c>
      <x:c r="I634" s="16" t="n">
        <x:v>45687.41139412037</x:v>
      </x:c>
      <x:c r="J634" s="16" t="n">
        <x:v>45732.41139412037</x:v>
      </x:c>
      <x:c r="K634" s="16"/>
      <x:c r="L634" s="20" t="n">
        <x:v>44305.06</x:v>
      </x:c>
      <x:c r="M634" s="20" t="n">
        <x:v>0</x:v>
      </x:c>
      <x:c r="N634" s="20" t="n">
        <x:v>0</x:v>
      </x:c>
      <x:c r="O634" s="20" t="n">
        <x:v>0</x:v>
      </x:c>
      <x:c r="P634" s="20" t="n">
        <x:v>44305.06</x:v>
      </x:c>
      <x:c r="Q634" s="10" t="str">
        <x:v>Vencido</x:v>
      </x:c>
      <x:c r="R634" s="10" t="str">
        <x:v>TED</x:v>
      </x:c>
      <x:c r="S634" s="10" t="str">
        <x:v>2025-01</x:v>
      </x:c>
      <x:c r="T634" s="10" t="n">
        <x:v>289</x:v>
      </x:c>
      <x:c r="U634" s="10" t="str">
        <x:v>&gt; 120 dias</x:v>
      </x:c>
      <x:c r="V634" s="10" t="str">
        <x:v>UND001</x:v>
      </x:c>
    </x:row>
    <x:row r="635" ht="18" customHeight="1">
      <x:c r="A635" s="10" t="str">
        <x:v>PAG00634</x:v>
      </x:c>
      <x:c r="B635" s="10" t="str">
        <x:v>EMP002</x:v>
      </x:c>
      <x:c r="C635" s="10" t="str">
        <x:v>FOR032</x:v>
      </x:c>
      <x:c r="D635" s="10" t="str">
        <x:v>CC002</x:v>
      </x:c>
      <x:c r="E635" s="10" t="str">
        <x:v>CAT008</x:v>
      </x:c>
      <x:c r="F635" s="10" t="str">
        <x:v>CTA004</x:v>
      </x:c>
      <x:c r="G635" s="10" t="str">
        <x:v>NF-100634</x:v>
      </x:c>
      <x:c r="H635" s="10" t="str">
        <x:v>Prestação de serviços</x:v>
      </x:c>
      <x:c r="I635" s="16" t="n">
        <x:v>45313.635031342594</x:v>
      </x:c>
      <x:c r="J635" s="16" t="n">
        <x:v>45343.635031342594</x:v>
      </x:c>
      <x:c r="K635" s="16" t="n">
        <x:v>45343.635031342594</x:v>
      </x:c>
      <x:c r="L635" s="20" t="n">
        <x:v>54561.69</x:v>
      </x:c>
      <x:c r="M635" s="20" t="n">
        <x:v>0</x:v>
      </x:c>
      <x:c r="N635" s="20" t="n">
        <x:v>0</x:v>
      </x:c>
      <x:c r="O635" s="20" t="n">
        <x:v>54561.69</x:v>
      </x:c>
      <x:c r="P635" s="20" t="n">
        <x:v>0</x:v>
      </x:c>
      <x:c r="Q635" s="10" t="str">
        <x:v>Pago</x:v>
      </x:c>
      <x:c r="R635" s="10" t="str">
        <x:v>Débito Automático</x:v>
      </x:c>
      <x:c r="S635" s="10" t="str">
        <x:v>2024-01</x:v>
      </x:c>
      <x:c r="T635" s="10" t="n">
        <x:v>0</x:v>
      </x:c>
      <x:c r="U635" s="10" t="str">
        <x:v>Liquidado</x:v>
      </x:c>
      <x:c r="V635" s="10" t="str">
        <x:v>UND003</x:v>
      </x:c>
    </x:row>
    <x:row r="636" ht="18" customHeight="1">
      <x:c r="A636" s="10" t="str">
        <x:v>PAG00635</x:v>
      </x:c>
      <x:c r="B636" s="10" t="str">
        <x:v>EMP001</x:v>
      </x:c>
      <x:c r="C636" s="10" t="str">
        <x:v>FOR051</x:v>
      </x:c>
      <x:c r="D636" s="10" t="str">
        <x:v>CC003</x:v>
      </x:c>
      <x:c r="E636" s="10" t="str">
        <x:v>CAT016</x:v>
      </x:c>
      <x:c r="F636" s="10" t="str">
        <x:v>CTA002</x:v>
      </x:c>
      <x:c r="G636" s="10" t="str">
        <x:v>NF-100635</x:v>
      </x:c>
      <x:c r="H636" s="10" t="str">
        <x:v>Compra de materiais</x:v>
      </x:c>
      <x:c r="I636" s="16" t="n">
        <x:v>45474.036770949075</x:v>
      </x:c>
      <x:c r="J636" s="16" t="n">
        <x:v>45504.036770949075</x:v>
      </x:c>
      <x:c r="K636" s="16"/>
      <x:c r="L636" s="20" t="n">
        <x:v>36169.04</x:v>
      </x:c>
      <x:c r="M636" s="20" t="n">
        <x:v>0</x:v>
      </x:c>
      <x:c r="N636" s="20" t="n">
        <x:v>0</x:v>
      </x:c>
      <x:c r="O636" s="20" t="n">
        <x:v>0</x:v>
      </x:c>
      <x:c r="P636" s="20" t="n">
        <x:v>36169.04</x:v>
      </x:c>
      <x:c r="Q636" s="10" t="str">
        <x:v>Vencido</x:v>
      </x:c>
      <x:c r="R636" s="10" t="str">
        <x:v>Débito Automático</x:v>
      </x:c>
      <x:c r="S636" s="10" t="str">
        <x:v>2024-07</x:v>
      </x:c>
      <x:c r="T636" s="10" t="n">
        <x:v>517</x:v>
      </x:c>
      <x:c r="U636" s="10" t="str">
        <x:v>&gt; 120 dias</x:v>
      </x:c>
      <x:c r="V636" s="10" t="str">
        <x:v>UND002</x:v>
      </x:c>
    </x:row>
    <x:row r="637" ht="18" customHeight="1">
      <x:c r="A637" s="10" t="str">
        <x:v>PAG00636</x:v>
      </x:c>
      <x:c r="B637" s="10" t="str">
        <x:v>EMP001</x:v>
      </x:c>
      <x:c r="C637" s="10" t="str">
        <x:v>FOR060</x:v>
      </x:c>
      <x:c r="D637" s="10" t="str">
        <x:v>CC003</x:v>
      </x:c>
      <x:c r="E637" s="10" t="str">
        <x:v>CAT008</x:v>
      </x:c>
      <x:c r="F637" s="10" t="str">
        <x:v>CTA001</x:v>
      </x:c>
      <x:c r="G637" s="10" t="str">
        <x:v>NF-100636</x:v>
      </x:c>
      <x:c r="H637" s="10" t="str">
        <x:v>Tributos e taxas</x:v>
      </x:c>
      <x:c r="I637" s="16" t="n">
        <x:v>45458.24861679398</x:v>
      </x:c>
      <x:c r="J637" s="16" t="n">
        <x:v>45533.24861679398</x:v>
      </x:c>
      <x:c r="K637" s="16" t="n">
        <x:v>45563.24861679398</x:v>
      </x:c>
      <x:c r="L637" s="20" t="n">
        <x:v>24551.24</x:v>
      </x:c>
      <x:c r="M637" s="20" t="n">
        <x:v>515.58</x:v>
      </x:c>
      <x:c r="N637" s="20" t="n">
        <x:v>0</x:v>
      </x:c>
      <x:c r="O637" s="20" t="n">
        <x:v>25066.82</x:v>
      </x:c>
      <x:c r="P637" s="20" t="n">
        <x:v>0</x:v>
      </x:c>
      <x:c r="Q637" s="10" t="str">
        <x:v>Pago</x:v>
      </x:c>
      <x:c r="R637" s="10" t="str">
        <x:v>PIX</x:v>
      </x:c>
      <x:c r="S637" s="10" t="str">
        <x:v>2024-06</x:v>
      </x:c>
      <x:c r="T637" s="10" t="n">
        <x:v>0</x:v>
      </x:c>
      <x:c r="U637" s="10" t="str">
        <x:v>Liquidado</x:v>
      </x:c>
      <x:c r="V637" s="10" t="str">
        <x:v>UND002</x:v>
      </x:c>
    </x:row>
    <x:row r="638" ht="18" customHeight="1">
      <x:c r="A638" s="10" t="str">
        <x:v>PAG00637</x:v>
      </x:c>
      <x:c r="B638" s="10" t="str">
        <x:v>EMP001</x:v>
      </x:c>
      <x:c r="C638" s="10" t="str">
        <x:v>FOR034</x:v>
      </x:c>
      <x:c r="D638" s="10" t="str">
        <x:v>CC005</x:v>
      </x:c>
      <x:c r="E638" s="10" t="str">
        <x:v>CAT015</x:v>
      </x:c>
      <x:c r="F638" s="10" t="str">
        <x:v>CTA002</x:v>
      </x:c>
      <x:c r="G638" s="10" t="str">
        <x:v>NF-100637</x:v>
      </x:c>
      <x:c r="H638" s="10" t="str">
        <x:v>Prestação de serviços</x:v>
      </x:c>
      <x:c r="I638" s="16" t="n">
        <x:v>45478.502188287035</x:v>
      </x:c>
      <x:c r="J638" s="16" t="n">
        <x:v>45523.502188287035</x:v>
      </x:c>
      <x:c r="K638" s="16" t="n">
        <x:v>45525.502188287035</x:v>
      </x:c>
      <x:c r="L638" s="20" t="n">
        <x:v>13869.44</x:v>
      </x:c>
      <x:c r="M638" s="20" t="n">
        <x:v>19.42</x:v>
      </x:c>
      <x:c r="N638" s="20" t="n">
        <x:v>0</x:v>
      </x:c>
      <x:c r="O638" s="20" t="n">
        <x:v>13888.86</x:v>
      </x:c>
      <x:c r="P638" s="20" t="n">
        <x:v>0</x:v>
      </x:c>
      <x:c r="Q638" s="10" t="str">
        <x:v>Pago</x:v>
      </x:c>
      <x:c r="R638" s="10" t="str">
        <x:v>PIX</x:v>
      </x:c>
      <x:c r="S638" s="10" t="str">
        <x:v>2024-07</x:v>
      </x:c>
      <x:c r="T638" s="10" t="n">
        <x:v>0</x:v>
      </x:c>
      <x:c r="U638" s="10" t="str">
        <x:v>Liquidado</x:v>
      </x:c>
      <x:c r="V638" s="10" t="str">
        <x:v>UND001</x:v>
      </x:c>
    </x:row>
    <x:row r="639" ht="18" customHeight="1">
      <x:c r="A639" s="10" t="str">
        <x:v>PAG00638</x:v>
      </x:c>
      <x:c r="B639" s="10" t="str">
        <x:v>EMP002</x:v>
      </x:c>
      <x:c r="C639" s="10" t="str">
        <x:v>FOR011</x:v>
      </x:c>
      <x:c r="D639" s="10" t="str">
        <x:v>CC002</x:v>
      </x:c>
      <x:c r="E639" s="10" t="str">
        <x:v>CAT007</x:v>
      </x:c>
      <x:c r="F639" s="10" t="str">
        <x:v>CTA004</x:v>
      </x:c>
      <x:c r="G639" s="10" t="str">
        <x:v>NF-100638</x:v>
      </x:c>
      <x:c r="H639" s="10" t="str">
        <x:v>Compra de materiais</x:v>
      </x:c>
      <x:c r="I639" s="16" t="n">
        <x:v>45510.822867939816</x:v>
      </x:c>
      <x:c r="J639" s="16" t="n">
        <x:v>45545.822867939816</x:v>
      </x:c>
      <x:c r="K639" s="16" t="n">
        <x:v>45542.822867939816</x:v>
      </x:c>
      <x:c r="L639" s="20" t="n">
        <x:v>700.75</x:v>
      </x:c>
      <x:c r="M639" s="20" t="n">
        <x:v>0</x:v>
      </x:c>
      <x:c r="N639" s="20" t="n">
        <x:v>0</x:v>
      </x:c>
      <x:c r="O639" s="20" t="n">
        <x:v>700.75</x:v>
      </x:c>
      <x:c r="P639" s="20" t="n">
        <x:v>0</x:v>
      </x:c>
      <x:c r="Q639" s="10" t="str">
        <x:v>Pago</x:v>
      </x:c>
      <x:c r="R639" s="10" t="str">
        <x:v>TED</x:v>
      </x:c>
      <x:c r="S639" s="10" t="str">
        <x:v>2024-08</x:v>
      </x:c>
      <x:c r="T639" s="10" t="n">
        <x:v>0</x:v>
      </x:c>
      <x:c r="U639" s="10" t="str">
        <x:v>Liquidado</x:v>
      </x:c>
      <x:c r="V639" s="10" t="str">
        <x:v>UND003</x:v>
      </x:c>
    </x:row>
    <x:row r="640" ht="18" customHeight="1">
      <x:c r="A640" s="10" t="str">
        <x:v>PAG00639</x:v>
      </x:c>
      <x:c r="B640" s="10" t="str">
        <x:v>EMP001</x:v>
      </x:c>
      <x:c r="C640" s="10" t="str">
        <x:v>FOR031</x:v>
      </x:c>
      <x:c r="D640" s="10" t="str">
        <x:v>CC006</x:v>
      </x:c>
      <x:c r="E640" s="10" t="str">
        <x:v>CAT014</x:v>
      </x:c>
      <x:c r="F640" s="10" t="str">
        <x:v>CTA002</x:v>
      </x:c>
      <x:c r="G640" s="10" t="str">
        <x:v>NF-100639</x:v>
      </x:c>
      <x:c r="H640" s="10" t="str">
        <x:v>Compra de materiais</x:v>
      </x:c>
      <x:c r="I640" s="16" t="n">
        <x:v>45465.46458197917</x:v>
      </x:c>
      <x:c r="J640" s="16" t="n">
        <x:v>45510.46458197917</x:v>
      </x:c>
      <x:c r="K640" s="16" t="n">
        <x:v>45513.46458197917</x:v>
      </x:c>
      <x:c r="L640" s="20" t="n">
        <x:v>52833.58</x:v>
      </x:c>
      <x:c r="M640" s="20" t="n">
        <x:v>110.95</x:v>
      </x:c>
      <x:c r="N640" s="20" t="n">
        <x:v>0</x:v>
      </x:c>
      <x:c r="O640" s="20" t="n">
        <x:v>52944.53</x:v>
      </x:c>
      <x:c r="P640" s="20" t="n">
        <x:v>0</x:v>
      </x:c>
      <x:c r="Q640" s="10" t="str">
        <x:v>Pago</x:v>
      </x:c>
      <x:c r="R640" s="10" t="str">
        <x:v>Boleto</x:v>
      </x:c>
      <x:c r="S640" s="10" t="str">
        <x:v>2024-06</x:v>
      </x:c>
      <x:c r="T640" s="10" t="n">
        <x:v>0</x:v>
      </x:c>
      <x:c r="U640" s="10" t="str">
        <x:v>Liquidado</x:v>
      </x:c>
      <x:c r="V640" s="10" t="str">
        <x:v>UND001</x:v>
      </x:c>
    </x:row>
    <x:row r="641" ht="18" customHeight="1">
      <x:c r="A641" s="10" t="str">
        <x:v>PAG00640</x:v>
      </x:c>
      <x:c r="B641" s="10" t="str">
        <x:v>EMP001</x:v>
      </x:c>
      <x:c r="C641" s="10" t="str">
        <x:v>FOR004</x:v>
      </x:c>
      <x:c r="D641" s="10" t="str">
        <x:v>CC007</x:v>
      </x:c>
      <x:c r="E641" s="10" t="str">
        <x:v>CAT006</x:v>
      </x:c>
      <x:c r="F641" s="10" t="str">
        <x:v>CTA002</x:v>
      </x:c>
      <x:c r="G641" s="10" t="str">
        <x:v>NF-100640</x:v>
      </x:c>
      <x:c r="H641" s="10" t="str">
        <x:v>Prestação de serviços</x:v>
      </x:c>
      <x:c r="I641" s="16" t="n">
        <x:v>45523.821086006945</x:v>
      </x:c>
      <x:c r="J641" s="16" t="n">
        <x:v>45568.821086006945</x:v>
      </x:c>
      <x:c r="K641" s="16" t="n">
        <x:v>45580.821086006945</x:v>
      </x:c>
      <x:c r="L641" s="20" t="n">
        <x:v>49850</x:v>
      </x:c>
      <x:c r="M641" s="20" t="n">
        <x:v>418.74</x:v>
      </x:c>
      <x:c r="N641" s="20" t="n">
        <x:v>0</x:v>
      </x:c>
      <x:c r="O641" s="20" t="n">
        <x:v>50268.74</x:v>
      </x:c>
      <x:c r="P641" s="20" t="n">
        <x:v>0</x:v>
      </x:c>
      <x:c r="Q641" s="10" t="str">
        <x:v>Pago</x:v>
      </x:c>
      <x:c r="R641" s="10" t="str">
        <x:v>Cartão Corporativo</x:v>
      </x:c>
      <x:c r="S641" s="10" t="str">
        <x:v>2024-08</x:v>
      </x:c>
      <x:c r="T641" s="10" t="n">
        <x:v>0</x:v>
      </x:c>
      <x:c r="U641" s="10" t="str">
        <x:v>Liquidado</x:v>
      </x:c>
      <x:c r="V641" s="10" t="str">
        <x:v>UND001</x:v>
      </x:c>
    </x:row>
    <x:row r="642" ht="18" customHeight="1">
      <x:c r="A642" s="10" t="str">
        <x:v>PAG00641</x:v>
      </x:c>
      <x:c r="B642" s="10" t="str">
        <x:v>EMP002</x:v>
      </x:c>
      <x:c r="C642" s="10" t="str">
        <x:v>FOR008</x:v>
      </x:c>
      <x:c r="D642" s="10" t="str">
        <x:v>CC007</x:v>
      </x:c>
      <x:c r="E642" s="10" t="str">
        <x:v>CAT010</x:v>
      </x:c>
      <x:c r="F642" s="10" t="str">
        <x:v>CTA004</x:v>
      </x:c>
      <x:c r="G642" s="10" t="str">
        <x:v>NF-100641</x:v>
      </x:c>
      <x:c r="H642" s="10" t="str">
        <x:v>Compra de materiais</x:v>
      </x:c>
      <x:c r="I642" s="16" t="n">
        <x:v>45363.12395908565</x:v>
      </x:c>
      <x:c r="J642" s="16" t="n">
        <x:v>45438.12395908565</x:v>
      </x:c>
      <x:c r="K642" s="16" t="n">
        <x:v>45446.12395908565</x:v>
      </x:c>
      <x:c r="L642" s="20" t="n">
        <x:v>7838.31</x:v>
      </x:c>
      <x:c r="M642" s="20" t="n">
        <x:v>43.89</x:v>
      </x:c>
      <x:c r="N642" s="20" t="n">
        <x:v>0</x:v>
      </x:c>
      <x:c r="O642" s="20" t="n">
        <x:v>7882.2</x:v>
      </x:c>
      <x:c r="P642" s="20" t="n">
        <x:v>0</x:v>
      </x:c>
      <x:c r="Q642" s="10" t="str">
        <x:v>Pago</x:v>
      </x:c>
      <x:c r="R642" s="10" t="str">
        <x:v>TED</x:v>
      </x:c>
      <x:c r="S642" s="10" t="str">
        <x:v>2024-03</x:v>
      </x:c>
      <x:c r="T642" s="10" t="n">
        <x:v>0</x:v>
      </x:c>
      <x:c r="U642" s="10" t="str">
        <x:v>Liquidado</x:v>
      </x:c>
      <x:c r="V642" s="10" t="str">
        <x:v>UND003</x:v>
      </x:c>
    </x:row>
    <x:row r="643" ht="18" customHeight="1">
      <x:c r="A643" s="10" t="str">
        <x:v>PAG00642</x:v>
      </x:c>
      <x:c r="B643" s="10" t="str">
        <x:v>EMP002</x:v>
      </x:c>
      <x:c r="C643" s="10" t="str">
        <x:v>FOR036</x:v>
      </x:c>
      <x:c r="D643" s="10" t="str">
        <x:v>CC002</x:v>
      </x:c>
      <x:c r="E643" s="10" t="str">
        <x:v>CAT018</x:v>
      </x:c>
      <x:c r="F643" s="10" t="str">
        <x:v>CTA003</x:v>
      </x:c>
      <x:c r="G643" s="10" t="str">
        <x:v>NF-100642</x:v>
      </x:c>
      <x:c r="H643" s="10" t="str">
        <x:v>Contrato recorrente</x:v>
      </x:c>
      <x:c r="I643" s="16" t="n">
        <x:v>45728.836301863426</x:v>
      </x:c>
      <x:c r="J643" s="16" t="n">
        <x:v>45773.836301863426</x:v>
      </x:c>
      <x:c r="K643" s="16" t="n">
        <x:v>45780.836301863426</x:v>
      </x:c>
      <x:c r="L643" s="20" t="n">
        <x:v>115551.26</x:v>
      </x:c>
      <x:c r="M643" s="20" t="n">
        <x:v>566.2</x:v>
      </x:c>
      <x:c r="N643" s="20" t="n">
        <x:v>0</x:v>
      </x:c>
      <x:c r="O643" s="20" t="n">
        <x:v>116117.46</x:v>
      </x:c>
      <x:c r="P643" s="20" t="n">
        <x:v>0</x:v>
      </x:c>
      <x:c r="Q643" s="10" t="str">
        <x:v>Pago</x:v>
      </x:c>
      <x:c r="R643" s="10" t="str">
        <x:v>Débito Automático</x:v>
      </x:c>
      <x:c r="S643" s="10" t="str">
        <x:v>2025-03</x:v>
      </x:c>
      <x:c r="T643" s="10" t="n">
        <x:v>0</x:v>
      </x:c>
      <x:c r="U643" s="10" t="str">
        <x:v>Liquidado</x:v>
      </x:c>
      <x:c r="V643" s="10" t="str">
        <x:v>UND003</x:v>
      </x:c>
    </x:row>
    <x:row r="644" ht="18" customHeight="1">
      <x:c r="A644" s="10" t="str">
        <x:v>PAG00643</x:v>
      </x:c>
      <x:c r="B644" s="10" t="str">
        <x:v>EMP001</x:v>
      </x:c>
      <x:c r="C644" s="10" t="str">
        <x:v>FOR059</x:v>
      </x:c>
      <x:c r="D644" s="10" t="str">
        <x:v>CC008</x:v>
      </x:c>
      <x:c r="E644" s="10" t="str">
        <x:v>CAT017</x:v>
      </x:c>
      <x:c r="F644" s="10" t="str">
        <x:v>CTA001</x:v>
      </x:c>
      <x:c r="G644" s="10" t="str">
        <x:v>NF-100643</x:v>
      </x:c>
      <x:c r="H644" s="10" t="str">
        <x:v>Contrato recorrente</x:v>
      </x:c>
      <x:c r="I644" s="16" t="n">
        <x:v>45469.87302987269</x:v>
      </x:c>
      <x:c r="J644" s="16" t="n">
        <x:v>45544.87302987269</x:v>
      </x:c>
      <x:c r="K644" s="16" t="n">
        <x:v>45553.87302987269</x:v>
      </x:c>
      <x:c r="L644" s="20" t="n">
        <x:v>14150.17</x:v>
      </x:c>
      <x:c r="M644" s="20" t="n">
        <x:v>89.15</x:v>
      </x:c>
      <x:c r="N644" s="20" t="n">
        <x:v>0</x:v>
      </x:c>
      <x:c r="O644" s="20" t="n">
        <x:v>14239.32</x:v>
      </x:c>
      <x:c r="P644" s="20" t="n">
        <x:v>0</x:v>
      </x:c>
      <x:c r="Q644" s="10" t="str">
        <x:v>Pago</x:v>
      </x:c>
      <x:c r="R644" s="10" t="str">
        <x:v>Cartão Corporativo</x:v>
      </x:c>
      <x:c r="S644" s="10" t="str">
        <x:v>2024-06</x:v>
      </x:c>
      <x:c r="T644" s="10" t="n">
        <x:v>0</x:v>
      </x:c>
      <x:c r="U644" s="10" t="str">
        <x:v>Liquidado</x:v>
      </x:c>
      <x:c r="V644" s="10" t="str">
        <x:v>UND002</x:v>
      </x:c>
    </x:row>
    <x:row r="645" ht="18" customHeight="1">
      <x:c r="A645" s="10" t="str">
        <x:v>PAG00644</x:v>
      </x:c>
      <x:c r="B645" s="10" t="str">
        <x:v>EMP003</x:v>
      </x:c>
      <x:c r="C645" s="10" t="str">
        <x:v>FOR019</x:v>
      </x:c>
      <x:c r="D645" s="10" t="str">
        <x:v>CC006</x:v>
      </x:c>
      <x:c r="E645" s="10" t="str">
        <x:v>CAT013</x:v>
      </x:c>
      <x:c r="F645" s="10" t="str">
        <x:v>CTA005</x:v>
      </x:c>
      <x:c r="G645" s="10" t="str">
        <x:v>NF-100644</x:v>
      </x:c>
      <x:c r="H645" s="10" t="str">
        <x:v>Prestação de serviços</x:v>
      </x:c>
      <x:c r="I645" s="16" t="n">
        <x:v>45838.23317831018</x:v>
      </x:c>
      <x:c r="J645" s="16" t="n">
        <x:v>45883.23317831018</x:v>
      </x:c>
      <x:c r="K645" s="16" t="n">
        <x:v>45887.23317831018</x:v>
      </x:c>
      <x:c r="L645" s="20" t="n">
        <x:v>23384.5</x:v>
      </x:c>
      <x:c r="M645" s="20" t="n">
        <x:v>65.48</x:v>
      </x:c>
      <x:c r="N645" s="20" t="n">
        <x:v>0</x:v>
      </x:c>
      <x:c r="O645" s="20" t="n">
        <x:v>23449.98</x:v>
      </x:c>
      <x:c r="P645" s="20" t="n">
        <x:v>0</x:v>
      </x:c>
      <x:c r="Q645" s="10" t="str">
        <x:v>Pago</x:v>
      </x:c>
      <x:c r="R645" s="10" t="str">
        <x:v>Cartão Corporativo</x:v>
      </x:c>
      <x:c r="S645" s="10" t="str">
        <x:v>2025-06</x:v>
      </x:c>
      <x:c r="T645" s="10" t="n">
        <x:v>0</x:v>
      </x:c>
      <x:c r="U645" s="10" t="str">
        <x:v>Liquidado</x:v>
      </x:c>
      <x:c r="V645" s="10" t="str">
        <x:v>UND004</x:v>
      </x:c>
    </x:row>
    <x:row r="646" ht="18" customHeight="1">
      <x:c r="A646" s="10" t="str">
        <x:v>PAG00645</x:v>
      </x:c>
      <x:c r="B646" s="10" t="str">
        <x:v>EMP001</x:v>
      </x:c>
      <x:c r="C646" s="10" t="str">
        <x:v>FOR024</x:v>
      </x:c>
      <x:c r="D646" s="10" t="str">
        <x:v>CC004</x:v>
      </x:c>
      <x:c r="E646" s="10" t="str">
        <x:v>CAT008</x:v>
      </x:c>
      <x:c r="F646" s="10" t="str">
        <x:v>CTA001</x:v>
      </x:c>
      <x:c r="G646" s="10" t="str">
        <x:v>NF-100645</x:v>
      </x:c>
      <x:c r="H646" s="10" t="str">
        <x:v>Compra de materiais</x:v>
      </x:c>
      <x:c r="I646" s="16" t="n">
        <x:v>45362.96179054398</x:v>
      </x:c>
      <x:c r="J646" s="16" t="n">
        <x:v>45382.96179054398</x:v>
      </x:c>
      <x:c r="K646" s="16" t="n">
        <x:v>45403.96179054398</x:v>
      </x:c>
      <x:c r="L646" s="20" t="n">
        <x:v>1272.4</x:v>
      </x:c>
      <x:c r="M646" s="20" t="n">
        <x:v>18.7</x:v>
      </x:c>
      <x:c r="N646" s="20" t="n">
        <x:v>0</x:v>
      </x:c>
      <x:c r="O646" s="20" t="n">
        <x:v>1291.1</x:v>
      </x:c>
      <x:c r="P646" s="20" t="n">
        <x:v>0</x:v>
      </x:c>
      <x:c r="Q646" s="10" t="str">
        <x:v>Pago</x:v>
      </x:c>
      <x:c r="R646" s="10" t="str">
        <x:v>Cartão Corporativo</x:v>
      </x:c>
      <x:c r="S646" s="10" t="str">
        <x:v>2024-03</x:v>
      </x:c>
      <x:c r="T646" s="10" t="n">
        <x:v>0</x:v>
      </x:c>
      <x:c r="U646" s="10" t="str">
        <x:v>Liquidado</x:v>
      </x:c>
      <x:c r="V646" s="10" t="str">
        <x:v>UND001</x:v>
      </x:c>
    </x:row>
    <x:row r="647" ht="18" customHeight="1">
      <x:c r="A647" s="10" t="str">
        <x:v>PAG00646</x:v>
      </x:c>
      <x:c r="B647" s="10" t="str">
        <x:v>EMP003</x:v>
      </x:c>
      <x:c r="C647" s="10" t="str">
        <x:v>FOR025</x:v>
      </x:c>
      <x:c r="D647" s="10" t="str">
        <x:v>CC002</x:v>
      </x:c>
      <x:c r="E647" s="10" t="str">
        <x:v>CAT017</x:v>
      </x:c>
      <x:c r="F647" s="10" t="str">
        <x:v>CTA006</x:v>
      </x:c>
      <x:c r="G647" s="10" t="str">
        <x:v>NF-100646</x:v>
      </x:c>
      <x:c r="H647" s="10" t="str">
        <x:v>Tributos e taxas</x:v>
      </x:c>
      <x:c r="I647" s="16" t="n">
        <x:v>45953.225474189814</x:v>
      </x:c>
      <x:c r="J647" s="16" t="n">
        <x:v>45973.225474189814</x:v>
      </x:c>
      <x:c r="K647" s="16" t="n">
        <x:v>45969.225474189814</x:v>
      </x:c>
      <x:c r="L647" s="20" t="n">
        <x:v>1206.79</x:v>
      </x:c>
      <x:c r="M647" s="20" t="n">
        <x:v>0</x:v>
      </x:c>
      <x:c r="N647" s="20" t="n">
        <x:v>0</x:v>
      </x:c>
      <x:c r="O647" s="20" t="n">
        <x:v>1206.79</x:v>
      </x:c>
      <x:c r="P647" s="20" t="n">
        <x:v>0</x:v>
      </x:c>
      <x:c r="Q647" s="10" t="str">
        <x:v>Pago</x:v>
      </x:c>
      <x:c r="R647" s="10" t="str">
        <x:v>Débito Automático</x:v>
      </x:c>
      <x:c r="S647" s="10" t="str">
        <x:v>2025-10</x:v>
      </x:c>
      <x:c r="T647" s="10" t="n">
        <x:v>0</x:v>
      </x:c>
      <x:c r="U647" s="10" t="str">
        <x:v>Liquidado</x:v>
      </x:c>
      <x:c r="V647" s="10" t="str">
        <x:v>UND004</x:v>
      </x:c>
    </x:row>
    <x:row r="648" ht="18" customHeight="1">
      <x:c r="A648" s="10" t="str">
        <x:v>PAG00647</x:v>
      </x:c>
      <x:c r="B648" s="10" t="str">
        <x:v>EMP001</x:v>
      </x:c>
      <x:c r="C648" s="10" t="str">
        <x:v>FOR038</x:v>
      </x:c>
      <x:c r="D648" s="10" t="str">
        <x:v>CC005</x:v>
      </x:c>
      <x:c r="E648" s="10" t="str">
        <x:v>CAT012</x:v>
      </x:c>
      <x:c r="F648" s="10" t="str">
        <x:v>CTA002</x:v>
      </x:c>
      <x:c r="G648" s="10" t="str">
        <x:v>NF-100647</x:v>
      </x:c>
      <x:c r="H648" s="10" t="str">
        <x:v>Contrato recorrente</x:v>
      </x:c>
      <x:c r="I648" s="16" t="n">
        <x:v>45966.72614310185</x:v>
      </x:c>
      <x:c r="J648" s="16" t="n">
        <x:v>46011.72614310185</x:v>
      </x:c>
      <x:c r="K648" s="16" t="n">
        <x:v>46005.72614310185</x:v>
      </x:c>
      <x:c r="L648" s="20" t="n">
        <x:v>9034.56</x:v>
      </x:c>
      <x:c r="M648" s="20" t="n">
        <x:v>0</x:v>
      </x:c>
      <x:c r="N648" s="20" t="n">
        <x:v>0</x:v>
      </x:c>
      <x:c r="O648" s="20" t="n">
        <x:v>9034.56</x:v>
      </x:c>
      <x:c r="P648" s="20" t="n">
        <x:v>0</x:v>
      </x:c>
      <x:c r="Q648" s="10" t="str">
        <x:v>Pago</x:v>
      </x:c>
      <x:c r="R648" s="10" t="str">
        <x:v>Débito Automático</x:v>
      </x:c>
      <x:c r="S648" s="10" t="str">
        <x:v>2025-11</x:v>
      </x:c>
      <x:c r="T648" s="10" t="n">
        <x:v>0</x:v>
      </x:c>
      <x:c r="U648" s="10" t="str">
        <x:v>Liquidado</x:v>
      </x:c>
      <x:c r="V648" s="10" t="str">
        <x:v>UND001</x:v>
      </x:c>
    </x:row>
    <x:row r="649" ht="18" customHeight="1">
      <x:c r="A649" s="10" t="str">
        <x:v>PAG00648</x:v>
      </x:c>
      <x:c r="B649" s="10" t="str">
        <x:v>EMP001</x:v>
      </x:c>
      <x:c r="C649" s="10" t="str">
        <x:v>FOR019</x:v>
      </x:c>
      <x:c r="D649" s="10" t="str">
        <x:v>CC008</x:v>
      </x:c>
      <x:c r="E649" s="10" t="str">
        <x:v>CAT010</x:v>
      </x:c>
      <x:c r="F649" s="10" t="str">
        <x:v>CTA002</x:v>
      </x:c>
      <x:c r="G649" s="10" t="str">
        <x:v>NF-100648</x:v>
      </x:c>
      <x:c r="H649" s="10" t="str">
        <x:v>Contrato recorrente</x:v>
      </x:c>
      <x:c r="I649" s="16" t="n">
        <x:v>45414.459699039355</x:v>
      </x:c>
      <x:c r="J649" s="16" t="n">
        <x:v>45474.459699039355</x:v>
      </x:c>
      <x:c r="K649" s="16" t="n">
        <x:v>45486.459699039355</x:v>
      </x:c>
      <x:c r="L649" s="20" t="n">
        <x:v>60211.8</x:v>
      </x:c>
      <x:c r="M649" s="20" t="n">
        <x:v>505.78</x:v>
      </x:c>
      <x:c r="N649" s="20" t="n">
        <x:v>0</x:v>
      </x:c>
      <x:c r="O649" s="20" t="n">
        <x:v>60717.58</x:v>
      </x:c>
      <x:c r="P649" s="20" t="n">
        <x:v>0</x:v>
      </x:c>
      <x:c r="Q649" s="10" t="str">
        <x:v>Pago</x:v>
      </x:c>
      <x:c r="R649" s="10" t="str">
        <x:v>Cartão Corporativo</x:v>
      </x:c>
      <x:c r="S649" s="10" t="str">
        <x:v>2024-05</x:v>
      </x:c>
      <x:c r="T649" s="10" t="n">
        <x:v>0</x:v>
      </x:c>
      <x:c r="U649" s="10" t="str">
        <x:v>Liquidado</x:v>
      </x:c>
      <x:c r="V649" s="10" t="str">
        <x:v>UND001</x:v>
      </x:c>
    </x:row>
    <x:row r="650" ht="18" customHeight="1">
      <x:c r="A650" s="10" t="str">
        <x:v>PAG00649</x:v>
      </x:c>
      <x:c r="B650" s="10" t="str">
        <x:v>EMP002</x:v>
      </x:c>
      <x:c r="C650" s="10" t="str">
        <x:v>FOR029</x:v>
      </x:c>
      <x:c r="D650" s="10" t="str">
        <x:v>CC005</x:v>
      </x:c>
      <x:c r="E650" s="10" t="str">
        <x:v>CAT006</x:v>
      </x:c>
      <x:c r="F650" s="10" t="str">
        <x:v>CTA003</x:v>
      </x:c>
      <x:c r="G650" s="10" t="str">
        <x:v>NF-100649</x:v>
      </x:c>
      <x:c r="H650" s="10" t="str">
        <x:v>Compra de materiais</x:v>
      </x:c>
      <x:c r="I650" s="16" t="n">
        <x:v>45796.98061020833</x:v>
      </x:c>
      <x:c r="J650" s="16" t="n">
        <x:v>45831.98061020833</x:v>
      </x:c>
      <x:c r="K650" s="16" t="n">
        <x:v>45827.98061020833</x:v>
      </x:c>
      <x:c r="L650" s="20" t="n">
        <x:v>6808.34</x:v>
      </x:c>
      <x:c r="M650" s="20" t="n">
        <x:v>0</x:v>
      </x:c>
      <x:c r="N650" s="20" t="n">
        <x:v>0</x:v>
      </x:c>
      <x:c r="O650" s="20" t="n">
        <x:v>6808.34</x:v>
      </x:c>
      <x:c r="P650" s="20" t="n">
        <x:v>0</x:v>
      </x:c>
      <x:c r="Q650" s="10" t="str">
        <x:v>Pago</x:v>
      </x:c>
      <x:c r="R650" s="10" t="str">
        <x:v>Boleto</x:v>
      </x:c>
      <x:c r="S650" s="10" t="str">
        <x:v>2025-05</x:v>
      </x:c>
      <x:c r="T650" s="10" t="n">
        <x:v>0</x:v>
      </x:c>
      <x:c r="U650" s="10" t="str">
        <x:v>Liquidado</x:v>
      </x:c>
      <x:c r="V650" s="10" t="str">
        <x:v>UND003</x:v>
      </x:c>
    </x:row>
    <x:row r="651" ht="18" customHeight="1">
      <x:c r="A651" s="10" t="str">
        <x:v>PAG00650</x:v>
      </x:c>
      <x:c r="B651" s="10" t="str">
        <x:v>EMP001</x:v>
      </x:c>
      <x:c r="C651" s="10" t="str">
        <x:v>FOR057</x:v>
      </x:c>
      <x:c r="D651" s="10" t="str">
        <x:v>CC006</x:v>
      </x:c>
      <x:c r="E651" s="10" t="str">
        <x:v>CAT011</x:v>
      </x:c>
      <x:c r="F651" s="10" t="str">
        <x:v>CTA002</x:v>
      </x:c>
      <x:c r="G651" s="10" t="str">
        <x:v>NF-100650</x:v>
      </x:c>
      <x:c r="H651" s="10" t="str">
        <x:v>Compra de materiais</x:v>
      </x:c>
      <x:c r="I651" s="16" t="n">
        <x:v>45720.323310416665</x:v>
      </x:c>
      <x:c r="J651" s="16" t="n">
        <x:v>45780.323310416665</x:v>
      </x:c>
      <x:c r="K651" s="16" t="n">
        <x:v>45773.323310416665</x:v>
      </x:c>
      <x:c r="L651" s="20" t="n">
        <x:v>92597.94</x:v>
      </x:c>
      <x:c r="M651" s="20" t="n">
        <x:v>0</x:v>
      </x:c>
      <x:c r="N651" s="20" t="n">
        <x:v>1388.97</x:v>
      </x:c>
      <x:c r="O651" s="20" t="n">
        <x:v>91208.97</x:v>
      </x:c>
      <x:c r="P651" s="20" t="n">
        <x:v>0</x:v>
      </x:c>
      <x:c r="Q651" s="10" t="str">
        <x:v>Pago</x:v>
      </x:c>
      <x:c r="R651" s="10" t="str">
        <x:v>Débito Automático</x:v>
      </x:c>
      <x:c r="S651" s="10" t="str">
        <x:v>2025-03</x:v>
      </x:c>
      <x:c r="T651" s="10" t="n">
        <x:v>0</x:v>
      </x:c>
      <x:c r="U651" s="10" t="str">
        <x:v>Liquidado</x:v>
      </x:c>
      <x:c r="V651" s="10" t="str">
        <x:v>UND001</x:v>
      </x:c>
    </x:row>
    <x:row r="652" ht="18" customHeight="1">
      <x:c r="A652" s="10" t="str">
        <x:v>PAG00651</x:v>
      </x:c>
      <x:c r="B652" s="10" t="str">
        <x:v>EMP002</x:v>
      </x:c>
      <x:c r="C652" s="10" t="str">
        <x:v>FOR015</x:v>
      </x:c>
      <x:c r="D652" s="10" t="str">
        <x:v>CC006</x:v>
      </x:c>
      <x:c r="E652" s="10" t="str">
        <x:v>CAT013</x:v>
      </x:c>
      <x:c r="F652" s="10" t="str">
        <x:v>CTA003</x:v>
      </x:c>
      <x:c r="G652" s="10" t="str">
        <x:v>NF-100651</x:v>
      </x:c>
      <x:c r="H652" s="10" t="str">
        <x:v>Despesa operacional</x:v>
      </x:c>
      <x:c r="I652" s="16" t="n">
        <x:v>45656.707028715275</x:v>
      </x:c>
      <x:c r="J652" s="16" t="n">
        <x:v>45676.707028715275</x:v>
      </x:c>
      <x:c r="K652" s="16" t="n">
        <x:v>45676.707028715275</x:v>
      </x:c>
      <x:c r="L652" s="20" t="n">
        <x:v>1466.92</x:v>
      </x:c>
      <x:c r="M652" s="20" t="n">
        <x:v>0</x:v>
      </x:c>
      <x:c r="N652" s="20" t="n">
        <x:v>0</x:v>
      </x:c>
      <x:c r="O652" s="20" t="n">
        <x:v>1466.92</x:v>
      </x:c>
      <x:c r="P652" s="20" t="n">
        <x:v>0</x:v>
      </x:c>
      <x:c r="Q652" s="10" t="str">
        <x:v>Pago</x:v>
      </x:c>
      <x:c r="R652" s="10" t="str">
        <x:v>Boleto</x:v>
      </x:c>
      <x:c r="S652" s="10" t="str">
        <x:v>2024-12</x:v>
      </x:c>
      <x:c r="T652" s="10" t="n">
        <x:v>0</x:v>
      </x:c>
      <x:c r="U652" s="10" t="str">
        <x:v>Liquidado</x:v>
      </x:c>
      <x:c r="V652" s="10" t="str">
        <x:v>UND003</x:v>
      </x:c>
    </x:row>
    <x:row r="653" ht="18" customHeight="1">
      <x:c r="A653" s="10" t="str">
        <x:v>PAG00652</x:v>
      </x:c>
      <x:c r="B653" s="10" t="str">
        <x:v>EMP003</x:v>
      </x:c>
      <x:c r="C653" s="10" t="str">
        <x:v>FOR023</x:v>
      </x:c>
      <x:c r="D653" s="10" t="str">
        <x:v>CC004</x:v>
      </x:c>
      <x:c r="E653" s="10" t="str">
        <x:v>CAT006</x:v>
      </x:c>
      <x:c r="F653" s="10" t="str">
        <x:v>CTA005</x:v>
      </x:c>
      <x:c r="G653" s="10" t="str">
        <x:v>NF-100652</x:v>
      </x:c>
      <x:c r="H653" s="10" t="str">
        <x:v>Despesa operacional</x:v>
      </x:c>
      <x:c r="I653" s="16" t="n">
        <x:v>45893.14694402778</x:v>
      </x:c>
      <x:c r="J653" s="16" t="n">
        <x:v>45953.14694402778</x:v>
      </x:c>
      <x:c r="K653" s="16" t="n">
        <x:v>45983.14694402778</x:v>
      </x:c>
      <x:c r="L653" s="20" t="n">
        <x:v>88722.69</x:v>
      </x:c>
      <x:c r="M653" s="20" t="n">
        <x:v>1863.18</x:v>
      </x:c>
      <x:c r="N653" s="20" t="n">
        <x:v>0</x:v>
      </x:c>
      <x:c r="O653" s="20" t="n">
        <x:v>90585.87</x:v>
      </x:c>
      <x:c r="P653" s="20" t="n">
        <x:v>0</x:v>
      </x:c>
      <x:c r="Q653" s="10" t="str">
        <x:v>Pago</x:v>
      </x:c>
      <x:c r="R653" s="10" t="str">
        <x:v>Cartão Corporativo</x:v>
      </x:c>
      <x:c r="S653" s="10" t="str">
        <x:v>2025-08</x:v>
      </x:c>
      <x:c r="T653" s="10" t="n">
        <x:v>0</x:v>
      </x:c>
      <x:c r="U653" s="10" t="str">
        <x:v>Liquidado</x:v>
      </x:c>
      <x:c r="V653" s="10" t="str">
        <x:v>UND004</x:v>
      </x:c>
    </x:row>
    <x:row r="654" ht="18" customHeight="1">
      <x:c r="A654" s="10" t="str">
        <x:v>PAG00653</x:v>
      </x:c>
      <x:c r="B654" s="10" t="str">
        <x:v>EMP001</x:v>
      </x:c>
      <x:c r="C654" s="10" t="str">
        <x:v>FOR038</x:v>
      </x:c>
      <x:c r="D654" s="10" t="str">
        <x:v>CC002</x:v>
      </x:c>
      <x:c r="E654" s="10" t="str">
        <x:v>CAT013</x:v>
      </x:c>
      <x:c r="F654" s="10" t="str">
        <x:v>CTA002</x:v>
      </x:c>
      <x:c r="G654" s="10" t="str">
        <x:v>NF-100653</x:v>
      </x:c>
      <x:c r="H654" s="10" t="str">
        <x:v>Contrato recorrente</x:v>
      </x:c>
      <x:c r="I654" s="16" t="n">
        <x:v>45368.26610949074</x:v>
      </x:c>
      <x:c r="J654" s="16" t="n">
        <x:v>45398.26610949074</x:v>
      </x:c>
      <x:c r="K654" s="16"/>
      <x:c r="L654" s="20" t="n">
        <x:v>16027.42</x:v>
      </x:c>
      <x:c r="M654" s="20" t="n">
        <x:v>0</x:v>
      </x:c>
      <x:c r="N654" s="20" t="n">
        <x:v>0</x:v>
      </x:c>
      <x:c r="O654" s="20" t="n">
        <x:v>0</x:v>
      </x:c>
      <x:c r="P654" s="20" t="n">
        <x:v>16027.42</x:v>
      </x:c>
      <x:c r="Q654" s="10" t="str">
        <x:v>Vencido</x:v>
      </x:c>
      <x:c r="R654" s="10" t="str">
        <x:v>Cartão Corporativo</x:v>
      </x:c>
      <x:c r="S654" s="10" t="str">
        <x:v>2024-03</x:v>
      </x:c>
      <x:c r="T654" s="10" t="n">
        <x:v>623</x:v>
      </x:c>
      <x:c r="U654" s="10" t="str">
        <x:v>&gt; 120 dias</x:v>
      </x:c>
      <x:c r="V654" s="10" t="str">
        <x:v>UND002</x:v>
      </x:c>
    </x:row>
    <x:row r="655" ht="18" customHeight="1">
      <x:c r="A655" s="10" t="str">
        <x:v>PAG00654</x:v>
      </x:c>
      <x:c r="B655" s="10" t="str">
        <x:v>EMP003</x:v>
      </x:c>
      <x:c r="C655" s="10" t="str">
        <x:v>FOR054</x:v>
      </x:c>
      <x:c r="D655" s="10" t="str">
        <x:v>CC003</x:v>
      </x:c>
      <x:c r="E655" s="10" t="str">
        <x:v>CAT018</x:v>
      </x:c>
      <x:c r="F655" s="10" t="str">
        <x:v>CTA005</x:v>
      </x:c>
      <x:c r="G655" s="10" t="str">
        <x:v>NF-100654</x:v>
      </x:c>
      <x:c r="H655" s="10" t="str">
        <x:v>Tributos e taxas</x:v>
      </x:c>
      <x:c r="I655" s="16" t="n">
        <x:v>45421.684248969905</x:v>
      </x:c>
      <x:c r="J655" s="16" t="n">
        <x:v>45481.684248969905</x:v>
      </x:c>
      <x:c r="K655" s="16" t="n">
        <x:v>45482.684248969905</x:v>
      </x:c>
      <x:c r="L655" s="20" t="n">
        <x:v>603.14</x:v>
      </x:c>
      <x:c r="M655" s="20" t="n">
        <x:v>0.42</x:v>
      </x:c>
      <x:c r="N655" s="20" t="n">
        <x:v>0</x:v>
      </x:c>
      <x:c r="O655" s="20" t="n">
        <x:v>603.56</x:v>
      </x:c>
      <x:c r="P655" s="20" t="n">
        <x:v>0</x:v>
      </x:c>
      <x:c r="Q655" s="10" t="str">
        <x:v>Pago</x:v>
      </x:c>
      <x:c r="R655" s="10" t="str">
        <x:v>Cartão Corporativo</x:v>
      </x:c>
      <x:c r="S655" s="10" t="str">
        <x:v>2024-05</x:v>
      </x:c>
      <x:c r="T655" s="10" t="n">
        <x:v>0</x:v>
      </x:c>
      <x:c r="U655" s="10" t="str">
        <x:v>Liquidado</x:v>
      </x:c>
      <x:c r="V655" s="10" t="str">
        <x:v>UND004</x:v>
      </x:c>
    </x:row>
    <x:row r="656" ht="18" customHeight="1">
      <x:c r="A656" s="10" t="str">
        <x:v>PAG00655</x:v>
      </x:c>
      <x:c r="B656" s="10" t="str">
        <x:v>EMP002</x:v>
      </x:c>
      <x:c r="C656" s="10" t="str">
        <x:v>FOR026</x:v>
      </x:c>
      <x:c r="D656" s="10" t="str">
        <x:v>CC002</x:v>
      </x:c>
      <x:c r="E656" s="10" t="str">
        <x:v>CAT013</x:v>
      </x:c>
      <x:c r="F656" s="10" t="str">
        <x:v>CTA004</x:v>
      </x:c>
      <x:c r="G656" s="10" t="str">
        <x:v>NF-100655</x:v>
      </x:c>
      <x:c r="H656" s="10" t="str">
        <x:v>Prestação de serviços</x:v>
      </x:c>
      <x:c r="I656" s="16" t="n">
        <x:v>45655.527085567126</x:v>
      </x:c>
      <x:c r="J656" s="16" t="n">
        <x:v>45700.527085567126</x:v>
      </x:c>
      <x:c r="K656" s="16"/>
      <x:c r="L656" s="20" t="n">
        <x:v>2011.27</x:v>
      </x:c>
      <x:c r="M656" s="20" t="n">
        <x:v>0</x:v>
      </x:c>
      <x:c r="N656" s="20" t="n">
        <x:v>0</x:v>
      </x:c>
      <x:c r="O656" s="20" t="n">
        <x:v>0</x:v>
      </x:c>
      <x:c r="P656" s="20" t="n">
        <x:v>2011.27</x:v>
      </x:c>
      <x:c r="Q656" s="10" t="str">
        <x:v>Vencido</x:v>
      </x:c>
      <x:c r="R656" s="10" t="str">
        <x:v>Cartão Corporativo</x:v>
      </x:c>
      <x:c r="S656" s="10" t="str">
        <x:v>2024-12</x:v>
      </x:c>
      <x:c r="T656" s="10" t="n">
        <x:v>321</x:v>
      </x:c>
      <x:c r="U656" s="10" t="str">
        <x:v>&gt; 120 dias</x:v>
      </x:c>
      <x:c r="V656" s="10" t="str">
        <x:v>UND003</x:v>
      </x:c>
    </x:row>
    <x:row r="657" ht="18" customHeight="1">
      <x:c r="A657" s="10" t="str">
        <x:v>PAG00656</x:v>
      </x:c>
      <x:c r="B657" s="10" t="str">
        <x:v>EMP003</x:v>
      </x:c>
      <x:c r="C657" s="10" t="str">
        <x:v>FOR050</x:v>
      </x:c>
      <x:c r="D657" s="10" t="str">
        <x:v>CC005</x:v>
      </x:c>
      <x:c r="E657" s="10" t="str">
        <x:v>CAT012</x:v>
      </x:c>
      <x:c r="F657" s="10" t="str">
        <x:v>CTA006</x:v>
      </x:c>
      <x:c r="G657" s="10" t="str">
        <x:v>NF-100656</x:v>
      </x:c>
      <x:c r="H657" s="10" t="str">
        <x:v>Despesa operacional</x:v>
      </x:c>
      <x:c r="I657" s="16" t="n">
        <x:v>45398.60710380787</x:v>
      </x:c>
      <x:c r="J657" s="16" t="n">
        <x:v>45428.60710380787</x:v>
      </x:c>
      <x:c r="K657" s="16" t="n">
        <x:v>45421.60710380787</x:v>
      </x:c>
      <x:c r="L657" s="20" t="n">
        <x:v>39927.92</x:v>
      </x:c>
      <x:c r="M657" s="20" t="n">
        <x:v>0</x:v>
      </x:c>
      <x:c r="N657" s="20" t="n">
        <x:v>0</x:v>
      </x:c>
      <x:c r="O657" s="20" t="n">
        <x:v>39927.92</x:v>
      </x:c>
      <x:c r="P657" s="20" t="n">
        <x:v>0</x:v>
      </x:c>
      <x:c r="Q657" s="10" t="str">
        <x:v>Pago</x:v>
      </x:c>
      <x:c r="R657" s="10" t="str">
        <x:v>Cartão Corporativo</x:v>
      </x:c>
      <x:c r="S657" s="10" t="str">
        <x:v>2024-04</x:v>
      </x:c>
      <x:c r="T657" s="10" t="n">
        <x:v>0</x:v>
      </x:c>
      <x:c r="U657" s="10" t="str">
        <x:v>Liquidado</x:v>
      </x:c>
      <x:c r="V657" s="10" t="str">
        <x:v>UND004</x:v>
      </x:c>
    </x:row>
    <x:row r="658" ht="18" customHeight="1">
      <x:c r="A658" s="10" t="str">
        <x:v>PAG00657</x:v>
      </x:c>
      <x:c r="B658" s="10" t="str">
        <x:v>EMP002</x:v>
      </x:c>
      <x:c r="C658" s="10" t="str">
        <x:v>FOR043</x:v>
      </x:c>
      <x:c r="D658" s="10" t="str">
        <x:v>CC003</x:v>
      </x:c>
      <x:c r="E658" s="10" t="str">
        <x:v>CAT010</x:v>
      </x:c>
      <x:c r="F658" s="10" t="str">
        <x:v>CTA004</x:v>
      </x:c>
      <x:c r="G658" s="10" t="str">
        <x:v>NF-100657</x:v>
      </x:c>
      <x:c r="H658" s="10" t="str">
        <x:v>Tributos e taxas</x:v>
      </x:c>
      <x:c r="I658" s="16" t="n">
        <x:v>45969.3784283912</x:v>
      </x:c>
      <x:c r="J658" s="16" t="n">
        <x:v>46014.3784283912</x:v>
      </x:c>
      <x:c r="K658" s="16"/>
      <x:c r="L658" s="20" t="n">
        <x:v>1884.58</x:v>
      </x:c>
      <x:c r="M658" s="20" t="n">
        <x:v>0</x:v>
      </x:c>
      <x:c r="N658" s="20" t="n">
        <x:v>0</x:v>
      </x:c>
      <x:c r="O658" s="20" t="n">
        <x:v>0</x:v>
      </x:c>
      <x:c r="P658" s="20" t="n">
        <x:v>1884.58</x:v>
      </x:c>
      <x:c r="Q658" s="10" t="str">
        <x:v>Vencido</x:v>
      </x:c>
      <x:c r="R658" s="10" t="str">
        <x:v>Cartão Corporativo</x:v>
      </x:c>
      <x:c r="S658" s="10" t="str">
        <x:v>2025-11</x:v>
      </x:c>
      <x:c r="T658" s="10" t="n">
        <x:v>7</x:v>
      </x:c>
      <x:c r="U658" s="10" t="str">
        <x:v>1 a 30 dias</x:v>
      </x:c>
      <x:c r="V658" s="10" t="str">
        <x:v>UND003</x:v>
      </x:c>
    </x:row>
    <x:row r="659" ht="18" customHeight="1">
      <x:c r="A659" s="10" t="str">
        <x:v>PAG00658</x:v>
      </x:c>
      <x:c r="B659" s="10" t="str">
        <x:v>EMP003</x:v>
      </x:c>
      <x:c r="C659" s="10" t="str">
        <x:v>FOR049</x:v>
      </x:c>
      <x:c r="D659" s="10" t="str">
        <x:v>CC001</x:v>
      </x:c>
      <x:c r="E659" s="10" t="str">
        <x:v>CAT018</x:v>
      </x:c>
      <x:c r="F659" s="10" t="str">
        <x:v>CTA005</x:v>
      </x:c>
      <x:c r="G659" s="10" t="str">
        <x:v>NF-100658</x:v>
      </x:c>
      <x:c r="H659" s="10" t="str">
        <x:v>Prestação de serviços</x:v>
      </x:c>
      <x:c r="I659" s="16" t="n">
        <x:v>45561.12456167824</x:v>
      </x:c>
      <x:c r="J659" s="16" t="n">
        <x:v>45596.12456167824</x:v>
      </x:c>
      <x:c r="K659" s="16" t="n">
        <x:v>45592.12456167824</x:v>
      </x:c>
      <x:c r="L659" s="20" t="n">
        <x:v>71872.26</x:v>
      </x:c>
      <x:c r="M659" s="20" t="n">
        <x:v>0</x:v>
      </x:c>
      <x:c r="N659" s="20" t="n">
        <x:v>0</x:v>
      </x:c>
      <x:c r="O659" s="20" t="n">
        <x:v>71872.26</x:v>
      </x:c>
      <x:c r="P659" s="20" t="n">
        <x:v>0</x:v>
      </x:c>
      <x:c r="Q659" s="10" t="str">
        <x:v>Pago</x:v>
      </x:c>
      <x:c r="R659" s="10" t="str">
        <x:v>PIX</x:v>
      </x:c>
      <x:c r="S659" s="10" t="str">
        <x:v>2024-09</x:v>
      </x:c>
      <x:c r="T659" s="10" t="n">
        <x:v>0</x:v>
      </x:c>
      <x:c r="U659" s="10" t="str">
        <x:v>Liquidado</x:v>
      </x:c>
      <x:c r="V659" s="10" t="str">
        <x:v>UND004</x:v>
      </x:c>
    </x:row>
    <x:row r="660" ht="18" customHeight="1">
      <x:c r="A660" s="10" t="str">
        <x:v>PAG00659</x:v>
      </x:c>
      <x:c r="B660" s="10" t="str">
        <x:v>EMP003</x:v>
      </x:c>
      <x:c r="C660" s="10" t="str">
        <x:v>FOR052</x:v>
      </x:c>
      <x:c r="D660" s="10" t="str">
        <x:v>CC003</x:v>
      </x:c>
      <x:c r="E660" s="10" t="str">
        <x:v>CAT015</x:v>
      </x:c>
      <x:c r="F660" s="10" t="str">
        <x:v>CTA006</x:v>
      </x:c>
      <x:c r="G660" s="10" t="str">
        <x:v>NF-100659</x:v>
      </x:c>
      <x:c r="H660" s="10" t="str">
        <x:v>Prestação de serviços</x:v>
      </x:c>
      <x:c r="I660" s="16" t="n">
        <x:v>45926.90738167824</x:v>
      </x:c>
      <x:c r="J660" s="16" t="n">
        <x:v>45946.90738167824</x:v>
      </x:c>
      <x:c r="K660" s="16" t="n">
        <x:v>45941.90738167824</x:v>
      </x:c>
      <x:c r="L660" s="20" t="n">
        <x:v>698.06</x:v>
      </x:c>
      <x:c r="M660" s="20" t="n">
        <x:v>0</x:v>
      </x:c>
      <x:c r="N660" s="20" t="n">
        <x:v>0</x:v>
      </x:c>
      <x:c r="O660" s="20" t="n">
        <x:v>698.06</x:v>
      </x:c>
      <x:c r="P660" s="20" t="n">
        <x:v>0</x:v>
      </x:c>
      <x:c r="Q660" s="10" t="str">
        <x:v>Pago</x:v>
      </x:c>
      <x:c r="R660" s="10" t="str">
        <x:v>Boleto</x:v>
      </x:c>
      <x:c r="S660" s="10" t="str">
        <x:v>2025-09</x:v>
      </x:c>
      <x:c r="T660" s="10" t="n">
        <x:v>0</x:v>
      </x:c>
      <x:c r="U660" s="10" t="str">
        <x:v>Liquidado</x:v>
      </x:c>
      <x:c r="V660" s="10" t="str">
        <x:v>UND004</x:v>
      </x:c>
    </x:row>
    <x:row r="661" ht="18" customHeight="1">
      <x:c r="A661" s="10" t="str">
        <x:v>PAG00660</x:v>
      </x:c>
      <x:c r="B661" s="10" t="str">
        <x:v>EMP001</x:v>
      </x:c>
      <x:c r="C661" s="10" t="str">
        <x:v>FOR034</x:v>
      </x:c>
      <x:c r="D661" s="10" t="str">
        <x:v>CC008</x:v>
      </x:c>
      <x:c r="E661" s="10" t="str">
        <x:v>CAT014</x:v>
      </x:c>
      <x:c r="F661" s="10" t="str">
        <x:v>CTA001</x:v>
      </x:c>
      <x:c r="G661" s="10" t="str">
        <x:v>NF-100660</x:v>
      </x:c>
      <x:c r="H661" s="10" t="str">
        <x:v>Prestação de serviços</x:v>
      </x:c>
      <x:c r="I661" s="16" t="n">
        <x:v>45519.26106011574</x:v>
      </x:c>
      <x:c r="J661" s="16" t="n">
        <x:v>45594.26106011574</x:v>
      </x:c>
      <x:c r="K661" s="16" t="n">
        <x:v>45597.26106011574</x:v>
      </x:c>
      <x:c r="L661" s="20" t="n">
        <x:v>68988.9</x:v>
      </x:c>
      <x:c r="M661" s="20" t="n">
        <x:v>144.88</x:v>
      </x:c>
      <x:c r="N661" s="20" t="n">
        <x:v>0</x:v>
      </x:c>
      <x:c r="O661" s="20" t="n">
        <x:v>69133.78</x:v>
      </x:c>
      <x:c r="P661" s="20" t="n">
        <x:v>0</x:v>
      </x:c>
      <x:c r="Q661" s="10" t="str">
        <x:v>Pago</x:v>
      </x:c>
      <x:c r="R661" s="10" t="str">
        <x:v>Boleto</x:v>
      </x:c>
      <x:c r="S661" s="10" t="str">
        <x:v>2024-08</x:v>
      </x:c>
      <x:c r="T661" s="10" t="n">
        <x:v>0</x:v>
      </x:c>
      <x:c r="U661" s="10" t="str">
        <x:v>Liquidado</x:v>
      </x:c>
      <x:c r="V661" s="10" t="str">
        <x:v>UND002</x:v>
      </x:c>
    </x:row>
    <x:row r="662" ht="18" customHeight="1">
      <x:c r="A662" s="10" t="str">
        <x:v>PAG00661</x:v>
      </x:c>
      <x:c r="B662" s="10" t="str">
        <x:v>EMP003</x:v>
      </x:c>
      <x:c r="C662" s="10" t="str">
        <x:v>FOR018</x:v>
      </x:c>
      <x:c r="D662" s="10" t="str">
        <x:v>CC008</x:v>
      </x:c>
      <x:c r="E662" s="10" t="str">
        <x:v>CAT010</x:v>
      </x:c>
      <x:c r="F662" s="10" t="str">
        <x:v>CTA005</x:v>
      </x:c>
      <x:c r="G662" s="10" t="str">
        <x:v>NF-100661</x:v>
      </x:c>
      <x:c r="H662" s="10" t="str">
        <x:v>Contrato recorrente</x:v>
      </x:c>
      <x:c r="I662" s="16" t="n">
        <x:v>45502.58304758102</x:v>
      </x:c>
      <x:c r="J662" s="16" t="n">
        <x:v>45522.58304758102</x:v>
      </x:c>
      <x:c r="K662" s="16" t="n">
        <x:v>45530.58304758102</x:v>
      </x:c>
      <x:c r="L662" s="20" t="n">
        <x:v>101977.26</x:v>
      </x:c>
      <x:c r="M662" s="20" t="n">
        <x:v>571.07</x:v>
      </x:c>
      <x:c r="N662" s="20" t="n">
        <x:v>0</x:v>
      </x:c>
      <x:c r="O662" s="20" t="n">
        <x:v>102548.33</x:v>
      </x:c>
      <x:c r="P662" s="20" t="n">
        <x:v>0</x:v>
      </x:c>
      <x:c r="Q662" s="10" t="str">
        <x:v>Pago</x:v>
      </x:c>
      <x:c r="R662" s="10" t="str">
        <x:v>Cartão Corporativo</x:v>
      </x:c>
      <x:c r="S662" s="10" t="str">
        <x:v>2024-07</x:v>
      </x:c>
      <x:c r="T662" s="10" t="n">
        <x:v>0</x:v>
      </x:c>
      <x:c r="U662" s="10" t="str">
        <x:v>Liquidado</x:v>
      </x:c>
      <x:c r="V662" s="10" t="str">
        <x:v>UND004</x:v>
      </x:c>
    </x:row>
    <x:row r="663" ht="18" customHeight="1">
      <x:c r="A663" s="10" t="str">
        <x:v>PAG00662</x:v>
      </x:c>
      <x:c r="B663" s="10" t="str">
        <x:v>EMP002</x:v>
      </x:c>
      <x:c r="C663" s="10" t="str">
        <x:v>FOR018</x:v>
      </x:c>
      <x:c r="D663" s="10" t="str">
        <x:v>CC006</x:v>
      </x:c>
      <x:c r="E663" s="10" t="str">
        <x:v>CAT017</x:v>
      </x:c>
      <x:c r="F663" s="10" t="str">
        <x:v>CTA004</x:v>
      </x:c>
      <x:c r="G663" s="10" t="str">
        <x:v>NF-100662</x:v>
      </x:c>
      <x:c r="H663" s="10" t="str">
        <x:v>Compra de materiais</x:v>
      </x:c>
      <x:c r="I663" s="16" t="n">
        <x:v>45401.87248859954</x:v>
      </x:c>
      <x:c r="J663" s="16" t="n">
        <x:v>45476.87248859954</x:v>
      </x:c>
      <x:c r="K663" s="16" t="n">
        <x:v>45471.87248859954</x:v>
      </x:c>
      <x:c r="L663" s="20" t="n">
        <x:v>9450.68</x:v>
      </x:c>
      <x:c r="M663" s="20" t="n">
        <x:v>0</x:v>
      </x:c>
      <x:c r="N663" s="20" t="n">
        <x:v>0</x:v>
      </x:c>
      <x:c r="O663" s="20" t="n">
        <x:v>9450.68</x:v>
      </x:c>
      <x:c r="P663" s="20" t="n">
        <x:v>0</x:v>
      </x:c>
      <x:c r="Q663" s="10" t="str">
        <x:v>Pago</x:v>
      </x:c>
      <x:c r="R663" s="10" t="str">
        <x:v>Débito Automático</x:v>
      </x:c>
      <x:c r="S663" s="10" t="str">
        <x:v>2024-04</x:v>
      </x:c>
      <x:c r="T663" s="10" t="n">
        <x:v>0</x:v>
      </x:c>
      <x:c r="U663" s="10" t="str">
        <x:v>Liquidado</x:v>
      </x:c>
      <x:c r="V663" s="10" t="str">
        <x:v>UND003</x:v>
      </x:c>
    </x:row>
    <x:row r="664" ht="18" customHeight="1">
      <x:c r="A664" s="10" t="str">
        <x:v>PAG00663</x:v>
      </x:c>
      <x:c r="B664" s="10" t="str">
        <x:v>EMP001</x:v>
      </x:c>
      <x:c r="C664" s="10" t="str">
        <x:v>FOR060</x:v>
      </x:c>
      <x:c r="D664" s="10" t="str">
        <x:v>CC008</x:v>
      </x:c>
      <x:c r="E664" s="10" t="str">
        <x:v>CAT009</x:v>
      </x:c>
      <x:c r="F664" s="10" t="str">
        <x:v>CTA001</x:v>
      </x:c>
      <x:c r="G664" s="10" t="str">
        <x:v>NF-100663</x:v>
      </x:c>
      <x:c r="H664" s="10" t="str">
        <x:v>Tributos e taxas</x:v>
      </x:c>
      <x:c r="I664" s="16" t="n">
        <x:v>45505.960613414354</x:v>
      </x:c>
      <x:c r="J664" s="16" t="n">
        <x:v>45533.960613414354</x:v>
      </x:c>
      <x:c r="K664" s="16" t="n">
        <x:v>45543.960613414354</x:v>
      </x:c>
      <x:c r="L664" s="20" t="n">
        <x:v>7845.98</x:v>
      </x:c>
      <x:c r="M664" s="20" t="n">
        <x:v>54.92</x:v>
      </x:c>
      <x:c r="N664" s="20" t="n">
        <x:v>0</x:v>
      </x:c>
      <x:c r="O664" s="20" t="n">
        <x:v>7900.9</x:v>
      </x:c>
      <x:c r="P664" s="20" t="n">
        <x:v>0</x:v>
      </x:c>
      <x:c r="Q664" s="10" t="str">
        <x:v>Pago</x:v>
      </x:c>
      <x:c r="R664" s="10" t="str">
        <x:v>TED</x:v>
      </x:c>
      <x:c r="S664" s="10" t="str">
        <x:v>2024-08</x:v>
      </x:c>
      <x:c r="T664" s="10" t="n">
        <x:v>0</x:v>
      </x:c>
      <x:c r="U664" s="10" t="str">
        <x:v>Liquidado</x:v>
      </x:c>
      <x:c r="V664" s="10" t="str">
        <x:v>UND002</x:v>
      </x:c>
    </x:row>
    <x:row r="665" ht="18" customHeight="1">
      <x:c r="A665" s="10" t="str">
        <x:v>PAG00664</x:v>
      </x:c>
      <x:c r="B665" s="10" t="str">
        <x:v>EMP001</x:v>
      </x:c>
      <x:c r="C665" s="10" t="str">
        <x:v>FOR004</x:v>
      </x:c>
      <x:c r="D665" s="10" t="str">
        <x:v>CC002</x:v>
      </x:c>
      <x:c r="E665" s="10" t="str">
        <x:v>CAT016</x:v>
      </x:c>
      <x:c r="F665" s="10" t="str">
        <x:v>CTA001</x:v>
      </x:c>
      <x:c r="G665" s="10" t="str">
        <x:v>NF-100664</x:v>
      </x:c>
      <x:c r="H665" s="10" t="str">
        <x:v>Compra de materiais</x:v>
      </x:c>
      <x:c r="I665" s="16" t="n">
        <x:v>45392.57251741898</x:v>
      </x:c>
      <x:c r="J665" s="16" t="n">
        <x:v>45427.57251741898</x:v>
      </x:c>
      <x:c r="K665" s="16" t="n">
        <x:v>45458.57251741898</x:v>
      </x:c>
      <x:c r="L665" s="20" t="n">
        <x:v>9900.49</x:v>
      </x:c>
      <x:c r="M665" s="20" t="n">
        <x:v>214.84</x:v>
      </x:c>
      <x:c r="N665" s="20" t="n">
        <x:v>0</x:v>
      </x:c>
      <x:c r="O665" s="20" t="n">
        <x:v>10115.33</x:v>
      </x:c>
      <x:c r="P665" s="20" t="n">
        <x:v>0</x:v>
      </x:c>
      <x:c r="Q665" s="10" t="str">
        <x:v>Pago</x:v>
      </x:c>
      <x:c r="R665" s="10" t="str">
        <x:v>TED</x:v>
      </x:c>
      <x:c r="S665" s="10" t="str">
        <x:v>2024-04</x:v>
      </x:c>
      <x:c r="T665" s="10" t="n">
        <x:v>0</x:v>
      </x:c>
      <x:c r="U665" s="10" t="str">
        <x:v>Liquidado</x:v>
      </x:c>
      <x:c r="V665" s="10" t="str">
        <x:v>UND001</x:v>
      </x:c>
    </x:row>
    <x:row r="666" ht="18" customHeight="1">
      <x:c r="A666" s="10" t="str">
        <x:v>PAG00665</x:v>
      </x:c>
      <x:c r="B666" s="10" t="str">
        <x:v>EMP002</x:v>
      </x:c>
      <x:c r="C666" s="10" t="str">
        <x:v>FOR008</x:v>
      </x:c>
      <x:c r="D666" s="10" t="str">
        <x:v>CC007</x:v>
      </x:c>
      <x:c r="E666" s="10" t="str">
        <x:v>CAT010</x:v>
      </x:c>
      <x:c r="F666" s="10" t="str">
        <x:v>CTA004</x:v>
      </x:c>
      <x:c r="G666" s="10" t="str">
        <x:v>NF-100665</x:v>
      </x:c>
      <x:c r="H666" s="10" t="str">
        <x:v>Contrato recorrente</x:v>
      </x:c>
      <x:c r="I666" s="16" t="n">
        <x:v>45897.79723195602</x:v>
      </x:c>
      <x:c r="J666" s="16" t="n">
        <x:v>45932.79723195602</x:v>
      </x:c>
      <x:c r="K666" s="16"/>
      <x:c r="L666" s="20" t="n">
        <x:v>67816.63</x:v>
      </x:c>
      <x:c r="M666" s="20" t="n">
        <x:v>0</x:v>
      </x:c>
      <x:c r="N666" s="20" t="n">
        <x:v>0</x:v>
      </x:c>
      <x:c r="O666" s="20" t="n">
        <x:v>0</x:v>
      </x:c>
      <x:c r="P666" s="20" t="n">
        <x:v>67816.63</x:v>
      </x:c>
      <x:c r="Q666" s="10" t="str">
        <x:v>Vencido</x:v>
      </x:c>
      <x:c r="R666" s="10" t="str">
        <x:v>Débito Automático</x:v>
      </x:c>
      <x:c r="S666" s="10" t="str">
        <x:v>2025-08</x:v>
      </x:c>
      <x:c r="T666" s="10" t="n">
        <x:v>89</x:v>
      </x:c>
      <x:c r="U666" s="10" t="str">
        <x:v>61 a 90 dias</x:v>
      </x:c>
      <x:c r="V666" s="10" t="str">
        <x:v>UND003</x:v>
      </x:c>
    </x:row>
    <x:row r="667" ht="18" customHeight="1">
      <x:c r="A667" s="10" t="str">
        <x:v>PAG00666</x:v>
      </x:c>
      <x:c r="B667" s="10" t="str">
        <x:v>EMP001</x:v>
      </x:c>
      <x:c r="C667" s="10" t="str">
        <x:v>FOR004</x:v>
      </x:c>
      <x:c r="D667" s="10" t="str">
        <x:v>CC003</x:v>
      </x:c>
      <x:c r="E667" s="10" t="str">
        <x:v>CAT013</x:v>
      </x:c>
      <x:c r="F667" s="10" t="str">
        <x:v>CTA001</x:v>
      </x:c>
      <x:c r="G667" s="10" t="str">
        <x:v>NF-100666</x:v>
      </x:c>
      <x:c r="H667" s="10" t="str">
        <x:v>Contrato recorrente</x:v>
      </x:c>
      <x:c r="I667" s="16" t="n">
        <x:v>45777.08772793981</x:v>
      </x:c>
      <x:c r="J667" s="16" t="n">
        <x:v>45792.08772793981</x:v>
      </x:c>
      <x:c r="K667" s="16"/>
      <x:c r="L667" s="20" t="n">
        <x:v>966.77</x:v>
      </x:c>
      <x:c r="M667" s="20" t="n">
        <x:v>0</x:v>
      </x:c>
      <x:c r="N667" s="20" t="n">
        <x:v>0</x:v>
      </x:c>
      <x:c r="O667" s="20" t="n">
        <x:v>0</x:v>
      </x:c>
      <x:c r="P667" s="20" t="n">
        <x:v>966.77</x:v>
      </x:c>
      <x:c r="Q667" s="10" t="str">
        <x:v>Vencido</x:v>
      </x:c>
      <x:c r="R667" s="10" t="str">
        <x:v>Boleto</x:v>
      </x:c>
      <x:c r="S667" s="10" t="str">
        <x:v>2025-04</x:v>
      </x:c>
      <x:c r="T667" s="10" t="n">
        <x:v>229</x:v>
      </x:c>
      <x:c r="U667" s="10" t="str">
        <x:v>&gt; 120 dias</x:v>
      </x:c>
      <x:c r="V667" s="10" t="str">
        <x:v>UND002</x:v>
      </x:c>
    </x:row>
    <x:row r="668" ht="18" customHeight="1">
      <x:c r="A668" s="10" t="str">
        <x:v>PAG00667</x:v>
      </x:c>
      <x:c r="B668" s="10" t="str">
        <x:v>EMP003</x:v>
      </x:c>
      <x:c r="C668" s="10" t="str">
        <x:v>FOR005</x:v>
      </x:c>
      <x:c r="D668" s="10" t="str">
        <x:v>CC001</x:v>
      </x:c>
      <x:c r="E668" s="10" t="str">
        <x:v>CAT013</x:v>
      </x:c>
      <x:c r="F668" s="10" t="str">
        <x:v>CTA005</x:v>
      </x:c>
      <x:c r="G668" s="10" t="str">
        <x:v>NF-100667</x:v>
      </x:c>
      <x:c r="H668" s="10" t="str">
        <x:v>Contrato recorrente</x:v>
      </x:c>
      <x:c r="I668" s="16" t="n">
        <x:v>45330.44603886574</x:v>
      </x:c>
      <x:c r="J668" s="16" t="n">
        <x:v>45358.44603886574</x:v>
      </x:c>
      <x:c r="K668" s="16" t="n">
        <x:v>45363.44603886574</x:v>
      </x:c>
      <x:c r="L668" s="20" t="n">
        <x:v>7067.76</x:v>
      </x:c>
      <x:c r="M668" s="20" t="n">
        <x:v>24.74</x:v>
      </x:c>
      <x:c r="N668" s="20" t="n">
        <x:v>0</x:v>
      </x:c>
      <x:c r="O668" s="20" t="n">
        <x:v>7092.5</x:v>
      </x:c>
      <x:c r="P668" s="20" t="n">
        <x:v>0</x:v>
      </x:c>
      <x:c r="Q668" s="10" t="str">
        <x:v>Pago</x:v>
      </x:c>
      <x:c r="R668" s="10" t="str">
        <x:v>PIX</x:v>
      </x:c>
      <x:c r="S668" s="10" t="str">
        <x:v>2024-02</x:v>
      </x:c>
      <x:c r="T668" s="10" t="n">
        <x:v>0</x:v>
      </x:c>
      <x:c r="U668" s="10" t="str">
        <x:v>Liquidado</x:v>
      </x:c>
      <x:c r="V668" s="10" t="str">
        <x:v>UND004</x:v>
      </x:c>
    </x:row>
    <x:row r="669" ht="18" customHeight="1">
      <x:c r="A669" s="10" t="str">
        <x:v>PAG00668</x:v>
      </x:c>
      <x:c r="B669" s="10" t="str">
        <x:v>EMP002</x:v>
      </x:c>
      <x:c r="C669" s="10" t="str">
        <x:v>FOR058</x:v>
      </x:c>
      <x:c r="D669" s="10" t="str">
        <x:v>CC008</x:v>
      </x:c>
      <x:c r="E669" s="10" t="str">
        <x:v>CAT014</x:v>
      </x:c>
      <x:c r="F669" s="10" t="str">
        <x:v>CTA004</x:v>
      </x:c>
      <x:c r="G669" s="10" t="str">
        <x:v>NF-100668</x:v>
      </x:c>
      <x:c r="H669" s="10" t="str">
        <x:v>Despesa operacional</x:v>
      </x:c>
      <x:c r="I669" s="16" t="n">
        <x:v>45355.55897128472</x:v>
      </x:c>
      <x:c r="J669" s="16" t="n">
        <x:v>45390.55897128472</x:v>
      </x:c>
      <x:c r="K669" s="16" t="n">
        <x:v>45401.55897128472</x:v>
      </x:c>
      <x:c r="L669" s="20" t="n">
        <x:v>102302.14</x:v>
      </x:c>
      <x:c r="M669" s="20" t="n">
        <x:v>787.73</x:v>
      </x:c>
      <x:c r="N669" s="20" t="n">
        <x:v>0</x:v>
      </x:c>
      <x:c r="O669" s="20" t="n">
        <x:v>103089.87</x:v>
      </x:c>
      <x:c r="P669" s="20" t="n">
        <x:v>0</x:v>
      </x:c>
      <x:c r="Q669" s="10" t="str">
        <x:v>Pago</x:v>
      </x:c>
      <x:c r="R669" s="10" t="str">
        <x:v>PIX</x:v>
      </x:c>
      <x:c r="S669" s="10" t="str">
        <x:v>2024-03</x:v>
      </x:c>
      <x:c r="T669" s="10" t="n">
        <x:v>0</x:v>
      </x:c>
      <x:c r="U669" s="10" t="str">
        <x:v>Liquidado</x:v>
      </x:c>
      <x:c r="V669" s="10" t="str">
        <x:v>UND003</x:v>
      </x:c>
    </x:row>
    <x:row r="670" ht="18" customHeight="1">
      <x:c r="A670" s="10" t="str">
        <x:v>PAG00669</x:v>
      </x:c>
      <x:c r="B670" s="10" t="str">
        <x:v>EMP001</x:v>
      </x:c>
      <x:c r="C670" s="10" t="str">
        <x:v>FOR016</x:v>
      </x:c>
      <x:c r="D670" s="10" t="str">
        <x:v>CC006</x:v>
      </x:c>
      <x:c r="E670" s="10" t="str">
        <x:v>CAT005</x:v>
      </x:c>
      <x:c r="F670" s="10" t="str">
        <x:v>CTA001</x:v>
      </x:c>
      <x:c r="G670" s="10" t="str">
        <x:v>NF-100669</x:v>
      </x:c>
      <x:c r="H670" s="10" t="str">
        <x:v>Prestação de serviços</x:v>
      </x:c>
      <x:c r="I670" s="16" t="n">
        <x:v>45502.421543564815</x:v>
      </x:c>
      <x:c r="J670" s="16" t="n">
        <x:v>45562.421543564815</x:v>
      </x:c>
      <x:c r="K670" s="16" t="n">
        <x:v>45558.421543564815</x:v>
      </x:c>
      <x:c r="L670" s="20" t="n">
        <x:v>52895.77</x:v>
      </x:c>
      <x:c r="M670" s="20" t="n">
        <x:v>0</x:v>
      </x:c>
      <x:c r="N670" s="20" t="n">
        <x:v>0</x:v>
      </x:c>
      <x:c r="O670" s="20" t="n">
        <x:v>52895.77</x:v>
      </x:c>
      <x:c r="P670" s="20" t="n">
        <x:v>0</x:v>
      </x:c>
      <x:c r="Q670" s="10" t="str">
        <x:v>Pago</x:v>
      </x:c>
      <x:c r="R670" s="10" t="str">
        <x:v>Cartão Corporativo</x:v>
      </x:c>
      <x:c r="S670" s="10" t="str">
        <x:v>2024-07</x:v>
      </x:c>
      <x:c r="T670" s="10" t="n">
        <x:v>0</x:v>
      </x:c>
      <x:c r="U670" s="10" t="str">
        <x:v>Liquidado</x:v>
      </x:c>
      <x:c r="V670" s="10" t="str">
        <x:v>UND001</x:v>
      </x:c>
    </x:row>
    <x:row r="671" ht="18" customHeight="1">
      <x:c r="A671" s="10" t="str">
        <x:v>PAG00670</x:v>
      </x:c>
      <x:c r="B671" s="10" t="str">
        <x:v>EMP002</x:v>
      </x:c>
      <x:c r="C671" s="10" t="str">
        <x:v>FOR044</x:v>
      </x:c>
      <x:c r="D671" s="10" t="str">
        <x:v>CC007</x:v>
      </x:c>
      <x:c r="E671" s="10" t="str">
        <x:v>CAT017</x:v>
      </x:c>
      <x:c r="F671" s="10" t="str">
        <x:v>CTA004</x:v>
      </x:c>
      <x:c r="G671" s="10" t="str">
        <x:v>NF-100670</x:v>
      </x:c>
      <x:c r="H671" s="10" t="str">
        <x:v>Compra de materiais</x:v>
      </x:c>
      <x:c r="I671" s="16" t="n">
        <x:v>45565.40107991898</x:v>
      </x:c>
      <x:c r="J671" s="16" t="n">
        <x:v>45640.40107991898</x:v>
      </x:c>
      <x:c r="K671" s="16" t="n">
        <x:v>45643.40107991898</x:v>
      </x:c>
      <x:c r="L671" s="20" t="n">
        <x:v>68773.56</x:v>
      </x:c>
      <x:c r="M671" s="20" t="n">
        <x:v>144.42</x:v>
      </x:c>
      <x:c r="N671" s="20" t="n">
        <x:v>0</x:v>
      </x:c>
      <x:c r="O671" s="20" t="n">
        <x:v>68917.98</x:v>
      </x:c>
      <x:c r="P671" s="20" t="n">
        <x:v>0</x:v>
      </x:c>
      <x:c r="Q671" s="10" t="str">
        <x:v>Pago</x:v>
      </x:c>
      <x:c r="R671" s="10" t="str">
        <x:v>Débito Automático</x:v>
      </x:c>
      <x:c r="S671" s="10" t="str">
        <x:v>2024-09</x:v>
      </x:c>
      <x:c r="T671" s="10" t="n">
        <x:v>0</x:v>
      </x:c>
      <x:c r="U671" s="10" t="str">
        <x:v>Liquidado</x:v>
      </x:c>
      <x:c r="V671" s="10" t="str">
        <x:v>UND003</x:v>
      </x:c>
    </x:row>
    <x:row r="672" ht="18" customHeight="1">
      <x:c r="A672" s="10" t="str">
        <x:v>PAG00671</x:v>
      </x:c>
      <x:c r="B672" s="10" t="str">
        <x:v>EMP001</x:v>
      </x:c>
      <x:c r="C672" s="10" t="str">
        <x:v>FOR058</x:v>
      </x:c>
      <x:c r="D672" s="10" t="str">
        <x:v>CC002</x:v>
      </x:c>
      <x:c r="E672" s="10" t="str">
        <x:v>CAT007</x:v>
      </x:c>
      <x:c r="F672" s="10" t="str">
        <x:v>CTA001</x:v>
      </x:c>
      <x:c r="G672" s="10" t="str">
        <x:v>NF-100671</x:v>
      </x:c>
      <x:c r="H672" s="10" t="str">
        <x:v>Prestação de serviços</x:v>
      </x:c>
      <x:c r="I672" s="16" t="n">
        <x:v>46006.730005613426</x:v>
      </x:c>
      <x:c r="J672" s="16" t="n">
        <x:v>46081.730005613426</x:v>
      </x:c>
      <x:c r="K672" s="16"/>
      <x:c r="L672" s="20" t="n">
        <x:v>45856.11</x:v>
      </x:c>
      <x:c r="M672" s="20" t="n">
        <x:v>0</x:v>
      </x:c>
      <x:c r="N672" s="20" t="n">
        <x:v>0</x:v>
      </x:c>
      <x:c r="O672" s="20" t="n">
        <x:v>0</x:v>
      </x:c>
      <x:c r="P672" s="20" t="n">
        <x:v>45856.11</x:v>
      </x:c>
      <x:c r="Q672" s="10" t="str">
        <x:v>A vencer</x:v>
      </x:c>
      <x:c r="R672" s="10" t="str">
        <x:v>Débito Automático</x:v>
      </x:c>
      <x:c r="S672" s="10" t="str">
        <x:v>2025-12</x:v>
      </x:c>
      <x:c r="T672" s="10" t="n">
        <x:v>0</x:v>
      </x:c>
      <x:c r="U672" s="10" t="str">
        <x:v>A vencer</x:v>
      </x:c>
      <x:c r="V672" s="10" t="str">
        <x:v>UND002</x:v>
      </x:c>
    </x:row>
    <x:row r="673" ht="18" customHeight="1">
      <x:c r="A673" s="10" t="str">
        <x:v>PAG00672</x:v>
      </x:c>
      <x:c r="B673" s="10" t="str">
        <x:v>EMP001</x:v>
      </x:c>
      <x:c r="C673" s="10" t="str">
        <x:v>FOR037</x:v>
      </x:c>
      <x:c r="D673" s="10" t="str">
        <x:v>CC003</x:v>
      </x:c>
      <x:c r="E673" s="10" t="str">
        <x:v>CAT010</x:v>
      </x:c>
      <x:c r="F673" s="10" t="str">
        <x:v>CTA002</x:v>
      </x:c>
      <x:c r="G673" s="10" t="str">
        <x:v>NF-100672</x:v>
      </x:c>
      <x:c r="H673" s="10" t="str">
        <x:v>Contrato recorrente</x:v>
      </x:c>
      <x:c r="I673" s="16" t="n">
        <x:v>45649.515845625</x:v>
      </x:c>
      <x:c r="J673" s="16" t="n">
        <x:v>45709.515845625</x:v>
      </x:c>
      <x:c r="K673" s="16" t="n">
        <x:v>45720.515845625</x:v>
      </x:c>
      <x:c r="L673" s="20" t="n">
        <x:v>49996.09</x:v>
      </x:c>
      <x:c r="M673" s="20" t="n">
        <x:v>384.97</x:v>
      </x:c>
      <x:c r="N673" s="20" t="n">
        <x:v>0</x:v>
      </x:c>
      <x:c r="O673" s="20" t="n">
        <x:v>50381.06</x:v>
      </x:c>
      <x:c r="P673" s="20" t="n">
        <x:v>0</x:v>
      </x:c>
      <x:c r="Q673" s="10" t="str">
        <x:v>Pago</x:v>
      </x:c>
      <x:c r="R673" s="10" t="str">
        <x:v>PIX</x:v>
      </x:c>
      <x:c r="S673" s="10" t="str">
        <x:v>2024-12</x:v>
      </x:c>
      <x:c r="T673" s="10" t="n">
        <x:v>0</x:v>
      </x:c>
      <x:c r="U673" s="10" t="str">
        <x:v>Liquidado</x:v>
      </x:c>
      <x:c r="V673" s="10" t="str">
        <x:v>UND002</x:v>
      </x:c>
    </x:row>
    <x:row r="674" ht="18" customHeight="1">
      <x:c r="A674" s="10" t="str">
        <x:v>PAG00673</x:v>
      </x:c>
      <x:c r="B674" s="10" t="str">
        <x:v>EMP003</x:v>
      </x:c>
      <x:c r="C674" s="10" t="str">
        <x:v>FOR010</x:v>
      </x:c>
      <x:c r="D674" s="10" t="str">
        <x:v>CC007</x:v>
      </x:c>
      <x:c r="E674" s="10" t="str">
        <x:v>CAT011</x:v>
      </x:c>
      <x:c r="F674" s="10" t="str">
        <x:v>CTA005</x:v>
      </x:c>
      <x:c r="G674" s="10" t="str">
        <x:v>NF-100673</x:v>
      </x:c>
      <x:c r="H674" s="10" t="str">
        <x:v>Contrato recorrente</x:v>
      </x:c>
      <x:c r="I674" s="16" t="n">
        <x:v>45437.65591013889</x:v>
      </x:c>
      <x:c r="J674" s="16" t="n">
        <x:v>45497.65591013889</x:v>
      </x:c>
      <x:c r="K674" s="16" t="n">
        <x:v>45498.65591013889</x:v>
      </x:c>
      <x:c r="L674" s="20" t="n">
        <x:v>60742.94</x:v>
      </x:c>
      <x:c r="M674" s="20" t="n">
        <x:v>42.52</x:v>
      </x:c>
      <x:c r="N674" s="20" t="n">
        <x:v>0</x:v>
      </x:c>
      <x:c r="O674" s="20" t="n">
        <x:v>60785.46</x:v>
      </x:c>
      <x:c r="P674" s="20" t="n">
        <x:v>0</x:v>
      </x:c>
      <x:c r="Q674" s="10" t="str">
        <x:v>Pago</x:v>
      </x:c>
      <x:c r="R674" s="10" t="str">
        <x:v>PIX</x:v>
      </x:c>
      <x:c r="S674" s="10" t="str">
        <x:v>2024-05</x:v>
      </x:c>
      <x:c r="T674" s="10" t="n">
        <x:v>0</x:v>
      </x:c>
      <x:c r="U674" s="10" t="str">
        <x:v>Liquidado</x:v>
      </x:c>
      <x:c r="V674" s="10" t="str">
        <x:v>UND004</x:v>
      </x:c>
    </x:row>
    <x:row r="675" ht="18" customHeight="1">
      <x:c r="A675" s="10" t="str">
        <x:v>PAG00674</x:v>
      </x:c>
      <x:c r="B675" s="10" t="str">
        <x:v>EMP001</x:v>
      </x:c>
      <x:c r="C675" s="10" t="str">
        <x:v>FOR058</x:v>
      </x:c>
      <x:c r="D675" s="10" t="str">
        <x:v>CC006</x:v>
      </x:c>
      <x:c r="E675" s="10" t="str">
        <x:v>CAT016</x:v>
      </x:c>
      <x:c r="F675" s="10" t="str">
        <x:v>CTA001</x:v>
      </x:c>
      <x:c r="G675" s="10" t="str">
        <x:v>NF-100674</x:v>
      </x:c>
      <x:c r="H675" s="10" t="str">
        <x:v>Contrato recorrente</x:v>
      </x:c>
      <x:c r="I675" s="16" t="n">
        <x:v>45893.20351734954</x:v>
      </x:c>
      <x:c r="J675" s="16" t="n">
        <x:v>45908.20351734954</x:v>
      </x:c>
      <x:c r="K675" s="16"/>
      <x:c r="L675" s="20" t="n">
        <x:v>612.92</x:v>
      </x:c>
      <x:c r="M675" s="20" t="n">
        <x:v>0</x:v>
      </x:c>
      <x:c r="N675" s="20" t="n">
        <x:v>0</x:v>
      </x:c>
      <x:c r="O675" s="20" t="n">
        <x:v>0</x:v>
      </x:c>
      <x:c r="P675" s="20" t="n">
        <x:v>612.92</x:v>
      </x:c>
      <x:c r="Q675" s="10" t="str">
        <x:v>Vencido</x:v>
      </x:c>
      <x:c r="R675" s="10" t="str">
        <x:v>Débito Automático</x:v>
      </x:c>
      <x:c r="S675" s="10" t="str">
        <x:v>2025-08</x:v>
      </x:c>
      <x:c r="T675" s="10" t="n">
        <x:v>113</x:v>
      </x:c>
      <x:c r="U675" s="10" t="str">
        <x:v>91 a 120 dias</x:v>
      </x:c>
      <x:c r="V675" s="10" t="str">
        <x:v>UND002</x:v>
      </x:c>
    </x:row>
    <x:row r="676" ht="18" customHeight="1">
      <x:c r="A676" s="10" t="str">
        <x:v>PAG00675</x:v>
      </x:c>
      <x:c r="B676" s="10" t="str">
        <x:v>EMP003</x:v>
      </x:c>
      <x:c r="C676" s="10" t="str">
        <x:v>FOR046</x:v>
      </x:c>
      <x:c r="D676" s="10" t="str">
        <x:v>CC001</x:v>
      </x:c>
      <x:c r="E676" s="10" t="str">
        <x:v>CAT007</x:v>
      </x:c>
      <x:c r="F676" s="10" t="str">
        <x:v>CTA005</x:v>
      </x:c>
      <x:c r="G676" s="10" t="str">
        <x:v>NF-100675</x:v>
      </x:c>
      <x:c r="H676" s="10" t="str">
        <x:v>Compra de materiais</x:v>
      </x:c>
      <x:c r="I676" s="16" t="n">
        <x:v>45353.04242773148</x:v>
      </x:c>
      <x:c r="J676" s="16" t="n">
        <x:v>45383.04242773148</x:v>
      </x:c>
      <x:c r="K676" s="16" t="n">
        <x:v>45389.04242773148</x:v>
      </x:c>
      <x:c r="L676" s="20" t="n">
        <x:v>1704.58</x:v>
      </x:c>
      <x:c r="M676" s="20" t="n">
        <x:v>7.16</x:v>
      </x:c>
      <x:c r="N676" s="20" t="n">
        <x:v>0</x:v>
      </x:c>
      <x:c r="O676" s="20" t="n">
        <x:v>1711.74</x:v>
      </x:c>
      <x:c r="P676" s="20" t="n">
        <x:v>0</x:v>
      </x:c>
      <x:c r="Q676" s="10" t="str">
        <x:v>Pago</x:v>
      </x:c>
      <x:c r="R676" s="10" t="str">
        <x:v>TED</x:v>
      </x:c>
      <x:c r="S676" s="10" t="str">
        <x:v>2024-03</x:v>
      </x:c>
      <x:c r="T676" s="10" t="n">
        <x:v>0</x:v>
      </x:c>
      <x:c r="U676" s="10" t="str">
        <x:v>Liquidado</x:v>
      </x:c>
      <x:c r="V676" s="10" t="str">
        <x:v>UND004</x:v>
      </x:c>
    </x:row>
    <x:row r="677" ht="18" customHeight="1">
      <x:c r="A677" s="10" t="str">
        <x:v>PAG00676</x:v>
      </x:c>
      <x:c r="B677" s="10" t="str">
        <x:v>EMP003</x:v>
      </x:c>
      <x:c r="C677" s="10" t="str">
        <x:v>FOR060</x:v>
      </x:c>
      <x:c r="D677" s="10" t="str">
        <x:v>CC007</x:v>
      </x:c>
      <x:c r="E677" s="10" t="str">
        <x:v>CAT017</x:v>
      </x:c>
      <x:c r="F677" s="10" t="str">
        <x:v>CTA006</x:v>
      </x:c>
      <x:c r="G677" s="10" t="str">
        <x:v>NF-100676</x:v>
      </x:c>
      <x:c r="H677" s="10" t="str">
        <x:v>Compra de materiais</x:v>
      </x:c>
      <x:c r="I677" s="16" t="n">
        <x:v>45446.81751840278</x:v>
      </x:c>
      <x:c r="J677" s="16" t="n">
        <x:v>45491.81751840278</x:v>
      </x:c>
      <x:c r="K677" s="16" t="n">
        <x:v>45487.81751840278</x:v>
      </x:c>
      <x:c r="L677" s="20" t="n">
        <x:v>10291.69</x:v>
      </x:c>
      <x:c r="M677" s="20" t="n">
        <x:v>0</x:v>
      </x:c>
      <x:c r="N677" s="20" t="n">
        <x:v>0</x:v>
      </x:c>
      <x:c r="O677" s="20" t="n">
        <x:v>10291.69</x:v>
      </x:c>
      <x:c r="P677" s="20" t="n">
        <x:v>0</x:v>
      </x:c>
      <x:c r="Q677" s="10" t="str">
        <x:v>Pago</x:v>
      </x:c>
      <x:c r="R677" s="10" t="str">
        <x:v>Boleto</x:v>
      </x:c>
      <x:c r="S677" s="10" t="str">
        <x:v>2024-06</x:v>
      </x:c>
      <x:c r="T677" s="10" t="n">
        <x:v>0</x:v>
      </x:c>
      <x:c r="U677" s="10" t="str">
        <x:v>Liquidado</x:v>
      </x:c>
      <x:c r="V677" s="10" t="str">
        <x:v>UND004</x:v>
      </x:c>
    </x:row>
    <x:row r="678" ht="18" customHeight="1">
      <x:c r="A678" s="10" t="str">
        <x:v>PAG00677</x:v>
      </x:c>
      <x:c r="B678" s="10" t="str">
        <x:v>EMP001</x:v>
      </x:c>
      <x:c r="C678" s="10" t="str">
        <x:v>FOR014</x:v>
      </x:c>
      <x:c r="D678" s="10" t="str">
        <x:v>CC005</x:v>
      </x:c>
      <x:c r="E678" s="10" t="str">
        <x:v>CAT010</x:v>
      </x:c>
      <x:c r="F678" s="10" t="str">
        <x:v>CTA001</x:v>
      </x:c>
      <x:c r="G678" s="10" t="str">
        <x:v>NF-100677</x:v>
      </x:c>
      <x:c r="H678" s="10" t="str">
        <x:v>Despesa operacional</x:v>
      </x:c>
      <x:c r="I678" s="16" t="n">
        <x:v>45687.42002680556</x:v>
      </x:c>
      <x:c r="J678" s="16" t="n">
        <x:v>45707.42002680556</x:v>
      </x:c>
      <x:c r="K678" s="16" t="n">
        <x:v>45717.42002680556</x:v>
      </x:c>
      <x:c r="L678" s="20" t="n">
        <x:v>45759.21</x:v>
      </x:c>
      <x:c r="M678" s="20" t="n">
        <x:v>320.31</x:v>
      </x:c>
      <x:c r="N678" s="20" t="n">
        <x:v>0</x:v>
      </x:c>
      <x:c r="O678" s="20" t="n">
        <x:v>46079.52</x:v>
      </x:c>
      <x:c r="P678" s="20" t="n">
        <x:v>0</x:v>
      </x:c>
      <x:c r="Q678" s="10" t="str">
        <x:v>Pago</x:v>
      </x:c>
      <x:c r="R678" s="10" t="str">
        <x:v>PIX</x:v>
      </x:c>
      <x:c r="S678" s="10" t="str">
        <x:v>2025-01</x:v>
      </x:c>
      <x:c r="T678" s="10" t="n">
        <x:v>0</x:v>
      </x:c>
      <x:c r="U678" s="10" t="str">
        <x:v>Liquidado</x:v>
      </x:c>
      <x:c r="V678" s="10" t="str">
        <x:v>UND001</x:v>
      </x:c>
    </x:row>
    <x:row r="679" ht="18" customHeight="1">
      <x:c r="A679" s="10" t="str">
        <x:v>PAG00678</x:v>
      </x:c>
      <x:c r="B679" s="10" t="str">
        <x:v>EMP002</x:v>
      </x:c>
      <x:c r="C679" s="10" t="str">
        <x:v>FOR002</x:v>
      </x:c>
      <x:c r="D679" s="10" t="str">
        <x:v>CC006</x:v>
      </x:c>
      <x:c r="E679" s="10" t="str">
        <x:v>CAT005</x:v>
      </x:c>
      <x:c r="F679" s="10" t="str">
        <x:v>CTA003</x:v>
      </x:c>
      <x:c r="G679" s="10" t="str">
        <x:v>NF-100678</x:v>
      </x:c>
      <x:c r="H679" s="10" t="str">
        <x:v>Tributos e taxas</x:v>
      </x:c>
      <x:c r="I679" s="16" t="n">
        <x:v>45768.08771337963</x:v>
      </x:c>
      <x:c r="J679" s="16" t="n">
        <x:v>45796.08771337963</x:v>
      </x:c>
      <x:c r="K679" s="16" t="n">
        <x:v>45807.08771337963</x:v>
      </x:c>
      <x:c r="L679" s="20" t="n">
        <x:v>18998.32</x:v>
      </x:c>
      <x:c r="M679" s="20" t="n">
        <x:v>146.29</x:v>
      </x:c>
      <x:c r="N679" s="20" t="n">
        <x:v>0</x:v>
      </x:c>
      <x:c r="O679" s="20" t="n">
        <x:v>19144.61</x:v>
      </x:c>
      <x:c r="P679" s="20" t="n">
        <x:v>0</x:v>
      </x:c>
      <x:c r="Q679" s="10" t="str">
        <x:v>Pago</x:v>
      </x:c>
      <x:c r="R679" s="10" t="str">
        <x:v>TED</x:v>
      </x:c>
      <x:c r="S679" s="10" t="str">
        <x:v>2025-04</x:v>
      </x:c>
      <x:c r="T679" s="10" t="n">
        <x:v>0</x:v>
      </x:c>
      <x:c r="U679" s="10" t="str">
        <x:v>Liquidado</x:v>
      </x:c>
      <x:c r="V679" s="10" t="str">
        <x:v>UND003</x:v>
      </x:c>
    </x:row>
    <x:row r="680" ht="18" customHeight="1">
      <x:c r="A680" s="10" t="str">
        <x:v>PAG00679</x:v>
      </x:c>
      <x:c r="B680" s="10" t="str">
        <x:v>EMP001</x:v>
      </x:c>
      <x:c r="C680" s="10" t="str">
        <x:v>FOR031</x:v>
      </x:c>
      <x:c r="D680" s="10" t="str">
        <x:v>CC008</x:v>
      </x:c>
      <x:c r="E680" s="10" t="str">
        <x:v>CAT014</x:v>
      </x:c>
      <x:c r="F680" s="10" t="str">
        <x:v>CTA002</x:v>
      </x:c>
      <x:c r="G680" s="10" t="str">
        <x:v>NF-100679</x:v>
      </x:c>
      <x:c r="H680" s="10" t="str">
        <x:v>Despesa operacional</x:v>
      </x:c>
      <x:c r="I680" s="16" t="n">
        <x:v>45513.88561871528</x:v>
      </x:c>
      <x:c r="J680" s="16" t="n">
        <x:v>45573.88561871528</x:v>
      </x:c>
      <x:c r="K680" s="16" t="n">
        <x:v>45576.88561871528</x:v>
      </x:c>
      <x:c r="L680" s="20" t="n">
        <x:v>25271.13</x:v>
      </x:c>
      <x:c r="M680" s="20" t="n">
        <x:v>53.07</x:v>
      </x:c>
      <x:c r="N680" s="20" t="n">
        <x:v>0</x:v>
      </x:c>
      <x:c r="O680" s="20" t="n">
        <x:v>25324.2</x:v>
      </x:c>
      <x:c r="P680" s="20" t="n">
        <x:v>0</x:v>
      </x:c>
      <x:c r="Q680" s="10" t="str">
        <x:v>Pago</x:v>
      </x:c>
      <x:c r="R680" s="10" t="str">
        <x:v>Cartão Corporativo</x:v>
      </x:c>
      <x:c r="S680" s="10" t="str">
        <x:v>2024-08</x:v>
      </x:c>
      <x:c r="T680" s="10" t="n">
        <x:v>0</x:v>
      </x:c>
      <x:c r="U680" s="10" t="str">
        <x:v>Liquidado</x:v>
      </x:c>
      <x:c r="V680" s="10" t="str">
        <x:v>UND001</x:v>
      </x:c>
    </x:row>
    <x:row r="681" ht="18" customHeight="1">
      <x:c r="A681" s="10" t="str">
        <x:v>PAG00680</x:v>
      </x:c>
      <x:c r="B681" s="10" t="str">
        <x:v>EMP002</x:v>
      </x:c>
      <x:c r="C681" s="10" t="str">
        <x:v>FOR006</x:v>
      </x:c>
      <x:c r="D681" s="10" t="str">
        <x:v>CC005</x:v>
      </x:c>
      <x:c r="E681" s="10" t="str">
        <x:v>CAT015</x:v>
      </x:c>
      <x:c r="F681" s="10" t="str">
        <x:v>CTA004</x:v>
      </x:c>
      <x:c r="G681" s="10" t="str">
        <x:v>NF-100680</x:v>
      </x:c>
      <x:c r="H681" s="10" t="str">
        <x:v>Compra de materiais</x:v>
      </x:c>
      <x:c r="I681" s="16" t="n">
        <x:v>46006.739314722225</x:v>
      </x:c>
      <x:c r="J681" s="16" t="n">
        <x:v>46036.739314722225</x:v>
      </x:c>
      <x:c r="K681" s="16"/>
      <x:c r="L681" s="20" t="n">
        <x:v>71402.84</x:v>
      </x:c>
      <x:c r="M681" s="20" t="n">
        <x:v>0</x:v>
      </x:c>
      <x:c r="N681" s="20" t="n">
        <x:v>0</x:v>
      </x:c>
      <x:c r="O681" s="20" t="n">
        <x:v>0</x:v>
      </x:c>
      <x:c r="P681" s="20" t="n">
        <x:v>71402.84</x:v>
      </x:c>
      <x:c r="Q681" s="10" t="str">
        <x:v>A vencer</x:v>
      </x:c>
      <x:c r="R681" s="10" t="str">
        <x:v>Cartão Corporativo</x:v>
      </x:c>
      <x:c r="S681" s="10" t="str">
        <x:v>2025-12</x:v>
      </x:c>
      <x:c r="T681" s="10" t="n">
        <x:v>0</x:v>
      </x:c>
      <x:c r="U681" s="10" t="str">
        <x:v>A vencer</x:v>
      </x:c>
      <x:c r="V681" s="10" t="str">
        <x:v>UND003</x:v>
      </x:c>
    </x:row>
    <x:row r="682" ht="18" customHeight="1">
      <x:c r="A682" s="10" t="str">
        <x:v>PAG00681</x:v>
      </x:c>
      <x:c r="B682" s="10" t="str">
        <x:v>EMP003</x:v>
      </x:c>
      <x:c r="C682" s="10" t="str">
        <x:v>FOR032</x:v>
      </x:c>
      <x:c r="D682" s="10" t="str">
        <x:v>CC002</x:v>
      </x:c>
      <x:c r="E682" s="10" t="str">
        <x:v>CAT013</x:v>
      </x:c>
      <x:c r="F682" s="10" t="str">
        <x:v>CTA006</x:v>
      </x:c>
      <x:c r="G682" s="10" t="str">
        <x:v>NF-100681</x:v>
      </x:c>
      <x:c r="H682" s="10" t="str">
        <x:v>Compra de materiais</x:v>
      </x:c>
      <x:c r="I682" s="16" t="n">
        <x:v>45855.923329467594</x:v>
      </x:c>
      <x:c r="J682" s="16" t="n">
        <x:v>45930.923329467594</x:v>
      </x:c>
      <x:c r="K682" s="16" t="n">
        <x:v>45924.923329467594</x:v>
      </x:c>
      <x:c r="L682" s="20" t="n">
        <x:v>20093.83</x:v>
      </x:c>
      <x:c r="M682" s="20" t="n">
        <x:v>0</x:v>
      </x:c>
      <x:c r="N682" s="20" t="n">
        <x:v>0</x:v>
      </x:c>
      <x:c r="O682" s="20" t="n">
        <x:v>20093.83</x:v>
      </x:c>
      <x:c r="P682" s="20" t="n">
        <x:v>0</x:v>
      </x:c>
      <x:c r="Q682" s="10" t="str">
        <x:v>Pago</x:v>
      </x:c>
      <x:c r="R682" s="10" t="str">
        <x:v>Débito Automático</x:v>
      </x:c>
      <x:c r="S682" s="10" t="str">
        <x:v>2025-07</x:v>
      </x:c>
      <x:c r="T682" s="10" t="n">
        <x:v>0</x:v>
      </x:c>
      <x:c r="U682" s="10" t="str">
        <x:v>Liquidado</x:v>
      </x:c>
      <x:c r="V682" s="10" t="str">
        <x:v>UND004</x:v>
      </x:c>
    </x:row>
    <x:row r="683" ht="18" customHeight="1">
      <x:c r="A683" s="10" t="str">
        <x:v>PAG00682</x:v>
      </x:c>
      <x:c r="B683" s="10" t="str">
        <x:v>EMP001</x:v>
      </x:c>
      <x:c r="C683" s="10" t="str">
        <x:v>FOR038</x:v>
      </x:c>
      <x:c r="D683" s="10" t="str">
        <x:v>CC003</x:v>
      </x:c>
      <x:c r="E683" s="10" t="str">
        <x:v>CAT010</x:v>
      </x:c>
      <x:c r="F683" s="10" t="str">
        <x:v>CTA001</x:v>
      </x:c>
      <x:c r="G683" s="10" t="str">
        <x:v>NF-100682</x:v>
      </x:c>
      <x:c r="H683" s="10" t="str">
        <x:v>Contrato recorrente</x:v>
      </x:c>
      <x:c r="I683" s="16" t="n">
        <x:v>45385.0683937963</x:v>
      </x:c>
      <x:c r="J683" s="16" t="n">
        <x:v>45460.0683937963</x:v>
      </x:c>
      <x:c r="K683" s="16" t="n">
        <x:v>45470.0683937963</x:v>
      </x:c>
      <x:c r="L683" s="20" t="n">
        <x:v>30254.64</x:v>
      </x:c>
      <x:c r="M683" s="20" t="n">
        <x:v>211.78</x:v>
      </x:c>
      <x:c r="N683" s="20" t="n">
        <x:v>0</x:v>
      </x:c>
      <x:c r="O683" s="20" t="n">
        <x:v>30466.42</x:v>
      </x:c>
      <x:c r="P683" s="20" t="n">
        <x:v>0</x:v>
      </x:c>
      <x:c r="Q683" s="10" t="str">
        <x:v>Pago</x:v>
      </x:c>
      <x:c r="R683" s="10" t="str">
        <x:v>Boleto</x:v>
      </x:c>
      <x:c r="S683" s="10" t="str">
        <x:v>2024-04</x:v>
      </x:c>
      <x:c r="T683" s="10" t="n">
        <x:v>0</x:v>
      </x:c>
      <x:c r="U683" s="10" t="str">
        <x:v>Liquidado</x:v>
      </x:c>
      <x:c r="V683" s="10" t="str">
        <x:v>UND002</x:v>
      </x:c>
    </x:row>
    <x:row r="684" ht="18" customHeight="1">
      <x:c r="A684" s="10" t="str">
        <x:v>PAG00683</x:v>
      </x:c>
      <x:c r="B684" s="10" t="str">
        <x:v>EMP003</x:v>
      </x:c>
      <x:c r="C684" s="10" t="str">
        <x:v>FOR008</x:v>
      </x:c>
      <x:c r="D684" s="10" t="str">
        <x:v>CC003</x:v>
      </x:c>
      <x:c r="E684" s="10" t="str">
        <x:v>CAT011</x:v>
      </x:c>
      <x:c r="F684" s="10" t="str">
        <x:v>CTA005</x:v>
      </x:c>
      <x:c r="G684" s="10" t="str">
        <x:v>NF-100683</x:v>
      </x:c>
      <x:c r="H684" s="10" t="str">
        <x:v>Contrato recorrente</x:v>
      </x:c>
      <x:c r="I684" s="16" t="n">
        <x:v>45937.00317902778</x:v>
      </x:c>
      <x:c r="J684" s="16" t="n">
        <x:v>45982.00317902778</x:v>
      </x:c>
      <x:c r="K684" s="16" t="n">
        <x:v>45978.00317902778</x:v>
      </x:c>
      <x:c r="L684" s="20" t="n">
        <x:v>78889.42</x:v>
      </x:c>
      <x:c r="M684" s="20" t="n">
        <x:v>0</x:v>
      </x:c>
      <x:c r="N684" s="20" t="n">
        <x:v>0</x:v>
      </x:c>
      <x:c r="O684" s="20" t="n">
        <x:v>78889.42</x:v>
      </x:c>
      <x:c r="P684" s="20" t="n">
        <x:v>0</x:v>
      </x:c>
      <x:c r="Q684" s="10" t="str">
        <x:v>Pago</x:v>
      </x:c>
      <x:c r="R684" s="10" t="str">
        <x:v>TED</x:v>
      </x:c>
      <x:c r="S684" s="10" t="str">
        <x:v>2025-10</x:v>
      </x:c>
      <x:c r="T684" s="10" t="n">
        <x:v>0</x:v>
      </x:c>
      <x:c r="U684" s="10" t="str">
        <x:v>Liquidado</x:v>
      </x:c>
      <x:c r="V684" s="10" t="str">
        <x:v>UND004</x:v>
      </x:c>
    </x:row>
    <x:row r="685" ht="18" customHeight="1">
      <x:c r="A685" s="10" t="str">
        <x:v>PAG00684</x:v>
      </x:c>
      <x:c r="B685" s="10" t="str">
        <x:v>EMP001</x:v>
      </x:c>
      <x:c r="C685" s="10" t="str">
        <x:v>FOR048</x:v>
      </x:c>
      <x:c r="D685" s="10" t="str">
        <x:v>CC001</x:v>
      </x:c>
      <x:c r="E685" s="10" t="str">
        <x:v>CAT007</x:v>
      </x:c>
      <x:c r="F685" s="10" t="str">
        <x:v>CTA002</x:v>
      </x:c>
      <x:c r="G685" s="10" t="str">
        <x:v>NF-100684</x:v>
      </x:c>
      <x:c r="H685" s="10" t="str">
        <x:v>Tributos e taxas</x:v>
      </x:c>
      <x:c r="I685" s="16" t="n">
        <x:v>45944.033310046296</x:v>
      </x:c>
      <x:c r="J685" s="16" t="n">
        <x:v>45974.033310046296</x:v>
      </x:c>
      <x:c r="K685" s="16"/>
      <x:c r="L685" s="20" t="n">
        <x:v>5602.64</x:v>
      </x:c>
      <x:c r="M685" s="20" t="n">
        <x:v>0</x:v>
      </x:c>
      <x:c r="N685" s="20" t="n">
        <x:v>0</x:v>
      </x:c>
      <x:c r="O685" s="20" t="n">
        <x:v>0</x:v>
      </x:c>
      <x:c r="P685" s="20" t="n">
        <x:v>0</x:v>
      </x:c>
      <x:c r="Q685" s="10" t="str">
        <x:v>Cancelado</x:v>
      </x:c>
      <x:c r="R685" s="10" t="str">
        <x:v>Cartão Corporativo</x:v>
      </x:c>
      <x:c r="S685" s="10" t="str">
        <x:v>2025-10</x:v>
      </x:c>
      <x:c r="T685" s="10" t="n">
        <x:v>0</x:v>
      </x:c>
      <x:c r="U685" s="10" t="str">
        <x:v>Cancelado</x:v>
      </x:c>
      <x:c r="V685" s="10" t="str">
        <x:v>UND001</x:v>
      </x:c>
    </x:row>
    <x:row r="686" ht="18" customHeight="1">
      <x:c r="A686" s="10" t="str">
        <x:v>PAG00685</x:v>
      </x:c>
      <x:c r="B686" s="10" t="str">
        <x:v>EMP002</x:v>
      </x:c>
      <x:c r="C686" s="10" t="str">
        <x:v>FOR058</x:v>
      </x:c>
      <x:c r="D686" s="10" t="str">
        <x:v>CC003</x:v>
      </x:c>
      <x:c r="E686" s="10" t="str">
        <x:v>CAT009</x:v>
      </x:c>
      <x:c r="F686" s="10" t="str">
        <x:v>CTA004</x:v>
      </x:c>
      <x:c r="G686" s="10" t="str">
        <x:v>NF-100685</x:v>
      </x:c>
      <x:c r="H686" s="10" t="str">
        <x:v>Prestação de serviços</x:v>
      </x:c>
      <x:c r="I686" s="16" t="n">
        <x:v>45441.58246498842</x:v>
      </x:c>
      <x:c r="J686" s="16" t="n">
        <x:v>45461.58246498842</x:v>
      </x:c>
      <x:c r="K686" s="16" t="n">
        <x:v>45476.58246498842</x:v>
      </x:c>
      <x:c r="L686" s="20" t="n">
        <x:v>14753.07</x:v>
      </x:c>
      <x:c r="M686" s="20" t="n">
        <x:v>154.91</x:v>
      </x:c>
      <x:c r="N686" s="20" t="n">
        <x:v>0</x:v>
      </x:c>
      <x:c r="O686" s="20" t="n">
        <x:v>14907.98</x:v>
      </x:c>
      <x:c r="P686" s="20" t="n">
        <x:v>0</x:v>
      </x:c>
      <x:c r="Q686" s="10" t="str">
        <x:v>Pago</x:v>
      </x:c>
      <x:c r="R686" s="10" t="str">
        <x:v>PIX</x:v>
      </x:c>
      <x:c r="S686" s="10" t="str">
        <x:v>2024-05</x:v>
      </x:c>
      <x:c r="T686" s="10" t="n">
        <x:v>0</x:v>
      </x:c>
      <x:c r="U686" s="10" t="str">
        <x:v>Liquidado</x:v>
      </x:c>
      <x:c r="V686" s="10" t="str">
        <x:v>UND003</x:v>
      </x:c>
    </x:row>
    <x:row r="687" ht="18" customHeight="1">
      <x:c r="A687" s="10" t="str">
        <x:v>PAG00686</x:v>
      </x:c>
      <x:c r="B687" s="10" t="str">
        <x:v>EMP001</x:v>
      </x:c>
      <x:c r="C687" s="10" t="str">
        <x:v>FOR010</x:v>
      </x:c>
      <x:c r="D687" s="10" t="str">
        <x:v>CC002</x:v>
      </x:c>
      <x:c r="E687" s="10" t="str">
        <x:v>CAT017</x:v>
      </x:c>
      <x:c r="F687" s="10" t="str">
        <x:v>CTA002</x:v>
      </x:c>
      <x:c r="G687" s="10" t="str">
        <x:v>NF-100686</x:v>
      </x:c>
      <x:c r="H687" s="10" t="str">
        <x:v>Contrato recorrente</x:v>
      </x:c>
      <x:c r="I687" s="16" t="n">
        <x:v>45715.582756944445</x:v>
      </x:c>
      <x:c r="J687" s="16" t="n">
        <x:v>45743.582756944445</x:v>
      </x:c>
      <x:c r="K687" s="16" t="n">
        <x:v>45758.582756944445</x:v>
      </x:c>
      <x:c r="L687" s="20" t="n">
        <x:v>21137.41</x:v>
      </x:c>
      <x:c r="M687" s="20" t="n">
        <x:v>221.94</x:v>
      </x:c>
      <x:c r="N687" s="20" t="n">
        <x:v>0</x:v>
      </x:c>
      <x:c r="O687" s="20" t="n">
        <x:v>21359.35</x:v>
      </x:c>
      <x:c r="P687" s="20" t="n">
        <x:v>0</x:v>
      </x:c>
      <x:c r="Q687" s="10" t="str">
        <x:v>Pago</x:v>
      </x:c>
      <x:c r="R687" s="10" t="str">
        <x:v>Débito Automático</x:v>
      </x:c>
      <x:c r="S687" s="10" t="str">
        <x:v>2025-02</x:v>
      </x:c>
      <x:c r="T687" s="10" t="n">
        <x:v>0</x:v>
      </x:c>
      <x:c r="U687" s="10" t="str">
        <x:v>Liquidado</x:v>
      </x:c>
      <x:c r="V687" s="10" t="str">
        <x:v>UND002</x:v>
      </x:c>
    </x:row>
    <x:row r="688" ht="18" customHeight="1">
      <x:c r="A688" s="10" t="str">
        <x:v>PAG00687</x:v>
      </x:c>
      <x:c r="B688" s="10" t="str">
        <x:v>EMP001</x:v>
      </x:c>
      <x:c r="C688" s="10" t="str">
        <x:v>FOR018</x:v>
      </x:c>
      <x:c r="D688" s="10" t="str">
        <x:v>CC005</x:v>
      </x:c>
      <x:c r="E688" s="10" t="str">
        <x:v>CAT008</x:v>
      </x:c>
      <x:c r="F688" s="10" t="str">
        <x:v>CTA001</x:v>
      </x:c>
      <x:c r="G688" s="10" t="str">
        <x:v>NF-100687</x:v>
      </x:c>
      <x:c r="H688" s="10" t="str">
        <x:v>Contrato recorrente</x:v>
      </x:c>
      <x:c r="I688" s="16" t="n">
        <x:v>45688.41355474537</x:v>
      </x:c>
      <x:c r="J688" s="16" t="n">
        <x:v>45716.41355474537</x:v>
      </x:c>
      <x:c r="K688" s="16" t="n">
        <x:v>45724.41355474537</x:v>
      </x:c>
      <x:c r="L688" s="20" t="n">
        <x:v>37002.88</x:v>
      </x:c>
      <x:c r="M688" s="20" t="n">
        <x:v>207.22</x:v>
      </x:c>
      <x:c r="N688" s="20" t="n">
        <x:v>0</x:v>
      </x:c>
      <x:c r="O688" s="20" t="n">
        <x:v>37210.1</x:v>
      </x:c>
      <x:c r="P688" s="20" t="n">
        <x:v>0</x:v>
      </x:c>
      <x:c r="Q688" s="10" t="str">
        <x:v>Pago</x:v>
      </x:c>
      <x:c r="R688" s="10" t="str">
        <x:v>TED</x:v>
      </x:c>
      <x:c r="S688" s="10" t="str">
        <x:v>2025-01</x:v>
      </x:c>
      <x:c r="T688" s="10" t="n">
        <x:v>0</x:v>
      </x:c>
      <x:c r="U688" s="10" t="str">
        <x:v>Liquidado</x:v>
      </x:c>
      <x:c r="V688" s="10" t="str">
        <x:v>UND002</x:v>
      </x:c>
    </x:row>
    <x:row r="689" ht="18" customHeight="1">
      <x:c r="A689" s="10" t="str">
        <x:v>PAG00688</x:v>
      </x:c>
      <x:c r="B689" s="10" t="str">
        <x:v>EMP002</x:v>
      </x:c>
      <x:c r="C689" s="10" t="str">
        <x:v>FOR019</x:v>
      </x:c>
      <x:c r="D689" s="10" t="str">
        <x:v>CC004</x:v>
      </x:c>
      <x:c r="E689" s="10" t="str">
        <x:v>CAT017</x:v>
      </x:c>
      <x:c r="F689" s="10" t="str">
        <x:v>CTA004</x:v>
      </x:c>
      <x:c r="G689" s="10" t="str">
        <x:v>NF-100688</x:v>
      </x:c>
      <x:c r="H689" s="10" t="str">
        <x:v>Tributos e taxas</x:v>
      </x:c>
      <x:c r="I689" s="16" t="n">
        <x:v>45300.06250068287</x:v>
      </x:c>
      <x:c r="J689" s="16" t="n">
        <x:v>45375.06250068287</x:v>
      </x:c>
      <x:c r="K689" s="16" t="n">
        <x:v>45370.06250068287</x:v>
      </x:c>
      <x:c r="L689" s="20" t="n">
        <x:v>2491.46</x:v>
      </x:c>
      <x:c r="M689" s="20" t="n">
        <x:v>0</x:v>
      </x:c>
      <x:c r="N689" s="20" t="n">
        <x:v>0</x:v>
      </x:c>
      <x:c r="O689" s="20" t="n">
        <x:v>2491.46</x:v>
      </x:c>
      <x:c r="P689" s="20" t="n">
        <x:v>0</x:v>
      </x:c>
      <x:c r="Q689" s="10" t="str">
        <x:v>Pago</x:v>
      </x:c>
      <x:c r="R689" s="10" t="str">
        <x:v>Débito Automático</x:v>
      </x:c>
      <x:c r="S689" s="10" t="str">
        <x:v>2024-01</x:v>
      </x:c>
      <x:c r="T689" s="10" t="n">
        <x:v>0</x:v>
      </x:c>
      <x:c r="U689" s="10" t="str">
        <x:v>Liquidado</x:v>
      </x:c>
      <x:c r="V689" s="10" t="str">
        <x:v>UND003</x:v>
      </x:c>
    </x:row>
    <x:row r="690" ht="18" customHeight="1">
      <x:c r="A690" s="10" t="str">
        <x:v>PAG00689</x:v>
      </x:c>
      <x:c r="B690" s="10" t="str">
        <x:v>EMP003</x:v>
      </x:c>
      <x:c r="C690" s="10" t="str">
        <x:v>FOR056</x:v>
      </x:c>
      <x:c r="D690" s="10" t="str">
        <x:v>CC008</x:v>
      </x:c>
      <x:c r="E690" s="10" t="str">
        <x:v>CAT005</x:v>
      </x:c>
      <x:c r="F690" s="10" t="str">
        <x:v>CTA006</x:v>
      </x:c>
      <x:c r="G690" s="10" t="str">
        <x:v>NF-100689</x:v>
      </x:c>
      <x:c r="H690" s="10" t="str">
        <x:v>Despesa operacional</x:v>
      </x:c>
      <x:c r="I690" s="16" t="n">
        <x:v>45502.18488824074</x:v>
      </x:c>
      <x:c r="J690" s="16" t="n">
        <x:v>45537.18488824074</x:v>
      </x:c>
      <x:c r="K690" s="16" t="n">
        <x:v>45568.18488824074</x:v>
      </x:c>
      <x:c r="L690" s="20" t="n">
        <x:v>6358.59</x:v>
      </x:c>
      <x:c r="M690" s="20" t="n">
        <x:v>137.98</x:v>
      </x:c>
      <x:c r="N690" s="20" t="n">
        <x:v>0</x:v>
      </x:c>
      <x:c r="O690" s="20" t="n">
        <x:v>6496.57</x:v>
      </x:c>
      <x:c r="P690" s="20" t="n">
        <x:v>0</x:v>
      </x:c>
      <x:c r="Q690" s="10" t="str">
        <x:v>Pago</x:v>
      </x:c>
      <x:c r="R690" s="10" t="str">
        <x:v>Cartão Corporativo</x:v>
      </x:c>
      <x:c r="S690" s="10" t="str">
        <x:v>2024-07</x:v>
      </x:c>
      <x:c r="T690" s="10" t="n">
        <x:v>0</x:v>
      </x:c>
      <x:c r="U690" s="10" t="str">
        <x:v>Liquidado</x:v>
      </x:c>
      <x:c r="V690" s="10" t="str">
        <x:v>UND004</x:v>
      </x:c>
    </x:row>
    <x:row r="691" ht="18" customHeight="1">
      <x:c r="A691" s="10" t="str">
        <x:v>PAG00690</x:v>
      </x:c>
      <x:c r="B691" s="10" t="str">
        <x:v>EMP002</x:v>
      </x:c>
      <x:c r="C691" s="10" t="str">
        <x:v>FOR037</x:v>
      </x:c>
      <x:c r="D691" s="10" t="str">
        <x:v>CC004</x:v>
      </x:c>
      <x:c r="E691" s="10" t="str">
        <x:v>CAT018</x:v>
      </x:c>
      <x:c r="F691" s="10" t="str">
        <x:v>CTA004</x:v>
      </x:c>
      <x:c r="G691" s="10" t="str">
        <x:v>NF-100690</x:v>
      </x:c>
      <x:c r="H691" s="10" t="str">
        <x:v>Prestação de serviços</x:v>
      </x:c>
      <x:c r="I691" s="16" t="n">
        <x:v>45424.37536107639</x:v>
      </x:c>
      <x:c r="J691" s="16" t="n">
        <x:v>45454.37536107639</x:v>
      </x:c>
      <x:c r="K691" s="16" t="n">
        <x:v>45453.37536107639</x:v>
      </x:c>
      <x:c r="L691" s="20" t="n">
        <x:v>53815.26</x:v>
      </x:c>
      <x:c r="M691" s="20" t="n">
        <x:v>0</x:v>
      </x:c>
      <x:c r="N691" s="20" t="n">
        <x:v>0</x:v>
      </x:c>
      <x:c r="O691" s="20" t="n">
        <x:v>53815.26</x:v>
      </x:c>
      <x:c r="P691" s="20" t="n">
        <x:v>0</x:v>
      </x:c>
      <x:c r="Q691" s="10" t="str">
        <x:v>Pago</x:v>
      </x:c>
      <x:c r="R691" s="10" t="str">
        <x:v>Débito Automático</x:v>
      </x:c>
      <x:c r="S691" s="10" t="str">
        <x:v>2024-05</x:v>
      </x:c>
      <x:c r="T691" s="10" t="n">
        <x:v>0</x:v>
      </x:c>
      <x:c r="U691" s="10" t="str">
        <x:v>Liquidado</x:v>
      </x:c>
      <x:c r="V691" s="10" t="str">
        <x:v>UND003</x:v>
      </x:c>
    </x:row>
    <x:row r="692" ht="18" customHeight="1">
      <x:c r="A692" s="10" t="str">
        <x:v>PAG00691</x:v>
      </x:c>
      <x:c r="B692" s="10" t="str">
        <x:v>EMP001</x:v>
      </x:c>
      <x:c r="C692" s="10" t="str">
        <x:v>FOR001</x:v>
      </x:c>
      <x:c r="D692" s="10" t="str">
        <x:v>CC002</x:v>
      </x:c>
      <x:c r="E692" s="10" t="str">
        <x:v>CAT015</x:v>
      </x:c>
      <x:c r="F692" s="10" t="str">
        <x:v>CTA002</x:v>
      </x:c>
      <x:c r="G692" s="10" t="str">
        <x:v>NF-100691</x:v>
      </x:c>
      <x:c r="H692" s="10" t="str">
        <x:v>Prestação de serviços</x:v>
      </x:c>
      <x:c r="I692" s="16" t="n">
        <x:v>45987.364572199076</x:v>
      </x:c>
      <x:c r="J692" s="16" t="n">
        <x:v>46017.364572199076</x:v>
      </x:c>
      <x:c r="K692" s="16"/>
      <x:c r="L692" s="20" t="n">
        <x:v>4177.74</x:v>
      </x:c>
      <x:c r="M692" s="20" t="n">
        <x:v>0</x:v>
      </x:c>
      <x:c r="N692" s="20" t="n">
        <x:v>0</x:v>
      </x:c>
      <x:c r="O692" s="20" t="n">
        <x:v>0</x:v>
      </x:c>
      <x:c r="P692" s="20" t="n">
        <x:v>4177.74</x:v>
      </x:c>
      <x:c r="Q692" s="10" t="str">
        <x:v>Vencido</x:v>
      </x:c>
      <x:c r="R692" s="10" t="str">
        <x:v>PIX</x:v>
      </x:c>
      <x:c r="S692" s="10" t="str">
        <x:v>2025-11</x:v>
      </x:c>
      <x:c r="T692" s="10" t="n">
        <x:v>4</x:v>
      </x:c>
      <x:c r="U692" s="10" t="str">
        <x:v>1 a 30 dias</x:v>
      </x:c>
      <x:c r="V692" s="10" t="str">
        <x:v>UND001</x:v>
      </x:c>
    </x:row>
    <x:row r="693" ht="18" customHeight="1">
      <x:c r="A693" s="10" t="str">
        <x:v>PAG00692</x:v>
      </x:c>
      <x:c r="B693" s="10" t="str">
        <x:v>EMP002</x:v>
      </x:c>
      <x:c r="C693" s="10" t="str">
        <x:v>FOR006</x:v>
      </x:c>
      <x:c r="D693" s="10" t="str">
        <x:v>CC004</x:v>
      </x:c>
      <x:c r="E693" s="10" t="str">
        <x:v>CAT012</x:v>
      </x:c>
      <x:c r="F693" s="10" t="str">
        <x:v>CTA004</x:v>
      </x:c>
      <x:c r="G693" s="10" t="str">
        <x:v>NF-100692</x:v>
      </x:c>
      <x:c r="H693" s="10" t="str">
        <x:v>Prestação de serviços</x:v>
      </x:c>
      <x:c r="I693" s="16" t="n">
        <x:v>45965.50161057871</x:v>
      </x:c>
      <x:c r="J693" s="16" t="n">
        <x:v>45980.50161057871</x:v>
      </x:c>
      <x:c r="K693" s="16" t="n">
        <x:v>46006.50161057871</x:v>
      </x:c>
      <x:c r="L693" s="20" t="n">
        <x:v>22553.79</x:v>
      </x:c>
      <x:c r="M693" s="20" t="n">
        <x:v>410.48</x:v>
      </x:c>
      <x:c r="N693" s="20" t="n">
        <x:v>0</x:v>
      </x:c>
      <x:c r="O693" s="20" t="n">
        <x:v>22964.27</x:v>
      </x:c>
      <x:c r="P693" s="20" t="n">
        <x:v>0</x:v>
      </x:c>
      <x:c r="Q693" s="10" t="str">
        <x:v>Pago</x:v>
      </x:c>
      <x:c r="R693" s="10" t="str">
        <x:v>Cartão Corporativo</x:v>
      </x:c>
      <x:c r="S693" s="10" t="str">
        <x:v>2025-11</x:v>
      </x:c>
      <x:c r="T693" s="10" t="n">
        <x:v>0</x:v>
      </x:c>
      <x:c r="U693" s="10" t="str">
        <x:v>Liquidado</x:v>
      </x:c>
      <x:c r="V693" s="10" t="str">
        <x:v>UND003</x:v>
      </x:c>
    </x:row>
    <x:row r="694" ht="18" customHeight="1">
      <x:c r="A694" s="10" t="str">
        <x:v>PAG00693</x:v>
      </x:c>
      <x:c r="B694" s="10" t="str">
        <x:v>EMP002</x:v>
      </x:c>
      <x:c r="C694" s="10" t="str">
        <x:v>FOR008</x:v>
      </x:c>
      <x:c r="D694" s="10" t="str">
        <x:v>CC002</x:v>
      </x:c>
      <x:c r="E694" s="10" t="str">
        <x:v>CAT016</x:v>
      </x:c>
      <x:c r="F694" s="10" t="str">
        <x:v>CTA003</x:v>
      </x:c>
      <x:c r="G694" s="10" t="str">
        <x:v>NF-100693</x:v>
      </x:c>
      <x:c r="H694" s="10" t="str">
        <x:v>Despesa operacional</x:v>
      </x:c>
      <x:c r="I694" s="16" t="n">
        <x:v>46006.1529925463</x:v>
      </x:c>
      <x:c r="J694" s="16" t="n">
        <x:v>46081.1529925463</x:v>
      </x:c>
      <x:c r="K694" s="16"/>
      <x:c r="L694" s="20" t="n">
        <x:v>62909.75</x:v>
      </x:c>
      <x:c r="M694" s="20" t="n">
        <x:v>0</x:v>
      </x:c>
      <x:c r="N694" s="20" t="n">
        <x:v>0</x:v>
      </x:c>
      <x:c r="O694" s="20" t="n">
        <x:v>0</x:v>
      </x:c>
      <x:c r="P694" s="20" t="n">
        <x:v>62909.75</x:v>
      </x:c>
      <x:c r="Q694" s="10" t="str">
        <x:v>A vencer</x:v>
      </x:c>
      <x:c r="R694" s="10" t="str">
        <x:v>TED</x:v>
      </x:c>
      <x:c r="S694" s="10" t="str">
        <x:v>2025-12</x:v>
      </x:c>
      <x:c r="T694" s="10" t="n">
        <x:v>0</x:v>
      </x:c>
      <x:c r="U694" s="10" t="str">
        <x:v>A vencer</x:v>
      </x:c>
      <x:c r="V694" s="10" t="str">
        <x:v>UND003</x:v>
      </x:c>
    </x:row>
    <x:row r="695" ht="18" customHeight="1">
      <x:c r="A695" s="10" t="str">
        <x:v>PAG00694</x:v>
      </x:c>
      <x:c r="B695" s="10" t="str">
        <x:v>EMP003</x:v>
      </x:c>
      <x:c r="C695" s="10" t="str">
        <x:v>FOR054</x:v>
      </x:c>
      <x:c r="D695" s="10" t="str">
        <x:v>CC006</x:v>
      </x:c>
      <x:c r="E695" s="10" t="str">
        <x:v>CAT010</x:v>
      </x:c>
      <x:c r="F695" s="10" t="str">
        <x:v>CTA006</x:v>
      </x:c>
      <x:c r="G695" s="10" t="str">
        <x:v>NF-100694</x:v>
      </x:c>
      <x:c r="H695" s="10" t="str">
        <x:v>Prestação de serviços</x:v>
      </x:c>
      <x:c r="I695" s="16" t="n">
        <x:v>45729.35036532408</x:v>
      </x:c>
      <x:c r="J695" s="16" t="n">
        <x:v>45804.35036532408</x:v>
      </x:c>
      <x:c r="K695" s="16" t="n">
        <x:v>45802.35036532408</x:v>
      </x:c>
      <x:c r="L695" s="20" t="n">
        <x:v>63479.88</x:v>
      </x:c>
      <x:c r="M695" s="20" t="n">
        <x:v>0</x:v>
      </x:c>
      <x:c r="N695" s="20" t="n">
        <x:v>0</x:v>
      </x:c>
      <x:c r="O695" s="20" t="n">
        <x:v>63479.88</x:v>
      </x:c>
      <x:c r="P695" s="20" t="n">
        <x:v>0</x:v>
      </x:c>
      <x:c r="Q695" s="10" t="str">
        <x:v>Pago</x:v>
      </x:c>
      <x:c r="R695" s="10" t="str">
        <x:v>PIX</x:v>
      </x:c>
      <x:c r="S695" s="10" t="str">
        <x:v>2025-03</x:v>
      </x:c>
      <x:c r="T695" s="10" t="n">
        <x:v>0</x:v>
      </x:c>
      <x:c r="U695" s="10" t="str">
        <x:v>Liquidado</x:v>
      </x:c>
      <x:c r="V695" s="10" t="str">
        <x:v>UND004</x:v>
      </x:c>
    </x:row>
    <x:row r="696" ht="18" customHeight="1">
      <x:c r="A696" s="10" t="str">
        <x:v>PAG00695</x:v>
      </x:c>
      <x:c r="B696" s="10" t="str">
        <x:v>EMP003</x:v>
      </x:c>
      <x:c r="C696" s="10" t="str">
        <x:v>FOR028</x:v>
      </x:c>
      <x:c r="D696" s="10" t="str">
        <x:v>CC002</x:v>
      </x:c>
      <x:c r="E696" s="10" t="str">
        <x:v>CAT014</x:v>
      </x:c>
      <x:c r="F696" s="10" t="str">
        <x:v>CTA005</x:v>
      </x:c>
      <x:c r="G696" s="10" t="str">
        <x:v>NF-100695</x:v>
      </x:c>
      <x:c r="H696" s="10" t="str">
        <x:v>Despesa operacional</x:v>
      </x:c>
      <x:c r="I696" s="16" t="n">
        <x:v>45636.591501793984</x:v>
      </x:c>
      <x:c r="J696" s="16" t="n">
        <x:v>45664.591501793984</x:v>
      </x:c>
      <x:c r="K696" s="16" t="n">
        <x:v>45674.591501793984</x:v>
      </x:c>
      <x:c r="L696" s="20" t="n">
        <x:v>1877.25</x:v>
      </x:c>
      <x:c r="M696" s="20" t="n">
        <x:v>13.14</x:v>
      </x:c>
      <x:c r="N696" s="20" t="n">
        <x:v>0</x:v>
      </x:c>
      <x:c r="O696" s="20" t="n">
        <x:v>1890.39</x:v>
      </x:c>
      <x:c r="P696" s="20" t="n">
        <x:v>0</x:v>
      </x:c>
      <x:c r="Q696" s="10" t="str">
        <x:v>Pago</x:v>
      </x:c>
      <x:c r="R696" s="10" t="str">
        <x:v>Cartão Corporativo</x:v>
      </x:c>
      <x:c r="S696" s="10" t="str">
        <x:v>2024-12</x:v>
      </x:c>
      <x:c r="T696" s="10" t="n">
        <x:v>0</x:v>
      </x:c>
      <x:c r="U696" s="10" t="str">
        <x:v>Liquidado</x:v>
      </x:c>
      <x:c r="V696" s="10" t="str">
        <x:v>UND004</x:v>
      </x:c>
    </x:row>
    <x:row r="697" ht="18" customHeight="1">
      <x:c r="A697" s="10" t="str">
        <x:v>PAG00696</x:v>
      </x:c>
      <x:c r="B697" s="10" t="str">
        <x:v>EMP001</x:v>
      </x:c>
      <x:c r="C697" s="10" t="str">
        <x:v>FOR006</x:v>
      </x:c>
      <x:c r="D697" s="10" t="str">
        <x:v>CC008</x:v>
      </x:c>
      <x:c r="E697" s="10" t="str">
        <x:v>CAT013</x:v>
      </x:c>
      <x:c r="F697" s="10" t="str">
        <x:v>CTA002</x:v>
      </x:c>
      <x:c r="G697" s="10" t="str">
        <x:v>NF-100696</x:v>
      </x:c>
      <x:c r="H697" s="10" t="str">
        <x:v>Prestação de serviços</x:v>
      </x:c>
      <x:c r="I697" s="16" t="n">
        <x:v>45440.53780726852</x:v>
      </x:c>
      <x:c r="J697" s="16" t="n">
        <x:v>45468.53780726852</x:v>
      </x:c>
      <x:c r="K697" s="16"/>
      <x:c r="L697" s="20" t="n">
        <x:v>17639.51</x:v>
      </x:c>
      <x:c r="M697" s="20" t="n">
        <x:v>0</x:v>
      </x:c>
      <x:c r="N697" s="20" t="n">
        <x:v>0</x:v>
      </x:c>
      <x:c r="O697" s="20" t="n">
        <x:v>0</x:v>
      </x:c>
      <x:c r="P697" s="20" t="n">
        <x:v>17639.51</x:v>
      </x:c>
      <x:c r="Q697" s="10" t="str">
        <x:v>Vencido</x:v>
      </x:c>
      <x:c r="R697" s="10" t="str">
        <x:v>TED</x:v>
      </x:c>
      <x:c r="S697" s="10" t="str">
        <x:v>2024-05</x:v>
      </x:c>
      <x:c r="T697" s="10" t="n">
        <x:v>553</x:v>
      </x:c>
      <x:c r="U697" s="10" t="str">
        <x:v>&gt; 120 dias</x:v>
      </x:c>
      <x:c r="V697" s="10" t="str">
        <x:v>UND002</x:v>
      </x:c>
    </x:row>
    <x:row r="698" ht="18" customHeight="1">
      <x:c r="A698" s="10" t="str">
        <x:v>PAG00697</x:v>
      </x:c>
      <x:c r="B698" s="10" t="str">
        <x:v>EMP002</x:v>
      </x:c>
      <x:c r="C698" s="10" t="str">
        <x:v>FOR027</x:v>
      </x:c>
      <x:c r="D698" s="10" t="str">
        <x:v>CC001</x:v>
      </x:c>
      <x:c r="E698" s="10" t="str">
        <x:v>CAT014</x:v>
      </x:c>
      <x:c r="F698" s="10" t="str">
        <x:v>CTA003</x:v>
      </x:c>
      <x:c r="G698" s="10" t="str">
        <x:v>NF-100697</x:v>
      </x:c>
      <x:c r="H698" s="10" t="str">
        <x:v>Despesa operacional</x:v>
      </x:c>
      <x:c r="I698" s="16" t="n">
        <x:v>45716.92313322917</x:v>
      </x:c>
      <x:c r="J698" s="16" t="n">
        <x:v>45751.92313322917</x:v>
      </x:c>
      <x:c r="K698" s="16" t="n">
        <x:v>45752.92313322917</x:v>
      </x:c>
      <x:c r="L698" s="20" t="n">
        <x:v>38977.61</x:v>
      </x:c>
      <x:c r="M698" s="20" t="n">
        <x:v>27.28</x:v>
      </x:c>
      <x:c r="N698" s="20" t="n">
        <x:v>0</x:v>
      </x:c>
      <x:c r="O698" s="20" t="n">
        <x:v>39004.89</x:v>
      </x:c>
      <x:c r="P698" s="20" t="n">
        <x:v>0</x:v>
      </x:c>
      <x:c r="Q698" s="10" t="str">
        <x:v>Pago</x:v>
      </x:c>
      <x:c r="R698" s="10" t="str">
        <x:v>TED</x:v>
      </x:c>
      <x:c r="S698" s="10" t="str">
        <x:v>2025-02</x:v>
      </x:c>
      <x:c r="T698" s="10" t="n">
        <x:v>0</x:v>
      </x:c>
      <x:c r="U698" s="10" t="str">
        <x:v>Liquidado</x:v>
      </x:c>
      <x:c r="V698" s="10" t="str">
        <x:v>UND003</x:v>
      </x:c>
    </x:row>
    <x:row r="699" ht="18" customHeight="1">
      <x:c r="A699" s="10" t="str">
        <x:v>PAG00698</x:v>
      </x:c>
      <x:c r="B699" s="10" t="str">
        <x:v>EMP001</x:v>
      </x:c>
      <x:c r="C699" s="10" t="str">
        <x:v>FOR030</x:v>
      </x:c>
      <x:c r="D699" s="10" t="str">
        <x:v>CC007</x:v>
      </x:c>
      <x:c r="E699" s="10" t="str">
        <x:v>CAT009</x:v>
      </x:c>
      <x:c r="F699" s="10" t="str">
        <x:v>CTA001</x:v>
      </x:c>
      <x:c r="G699" s="10" t="str">
        <x:v>NF-100698</x:v>
      </x:c>
      <x:c r="H699" s="10" t="str">
        <x:v>Tributos e taxas</x:v>
      </x:c>
      <x:c r="I699" s="16" t="n">
        <x:v>45908.478244895836</x:v>
      </x:c>
      <x:c r="J699" s="16" t="n">
        <x:v>45936.478244895836</x:v>
      </x:c>
      <x:c r="K699" s="16" t="n">
        <x:v>45941.478244895836</x:v>
      </x:c>
      <x:c r="L699" s="20" t="n">
        <x:v>86325.86</x:v>
      </x:c>
      <x:c r="M699" s="20" t="n">
        <x:v>302.14</x:v>
      </x:c>
      <x:c r="N699" s="20" t="n">
        <x:v>0</x:v>
      </x:c>
      <x:c r="O699" s="20" t="n">
        <x:v>86628</x:v>
      </x:c>
      <x:c r="P699" s="20" t="n">
        <x:v>0</x:v>
      </x:c>
      <x:c r="Q699" s="10" t="str">
        <x:v>Pago</x:v>
      </x:c>
      <x:c r="R699" s="10" t="str">
        <x:v>TED</x:v>
      </x:c>
      <x:c r="S699" s="10" t="str">
        <x:v>2025-09</x:v>
      </x:c>
      <x:c r="T699" s="10" t="n">
        <x:v>0</x:v>
      </x:c>
      <x:c r="U699" s="10" t="str">
        <x:v>Liquidado</x:v>
      </x:c>
      <x:c r="V699" s="10" t="str">
        <x:v>UND002</x:v>
      </x:c>
    </x:row>
    <x:row r="700" ht="18" customHeight="1">
      <x:c r="A700" s="10" t="str">
        <x:v>PAG00699</x:v>
      </x:c>
      <x:c r="B700" s="10" t="str">
        <x:v>EMP002</x:v>
      </x:c>
      <x:c r="C700" s="10" t="str">
        <x:v>FOR015</x:v>
      </x:c>
      <x:c r="D700" s="10" t="str">
        <x:v>CC006</x:v>
      </x:c>
      <x:c r="E700" s="10" t="str">
        <x:v>CAT012</x:v>
      </x:c>
      <x:c r="F700" s="10" t="str">
        <x:v>CTA004</x:v>
      </x:c>
      <x:c r="G700" s="10" t="str">
        <x:v>NF-100699</x:v>
      </x:c>
      <x:c r="H700" s="10" t="str">
        <x:v>Compra de materiais</x:v>
      </x:c>
      <x:c r="I700" s="16" t="n">
        <x:v>45923.90636346065</x:v>
      </x:c>
      <x:c r="J700" s="16" t="n">
        <x:v>45968.90636346065</x:v>
      </x:c>
      <x:c r="K700" s="16" t="n">
        <x:v>45964.90636346065</x:v>
      </x:c>
      <x:c r="L700" s="20" t="n">
        <x:v>58262.76</x:v>
      </x:c>
      <x:c r="M700" s="20" t="n">
        <x:v>0</x:v>
      </x:c>
      <x:c r="N700" s="20" t="n">
        <x:v>873.94</x:v>
      </x:c>
      <x:c r="O700" s="20" t="n">
        <x:v>57388.82</x:v>
      </x:c>
      <x:c r="P700" s="20" t="n">
        <x:v>0</x:v>
      </x:c>
      <x:c r="Q700" s="10" t="str">
        <x:v>Pago</x:v>
      </x:c>
      <x:c r="R700" s="10" t="str">
        <x:v>Boleto</x:v>
      </x:c>
      <x:c r="S700" s="10" t="str">
        <x:v>2025-09</x:v>
      </x:c>
      <x:c r="T700" s="10" t="n">
        <x:v>0</x:v>
      </x:c>
      <x:c r="U700" s="10" t="str">
        <x:v>Liquidado</x:v>
      </x:c>
      <x:c r="V700" s="10" t="str">
        <x:v>UND003</x:v>
      </x:c>
    </x:row>
    <x:row r="701" ht="18" customHeight="1">
      <x:c r="A701" s="10" t="str">
        <x:v>PAG00700</x:v>
      </x:c>
      <x:c r="B701" s="10" t="str">
        <x:v>EMP002</x:v>
      </x:c>
      <x:c r="C701" s="10" t="str">
        <x:v>FOR056</x:v>
      </x:c>
      <x:c r="D701" s="10" t="str">
        <x:v>CC003</x:v>
      </x:c>
      <x:c r="E701" s="10" t="str">
        <x:v>CAT011</x:v>
      </x:c>
      <x:c r="F701" s="10" t="str">
        <x:v>CTA003</x:v>
      </x:c>
      <x:c r="G701" s="10" t="str">
        <x:v>NF-100700</x:v>
      </x:c>
      <x:c r="H701" s="10" t="str">
        <x:v>Contrato recorrente</x:v>
      </x:c>
      <x:c r="I701" s="16" t="n">
        <x:v>45405.0829581713</x:v>
      </x:c>
      <x:c r="J701" s="16" t="n">
        <x:v>45440.0829581713</x:v>
      </x:c>
      <x:c r="K701" s="16" t="n">
        <x:v>45439.0829581713</x:v>
      </x:c>
      <x:c r="L701" s="20" t="n">
        <x:v>651.4</x:v>
      </x:c>
      <x:c r="M701" s="20" t="n">
        <x:v>0</x:v>
      </x:c>
      <x:c r="N701" s="20" t="n">
        <x:v>0</x:v>
      </x:c>
      <x:c r="O701" s="20" t="n">
        <x:v>651.4</x:v>
      </x:c>
      <x:c r="P701" s="20" t="n">
        <x:v>0</x:v>
      </x:c>
      <x:c r="Q701" s="10" t="str">
        <x:v>Pago</x:v>
      </x:c>
      <x:c r="R701" s="10" t="str">
        <x:v>TED</x:v>
      </x:c>
      <x:c r="S701" s="10" t="str">
        <x:v>2024-04</x:v>
      </x:c>
      <x:c r="T701" s="10" t="n">
        <x:v>0</x:v>
      </x:c>
      <x:c r="U701" s="10" t="str">
        <x:v>Liquidado</x:v>
      </x:c>
      <x:c r="V701" s="10" t="str">
        <x:v>UND003</x:v>
      </x:c>
    </x:row>
    <x:row r="702" ht="18" customHeight="1">
      <x:c r="A702" s="10" t="str">
        <x:v>PAG00701</x:v>
      </x:c>
      <x:c r="B702" s="10" t="str">
        <x:v>EMP003</x:v>
      </x:c>
      <x:c r="C702" s="10" t="str">
        <x:v>FOR030</x:v>
      </x:c>
      <x:c r="D702" s="10" t="str">
        <x:v>CC001</x:v>
      </x:c>
      <x:c r="E702" s="10" t="str">
        <x:v>CAT006</x:v>
      </x:c>
      <x:c r="F702" s="10" t="str">
        <x:v>CTA006</x:v>
      </x:c>
      <x:c r="G702" s="10" t="str">
        <x:v>NF-100701</x:v>
      </x:c>
      <x:c r="H702" s="10" t="str">
        <x:v>Prestação de serviços</x:v>
      </x:c>
      <x:c r="I702" s="16" t="n">
        <x:v>45343.36947560185</x:v>
      </x:c>
      <x:c r="J702" s="16" t="n">
        <x:v>45358.36947560185</x:v>
      </x:c>
      <x:c r="K702" s="16"/>
      <x:c r="L702" s="20" t="n">
        <x:v>4761.61</x:v>
      </x:c>
      <x:c r="M702" s="20" t="n">
        <x:v>0</x:v>
      </x:c>
      <x:c r="N702" s="20" t="n">
        <x:v>0</x:v>
      </x:c>
      <x:c r="O702" s="20" t="n">
        <x:v>0</x:v>
      </x:c>
      <x:c r="P702" s="20" t="n">
        <x:v>4761.61</x:v>
      </x:c>
      <x:c r="Q702" s="10" t="str">
        <x:v>Vencido</x:v>
      </x:c>
      <x:c r="R702" s="10" t="str">
        <x:v>Débito Automático</x:v>
      </x:c>
      <x:c r="S702" s="10" t="str">
        <x:v>2024-02</x:v>
      </x:c>
      <x:c r="T702" s="10" t="n">
        <x:v>663</x:v>
      </x:c>
      <x:c r="U702" s="10" t="str">
        <x:v>&gt; 120 dias</x:v>
      </x:c>
      <x:c r="V702" s="10" t="str">
        <x:v>UND004</x:v>
      </x:c>
    </x:row>
    <x:row r="703" ht="18" customHeight="1">
      <x:c r="A703" s="10" t="str">
        <x:v>PAG00702</x:v>
      </x:c>
      <x:c r="B703" s="10" t="str">
        <x:v>EMP001</x:v>
      </x:c>
      <x:c r="C703" s="10" t="str">
        <x:v>FOR011</x:v>
      </x:c>
      <x:c r="D703" s="10" t="str">
        <x:v>CC006</x:v>
      </x:c>
      <x:c r="E703" s="10" t="str">
        <x:v>CAT007</x:v>
      </x:c>
      <x:c r="F703" s="10" t="str">
        <x:v>CTA001</x:v>
      </x:c>
      <x:c r="G703" s="10" t="str">
        <x:v>NF-100702</x:v>
      </x:c>
      <x:c r="H703" s="10" t="str">
        <x:v>Prestação de serviços</x:v>
      </x:c>
      <x:c r="I703" s="16" t="n">
        <x:v>45677.88913537037</x:v>
      </x:c>
      <x:c r="J703" s="16" t="n">
        <x:v>45697.88913537037</x:v>
      </x:c>
      <x:c r="K703" s="16" t="n">
        <x:v>45716.88913537037</x:v>
      </x:c>
      <x:c r="L703" s="20" t="n">
        <x:v>15505.12</x:v>
      </x:c>
      <x:c r="M703" s="20" t="n">
        <x:v>206.22</x:v>
      </x:c>
      <x:c r="N703" s="20" t="n">
        <x:v>0</x:v>
      </x:c>
      <x:c r="O703" s="20" t="n">
        <x:v>15711.34</x:v>
      </x:c>
      <x:c r="P703" s="20" t="n">
        <x:v>0</x:v>
      </x:c>
      <x:c r="Q703" s="10" t="str">
        <x:v>Pago</x:v>
      </x:c>
      <x:c r="R703" s="10" t="str">
        <x:v>PIX</x:v>
      </x:c>
      <x:c r="S703" s="10" t="str">
        <x:v>2025-01</x:v>
      </x:c>
      <x:c r="T703" s="10" t="n">
        <x:v>0</x:v>
      </x:c>
      <x:c r="U703" s="10" t="str">
        <x:v>Liquidado</x:v>
      </x:c>
      <x:c r="V703" s="10" t="str">
        <x:v>UND001</x:v>
      </x:c>
    </x:row>
    <x:row r="704" ht="18" customHeight="1">
      <x:c r="A704" s="10" t="str">
        <x:v>PAG00703</x:v>
      </x:c>
      <x:c r="B704" s="10" t="str">
        <x:v>EMP002</x:v>
      </x:c>
      <x:c r="C704" s="10" t="str">
        <x:v>FOR022</x:v>
      </x:c>
      <x:c r="D704" s="10" t="str">
        <x:v>CC006</x:v>
      </x:c>
      <x:c r="E704" s="10" t="str">
        <x:v>CAT011</x:v>
      </x:c>
      <x:c r="F704" s="10" t="str">
        <x:v>CTA003</x:v>
      </x:c>
      <x:c r="G704" s="10" t="str">
        <x:v>NF-100703</x:v>
      </x:c>
      <x:c r="H704" s="10" t="str">
        <x:v>Prestação de serviços</x:v>
      </x:c>
      <x:c r="I704" s="16" t="n">
        <x:v>45995.405042060185</x:v>
      </x:c>
      <x:c r="J704" s="16" t="n">
        <x:v>46010.405042060185</x:v>
      </x:c>
      <x:c r="K704" s="16" t="n">
        <x:v>46003.405042060185</x:v>
      </x:c>
      <x:c r="L704" s="20" t="n">
        <x:v>28012.81</x:v>
      </x:c>
      <x:c r="M704" s="20" t="n">
        <x:v>0</x:v>
      </x:c>
      <x:c r="N704" s="20" t="n">
        <x:v>0</x:v>
      </x:c>
      <x:c r="O704" s="20" t="n">
        <x:v>28012.81</x:v>
      </x:c>
      <x:c r="P704" s="20" t="n">
        <x:v>0</x:v>
      </x:c>
      <x:c r="Q704" s="10" t="str">
        <x:v>Pago</x:v>
      </x:c>
      <x:c r="R704" s="10" t="str">
        <x:v>Débito Automático</x:v>
      </x:c>
      <x:c r="S704" s="10" t="str">
        <x:v>2025-12</x:v>
      </x:c>
      <x:c r="T704" s="10" t="n">
        <x:v>0</x:v>
      </x:c>
      <x:c r="U704" s="10" t="str">
        <x:v>Liquidado</x:v>
      </x:c>
      <x:c r="V704" s="10" t="str">
        <x:v>UND003</x:v>
      </x:c>
    </x:row>
    <x:row r="705" ht="18" customHeight="1">
      <x:c r="A705" s="10" t="str">
        <x:v>PAG00704</x:v>
      </x:c>
      <x:c r="B705" s="10" t="str">
        <x:v>EMP003</x:v>
      </x:c>
      <x:c r="C705" s="10" t="str">
        <x:v>FOR013</x:v>
      </x:c>
      <x:c r="D705" s="10" t="str">
        <x:v>CC006</x:v>
      </x:c>
      <x:c r="E705" s="10" t="str">
        <x:v>CAT005</x:v>
      </x:c>
      <x:c r="F705" s="10" t="str">
        <x:v>CTA005</x:v>
      </x:c>
      <x:c r="G705" s="10" t="str">
        <x:v>NF-100704</x:v>
      </x:c>
      <x:c r="H705" s="10" t="str">
        <x:v>Tributos e taxas</x:v>
      </x:c>
      <x:c r="I705" s="16" t="n">
        <x:v>45450.200397685185</x:v>
      </x:c>
      <x:c r="J705" s="16" t="n">
        <x:v>45510.200397685185</x:v>
      </x:c>
      <x:c r="K705" s="16" t="n">
        <x:v>45511.200397685185</x:v>
      </x:c>
      <x:c r="L705" s="20" t="n">
        <x:v>102621.81</x:v>
      </x:c>
      <x:c r="M705" s="20" t="n">
        <x:v>71.84</x:v>
      </x:c>
      <x:c r="N705" s="20" t="n">
        <x:v>0</x:v>
      </x:c>
      <x:c r="O705" s="20" t="n">
        <x:v>102693.65</x:v>
      </x:c>
      <x:c r="P705" s="20" t="n">
        <x:v>0</x:v>
      </x:c>
      <x:c r="Q705" s="10" t="str">
        <x:v>Pago</x:v>
      </x:c>
      <x:c r="R705" s="10" t="str">
        <x:v>PIX</x:v>
      </x:c>
      <x:c r="S705" s="10" t="str">
        <x:v>2024-06</x:v>
      </x:c>
      <x:c r="T705" s="10" t="n">
        <x:v>0</x:v>
      </x:c>
      <x:c r="U705" s="10" t="str">
        <x:v>Liquidado</x:v>
      </x:c>
      <x:c r="V705" s="10" t="str">
        <x:v>UND004</x:v>
      </x:c>
    </x:row>
    <x:row r="706" ht="18" customHeight="1">
      <x:c r="A706" s="10" t="str">
        <x:v>PAG00705</x:v>
      </x:c>
      <x:c r="B706" s="10" t="str">
        <x:v>EMP002</x:v>
      </x:c>
      <x:c r="C706" s="10" t="str">
        <x:v>FOR039</x:v>
      </x:c>
      <x:c r="D706" s="10" t="str">
        <x:v>CC008</x:v>
      </x:c>
      <x:c r="E706" s="10" t="str">
        <x:v>CAT016</x:v>
      </x:c>
      <x:c r="F706" s="10" t="str">
        <x:v>CTA003</x:v>
      </x:c>
      <x:c r="G706" s="10" t="str">
        <x:v>NF-100705</x:v>
      </x:c>
      <x:c r="H706" s="10" t="str">
        <x:v>Compra de materiais</x:v>
      </x:c>
      <x:c r="I706" s="16" t="n">
        <x:v>45732.446549328706</x:v>
      </x:c>
      <x:c r="J706" s="16" t="n">
        <x:v>45792.446549328706</x:v>
      </x:c>
      <x:c r="K706" s="16"/>
      <x:c r="L706" s="20" t="n">
        <x:v>41114.49</x:v>
      </x:c>
      <x:c r="M706" s="20" t="n">
        <x:v>0</x:v>
      </x:c>
      <x:c r="N706" s="20" t="n">
        <x:v>0</x:v>
      </x:c>
      <x:c r="O706" s="20" t="n">
        <x:v>0</x:v>
      </x:c>
      <x:c r="P706" s="20" t="n">
        <x:v>41114.49</x:v>
      </x:c>
      <x:c r="Q706" s="10" t="str">
        <x:v>Vencido</x:v>
      </x:c>
      <x:c r="R706" s="10" t="str">
        <x:v>Débito Automático</x:v>
      </x:c>
      <x:c r="S706" s="10" t="str">
        <x:v>2025-03</x:v>
      </x:c>
      <x:c r="T706" s="10" t="n">
        <x:v>229</x:v>
      </x:c>
      <x:c r="U706" s="10" t="str">
        <x:v>&gt; 120 dias</x:v>
      </x:c>
      <x:c r="V706" s="10" t="str">
        <x:v>UND003</x:v>
      </x:c>
    </x:row>
    <x:row r="707" ht="18" customHeight="1">
      <x:c r="A707" s="10" t="str">
        <x:v>PAG00706</x:v>
      </x:c>
      <x:c r="B707" s="10" t="str">
        <x:v>EMP001</x:v>
      </x:c>
      <x:c r="C707" s="10" t="str">
        <x:v>FOR001</x:v>
      </x:c>
      <x:c r="D707" s="10" t="str">
        <x:v>CC003</x:v>
      </x:c>
      <x:c r="E707" s="10" t="str">
        <x:v>CAT005</x:v>
      </x:c>
      <x:c r="F707" s="10" t="str">
        <x:v>CTA002</x:v>
      </x:c>
      <x:c r="G707" s="10" t="str">
        <x:v>NF-100706</x:v>
      </x:c>
      <x:c r="H707" s="10" t="str">
        <x:v>Prestação de serviços</x:v>
      </x:c>
      <x:c r="I707" s="16" t="n">
        <x:v>45710.731648333334</x:v>
      </x:c>
      <x:c r="J707" s="16" t="n">
        <x:v>45755.731648333334</x:v>
      </x:c>
      <x:c r="K707" s="16" t="n">
        <x:v>45763.731648333334</x:v>
      </x:c>
      <x:c r="L707" s="20" t="n">
        <x:v>30466.33</x:v>
      </x:c>
      <x:c r="M707" s="20" t="n">
        <x:v>170.61</x:v>
      </x:c>
      <x:c r="N707" s="20" t="n">
        <x:v>0</x:v>
      </x:c>
      <x:c r="O707" s="20" t="n">
        <x:v>30636.94</x:v>
      </x:c>
      <x:c r="P707" s="20" t="n">
        <x:v>0</x:v>
      </x:c>
      <x:c r="Q707" s="10" t="str">
        <x:v>Pago</x:v>
      </x:c>
      <x:c r="R707" s="10" t="str">
        <x:v>TED</x:v>
      </x:c>
      <x:c r="S707" s="10" t="str">
        <x:v>2025-02</x:v>
      </x:c>
      <x:c r="T707" s="10" t="n">
        <x:v>0</x:v>
      </x:c>
      <x:c r="U707" s="10" t="str">
        <x:v>Liquidado</x:v>
      </x:c>
      <x:c r="V707" s="10" t="str">
        <x:v>UND002</x:v>
      </x:c>
    </x:row>
    <x:row r="708" ht="18" customHeight="1">
      <x:c r="A708" s="10" t="str">
        <x:v>PAG00707</x:v>
      </x:c>
      <x:c r="B708" s="10" t="str">
        <x:v>EMP002</x:v>
      </x:c>
      <x:c r="C708" s="10" t="str">
        <x:v>FOR028</x:v>
      </x:c>
      <x:c r="D708" s="10" t="str">
        <x:v>CC005</x:v>
      </x:c>
      <x:c r="E708" s="10" t="str">
        <x:v>CAT016</x:v>
      </x:c>
      <x:c r="F708" s="10" t="str">
        <x:v>CTA004</x:v>
      </x:c>
      <x:c r="G708" s="10" t="str">
        <x:v>NF-100707</x:v>
      </x:c>
      <x:c r="H708" s="10" t="str">
        <x:v>Compra de materiais</x:v>
      </x:c>
      <x:c r="I708" s="16" t="n">
        <x:v>45929.03351059028</x:v>
      </x:c>
      <x:c r="J708" s="16" t="n">
        <x:v>45989.03351059028</x:v>
      </x:c>
      <x:c r="K708" s="16"/>
      <x:c r="L708" s="20" t="n">
        <x:v>985.26</x:v>
      </x:c>
      <x:c r="M708" s="20" t="n">
        <x:v>0</x:v>
      </x:c>
      <x:c r="N708" s="20" t="n">
        <x:v>0</x:v>
      </x:c>
      <x:c r="O708" s="20" t="n">
        <x:v>0</x:v>
      </x:c>
      <x:c r="P708" s="20" t="n">
        <x:v>985.26</x:v>
      </x:c>
      <x:c r="Q708" s="10" t="str">
        <x:v>Vencido</x:v>
      </x:c>
      <x:c r="R708" s="10" t="str">
        <x:v>TED</x:v>
      </x:c>
      <x:c r="S708" s="10" t="str">
        <x:v>2025-09</x:v>
      </x:c>
      <x:c r="T708" s="10" t="n">
        <x:v>32</x:v>
      </x:c>
      <x:c r="U708" s="10" t="str">
        <x:v>31 a 60 dias</x:v>
      </x:c>
      <x:c r="V708" s="10" t="str">
        <x:v>UND003</x:v>
      </x:c>
    </x:row>
    <x:row r="709" ht="18" customHeight="1">
      <x:c r="A709" s="10" t="str">
        <x:v>PAG00708</x:v>
      </x:c>
      <x:c r="B709" s="10" t="str">
        <x:v>EMP001</x:v>
      </x:c>
      <x:c r="C709" s="10" t="str">
        <x:v>FOR007</x:v>
      </x:c>
      <x:c r="D709" s="10" t="str">
        <x:v>CC004</x:v>
      </x:c>
      <x:c r="E709" s="10" t="str">
        <x:v>CAT015</x:v>
      </x:c>
      <x:c r="F709" s="10" t="str">
        <x:v>CTA001</x:v>
      </x:c>
      <x:c r="G709" s="10" t="str">
        <x:v>NF-100708</x:v>
      </x:c>
      <x:c r="H709" s="10" t="str">
        <x:v>Contrato recorrente</x:v>
      </x:c>
      <x:c r="I709" s="16" t="n">
        <x:v>46004.1766931713</x:v>
      </x:c>
      <x:c r="J709" s="16" t="n">
        <x:v>46079.1766931713</x:v>
      </x:c>
      <x:c r="K709" s="16"/>
      <x:c r="L709" s="20" t="n">
        <x:v>616.21</x:v>
      </x:c>
      <x:c r="M709" s="20" t="n">
        <x:v>0</x:v>
      </x:c>
      <x:c r="N709" s="20" t="n">
        <x:v>0</x:v>
      </x:c>
      <x:c r="O709" s="20" t="n">
        <x:v>0</x:v>
      </x:c>
      <x:c r="P709" s="20" t="n">
        <x:v>616.21</x:v>
      </x:c>
      <x:c r="Q709" s="10" t="str">
        <x:v>A vencer</x:v>
      </x:c>
      <x:c r="R709" s="10" t="str">
        <x:v>Cartão Corporativo</x:v>
      </x:c>
      <x:c r="S709" s="10" t="str">
        <x:v>2025-12</x:v>
      </x:c>
      <x:c r="T709" s="10" t="n">
        <x:v>0</x:v>
      </x:c>
      <x:c r="U709" s="10" t="str">
        <x:v>A vencer</x:v>
      </x:c>
      <x:c r="V709" s="10" t="str">
        <x:v>UND002</x:v>
      </x:c>
    </x:row>
    <x:row r="710" ht="18" customHeight="1">
      <x:c r="A710" s="10" t="str">
        <x:v>PAG00709</x:v>
      </x:c>
      <x:c r="B710" s="10" t="str">
        <x:v>EMP002</x:v>
      </x:c>
      <x:c r="C710" s="10" t="str">
        <x:v>FOR022</x:v>
      </x:c>
      <x:c r="D710" s="10" t="str">
        <x:v>CC001</x:v>
      </x:c>
      <x:c r="E710" s="10" t="str">
        <x:v>CAT009</x:v>
      </x:c>
      <x:c r="F710" s="10" t="str">
        <x:v>CTA004</x:v>
      </x:c>
      <x:c r="G710" s="10" t="str">
        <x:v>NF-100709</x:v>
      </x:c>
      <x:c r="H710" s="10" t="str">
        <x:v>Tributos e taxas</x:v>
      </x:c>
      <x:c r="I710" s="16" t="n">
        <x:v>45962.92477583334</x:v>
      </x:c>
      <x:c r="J710" s="16" t="n">
        <x:v>45992.92477583334</x:v>
      </x:c>
      <x:c r="K710" s="16" t="n">
        <x:v>46003.92477583334</x:v>
      </x:c>
      <x:c r="L710" s="20" t="n">
        <x:v>1583.48</x:v>
      </x:c>
      <x:c r="M710" s="20" t="n">
        <x:v>12.19</x:v>
      </x:c>
      <x:c r="N710" s="20" t="n">
        <x:v>0</x:v>
      </x:c>
      <x:c r="O710" s="20" t="n">
        <x:v>1595.67</x:v>
      </x:c>
      <x:c r="P710" s="20" t="n">
        <x:v>0</x:v>
      </x:c>
      <x:c r="Q710" s="10" t="str">
        <x:v>Pago</x:v>
      </x:c>
      <x:c r="R710" s="10" t="str">
        <x:v>Boleto</x:v>
      </x:c>
      <x:c r="S710" s="10" t="str">
        <x:v>2025-11</x:v>
      </x:c>
      <x:c r="T710" s="10" t="n">
        <x:v>0</x:v>
      </x:c>
      <x:c r="U710" s="10" t="str">
        <x:v>Liquidado</x:v>
      </x:c>
      <x:c r="V710" s="10" t="str">
        <x:v>UND003</x:v>
      </x:c>
    </x:row>
    <x:row r="711" ht="18" customHeight="1">
      <x:c r="A711" s="10" t="str">
        <x:v>PAG00710</x:v>
      </x:c>
      <x:c r="B711" s="10" t="str">
        <x:v>EMP001</x:v>
      </x:c>
      <x:c r="C711" s="10" t="str">
        <x:v>FOR035</x:v>
      </x:c>
      <x:c r="D711" s="10" t="str">
        <x:v>CC004</x:v>
      </x:c>
      <x:c r="E711" s="10" t="str">
        <x:v>CAT008</x:v>
      </x:c>
      <x:c r="F711" s="10" t="str">
        <x:v>CTA002</x:v>
      </x:c>
      <x:c r="G711" s="10" t="str">
        <x:v>NF-100710</x:v>
      </x:c>
      <x:c r="H711" s="10" t="str">
        <x:v>Despesa operacional</x:v>
      </x:c>
      <x:c r="I711" s="16" t="n">
        <x:v>45610.726676956016</x:v>
      </x:c>
      <x:c r="J711" s="16" t="n">
        <x:v>45655.726676956016</x:v>
      </x:c>
      <x:c r="K711" s="16" t="n">
        <x:v>45668.726676956016</x:v>
      </x:c>
      <x:c r="L711" s="20" t="n">
        <x:v>78422.98</x:v>
      </x:c>
      <x:c r="M711" s="20" t="n">
        <x:v>713.65</x:v>
      </x:c>
      <x:c r="N711" s="20" t="n">
        <x:v>0</x:v>
      </x:c>
      <x:c r="O711" s="20" t="n">
        <x:v>79136.63</x:v>
      </x:c>
      <x:c r="P711" s="20" t="n">
        <x:v>0</x:v>
      </x:c>
      <x:c r="Q711" s="10" t="str">
        <x:v>Pago</x:v>
      </x:c>
      <x:c r="R711" s="10" t="str">
        <x:v>TED</x:v>
      </x:c>
      <x:c r="S711" s="10" t="str">
        <x:v>2024-11</x:v>
      </x:c>
      <x:c r="T711" s="10" t="n">
        <x:v>0</x:v>
      </x:c>
      <x:c r="U711" s="10" t="str">
        <x:v>Liquidado</x:v>
      </x:c>
      <x:c r="V711" s="10" t="str">
        <x:v>UND001</x:v>
      </x:c>
    </x:row>
    <x:row r="712" ht="18" customHeight="1">
      <x:c r="A712" s="10" t="str">
        <x:v>PAG00711</x:v>
      </x:c>
      <x:c r="B712" s="10" t="str">
        <x:v>EMP003</x:v>
      </x:c>
      <x:c r="C712" s="10" t="str">
        <x:v>FOR052</x:v>
      </x:c>
      <x:c r="D712" s="10" t="str">
        <x:v>CC004</x:v>
      </x:c>
      <x:c r="E712" s="10" t="str">
        <x:v>CAT012</x:v>
      </x:c>
      <x:c r="F712" s="10" t="str">
        <x:v>CTA006</x:v>
      </x:c>
      <x:c r="G712" s="10" t="str">
        <x:v>NF-100711</x:v>
      </x:c>
      <x:c r="H712" s="10" t="str">
        <x:v>Despesa operacional</x:v>
      </x:c>
      <x:c r="I712" s="16" t="n">
        <x:v>45462.81020943287</x:v>
      </x:c>
      <x:c r="J712" s="16" t="n">
        <x:v>45497.81020943287</x:v>
      </x:c>
      <x:c r="K712" s="16" t="n">
        <x:v>45492.81020943287</x:v>
      </x:c>
      <x:c r="L712" s="20" t="n">
        <x:v>6137.8</x:v>
      </x:c>
      <x:c r="M712" s="20" t="n">
        <x:v>0</x:v>
      </x:c>
      <x:c r="N712" s="20" t="n">
        <x:v>0</x:v>
      </x:c>
      <x:c r="O712" s="20" t="n">
        <x:v>6137.8</x:v>
      </x:c>
      <x:c r="P712" s="20" t="n">
        <x:v>0</x:v>
      </x:c>
      <x:c r="Q712" s="10" t="str">
        <x:v>Pago</x:v>
      </x:c>
      <x:c r="R712" s="10" t="str">
        <x:v>Débito Automático</x:v>
      </x:c>
      <x:c r="S712" s="10" t="str">
        <x:v>2024-06</x:v>
      </x:c>
      <x:c r="T712" s="10" t="n">
        <x:v>0</x:v>
      </x:c>
      <x:c r="U712" s="10" t="str">
        <x:v>Liquidado</x:v>
      </x:c>
      <x:c r="V712" s="10" t="str">
        <x:v>UND004</x:v>
      </x:c>
    </x:row>
    <x:row r="713" ht="18" customHeight="1">
      <x:c r="A713" s="10" t="str">
        <x:v>PAG00712</x:v>
      </x:c>
      <x:c r="B713" s="10" t="str">
        <x:v>EMP002</x:v>
      </x:c>
      <x:c r="C713" s="10" t="str">
        <x:v>FOR009</x:v>
      </x:c>
      <x:c r="D713" s="10" t="str">
        <x:v>CC008</x:v>
      </x:c>
      <x:c r="E713" s="10" t="str">
        <x:v>CAT016</x:v>
      </x:c>
      <x:c r="F713" s="10" t="str">
        <x:v>CTA003</x:v>
      </x:c>
      <x:c r="G713" s="10" t="str">
        <x:v>NF-100712</x:v>
      </x:c>
      <x:c r="H713" s="10" t="str">
        <x:v>Tributos e taxas</x:v>
      </x:c>
      <x:c r="I713" s="16" t="n">
        <x:v>45564.790560532405</x:v>
      </x:c>
      <x:c r="J713" s="16" t="n">
        <x:v>45639.790560532405</x:v>
      </x:c>
      <x:c r="K713" s="16"/>
      <x:c r="L713" s="20" t="n">
        <x:v>13650.09</x:v>
      </x:c>
      <x:c r="M713" s="20" t="n">
        <x:v>0</x:v>
      </x:c>
      <x:c r="N713" s="20" t="n">
        <x:v>0</x:v>
      </x:c>
      <x:c r="O713" s="20" t="n">
        <x:v>0</x:v>
      </x:c>
      <x:c r="P713" s="20" t="n">
        <x:v>13650.09</x:v>
      </x:c>
      <x:c r="Q713" s="10" t="str">
        <x:v>Vencido</x:v>
      </x:c>
      <x:c r="R713" s="10" t="str">
        <x:v>Débito Automático</x:v>
      </x:c>
      <x:c r="S713" s="10" t="str">
        <x:v>2024-09</x:v>
      </x:c>
      <x:c r="T713" s="10" t="n">
        <x:v>382</x:v>
      </x:c>
      <x:c r="U713" s="10" t="str">
        <x:v>&gt; 120 dias</x:v>
      </x:c>
      <x:c r="V713" s="10" t="str">
        <x:v>UND003</x:v>
      </x:c>
    </x:row>
    <x:row r="714" ht="18" customHeight="1">
      <x:c r="A714" s="10" t="str">
        <x:v>PAG00713</x:v>
      </x:c>
      <x:c r="B714" s="10" t="str">
        <x:v>EMP003</x:v>
      </x:c>
      <x:c r="C714" s="10" t="str">
        <x:v>FOR013</x:v>
      </x:c>
      <x:c r="D714" s="10" t="str">
        <x:v>CC004</x:v>
      </x:c>
      <x:c r="E714" s="10" t="str">
        <x:v>CAT013</x:v>
      </x:c>
      <x:c r="F714" s="10" t="str">
        <x:v>CTA006</x:v>
      </x:c>
      <x:c r="G714" s="10" t="str">
        <x:v>NF-100713</x:v>
      </x:c>
      <x:c r="H714" s="10" t="str">
        <x:v>Despesa operacional</x:v>
      </x:c>
      <x:c r="I714" s="16" t="n">
        <x:v>45766.46436136574</x:v>
      </x:c>
      <x:c r="J714" s="16" t="n">
        <x:v>45794.46436136574</x:v>
      </x:c>
      <x:c r="K714" s="16" t="n">
        <x:v>45796.46436136574</x:v>
      </x:c>
      <x:c r="L714" s="20" t="n">
        <x:v>31045.48</x:v>
      </x:c>
      <x:c r="M714" s="20" t="n">
        <x:v>43.46</x:v>
      </x:c>
      <x:c r="N714" s="20" t="n">
        <x:v>0</x:v>
      </x:c>
      <x:c r="O714" s="20" t="n">
        <x:v>31088.94</x:v>
      </x:c>
      <x:c r="P714" s="20" t="n">
        <x:v>0</x:v>
      </x:c>
      <x:c r="Q714" s="10" t="str">
        <x:v>Pago</x:v>
      </x:c>
      <x:c r="R714" s="10" t="str">
        <x:v>Cartão Corporativo</x:v>
      </x:c>
      <x:c r="S714" s="10" t="str">
        <x:v>2025-04</x:v>
      </x:c>
      <x:c r="T714" s="10" t="n">
        <x:v>0</x:v>
      </x:c>
      <x:c r="U714" s="10" t="str">
        <x:v>Liquidado</x:v>
      </x:c>
      <x:c r="V714" s="10" t="str">
        <x:v>UND004</x:v>
      </x:c>
    </x:row>
    <x:row r="715" ht="18" customHeight="1">
      <x:c r="A715" s="10" t="str">
        <x:v>PAG00714</x:v>
      </x:c>
      <x:c r="B715" s="10" t="str">
        <x:v>EMP002</x:v>
      </x:c>
      <x:c r="C715" s="10" t="str">
        <x:v>FOR042</x:v>
      </x:c>
      <x:c r="D715" s="10" t="str">
        <x:v>CC008</x:v>
      </x:c>
      <x:c r="E715" s="10" t="str">
        <x:v>CAT018</x:v>
      </x:c>
      <x:c r="F715" s="10" t="str">
        <x:v>CTA003</x:v>
      </x:c>
      <x:c r="G715" s="10" t="str">
        <x:v>NF-100714</x:v>
      </x:c>
      <x:c r="H715" s="10" t="str">
        <x:v>Contrato recorrente</x:v>
      </x:c>
      <x:c r="I715" s="16" t="n">
        <x:v>45399.50840599537</x:v>
      </x:c>
      <x:c r="J715" s="16" t="n">
        <x:v>45414.50840599537</x:v>
      </x:c>
      <x:c r="K715" s="16" t="n">
        <x:v>45418.50840599537</x:v>
      </x:c>
      <x:c r="L715" s="20" t="n">
        <x:v>75318.22</x:v>
      </x:c>
      <x:c r="M715" s="20" t="n">
        <x:v>210.89</x:v>
      </x:c>
      <x:c r="N715" s="20" t="n">
        <x:v>0</x:v>
      </x:c>
      <x:c r="O715" s="20" t="n">
        <x:v>75529.11</x:v>
      </x:c>
      <x:c r="P715" s="20" t="n">
        <x:v>0</x:v>
      </x:c>
      <x:c r="Q715" s="10" t="str">
        <x:v>Pago</x:v>
      </x:c>
      <x:c r="R715" s="10" t="str">
        <x:v>TED</x:v>
      </x:c>
      <x:c r="S715" s="10" t="str">
        <x:v>2024-04</x:v>
      </x:c>
      <x:c r="T715" s="10" t="n">
        <x:v>0</x:v>
      </x:c>
      <x:c r="U715" s="10" t="str">
        <x:v>Liquidado</x:v>
      </x:c>
      <x:c r="V715" s="10" t="str">
        <x:v>UND003</x:v>
      </x:c>
    </x:row>
    <x:row r="716" ht="18" customHeight="1">
      <x:c r="A716" s="10" t="str">
        <x:v>PAG00715</x:v>
      </x:c>
      <x:c r="B716" s="10" t="str">
        <x:v>EMP001</x:v>
      </x:c>
      <x:c r="C716" s="10" t="str">
        <x:v>FOR059</x:v>
      </x:c>
      <x:c r="D716" s="10" t="str">
        <x:v>CC007</x:v>
      </x:c>
      <x:c r="E716" s="10" t="str">
        <x:v>CAT014</x:v>
      </x:c>
      <x:c r="F716" s="10" t="str">
        <x:v>CTA002</x:v>
      </x:c>
      <x:c r="G716" s="10" t="str">
        <x:v>NF-100715</x:v>
      </x:c>
      <x:c r="H716" s="10" t="str">
        <x:v>Despesa operacional</x:v>
      </x:c>
      <x:c r="I716" s="16" t="n">
        <x:v>45854.70210059028</x:v>
      </x:c>
      <x:c r="J716" s="16" t="n">
        <x:v>45869.70210059028</x:v>
      </x:c>
      <x:c r="K716" s="16" t="n">
        <x:v>45878.70210059028</x:v>
      </x:c>
      <x:c r="L716" s="20" t="n">
        <x:v>61540.29</x:v>
      </x:c>
      <x:c r="M716" s="20" t="n">
        <x:v>387.7</x:v>
      </x:c>
      <x:c r="N716" s="20" t="n">
        <x:v>0</x:v>
      </x:c>
      <x:c r="O716" s="20" t="n">
        <x:v>61927.99</x:v>
      </x:c>
      <x:c r="P716" s="20" t="n">
        <x:v>0</x:v>
      </x:c>
      <x:c r="Q716" s="10" t="str">
        <x:v>Pago</x:v>
      </x:c>
      <x:c r="R716" s="10" t="str">
        <x:v>Débito Automático</x:v>
      </x:c>
      <x:c r="S716" s="10" t="str">
        <x:v>2025-07</x:v>
      </x:c>
      <x:c r="T716" s="10" t="n">
        <x:v>0</x:v>
      </x:c>
      <x:c r="U716" s="10" t="str">
        <x:v>Liquidado</x:v>
      </x:c>
      <x:c r="V716" s="10" t="str">
        <x:v>UND002</x:v>
      </x:c>
    </x:row>
    <x:row r="717" ht="18" customHeight="1">
      <x:c r="A717" s="10" t="str">
        <x:v>PAG00716</x:v>
      </x:c>
      <x:c r="B717" s="10" t="str">
        <x:v>EMP001</x:v>
      </x:c>
      <x:c r="C717" s="10" t="str">
        <x:v>FOR058</x:v>
      </x:c>
      <x:c r="D717" s="10" t="str">
        <x:v>CC005</x:v>
      </x:c>
      <x:c r="E717" s="10" t="str">
        <x:v>CAT005</x:v>
      </x:c>
      <x:c r="F717" s="10" t="str">
        <x:v>CTA001</x:v>
      </x:c>
      <x:c r="G717" s="10" t="str">
        <x:v>NF-100716</x:v>
      </x:c>
      <x:c r="H717" s="10" t="str">
        <x:v>Prestação de serviços</x:v>
      </x:c>
      <x:c r="I717" s="16" t="n">
        <x:v>45937.98302032407</x:v>
      </x:c>
      <x:c r="J717" s="16" t="n">
        <x:v>46012.98302032407</x:v>
      </x:c>
      <x:c r="K717" s="16"/>
      <x:c r="L717" s="20" t="n">
        <x:v>100682.57</x:v>
      </x:c>
      <x:c r="M717" s="20" t="n">
        <x:v>0</x:v>
      </x:c>
      <x:c r="N717" s="20" t="n">
        <x:v>0</x:v>
      </x:c>
      <x:c r="O717" s="20" t="n">
        <x:v>0</x:v>
      </x:c>
      <x:c r="P717" s="20" t="n">
        <x:v>100682.57</x:v>
      </x:c>
      <x:c r="Q717" s="10" t="str">
        <x:v>Vencido</x:v>
      </x:c>
      <x:c r="R717" s="10" t="str">
        <x:v>Débito Automático</x:v>
      </x:c>
      <x:c r="S717" s="10" t="str">
        <x:v>2025-10</x:v>
      </x:c>
      <x:c r="T717" s="10" t="n">
        <x:v>9</x:v>
      </x:c>
      <x:c r="U717" s="10" t="str">
        <x:v>1 a 30 dias</x:v>
      </x:c>
      <x:c r="V717" s="10" t="str">
        <x:v>UND001</x:v>
      </x:c>
    </x:row>
    <x:row r="718" ht="18" customHeight="1">
      <x:c r="A718" s="10" t="str">
        <x:v>PAG00717</x:v>
      </x:c>
      <x:c r="B718" s="10" t="str">
        <x:v>EMP001</x:v>
      </x:c>
      <x:c r="C718" s="10" t="str">
        <x:v>FOR038</x:v>
      </x:c>
      <x:c r="D718" s="10" t="str">
        <x:v>CC001</x:v>
      </x:c>
      <x:c r="E718" s="10" t="str">
        <x:v>CAT006</x:v>
      </x:c>
      <x:c r="F718" s="10" t="str">
        <x:v>CTA002</x:v>
      </x:c>
      <x:c r="G718" s="10" t="str">
        <x:v>NF-100717</x:v>
      </x:c>
      <x:c r="H718" s="10" t="str">
        <x:v>Contrato recorrente</x:v>
      </x:c>
      <x:c r="I718" s="16" t="n">
        <x:v>45756.39346346065</x:v>
      </x:c>
      <x:c r="J718" s="16" t="n">
        <x:v>45784.39346346065</x:v>
      </x:c>
      <x:c r="K718" s="16" t="n">
        <x:v>45791.39346346065</x:v>
      </x:c>
      <x:c r="L718" s="20" t="n">
        <x:v>2965.22</x:v>
      </x:c>
      <x:c r="M718" s="20" t="n">
        <x:v>14.53</x:v>
      </x:c>
      <x:c r="N718" s="20" t="n">
        <x:v>0</x:v>
      </x:c>
      <x:c r="O718" s="20" t="n">
        <x:v>2979.75</x:v>
      </x:c>
      <x:c r="P718" s="20" t="n">
        <x:v>0</x:v>
      </x:c>
      <x:c r="Q718" s="10" t="str">
        <x:v>Pago</x:v>
      </x:c>
      <x:c r="R718" s="10" t="str">
        <x:v>PIX</x:v>
      </x:c>
      <x:c r="S718" s="10" t="str">
        <x:v>2025-04</x:v>
      </x:c>
      <x:c r="T718" s="10" t="n">
        <x:v>0</x:v>
      </x:c>
      <x:c r="U718" s="10" t="str">
        <x:v>Liquidado</x:v>
      </x:c>
      <x:c r="V718" s="10" t="str">
        <x:v>UND002</x:v>
      </x:c>
    </x:row>
    <x:row r="719" ht="18" customHeight="1">
      <x:c r="A719" s="10" t="str">
        <x:v>PAG00718</x:v>
      </x:c>
      <x:c r="B719" s="10" t="str">
        <x:v>EMP001</x:v>
      </x:c>
      <x:c r="C719" s="10" t="str">
        <x:v>FOR059</x:v>
      </x:c>
      <x:c r="D719" s="10" t="str">
        <x:v>CC002</x:v>
      </x:c>
      <x:c r="E719" s="10" t="str">
        <x:v>CAT006</x:v>
      </x:c>
      <x:c r="F719" s="10" t="str">
        <x:v>CTA001</x:v>
      </x:c>
      <x:c r="G719" s="10" t="str">
        <x:v>NF-100718</x:v>
      </x:c>
      <x:c r="H719" s="10" t="str">
        <x:v>Contrato recorrente</x:v>
      </x:c>
      <x:c r="I719" s="16" t="n">
        <x:v>45700.99866049769</x:v>
      </x:c>
      <x:c r="J719" s="16" t="n">
        <x:v>45730.99866049769</x:v>
      </x:c>
      <x:c r="K719" s="16" t="n">
        <x:v>45723.99866049769</x:v>
      </x:c>
      <x:c r="L719" s="20" t="n">
        <x:v>18344.25</x:v>
      </x:c>
      <x:c r="M719" s="20" t="n">
        <x:v>0</x:v>
      </x:c>
      <x:c r="N719" s="20" t="n">
        <x:v>0</x:v>
      </x:c>
      <x:c r="O719" s="20" t="n">
        <x:v>18344.25</x:v>
      </x:c>
      <x:c r="P719" s="20" t="n">
        <x:v>0</x:v>
      </x:c>
      <x:c r="Q719" s="10" t="str">
        <x:v>Pago</x:v>
      </x:c>
      <x:c r="R719" s="10" t="str">
        <x:v>Débito Automático</x:v>
      </x:c>
      <x:c r="S719" s="10" t="str">
        <x:v>2025-02</x:v>
      </x:c>
      <x:c r="T719" s="10" t="n">
        <x:v>0</x:v>
      </x:c>
      <x:c r="U719" s="10" t="str">
        <x:v>Liquidado</x:v>
      </x:c>
      <x:c r="V719" s="10" t="str">
        <x:v>UND001</x:v>
      </x:c>
    </x:row>
    <x:row r="720" ht="18" customHeight="1">
      <x:c r="A720" s="10" t="str">
        <x:v>PAG00719</x:v>
      </x:c>
      <x:c r="B720" s="10" t="str">
        <x:v>EMP001</x:v>
      </x:c>
      <x:c r="C720" s="10" t="str">
        <x:v>FOR042</x:v>
      </x:c>
      <x:c r="D720" s="10" t="str">
        <x:v>CC002</x:v>
      </x:c>
      <x:c r="E720" s="10" t="str">
        <x:v>CAT014</x:v>
      </x:c>
      <x:c r="F720" s="10" t="str">
        <x:v>CTA001</x:v>
      </x:c>
      <x:c r="G720" s="10" t="str">
        <x:v>NF-100719</x:v>
      </x:c>
      <x:c r="H720" s="10" t="str">
        <x:v>Contrato recorrente</x:v>
      </x:c>
      <x:c r="I720" s="16" t="n">
        <x:v>45558.825264652776</x:v>
      </x:c>
      <x:c r="J720" s="16" t="n">
        <x:v>45586.825264652776</x:v>
      </x:c>
      <x:c r="K720" s="16" t="n">
        <x:v>45595.825264652776</x:v>
      </x:c>
      <x:c r="L720" s="20" t="n">
        <x:v>88473.72</x:v>
      </x:c>
      <x:c r="M720" s="20" t="n">
        <x:v>557.38</x:v>
      </x:c>
      <x:c r="N720" s="20" t="n">
        <x:v>0</x:v>
      </x:c>
      <x:c r="O720" s="20" t="n">
        <x:v>89031.1</x:v>
      </x:c>
      <x:c r="P720" s="20" t="n">
        <x:v>0</x:v>
      </x:c>
      <x:c r="Q720" s="10" t="str">
        <x:v>Pago</x:v>
      </x:c>
      <x:c r="R720" s="10" t="str">
        <x:v>PIX</x:v>
      </x:c>
      <x:c r="S720" s="10" t="str">
        <x:v>2024-09</x:v>
      </x:c>
      <x:c r="T720" s="10" t="n">
        <x:v>0</x:v>
      </x:c>
      <x:c r="U720" s="10" t="str">
        <x:v>Liquidado</x:v>
      </x:c>
      <x:c r="V720" s="10" t="str">
        <x:v>UND001</x:v>
      </x:c>
    </x:row>
    <x:row r="721" ht="18" customHeight="1">
      <x:c r="A721" s="10" t="str">
        <x:v>PAG00720</x:v>
      </x:c>
      <x:c r="B721" s="10" t="str">
        <x:v>EMP001</x:v>
      </x:c>
      <x:c r="C721" s="10" t="str">
        <x:v>FOR004</x:v>
      </x:c>
      <x:c r="D721" s="10" t="str">
        <x:v>CC008</x:v>
      </x:c>
      <x:c r="E721" s="10" t="str">
        <x:v>CAT010</x:v>
      </x:c>
      <x:c r="F721" s="10" t="str">
        <x:v>CTA001</x:v>
      </x:c>
      <x:c r="G721" s="10" t="str">
        <x:v>NF-100720</x:v>
      </x:c>
      <x:c r="H721" s="10" t="str">
        <x:v>Contrato recorrente</x:v>
      </x:c>
      <x:c r="I721" s="16" t="n">
        <x:v>45327.90615825231</x:v>
      </x:c>
      <x:c r="J721" s="16" t="n">
        <x:v>45387.90615825231</x:v>
      </x:c>
      <x:c r="K721" s="16" t="n">
        <x:v>45386.90615825231</x:v>
      </x:c>
      <x:c r="L721" s="20" t="n">
        <x:v>22383.18</x:v>
      </x:c>
      <x:c r="M721" s="20" t="n">
        <x:v>0</x:v>
      </x:c>
      <x:c r="N721" s="20" t="n">
        <x:v>335.75</x:v>
      </x:c>
      <x:c r="O721" s="20" t="n">
        <x:v>22047.43</x:v>
      </x:c>
      <x:c r="P721" s="20" t="n">
        <x:v>0</x:v>
      </x:c>
      <x:c r="Q721" s="10" t="str">
        <x:v>Pago</x:v>
      </x:c>
      <x:c r="R721" s="10" t="str">
        <x:v>TED</x:v>
      </x:c>
      <x:c r="S721" s="10" t="str">
        <x:v>2024-02</x:v>
      </x:c>
      <x:c r="T721" s="10" t="n">
        <x:v>0</x:v>
      </x:c>
      <x:c r="U721" s="10" t="str">
        <x:v>Liquidado</x:v>
      </x:c>
      <x:c r="V721" s="10" t="str">
        <x:v>UND001</x:v>
      </x:c>
    </x:row>
    <x:row r="722" ht="18" customHeight="1">
      <x:c r="A722" s="10" t="str">
        <x:v>PAG00721</x:v>
      </x:c>
      <x:c r="B722" s="10" t="str">
        <x:v>EMP001</x:v>
      </x:c>
      <x:c r="C722" s="10" t="str">
        <x:v>FOR002</x:v>
      </x:c>
      <x:c r="D722" s="10" t="str">
        <x:v>CC001</x:v>
      </x:c>
      <x:c r="E722" s="10" t="str">
        <x:v>CAT011</x:v>
      </x:c>
      <x:c r="F722" s="10" t="str">
        <x:v>CTA001</x:v>
      </x:c>
      <x:c r="G722" s="10" t="str">
        <x:v>NF-100721</x:v>
      </x:c>
      <x:c r="H722" s="10" t="str">
        <x:v>Despesa operacional</x:v>
      </x:c>
      <x:c r="I722" s="16" t="n">
        <x:v>45787.663302071756</x:v>
      </x:c>
      <x:c r="J722" s="16" t="n">
        <x:v>45815.663302071756</x:v>
      </x:c>
      <x:c r="K722" s="16" t="n">
        <x:v>45807.663302071756</x:v>
      </x:c>
      <x:c r="L722" s="20" t="n">
        <x:v>70361.59</x:v>
      </x:c>
      <x:c r="M722" s="20" t="n">
        <x:v>0</x:v>
      </x:c>
      <x:c r="N722" s="20" t="n">
        <x:v>0</x:v>
      </x:c>
      <x:c r="O722" s="20" t="n">
        <x:v>70361.59</x:v>
      </x:c>
      <x:c r="P722" s="20" t="n">
        <x:v>0</x:v>
      </x:c>
      <x:c r="Q722" s="10" t="str">
        <x:v>Pago</x:v>
      </x:c>
      <x:c r="R722" s="10" t="str">
        <x:v>PIX</x:v>
      </x:c>
      <x:c r="S722" s="10" t="str">
        <x:v>2025-05</x:v>
      </x:c>
      <x:c r="T722" s="10" t="n">
        <x:v>0</x:v>
      </x:c>
      <x:c r="U722" s="10" t="str">
        <x:v>Liquidado</x:v>
      </x:c>
      <x:c r="V722" s="10" t="str">
        <x:v>UND001</x:v>
      </x:c>
    </x:row>
    <x:row r="723" ht="18" customHeight="1">
      <x:c r="A723" s="10" t="str">
        <x:v>PAG00722</x:v>
      </x:c>
      <x:c r="B723" s="10" t="str">
        <x:v>EMP003</x:v>
      </x:c>
      <x:c r="C723" s="10" t="str">
        <x:v>FOR017</x:v>
      </x:c>
      <x:c r="D723" s="10" t="str">
        <x:v>CC006</x:v>
      </x:c>
      <x:c r="E723" s="10" t="str">
        <x:v>CAT013</x:v>
      </x:c>
      <x:c r="F723" s="10" t="str">
        <x:v>CTA006</x:v>
      </x:c>
      <x:c r="G723" s="10" t="str">
        <x:v>NF-100722</x:v>
      </x:c>
      <x:c r="H723" s="10" t="str">
        <x:v>Prestação de serviços</x:v>
      </x:c>
      <x:c r="I723" s="16" t="n">
        <x:v>45980.19288306713</x:v>
      </x:c>
      <x:c r="J723" s="16" t="n">
        <x:v>45995.19288306713</x:v>
      </x:c>
      <x:c r="K723" s="16" t="n">
        <x:v>45987.19288306713</x:v>
      </x:c>
      <x:c r="L723" s="20" t="n">
        <x:v>100493.76</x:v>
      </x:c>
      <x:c r="M723" s="20" t="n">
        <x:v>0</x:v>
      </x:c>
      <x:c r="N723" s="20" t="n">
        <x:v>1004.94</x:v>
      </x:c>
      <x:c r="O723" s="20" t="n">
        <x:v>99488.82</x:v>
      </x:c>
      <x:c r="P723" s="20" t="n">
        <x:v>0</x:v>
      </x:c>
      <x:c r="Q723" s="10" t="str">
        <x:v>Pago</x:v>
      </x:c>
      <x:c r="R723" s="10" t="str">
        <x:v>TED</x:v>
      </x:c>
      <x:c r="S723" s="10" t="str">
        <x:v>2025-11</x:v>
      </x:c>
      <x:c r="T723" s="10" t="n">
        <x:v>0</x:v>
      </x:c>
      <x:c r="U723" s="10" t="str">
        <x:v>Liquidado</x:v>
      </x:c>
      <x:c r="V723" s="10" t="str">
        <x:v>UND004</x:v>
      </x:c>
    </x:row>
    <x:row r="724" ht="18" customHeight="1">
      <x:c r="A724" s="10" t="str">
        <x:v>PAG00723</x:v>
      </x:c>
      <x:c r="B724" s="10" t="str">
        <x:v>EMP001</x:v>
      </x:c>
      <x:c r="C724" s="10" t="str">
        <x:v>FOR005</x:v>
      </x:c>
      <x:c r="D724" s="10" t="str">
        <x:v>CC005</x:v>
      </x:c>
      <x:c r="E724" s="10" t="str">
        <x:v>CAT011</x:v>
      </x:c>
      <x:c r="F724" s="10" t="str">
        <x:v>CTA002</x:v>
      </x:c>
      <x:c r="G724" s="10" t="str">
        <x:v>NF-100723</x:v>
      </x:c>
      <x:c r="H724" s="10" t="str">
        <x:v>Compra de materiais</x:v>
      </x:c>
      <x:c r="I724" s="16" t="n">
        <x:v>45331.46021981481</x:v>
      </x:c>
      <x:c r="J724" s="16" t="n">
        <x:v>45346.46021981481</x:v>
      </x:c>
      <x:c r="K724" s="16" t="n">
        <x:v>45346.46021981481</x:v>
      </x:c>
      <x:c r="L724" s="20" t="n">
        <x:v>42337.68</x:v>
      </x:c>
      <x:c r="M724" s="20" t="n">
        <x:v>0</x:v>
      </x:c>
      <x:c r="N724" s="20" t="n">
        <x:v>0</x:v>
      </x:c>
      <x:c r="O724" s="20" t="n">
        <x:v>42337.68</x:v>
      </x:c>
      <x:c r="P724" s="20" t="n">
        <x:v>0</x:v>
      </x:c>
      <x:c r="Q724" s="10" t="str">
        <x:v>Pago</x:v>
      </x:c>
      <x:c r="R724" s="10" t="str">
        <x:v>PIX</x:v>
      </x:c>
      <x:c r="S724" s="10" t="str">
        <x:v>2024-02</x:v>
      </x:c>
      <x:c r="T724" s="10" t="n">
        <x:v>0</x:v>
      </x:c>
      <x:c r="U724" s="10" t="str">
        <x:v>Liquidado</x:v>
      </x:c>
      <x:c r="V724" s="10" t="str">
        <x:v>UND002</x:v>
      </x:c>
    </x:row>
    <x:row r="725" ht="18" customHeight="1">
      <x:c r="A725" s="10" t="str">
        <x:v>PAG00724</x:v>
      </x:c>
      <x:c r="B725" s="10" t="str">
        <x:v>EMP001</x:v>
      </x:c>
      <x:c r="C725" s="10" t="str">
        <x:v>FOR043</x:v>
      </x:c>
      <x:c r="D725" s="10" t="str">
        <x:v>CC005</x:v>
      </x:c>
      <x:c r="E725" s="10" t="str">
        <x:v>CAT013</x:v>
      </x:c>
      <x:c r="F725" s="10" t="str">
        <x:v>CTA001</x:v>
      </x:c>
      <x:c r="G725" s="10" t="str">
        <x:v>NF-100724</x:v>
      </x:c>
      <x:c r="H725" s="10" t="str">
        <x:v>Compra de materiais</x:v>
      </x:c>
      <x:c r="I725" s="16" t="n">
        <x:v>45702.596016041665</x:v>
      </x:c>
      <x:c r="J725" s="16" t="n">
        <x:v>45777.596016041665</x:v>
      </x:c>
      <x:c r="K725" s="16" t="n">
        <x:v>45781.596016041665</x:v>
      </x:c>
      <x:c r="L725" s="20" t="n">
        <x:v>20095.98</x:v>
      </x:c>
      <x:c r="M725" s="20" t="n">
        <x:v>56.27</x:v>
      </x:c>
      <x:c r="N725" s="20" t="n">
        <x:v>0</x:v>
      </x:c>
      <x:c r="O725" s="20" t="n">
        <x:v>20152.25</x:v>
      </x:c>
      <x:c r="P725" s="20" t="n">
        <x:v>0</x:v>
      </x:c>
      <x:c r="Q725" s="10" t="str">
        <x:v>Pago</x:v>
      </x:c>
      <x:c r="R725" s="10" t="str">
        <x:v>Débito Automático</x:v>
      </x:c>
      <x:c r="S725" s="10" t="str">
        <x:v>2025-02</x:v>
      </x:c>
      <x:c r="T725" s="10" t="n">
        <x:v>0</x:v>
      </x:c>
      <x:c r="U725" s="10" t="str">
        <x:v>Liquidado</x:v>
      </x:c>
      <x:c r="V725" s="10" t="str">
        <x:v>UND001</x:v>
      </x:c>
    </x:row>
    <x:row r="726" ht="18" customHeight="1">
      <x:c r="A726" s="10" t="str">
        <x:v>PAG00725</x:v>
      </x:c>
      <x:c r="B726" s="10" t="str">
        <x:v>EMP002</x:v>
      </x:c>
      <x:c r="C726" s="10" t="str">
        <x:v>FOR027</x:v>
      </x:c>
      <x:c r="D726" s="10" t="str">
        <x:v>CC007</x:v>
      </x:c>
      <x:c r="E726" s="10" t="str">
        <x:v>CAT008</x:v>
      </x:c>
      <x:c r="F726" s="10" t="str">
        <x:v>CTA003</x:v>
      </x:c>
      <x:c r="G726" s="10" t="str">
        <x:v>NF-100725</x:v>
      </x:c>
      <x:c r="H726" s="10" t="str">
        <x:v>Despesa operacional</x:v>
      </x:c>
      <x:c r="I726" s="16" t="n">
        <x:v>45705.39644761574</x:v>
      </x:c>
      <x:c r="J726" s="16" t="n">
        <x:v>45765.39644761574</x:v>
      </x:c>
      <x:c r="K726" s="16" t="n">
        <x:v>45762.39644761574</x:v>
      </x:c>
      <x:c r="L726" s="20" t="n">
        <x:v>783.82</x:v>
      </x:c>
      <x:c r="M726" s="20" t="n">
        <x:v>0</x:v>
      </x:c>
      <x:c r="N726" s="20" t="n">
        <x:v>0</x:v>
      </x:c>
      <x:c r="O726" s="20" t="n">
        <x:v>783.82</x:v>
      </x:c>
      <x:c r="P726" s="20" t="n">
        <x:v>0</x:v>
      </x:c>
      <x:c r="Q726" s="10" t="str">
        <x:v>Pago</x:v>
      </x:c>
      <x:c r="R726" s="10" t="str">
        <x:v>Boleto</x:v>
      </x:c>
      <x:c r="S726" s="10" t="str">
        <x:v>2025-02</x:v>
      </x:c>
      <x:c r="T726" s="10" t="n">
        <x:v>0</x:v>
      </x:c>
      <x:c r="U726" s="10" t="str">
        <x:v>Liquidado</x:v>
      </x:c>
      <x:c r="V726" s="10" t="str">
        <x:v>UND003</x:v>
      </x:c>
    </x:row>
    <x:row r="727" ht="18" customHeight="1">
      <x:c r="A727" s="10" t="str">
        <x:v>PAG00726</x:v>
      </x:c>
      <x:c r="B727" s="10" t="str">
        <x:v>EMP003</x:v>
      </x:c>
      <x:c r="C727" s="10" t="str">
        <x:v>FOR023</x:v>
      </x:c>
      <x:c r="D727" s="10" t="str">
        <x:v>CC006</x:v>
      </x:c>
      <x:c r="E727" s="10" t="str">
        <x:v>CAT014</x:v>
      </x:c>
      <x:c r="F727" s="10" t="str">
        <x:v>CTA005</x:v>
      </x:c>
      <x:c r="G727" s="10" t="str">
        <x:v>NF-100726</x:v>
      </x:c>
      <x:c r="H727" s="10" t="str">
        <x:v>Prestação de serviços</x:v>
      </x:c>
      <x:c r="I727" s="16" t="n">
        <x:v>45332.992974016204</x:v>
      </x:c>
      <x:c r="J727" s="16" t="n">
        <x:v>45407.992974016204</x:v>
      </x:c>
      <x:c r="K727" s="16"/>
      <x:c r="L727" s="20" t="n">
        <x:v>103351.44</x:v>
      </x:c>
      <x:c r="M727" s="20" t="n">
        <x:v>0</x:v>
      </x:c>
      <x:c r="N727" s="20" t="n">
        <x:v>0</x:v>
      </x:c>
      <x:c r="O727" s="20" t="n">
        <x:v>0</x:v>
      </x:c>
      <x:c r="P727" s="20" t="n">
        <x:v>0</x:v>
      </x:c>
      <x:c r="Q727" s="10" t="str">
        <x:v>Cancelado</x:v>
      </x:c>
      <x:c r="R727" s="10" t="str">
        <x:v>Boleto</x:v>
      </x:c>
      <x:c r="S727" s="10" t="str">
        <x:v>2024-02</x:v>
      </x:c>
      <x:c r="T727" s="10" t="n">
        <x:v>0</x:v>
      </x:c>
      <x:c r="U727" s="10" t="str">
        <x:v>Cancelado</x:v>
      </x:c>
      <x:c r="V727" s="10" t="str">
        <x:v>UND004</x:v>
      </x:c>
    </x:row>
    <x:row r="728" ht="18" customHeight="1">
      <x:c r="A728" s="10" t="str">
        <x:v>PAG00727</x:v>
      </x:c>
      <x:c r="B728" s="10" t="str">
        <x:v>EMP002</x:v>
      </x:c>
      <x:c r="C728" s="10" t="str">
        <x:v>FOR024</x:v>
      </x:c>
      <x:c r="D728" s="10" t="str">
        <x:v>CC006</x:v>
      </x:c>
      <x:c r="E728" s="10" t="str">
        <x:v>CAT007</x:v>
      </x:c>
      <x:c r="F728" s="10" t="str">
        <x:v>CTA004</x:v>
      </x:c>
      <x:c r="G728" s="10" t="str">
        <x:v>NF-100727</x:v>
      </x:c>
      <x:c r="H728" s="10" t="str">
        <x:v>Tributos e taxas</x:v>
      </x:c>
      <x:c r="I728" s="16" t="n">
        <x:v>45304.73440252315</x:v>
      </x:c>
      <x:c r="J728" s="16" t="n">
        <x:v>45339.73440252315</x:v>
      </x:c>
      <x:c r="K728" s="16" t="n">
        <x:v>45336.73440252315</x:v>
      </x:c>
      <x:c r="L728" s="20" t="n">
        <x:v>5938.05</x:v>
      </x:c>
      <x:c r="M728" s="20" t="n">
        <x:v>0</x:v>
      </x:c>
      <x:c r="N728" s="20" t="n">
        <x:v>0</x:v>
      </x:c>
      <x:c r="O728" s="20" t="n">
        <x:v>5938.05</x:v>
      </x:c>
      <x:c r="P728" s="20" t="n">
        <x:v>0</x:v>
      </x:c>
      <x:c r="Q728" s="10" t="str">
        <x:v>Pago</x:v>
      </x:c>
      <x:c r="R728" s="10" t="str">
        <x:v>Débito Automático</x:v>
      </x:c>
      <x:c r="S728" s="10" t="str">
        <x:v>2024-01</x:v>
      </x:c>
      <x:c r="T728" s="10" t="n">
        <x:v>0</x:v>
      </x:c>
      <x:c r="U728" s="10" t="str">
        <x:v>Liquidado</x:v>
      </x:c>
      <x:c r="V728" s="10" t="str">
        <x:v>UND003</x:v>
      </x:c>
    </x:row>
    <x:row r="729" ht="18" customHeight="1">
      <x:c r="A729" s="10" t="str">
        <x:v>PAG00728</x:v>
      </x:c>
      <x:c r="B729" s="10" t="str">
        <x:v>EMP002</x:v>
      </x:c>
      <x:c r="C729" s="10" t="str">
        <x:v>FOR014</x:v>
      </x:c>
      <x:c r="D729" s="10" t="str">
        <x:v>CC003</x:v>
      </x:c>
      <x:c r="E729" s="10" t="str">
        <x:v>CAT012</x:v>
      </x:c>
      <x:c r="F729" s="10" t="str">
        <x:v>CTA003</x:v>
      </x:c>
      <x:c r="G729" s="10" t="str">
        <x:v>NF-100728</x:v>
      </x:c>
      <x:c r="H729" s="10" t="str">
        <x:v>Contrato recorrente</x:v>
      </x:c>
      <x:c r="I729" s="16" t="n">
        <x:v>45456.60872844907</x:v>
      </x:c>
      <x:c r="J729" s="16" t="n">
        <x:v>45491.60872844907</x:v>
      </x:c>
      <x:c r="K729" s="16" t="n">
        <x:v>45494.60872844907</x:v>
      </x:c>
      <x:c r="L729" s="20" t="n">
        <x:v>112572.88</x:v>
      </x:c>
      <x:c r="M729" s="20" t="n">
        <x:v>236.4</x:v>
      </x:c>
      <x:c r="N729" s="20" t="n">
        <x:v>0</x:v>
      </x:c>
      <x:c r="O729" s="20" t="n">
        <x:v>112809.28</x:v>
      </x:c>
      <x:c r="P729" s="20" t="n">
        <x:v>0</x:v>
      </x:c>
      <x:c r="Q729" s="10" t="str">
        <x:v>Pago</x:v>
      </x:c>
      <x:c r="R729" s="10" t="str">
        <x:v>TED</x:v>
      </x:c>
      <x:c r="S729" s="10" t="str">
        <x:v>2024-06</x:v>
      </x:c>
      <x:c r="T729" s="10" t="n">
        <x:v>0</x:v>
      </x:c>
      <x:c r="U729" s="10" t="str">
        <x:v>Liquidado</x:v>
      </x:c>
      <x:c r="V729" s="10" t="str">
        <x:v>UND003</x:v>
      </x:c>
    </x:row>
    <x:row r="730" ht="18" customHeight="1">
      <x:c r="A730" s="10" t="str">
        <x:v>PAG00729</x:v>
      </x:c>
      <x:c r="B730" s="10" t="str">
        <x:v>EMP003</x:v>
      </x:c>
      <x:c r="C730" s="10" t="str">
        <x:v>FOR035</x:v>
      </x:c>
      <x:c r="D730" s="10" t="str">
        <x:v>CC001</x:v>
      </x:c>
      <x:c r="E730" s="10" t="str">
        <x:v>CAT008</x:v>
      </x:c>
      <x:c r="F730" s="10" t="str">
        <x:v>CTA005</x:v>
      </x:c>
      <x:c r="G730" s="10" t="str">
        <x:v>NF-100729</x:v>
      </x:c>
      <x:c r="H730" s="10" t="str">
        <x:v>Prestação de serviços</x:v>
      </x:c>
      <x:c r="I730" s="16" t="n">
        <x:v>45483.16397048611</x:v>
      </x:c>
      <x:c r="J730" s="16" t="n">
        <x:v>45511.16397048611</x:v>
      </x:c>
      <x:c r="K730" s="16" t="n">
        <x:v>45520.16397048611</x:v>
      </x:c>
      <x:c r="L730" s="20" t="n">
        <x:v>12009.81</x:v>
      </x:c>
      <x:c r="M730" s="20" t="n">
        <x:v>75.66</x:v>
      </x:c>
      <x:c r="N730" s="20" t="n">
        <x:v>0</x:v>
      </x:c>
      <x:c r="O730" s="20" t="n">
        <x:v>12085.47</x:v>
      </x:c>
      <x:c r="P730" s="20" t="n">
        <x:v>0</x:v>
      </x:c>
      <x:c r="Q730" s="10" t="str">
        <x:v>Pago</x:v>
      </x:c>
      <x:c r="R730" s="10" t="str">
        <x:v>Débito Automático</x:v>
      </x:c>
      <x:c r="S730" s="10" t="str">
        <x:v>2024-07</x:v>
      </x:c>
      <x:c r="T730" s="10" t="n">
        <x:v>0</x:v>
      </x:c>
      <x:c r="U730" s="10" t="str">
        <x:v>Liquidado</x:v>
      </x:c>
      <x:c r="V730" s="10" t="str">
        <x:v>UND004</x:v>
      </x:c>
    </x:row>
    <x:row r="731" ht="18" customHeight="1">
      <x:c r="A731" s="10" t="str">
        <x:v>PAG00730</x:v>
      </x:c>
      <x:c r="B731" s="10" t="str">
        <x:v>EMP002</x:v>
      </x:c>
      <x:c r="C731" s="10" t="str">
        <x:v>FOR013</x:v>
      </x:c>
      <x:c r="D731" s="10" t="str">
        <x:v>CC001</x:v>
      </x:c>
      <x:c r="E731" s="10" t="str">
        <x:v>CAT012</x:v>
      </x:c>
      <x:c r="F731" s="10" t="str">
        <x:v>CTA003</x:v>
      </x:c>
      <x:c r="G731" s="10" t="str">
        <x:v>NF-100730</x:v>
      </x:c>
      <x:c r="H731" s="10" t="str">
        <x:v>Compra de materiais</x:v>
      </x:c>
      <x:c r="I731" s="16" t="n">
        <x:v>45784.67885285879</x:v>
      </x:c>
      <x:c r="J731" s="16" t="n">
        <x:v>45844.67885285879</x:v>
      </x:c>
      <x:c r="K731" s="16" t="n">
        <x:v>45838.67885285879</x:v>
      </x:c>
      <x:c r="L731" s="20" t="n">
        <x:v>18701.43</x:v>
      </x:c>
      <x:c r="M731" s="20" t="n">
        <x:v>0</x:v>
      </x:c>
      <x:c r="N731" s="20" t="n">
        <x:v>93.51</x:v>
      </x:c>
      <x:c r="O731" s="20" t="n">
        <x:v>18607.92</x:v>
      </x:c>
      <x:c r="P731" s="20" t="n">
        <x:v>0</x:v>
      </x:c>
      <x:c r="Q731" s="10" t="str">
        <x:v>Pago</x:v>
      </x:c>
      <x:c r="R731" s="10" t="str">
        <x:v>Débito Automático</x:v>
      </x:c>
      <x:c r="S731" s="10" t="str">
        <x:v>2025-05</x:v>
      </x:c>
      <x:c r="T731" s="10" t="n">
        <x:v>0</x:v>
      </x:c>
      <x:c r="U731" s="10" t="str">
        <x:v>Liquidado</x:v>
      </x:c>
      <x:c r="V731" s="10" t="str">
        <x:v>UND003</x:v>
      </x:c>
    </x:row>
    <x:row r="732" ht="18" customHeight="1">
      <x:c r="A732" s="10" t="str">
        <x:v>PAG00731</x:v>
      </x:c>
      <x:c r="B732" s="10" t="str">
        <x:v>EMP003</x:v>
      </x:c>
      <x:c r="C732" s="10" t="str">
        <x:v>FOR030</x:v>
      </x:c>
      <x:c r="D732" s="10" t="str">
        <x:v>CC004</x:v>
      </x:c>
      <x:c r="E732" s="10" t="str">
        <x:v>CAT011</x:v>
      </x:c>
      <x:c r="F732" s="10" t="str">
        <x:v>CTA005</x:v>
      </x:c>
      <x:c r="G732" s="10" t="str">
        <x:v>NF-100731</x:v>
      </x:c>
      <x:c r="H732" s="10" t="str">
        <x:v>Contrato recorrente</x:v>
      </x:c>
      <x:c r="I732" s="16" t="n">
        <x:v>45782.189283113425</x:v>
      </x:c>
      <x:c r="J732" s="16" t="n">
        <x:v>45827.189283113425</x:v>
      </x:c>
      <x:c r="K732" s="16" t="n">
        <x:v>45829.189283113425</x:v>
      </x:c>
      <x:c r="L732" s="20" t="n">
        <x:v>50938.73</x:v>
      </x:c>
      <x:c r="M732" s="20" t="n">
        <x:v>71.31</x:v>
      </x:c>
      <x:c r="N732" s="20" t="n">
        <x:v>0</x:v>
      </x:c>
      <x:c r="O732" s="20" t="n">
        <x:v>51010.04</x:v>
      </x:c>
      <x:c r="P732" s="20" t="n">
        <x:v>0</x:v>
      </x:c>
      <x:c r="Q732" s="10" t="str">
        <x:v>Pago</x:v>
      </x:c>
      <x:c r="R732" s="10" t="str">
        <x:v>Cartão Corporativo</x:v>
      </x:c>
      <x:c r="S732" s="10" t="str">
        <x:v>2025-05</x:v>
      </x:c>
      <x:c r="T732" s="10" t="n">
        <x:v>0</x:v>
      </x:c>
      <x:c r="U732" s="10" t="str">
        <x:v>Liquidado</x:v>
      </x:c>
      <x:c r="V732" s="10" t="str">
        <x:v>UND004</x:v>
      </x:c>
    </x:row>
    <x:row r="733" ht="18" customHeight="1">
      <x:c r="A733" s="10" t="str">
        <x:v>PAG00732</x:v>
      </x:c>
      <x:c r="B733" s="10" t="str">
        <x:v>EMP002</x:v>
      </x:c>
      <x:c r="C733" s="10" t="str">
        <x:v>FOR057</x:v>
      </x:c>
      <x:c r="D733" s="10" t="str">
        <x:v>CC005</x:v>
      </x:c>
      <x:c r="E733" s="10" t="str">
        <x:v>CAT006</x:v>
      </x:c>
      <x:c r="F733" s="10" t="str">
        <x:v>CTA003</x:v>
      </x:c>
      <x:c r="G733" s="10" t="str">
        <x:v>NF-100732</x:v>
      </x:c>
      <x:c r="H733" s="10" t="str">
        <x:v>Prestação de serviços</x:v>
      </x:c>
      <x:c r="I733" s="16" t="n">
        <x:v>46003.284826145835</x:v>
      </x:c>
      <x:c r="J733" s="16" t="n">
        <x:v>46023.284826145835</x:v>
      </x:c>
      <x:c r="K733" s="16"/>
      <x:c r="L733" s="20" t="n">
        <x:v>11115.43</x:v>
      </x:c>
      <x:c r="M733" s="20" t="n">
        <x:v>0</x:v>
      </x:c>
      <x:c r="N733" s="20" t="n">
        <x:v>0</x:v>
      </x:c>
      <x:c r="O733" s="20" t="n">
        <x:v>0</x:v>
      </x:c>
      <x:c r="P733" s="20" t="n">
        <x:v>11115.43</x:v>
      </x:c>
      <x:c r="Q733" s="10" t="str">
        <x:v>A vencer</x:v>
      </x:c>
      <x:c r="R733" s="10" t="str">
        <x:v>PIX</x:v>
      </x:c>
      <x:c r="S733" s="10" t="str">
        <x:v>2025-12</x:v>
      </x:c>
      <x:c r="T733" s="10" t="n">
        <x:v>0</x:v>
      </x:c>
      <x:c r="U733" s="10" t="str">
        <x:v>A vencer</x:v>
      </x:c>
      <x:c r="V733" s="10" t="str">
        <x:v>UND003</x:v>
      </x:c>
    </x:row>
    <x:row r="734" ht="18" customHeight="1">
      <x:c r="A734" s="10" t="str">
        <x:v>PAG00733</x:v>
      </x:c>
      <x:c r="B734" s="10" t="str">
        <x:v>EMP002</x:v>
      </x:c>
      <x:c r="C734" s="10" t="str">
        <x:v>FOR042</x:v>
      </x:c>
      <x:c r="D734" s="10" t="str">
        <x:v>CC001</x:v>
      </x:c>
      <x:c r="E734" s="10" t="str">
        <x:v>CAT011</x:v>
      </x:c>
      <x:c r="F734" s="10" t="str">
        <x:v>CTA004</x:v>
      </x:c>
      <x:c r="G734" s="10" t="str">
        <x:v>NF-100733</x:v>
      </x:c>
      <x:c r="H734" s="10" t="str">
        <x:v>Despesa operacional</x:v>
      </x:c>
      <x:c r="I734" s="16" t="n">
        <x:v>45330.68500038194</x:v>
      </x:c>
      <x:c r="J734" s="16" t="n">
        <x:v>45360.68500038194</x:v>
      </x:c>
      <x:c r="K734" s="16" t="n">
        <x:v>45358.68500038194</x:v>
      </x:c>
      <x:c r="L734" s="20" t="n">
        <x:v>115500.33</x:v>
      </x:c>
      <x:c r="M734" s="20" t="n">
        <x:v>0</x:v>
      </x:c>
      <x:c r="N734" s="20" t="n">
        <x:v>0</x:v>
      </x:c>
      <x:c r="O734" s="20" t="n">
        <x:v>115500.33</x:v>
      </x:c>
      <x:c r="P734" s="20" t="n">
        <x:v>0</x:v>
      </x:c>
      <x:c r="Q734" s="10" t="str">
        <x:v>Pago</x:v>
      </x:c>
      <x:c r="R734" s="10" t="str">
        <x:v>PIX</x:v>
      </x:c>
      <x:c r="S734" s="10" t="str">
        <x:v>2024-02</x:v>
      </x:c>
      <x:c r="T734" s="10" t="n">
        <x:v>0</x:v>
      </x:c>
      <x:c r="U734" s="10" t="str">
        <x:v>Liquidado</x:v>
      </x:c>
      <x:c r="V734" s="10" t="str">
        <x:v>UND003</x:v>
      </x:c>
    </x:row>
    <x:row r="735" ht="18" customHeight="1">
      <x:c r="A735" s="10" t="str">
        <x:v>PAG00734</x:v>
      </x:c>
      <x:c r="B735" s="10" t="str">
        <x:v>EMP002</x:v>
      </x:c>
      <x:c r="C735" s="10" t="str">
        <x:v>FOR025</x:v>
      </x:c>
      <x:c r="D735" s="10" t="str">
        <x:v>CC004</x:v>
      </x:c>
      <x:c r="E735" s="10" t="str">
        <x:v>CAT017</x:v>
      </x:c>
      <x:c r="F735" s="10" t="str">
        <x:v>CTA003</x:v>
      </x:c>
      <x:c r="G735" s="10" t="str">
        <x:v>NF-100734</x:v>
      </x:c>
      <x:c r="H735" s="10" t="str">
        <x:v>Compra de materiais</x:v>
      </x:c>
      <x:c r="I735" s="16" t="n">
        <x:v>45508.8609612963</x:v>
      </x:c>
      <x:c r="J735" s="16" t="n">
        <x:v>45543.8609612963</x:v>
      </x:c>
      <x:c r="K735" s="16" t="n">
        <x:v>45544.8609612963</x:v>
      </x:c>
      <x:c r="L735" s="20" t="n">
        <x:v>9185.05</x:v>
      </x:c>
      <x:c r="M735" s="20" t="n">
        <x:v>6.43</x:v>
      </x:c>
      <x:c r="N735" s="20" t="n">
        <x:v>0</x:v>
      </x:c>
      <x:c r="O735" s="20" t="n">
        <x:v>9191.48</x:v>
      </x:c>
      <x:c r="P735" s="20" t="n">
        <x:v>0</x:v>
      </x:c>
      <x:c r="Q735" s="10" t="str">
        <x:v>Pago</x:v>
      </x:c>
      <x:c r="R735" s="10" t="str">
        <x:v>Débito Automático</x:v>
      </x:c>
      <x:c r="S735" s="10" t="str">
        <x:v>2024-08</x:v>
      </x:c>
      <x:c r="T735" s="10" t="n">
        <x:v>0</x:v>
      </x:c>
      <x:c r="U735" s="10" t="str">
        <x:v>Liquidado</x:v>
      </x:c>
      <x:c r="V735" s="10" t="str">
        <x:v>UND003</x:v>
      </x:c>
    </x:row>
    <x:row r="736" ht="18" customHeight="1">
      <x:c r="A736" s="10" t="str">
        <x:v>PAG00735</x:v>
      </x:c>
      <x:c r="B736" s="10" t="str">
        <x:v>EMP001</x:v>
      </x:c>
      <x:c r="C736" s="10" t="str">
        <x:v>FOR008</x:v>
      </x:c>
      <x:c r="D736" s="10" t="str">
        <x:v>CC008</x:v>
      </x:c>
      <x:c r="E736" s="10" t="str">
        <x:v>CAT016</x:v>
      </x:c>
      <x:c r="F736" s="10" t="str">
        <x:v>CTA001</x:v>
      </x:c>
      <x:c r="G736" s="10" t="str">
        <x:v>NF-100735</x:v>
      </x:c>
      <x:c r="H736" s="10" t="str">
        <x:v>Tributos e taxas</x:v>
      </x:c>
      <x:c r="I736" s="16" t="n">
        <x:v>45574.265619108795</x:v>
      </x:c>
      <x:c r="J736" s="16" t="n">
        <x:v>45619.265619108795</x:v>
      </x:c>
      <x:c r="K736" s="16" t="n">
        <x:v>45622.265619108795</x:v>
      </x:c>
      <x:c r="L736" s="20" t="n">
        <x:v>19000.7</x:v>
      </x:c>
      <x:c r="M736" s="20" t="n">
        <x:v>39.9</x:v>
      </x:c>
      <x:c r="N736" s="20" t="n">
        <x:v>0</x:v>
      </x:c>
      <x:c r="O736" s="20" t="n">
        <x:v>19040.6</x:v>
      </x:c>
      <x:c r="P736" s="20" t="n">
        <x:v>0</x:v>
      </x:c>
      <x:c r="Q736" s="10" t="str">
        <x:v>Pago</x:v>
      </x:c>
      <x:c r="R736" s="10" t="str">
        <x:v>PIX</x:v>
      </x:c>
      <x:c r="S736" s="10" t="str">
        <x:v>2024-10</x:v>
      </x:c>
      <x:c r="T736" s="10" t="n">
        <x:v>0</x:v>
      </x:c>
      <x:c r="U736" s="10" t="str">
        <x:v>Liquidado</x:v>
      </x:c>
      <x:c r="V736" s="10" t="str">
        <x:v>UND002</x:v>
      </x:c>
    </x:row>
    <x:row r="737" ht="18" customHeight="1">
      <x:c r="A737" s="10" t="str">
        <x:v>PAG00736</x:v>
      </x:c>
      <x:c r="B737" s="10" t="str">
        <x:v>EMP002</x:v>
      </x:c>
      <x:c r="C737" s="10" t="str">
        <x:v>FOR003</x:v>
      </x:c>
      <x:c r="D737" s="10" t="str">
        <x:v>CC005</x:v>
      </x:c>
      <x:c r="E737" s="10" t="str">
        <x:v>CAT007</x:v>
      </x:c>
      <x:c r="F737" s="10" t="str">
        <x:v>CTA004</x:v>
      </x:c>
      <x:c r="G737" s="10" t="str">
        <x:v>NF-100736</x:v>
      </x:c>
      <x:c r="H737" s="10" t="str">
        <x:v>Contrato recorrente</x:v>
      </x:c>
      <x:c r="I737" s="16" t="n">
        <x:v>45930.558943206015</x:v>
      </x:c>
      <x:c r="J737" s="16" t="n">
        <x:v>45950.558943206015</x:v>
      </x:c>
      <x:c r="K737" s="16" t="n">
        <x:v>45945.558943206015</x:v>
      </x:c>
      <x:c r="L737" s="20" t="n">
        <x:v>6835.47</x:v>
      </x:c>
      <x:c r="M737" s="20" t="n">
        <x:v>0</x:v>
      </x:c>
      <x:c r="N737" s="20" t="n">
        <x:v>0</x:v>
      </x:c>
      <x:c r="O737" s="20" t="n">
        <x:v>6835.47</x:v>
      </x:c>
      <x:c r="P737" s="20" t="n">
        <x:v>0</x:v>
      </x:c>
      <x:c r="Q737" s="10" t="str">
        <x:v>Pago</x:v>
      </x:c>
      <x:c r="R737" s="10" t="str">
        <x:v>TED</x:v>
      </x:c>
      <x:c r="S737" s="10" t="str">
        <x:v>2025-09</x:v>
      </x:c>
      <x:c r="T737" s="10" t="n">
        <x:v>0</x:v>
      </x:c>
      <x:c r="U737" s="10" t="str">
        <x:v>Liquidado</x:v>
      </x:c>
      <x:c r="V737" s="10" t="str">
        <x:v>UND003</x:v>
      </x:c>
    </x:row>
    <x:row r="738" ht="18" customHeight="1">
      <x:c r="A738" s="10" t="str">
        <x:v>PAG00737</x:v>
      </x:c>
      <x:c r="B738" s="10" t="str">
        <x:v>EMP002</x:v>
      </x:c>
      <x:c r="C738" s="10" t="str">
        <x:v>FOR047</x:v>
      </x:c>
      <x:c r="D738" s="10" t="str">
        <x:v>CC001</x:v>
      </x:c>
      <x:c r="E738" s="10" t="str">
        <x:v>CAT018</x:v>
      </x:c>
      <x:c r="F738" s="10" t="str">
        <x:v>CTA004</x:v>
      </x:c>
      <x:c r="G738" s="10" t="str">
        <x:v>NF-100737</x:v>
      </x:c>
      <x:c r="H738" s="10" t="str">
        <x:v>Despesa operacional</x:v>
      </x:c>
      <x:c r="I738" s="16" t="n">
        <x:v>45569.64378724537</x:v>
      </x:c>
      <x:c r="J738" s="16" t="n">
        <x:v>45629.64378724537</x:v>
      </x:c>
      <x:c r="K738" s="16"/>
      <x:c r="L738" s="20" t="n">
        <x:v>1415.03</x:v>
      </x:c>
      <x:c r="M738" s="20" t="n">
        <x:v>0</x:v>
      </x:c>
      <x:c r="N738" s="20" t="n">
        <x:v>0</x:v>
      </x:c>
      <x:c r="O738" s="20" t="n">
        <x:v>0</x:v>
      </x:c>
      <x:c r="P738" s="20" t="n">
        <x:v>1415.03</x:v>
      </x:c>
      <x:c r="Q738" s="10" t="str">
        <x:v>Vencido</x:v>
      </x:c>
      <x:c r="R738" s="10" t="str">
        <x:v>Cartão Corporativo</x:v>
      </x:c>
      <x:c r="S738" s="10" t="str">
        <x:v>2024-10</x:v>
      </x:c>
      <x:c r="T738" s="10" t="n">
        <x:v>392</x:v>
      </x:c>
      <x:c r="U738" s="10" t="str">
        <x:v>&gt; 120 dias</x:v>
      </x:c>
      <x:c r="V738" s="10" t="str">
        <x:v>UND003</x:v>
      </x:c>
    </x:row>
    <x:row r="739" ht="18" customHeight="1">
      <x:c r="A739" s="10" t="str">
        <x:v>PAG00738</x:v>
      </x:c>
      <x:c r="B739" s="10" t="str">
        <x:v>EMP003</x:v>
      </x:c>
      <x:c r="C739" s="10" t="str">
        <x:v>FOR015</x:v>
      </x:c>
      <x:c r="D739" s="10" t="str">
        <x:v>CC008</x:v>
      </x:c>
      <x:c r="E739" s="10" t="str">
        <x:v>CAT005</x:v>
      </x:c>
      <x:c r="F739" s="10" t="str">
        <x:v>CTA005</x:v>
      </x:c>
      <x:c r="G739" s="10" t="str">
        <x:v>NF-100738</x:v>
      </x:c>
      <x:c r="H739" s="10" t="str">
        <x:v>Compra de materiais</x:v>
      </x:c>
      <x:c r="I739" s="16" t="n">
        <x:v>45976.30185726852</x:v>
      </x:c>
      <x:c r="J739" s="16" t="n">
        <x:v>46021.30185726852</x:v>
      </x:c>
      <x:c r="K739" s="16"/>
      <x:c r="L739" s="20" t="n">
        <x:v>2846.71</x:v>
      </x:c>
      <x:c r="M739" s="20" t="n">
        <x:v>0</x:v>
      </x:c>
      <x:c r="N739" s="20" t="n">
        <x:v>0</x:v>
      </x:c>
      <x:c r="O739" s="20" t="n">
        <x:v>0</x:v>
      </x:c>
      <x:c r="P739" s="20" t="n">
        <x:v>2846.71</x:v>
      </x:c>
      <x:c r="Q739" s="10" t="str">
        <x:v>Vencido</x:v>
      </x:c>
      <x:c r="R739" s="10" t="str">
        <x:v>TED</x:v>
      </x:c>
      <x:c r="S739" s="10" t="str">
        <x:v>2025-11</x:v>
      </x:c>
      <x:c r="T739" s="10" t="n">
        <x:v>0</x:v>
      </x:c>
      <x:c r="U739" s="10" t="str">
        <x:v>A vencer</x:v>
      </x:c>
      <x:c r="V739" s="10" t="str">
        <x:v>UND004</x:v>
      </x:c>
    </x:row>
    <x:row r="740" ht="18" customHeight="1">
      <x:c r="A740" s="10" t="str">
        <x:v>PAG00739</x:v>
      </x:c>
      <x:c r="B740" s="10" t="str">
        <x:v>EMP002</x:v>
      </x:c>
      <x:c r="C740" s="10" t="str">
        <x:v>FOR046</x:v>
      </x:c>
      <x:c r="D740" s="10" t="str">
        <x:v>CC007</x:v>
      </x:c>
      <x:c r="E740" s="10" t="str">
        <x:v>CAT009</x:v>
      </x:c>
      <x:c r="F740" s="10" t="str">
        <x:v>CTA004</x:v>
      </x:c>
      <x:c r="G740" s="10" t="str">
        <x:v>NF-100739</x:v>
      </x:c>
      <x:c r="H740" s="10" t="str">
        <x:v>Tributos e taxas</x:v>
      </x:c>
      <x:c r="I740" s="16" t="n">
        <x:v>45374.39424579861</x:v>
      </x:c>
      <x:c r="J740" s="16" t="n">
        <x:v>45404.39424579861</x:v>
      </x:c>
      <x:c r="K740" s="16" t="n">
        <x:v>45415.39424579861</x:v>
      </x:c>
      <x:c r="L740" s="20" t="n">
        <x:v>56292.71</x:v>
      </x:c>
      <x:c r="M740" s="20" t="n">
        <x:v>433.45</x:v>
      </x:c>
      <x:c r="N740" s="20" t="n">
        <x:v>0</x:v>
      </x:c>
      <x:c r="O740" s="20" t="n">
        <x:v>56726.16</x:v>
      </x:c>
      <x:c r="P740" s="20" t="n">
        <x:v>0</x:v>
      </x:c>
      <x:c r="Q740" s="10" t="str">
        <x:v>Pago</x:v>
      </x:c>
      <x:c r="R740" s="10" t="str">
        <x:v>PIX</x:v>
      </x:c>
      <x:c r="S740" s="10" t="str">
        <x:v>2024-03</x:v>
      </x:c>
      <x:c r="T740" s="10" t="n">
        <x:v>0</x:v>
      </x:c>
      <x:c r="U740" s="10" t="str">
        <x:v>Liquidado</x:v>
      </x:c>
      <x:c r="V740" s="10" t="str">
        <x:v>UND003</x:v>
      </x:c>
    </x:row>
    <x:row r="741" ht="18" customHeight="1">
      <x:c r="A741" s="10" t="str">
        <x:v>PAG00740</x:v>
      </x:c>
      <x:c r="B741" s="10" t="str">
        <x:v>EMP003</x:v>
      </x:c>
      <x:c r="C741" s="10" t="str">
        <x:v>FOR038</x:v>
      </x:c>
      <x:c r="D741" s="10" t="str">
        <x:v>CC002</x:v>
      </x:c>
      <x:c r="E741" s="10" t="str">
        <x:v>CAT009</x:v>
      </x:c>
      <x:c r="F741" s="10" t="str">
        <x:v>CTA006</x:v>
      </x:c>
      <x:c r="G741" s="10" t="str">
        <x:v>NF-100740</x:v>
      </x:c>
      <x:c r="H741" s="10" t="str">
        <x:v>Prestação de serviços</x:v>
      </x:c>
      <x:c r="I741" s="16" t="n">
        <x:v>45854.966074710646</x:v>
      </x:c>
      <x:c r="J741" s="16" t="n">
        <x:v>45899.966074710646</x:v>
      </x:c>
      <x:c r="K741" s="16"/>
      <x:c r="L741" s="20" t="n">
        <x:v>32886.12</x:v>
      </x:c>
      <x:c r="M741" s="20" t="n">
        <x:v>0</x:v>
      </x:c>
      <x:c r="N741" s="20" t="n">
        <x:v>0</x:v>
      </x:c>
      <x:c r="O741" s="20" t="n">
        <x:v>0</x:v>
      </x:c>
      <x:c r="P741" s="20" t="n">
        <x:v>32886.12</x:v>
      </x:c>
      <x:c r="Q741" s="10" t="str">
        <x:v>Vencido</x:v>
      </x:c>
      <x:c r="R741" s="10" t="str">
        <x:v>Débito Automático</x:v>
      </x:c>
      <x:c r="S741" s="10" t="str">
        <x:v>2025-07</x:v>
      </x:c>
      <x:c r="T741" s="10" t="n">
        <x:v>122</x:v>
      </x:c>
      <x:c r="U741" s="10" t="str">
        <x:v>&gt; 120 dias</x:v>
      </x:c>
      <x:c r="V741" s="10" t="str">
        <x:v>UND004</x:v>
      </x:c>
    </x:row>
    <x:row r="742" ht="18" customHeight="1">
      <x:c r="A742" s="10" t="str">
        <x:v>PAG00741</x:v>
      </x:c>
      <x:c r="B742" s="10" t="str">
        <x:v>EMP003</x:v>
      </x:c>
      <x:c r="C742" s="10" t="str">
        <x:v>FOR006</x:v>
      </x:c>
      <x:c r="D742" s="10" t="str">
        <x:v>CC003</x:v>
      </x:c>
      <x:c r="E742" s="10" t="str">
        <x:v>CAT007</x:v>
      </x:c>
      <x:c r="F742" s="10" t="str">
        <x:v>CTA006</x:v>
      </x:c>
      <x:c r="G742" s="10" t="str">
        <x:v>NF-100741</x:v>
      </x:c>
      <x:c r="H742" s="10" t="str">
        <x:v>Tributos e taxas</x:v>
      </x:c>
      <x:c r="I742" s="16" t="n">
        <x:v>45381.31696909722</x:v>
      </x:c>
      <x:c r="J742" s="16" t="n">
        <x:v>45401.31696909722</x:v>
      </x:c>
      <x:c r="K742" s="16" t="n">
        <x:v>45408.31696909722</x:v>
      </x:c>
      <x:c r="L742" s="20" t="n">
        <x:v>38807.53</x:v>
      </x:c>
      <x:c r="M742" s="20" t="n">
        <x:v>190.16</x:v>
      </x:c>
      <x:c r="N742" s="20" t="n">
        <x:v>0</x:v>
      </x:c>
      <x:c r="O742" s="20" t="n">
        <x:v>38997.69</x:v>
      </x:c>
      <x:c r="P742" s="20" t="n">
        <x:v>0</x:v>
      </x:c>
      <x:c r="Q742" s="10" t="str">
        <x:v>Pago</x:v>
      </x:c>
      <x:c r="R742" s="10" t="str">
        <x:v>Cartão Corporativo</x:v>
      </x:c>
      <x:c r="S742" s="10" t="str">
        <x:v>2024-03</x:v>
      </x:c>
      <x:c r="T742" s="10" t="n">
        <x:v>0</x:v>
      </x:c>
      <x:c r="U742" s="10" t="str">
        <x:v>Liquidado</x:v>
      </x:c>
      <x:c r="V742" s="10" t="str">
        <x:v>UND004</x:v>
      </x:c>
    </x:row>
    <x:row r="743" ht="18" customHeight="1">
      <x:c r="A743" s="10" t="str">
        <x:v>PAG00742</x:v>
      </x:c>
      <x:c r="B743" s="10" t="str">
        <x:v>EMP001</x:v>
      </x:c>
      <x:c r="C743" s="10" t="str">
        <x:v>FOR006</x:v>
      </x:c>
      <x:c r="D743" s="10" t="str">
        <x:v>CC001</x:v>
      </x:c>
      <x:c r="E743" s="10" t="str">
        <x:v>CAT007</x:v>
      </x:c>
      <x:c r="F743" s="10" t="str">
        <x:v>CTA002</x:v>
      </x:c>
      <x:c r="G743" s="10" t="str">
        <x:v>NF-100742</x:v>
      </x:c>
      <x:c r="H743" s="10" t="str">
        <x:v>Tributos e taxas</x:v>
      </x:c>
      <x:c r="I743" s="16" t="n">
        <x:v>45523.357362916664</x:v>
      </x:c>
      <x:c r="J743" s="16" t="n">
        <x:v>45538.357362916664</x:v>
      </x:c>
      <x:c r="K743" s="16"/>
      <x:c r="L743" s="20" t="n">
        <x:v>1022.19</x:v>
      </x:c>
      <x:c r="M743" s="20" t="n">
        <x:v>0</x:v>
      </x:c>
      <x:c r="N743" s="20" t="n">
        <x:v>0</x:v>
      </x:c>
      <x:c r="O743" s="20" t="n">
        <x:v>0</x:v>
      </x:c>
      <x:c r="P743" s="20" t="n">
        <x:v>1022.19</x:v>
      </x:c>
      <x:c r="Q743" s="10" t="str">
        <x:v>Vencido</x:v>
      </x:c>
      <x:c r="R743" s="10" t="str">
        <x:v>TED</x:v>
      </x:c>
      <x:c r="S743" s="10" t="str">
        <x:v>2024-08</x:v>
      </x:c>
      <x:c r="T743" s="10" t="n">
        <x:v>483</x:v>
      </x:c>
      <x:c r="U743" s="10" t="str">
        <x:v>&gt; 120 dias</x:v>
      </x:c>
      <x:c r="V743" s="10" t="str">
        <x:v>UND001</x:v>
      </x:c>
    </x:row>
    <x:row r="744" ht="18" customHeight="1">
      <x:c r="A744" s="10" t="str">
        <x:v>PAG00743</x:v>
      </x:c>
      <x:c r="B744" s="10" t="str">
        <x:v>EMP002</x:v>
      </x:c>
      <x:c r="C744" s="10" t="str">
        <x:v>FOR012</x:v>
      </x:c>
      <x:c r="D744" s="10" t="str">
        <x:v>CC007</x:v>
      </x:c>
      <x:c r="E744" s="10" t="str">
        <x:v>CAT015</x:v>
      </x:c>
      <x:c r="F744" s="10" t="str">
        <x:v>CTA004</x:v>
      </x:c>
      <x:c r="G744" s="10" t="str">
        <x:v>NF-100743</x:v>
      </x:c>
      <x:c r="H744" s="10" t="str">
        <x:v>Prestação de serviços</x:v>
      </x:c>
      <x:c r="I744" s="16" t="n">
        <x:v>45513.30481133102</x:v>
      </x:c>
      <x:c r="J744" s="16" t="n">
        <x:v>45588.30481133102</x:v>
      </x:c>
      <x:c r="K744" s="16" t="n">
        <x:v>45605.30481133102</x:v>
      </x:c>
      <x:c r="L744" s="20" t="n">
        <x:v>14512.95</x:v>
      </x:c>
      <x:c r="M744" s="20" t="n">
        <x:v>172.7</x:v>
      </x:c>
      <x:c r="N744" s="20" t="n">
        <x:v>0</x:v>
      </x:c>
      <x:c r="O744" s="20" t="n">
        <x:v>14685.65</x:v>
      </x:c>
      <x:c r="P744" s="20" t="n">
        <x:v>0</x:v>
      </x:c>
      <x:c r="Q744" s="10" t="str">
        <x:v>Pago</x:v>
      </x:c>
      <x:c r="R744" s="10" t="str">
        <x:v>Débito Automático</x:v>
      </x:c>
      <x:c r="S744" s="10" t="str">
        <x:v>2024-08</x:v>
      </x:c>
      <x:c r="T744" s="10" t="n">
        <x:v>0</x:v>
      </x:c>
      <x:c r="U744" s="10" t="str">
        <x:v>Liquidado</x:v>
      </x:c>
      <x:c r="V744" s="10" t="str">
        <x:v>UND003</x:v>
      </x:c>
    </x:row>
    <x:row r="745" ht="18" customHeight="1">
      <x:c r="A745" s="10" t="str">
        <x:v>PAG00744</x:v>
      </x:c>
      <x:c r="B745" s="10" t="str">
        <x:v>EMP001</x:v>
      </x:c>
      <x:c r="C745" s="10" t="str">
        <x:v>FOR019</x:v>
      </x:c>
      <x:c r="D745" s="10" t="str">
        <x:v>CC008</x:v>
      </x:c>
      <x:c r="E745" s="10" t="str">
        <x:v>CAT006</x:v>
      </x:c>
      <x:c r="F745" s="10" t="str">
        <x:v>CTA001</x:v>
      </x:c>
      <x:c r="G745" s="10" t="str">
        <x:v>NF-100744</x:v>
      </x:c>
      <x:c r="H745" s="10" t="str">
        <x:v>Despesa operacional</x:v>
      </x:c>
      <x:c r="I745" s="16" t="n">
        <x:v>45833.93555594907</x:v>
      </x:c>
      <x:c r="J745" s="16" t="n">
        <x:v>45848.93555594907</x:v>
      </x:c>
      <x:c r="K745" s="16" t="n">
        <x:v>45845.93555594907</x:v>
      </x:c>
      <x:c r="L745" s="20" t="n">
        <x:v>45193.9</x:v>
      </x:c>
      <x:c r="M745" s="20" t="n">
        <x:v>0</x:v>
      </x:c>
      <x:c r="N745" s="20" t="n">
        <x:v>677.91</x:v>
      </x:c>
      <x:c r="O745" s="20" t="n">
        <x:v>44515.99</x:v>
      </x:c>
      <x:c r="P745" s="20" t="n">
        <x:v>0</x:v>
      </x:c>
      <x:c r="Q745" s="10" t="str">
        <x:v>Pago</x:v>
      </x:c>
      <x:c r="R745" s="10" t="str">
        <x:v>TED</x:v>
      </x:c>
      <x:c r="S745" s="10" t="str">
        <x:v>2025-06</x:v>
      </x:c>
      <x:c r="T745" s="10" t="n">
        <x:v>0</x:v>
      </x:c>
      <x:c r="U745" s="10" t="str">
        <x:v>Liquidado</x:v>
      </x:c>
      <x:c r="V745" s="10" t="str">
        <x:v>UND002</x:v>
      </x:c>
    </x:row>
    <x:row r="746" ht="18" customHeight="1">
      <x:c r="A746" s="10" t="str">
        <x:v>PAG00745</x:v>
      </x:c>
      <x:c r="B746" s="10" t="str">
        <x:v>EMP001</x:v>
      </x:c>
      <x:c r="C746" s="10" t="str">
        <x:v>FOR003</x:v>
      </x:c>
      <x:c r="D746" s="10" t="str">
        <x:v>CC008</x:v>
      </x:c>
      <x:c r="E746" s="10" t="str">
        <x:v>CAT016</x:v>
      </x:c>
      <x:c r="F746" s="10" t="str">
        <x:v>CTA001</x:v>
      </x:c>
      <x:c r="G746" s="10" t="str">
        <x:v>NF-100745</x:v>
      </x:c>
      <x:c r="H746" s="10" t="str">
        <x:v>Contrato recorrente</x:v>
      </x:c>
      <x:c r="I746" s="16" t="n">
        <x:v>45638.78419760417</x:v>
      </x:c>
      <x:c r="J746" s="16" t="n">
        <x:v>45713.78419760417</x:v>
      </x:c>
      <x:c r="K746" s="16" t="n">
        <x:v>45711.78419760417</x:v>
      </x:c>
      <x:c r="L746" s="20" t="n">
        <x:v>63847.86</x:v>
      </x:c>
      <x:c r="M746" s="20" t="n">
        <x:v>0</x:v>
      </x:c>
      <x:c r="N746" s="20" t="n">
        <x:v>0</x:v>
      </x:c>
      <x:c r="O746" s="20" t="n">
        <x:v>63847.86</x:v>
      </x:c>
      <x:c r="P746" s="20" t="n">
        <x:v>0</x:v>
      </x:c>
      <x:c r="Q746" s="10" t="str">
        <x:v>Pago</x:v>
      </x:c>
      <x:c r="R746" s="10" t="str">
        <x:v>TED</x:v>
      </x:c>
      <x:c r="S746" s="10" t="str">
        <x:v>2024-12</x:v>
      </x:c>
      <x:c r="T746" s="10" t="n">
        <x:v>0</x:v>
      </x:c>
      <x:c r="U746" s="10" t="str">
        <x:v>Liquidado</x:v>
      </x:c>
      <x:c r="V746" s="10" t="str">
        <x:v>UND001</x:v>
      </x:c>
    </x:row>
    <x:row r="747" ht="18" customHeight="1">
      <x:c r="A747" s="10" t="str">
        <x:v>PAG00746</x:v>
      </x:c>
      <x:c r="B747" s="10" t="str">
        <x:v>EMP003</x:v>
      </x:c>
      <x:c r="C747" s="10" t="str">
        <x:v>FOR016</x:v>
      </x:c>
      <x:c r="D747" s="10" t="str">
        <x:v>CC004</x:v>
      </x:c>
      <x:c r="E747" s="10" t="str">
        <x:v>CAT014</x:v>
      </x:c>
      <x:c r="F747" s="10" t="str">
        <x:v>CTA006</x:v>
      </x:c>
      <x:c r="G747" s="10" t="str">
        <x:v>NF-100746</x:v>
      </x:c>
      <x:c r="H747" s="10" t="str">
        <x:v>Compra de materiais</x:v>
      </x:c>
      <x:c r="I747" s="16" t="n">
        <x:v>45893.73704777778</x:v>
      </x:c>
      <x:c r="J747" s="16" t="n">
        <x:v>45908.73704777778</x:v>
      </x:c>
      <x:c r="K747" s="16" t="n">
        <x:v>45927.73704777778</x:v>
      </x:c>
      <x:c r="L747" s="20" t="n">
        <x:v>105979.45</x:v>
      </x:c>
      <x:c r="M747" s="20" t="n">
        <x:v>1409.53</x:v>
      </x:c>
      <x:c r="N747" s="20" t="n">
        <x:v>0</x:v>
      </x:c>
      <x:c r="O747" s="20" t="n">
        <x:v>107388.98</x:v>
      </x:c>
      <x:c r="P747" s="20" t="n">
        <x:v>0</x:v>
      </x:c>
      <x:c r="Q747" s="10" t="str">
        <x:v>Pago</x:v>
      </x:c>
      <x:c r="R747" s="10" t="str">
        <x:v>TED</x:v>
      </x:c>
      <x:c r="S747" s="10" t="str">
        <x:v>2025-08</x:v>
      </x:c>
      <x:c r="T747" s="10" t="n">
        <x:v>0</x:v>
      </x:c>
      <x:c r="U747" s="10" t="str">
        <x:v>Liquidado</x:v>
      </x:c>
      <x:c r="V747" s="10" t="str">
        <x:v>UND004</x:v>
      </x:c>
    </x:row>
    <x:row r="748" ht="18" customHeight="1">
      <x:c r="A748" s="10" t="str">
        <x:v>PAG00747</x:v>
      </x:c>
      <x:c r="B748" s="10" t="str">
        <x:v>EMP001</x:v>
      </x:c>
      <x:c r="C748" s="10" t="str">
        <x:v>FOR016</x:v>
      </x:c>
      <x:c r="D748" s="10" t="str">
        <x:v>CC004</x:v>
      </x:c>
      <x:c r="E748" s="10" t="str">
        <x:v>CAT018</x:v>
      </x:c>
      <x:c r="F748" s="10" t="str">
        <x:v>CTA002</x:v>
      </x:c>
      <x:c r="G748" s="10" t="str">
        <x:v>NF-100747</x:v>
      </x:c>
      <x:c r="H748" s="10" t="str">
        <x:v>Tributos e taxas</x:v>
      </x:c>
      <x:c r="I748" s="16" t="n">
        <x:v>45907.90332060185</x:v>
      </x:c>
      <x:c r="J748" s="16" t="n">
        <x:v>45922.90332060185</x:v>
      </x:c>
      <x:c r="K748" s="16" t="n">
        <x:v>45930.90332060185</x:v>
      </x:c>
      <x:c r="L748" s="20" t="n">
        <x:v>6067.37</x:v>
      </x:c>
      <x:c r="M748" s="20" t="n">
        <x:v>33.98</x:v>
      </x:c>
      <x:c r="N748" s="20" t="n">
        <x:v>0</x:v>
      </x:c>
      <x:c r="O748" s="20" t="n">
        <x:v>6101.35</x:v>
      </x:c>
      <x:c r="P748" s="20" t="n">
        <x:v>0</x:v>
      </x:c>
      <x:c r="Q748" s="10" t="str">
        <x:v>Pago</x:v>
      </x:c>
      <x:c r="R748" s="10" t="str">
        <x:v>PIX</x:v>
      </x:c>
      <x:c r="S748" s="10" t="str">
        <x:v>2025-09</x:v>
      </x:c>
      <x:c r="T748" s="10" t="n">
        <x:v>0</x:v>
      </x:c>
      <x:c r="U748" s="10" t="str">
        <x:v>Liquidado</x:v>
      </x:c>
      <x:c r="V748" s="10" t="str">
        <x:v>UND002</x:v>
      </x:c>
    </x:row>
    <x:row r="749" ht="18" customHeight="1">
      <x:c r="A749" s="10" t="str">
        <x:v>PAG00748</x:v>
      </x:c>
      <x:c r="B749" s="10" t="str">
        <x:v>EMP003</x:v>
      </x:c>
      <x:c r="C749" s="10" t="str">
        <x:v>FOR046</x:v>
      </x:c>
      <x:c r="D749" s="10" t="str">
        <x:v>CC005</x:v>
      </x:c>
      <x:c r="E749" s="10" t="str">
        <x:v>CAT010</x:v>
      </x:c>
      <x:c r="F749" s="10" t="str">
        <x:v>CTA006</x:v>
      </x:c>
      <x:c r="G749" s="10" t="str">
        <x:v>NF-100748</x:v>
      </x:c>
      <x:c r="H749" s="10" t="str">
        <x:v>Compra de materiais</x:v>
      </x:c>
      <x:c r="I749" s="16" t="n">
        <x:v>45568.26949090278</x:v>
      </x:c>
      <x:c r="J749" s="16" t="n">
        <x:v>45628.26949090278</x:v>
      </x:c>
      <x:c r="K749" s="16" t="n">
        <x:v>45626.26949090278</x:v>
      </x:c>
      <x:c r="L749" s="20" t="n">
        <x:v>68287.77</x:v>
      </x:c>
      <x:c r="M749" s="20" t="n">
        <x:v>0</x:v>
      </x:c>
      <x:c r="N749" s="20" t="n">
        <x:v>0</x:v>
      </x:c>
      <x:c r="O749" s="20" t="n">
        <x:v>68287.77</x:v>
      </x:c>
      <x:c r="P749" s="20" t="n">
        <x:v>0</x:v>
      </x:c>
      <x:c r="Q749" s="10" t="str">
        <x:v>Pago</x:v>
      </x:c>
      <x:c r="R749" s="10" t="str">
        <x:v>Débito Automático</x:v>
      </x:c>
      <x:c r="S749" s="10" t="str">
        <x:v>2024-10</x:v>
      </x:c>
      <x:c r="T749" s="10" t="n">
        <x:v>0</x:v>
      </x:c>
      <x:c r="U749" s="10" t="str">
        <x:v>Liquidado</x:v>
      </x:c>
      <x:c r="V749" s="10" t="str">
        <x:v>UND004</x:v>
      </x:c>
    </x:row>
    <x:row r="750" ht="18" customHeight="1">
      <x:c r="A750" s="10" t="str">
        <x:v>PAG00749</x:v>
      </x:c>
      <x:c r="B750" s="10" t="str">
        <x:v>EMP001</x:v>
      </x:c>
      <x:c r="C750" s="10" t="str">
        <x:v>FOR008</x:v>
      </x:c>
      <x:c r="D750" s="10" t="str">
        <x:v>CC005</x:v>
      </x:c>
      <x:c r="E750" s="10" t="str">
        <x:v>CAT010</x:v>
      </x:c>
      <x:c r="F750" s="10" t="str">
        <x:v>CTA002</x:v>
      </x:c>
      <x:c r="G750" s="10" t="str">
        <x:v>NF-100749</x:v>
      </x:c>
      <x:c r="H750" s="10" t="str">
        <x:v>Prestação de serviços</x:v>
      </x:c>
      <x:c r="I750" s="16" t="n">
        <x:v>45729.97716940972</x:v>
      </x:c>
      <x:c r="J750" s="16" t="n">
        <x:v>45757.97716940972</x:v>
      </x:c>
      <x:c r="K750" s="16" t="n">
        <x:v>45754.97716940972</x:v>
      </x:c>
      <x:c r="L750" s="20" t="n">
        <x:v>25507.52</x:v>
      </x:c>
      <x:c r="M750" s="20" t="n">
        <x:v>0</x:v>
      </x:c>
      <x:c r="N750" s="20" t="n">
        <x:v>0</x:v>
      </x:c>
      <x:c r="O750" s="20" t="n">
        <x:v>25507.52</x:v>
      </x:c>
      <x:c r="P750" s="20" t="n">
        <x:v>0</x:v>
      </x:c>
      <x:c r="Q750" s="10" t="str">
        <x:v>Pago</x:v>
      </x:c>
      <x:c r="R750" s="10" t="str">
        <x:v>TED</x:v>
      </x:c>
      <x:c r="S750" s="10" t="str">
        <x:v>2025-03</x:v>
      </x:c>
      <x:c r="T750" s="10" t="n">
        <x:v>0</x:v>
      </x:c>
      <x:c r="U750" s="10" t="str">
        <x:v>Liquidado</x:v>
      </x:c>
      <x:c r="V750" s="10" t="str">
        <x:v>UND002</x:v>
      </x:c>
    </x:row>
    <x:row r="751" ht="18" customHeight="1">
      <x:c r="A751" s="10" t="str">
        <x:v>PAG00750</x:v>
      </x:c>
      <x:c r="B751" s="10" t="str">
        <x:v>EMP001</x:v>
      </x:c>
      <x:c r="C751" s="10" t="str">
        <x:v>FOR059</x:v>
      </x:c>
      <x:c r="D751" s="10" t="str">
        <x:v>CC003</x:v>
      </x:c>
      <x:c r="E751" s="10" t="str">
        <x:v>CAT007</x:v>
      </x:c>
      <x:c r="F751" s="10" t="str">
        <x:v>CTA001</x:v>
      </x:c>
      <x:c r="G751" s="10" t="str">
        <x:v>NF-100750</x:v>
      </x:c>
      <x:c r="H751" s="10" t="str">
        <x:v>Despesa operacional</x:v>
      </x:c>
      <x:c r="I751" s="16" t="n">
        <x:v>45566.21729774305</x:v>
      </x:c>
      <x:c r="J751" s="16" t="n">
        <x:v>45611.21729774305</x:v>
      </x:c>
      <x:c r="K751" s="16" t="n">
        <x:v>45616.21729774305</x:v>
      </x:c>
      <x:c r="L751" s="20" t="n">
        <x:v>111894.98</x:v>
      </x:c>
      <x:c r="M751" s="20" t="n">
        <x:v>391.63</x:v>
      </x:c>
      <x:c r="N751" s="20" t="n">
        <x:v>0</x:v>
      </x:c>
      <x:c r="O751" s="20" t="n">
        <x:v>112286.61</x:v>
      </x:c>
      <x:c r="P751" s="20" t="n">
        <x:v>0</x:v>
      </x:c>
      <x:c r="Q751" s="10" t="str">
        <x:v>Pago</x:v>
      </x:c>
      <x:c r="R751" s="10" t="str">
        <x:v>PIX</x:v>
      </x:c>
      <x:c r="S751" s="10" t="str">
        <x:v>2024-10</x:v>
      </x:c>
      <x:c r="T751" s="10" t="n">
        <x:v>0</x:v>
      </x:c>
      <x:c r="U751" s="10" t="str">
        <x:v>Liquidado</x:v>
      </x:c>
      <x:c r="V751" s="10" t="str">
        <x:v>UND001</x:v>
      </x:c>
    </x:row>
    <x:row r="752" ht="18" customHeight="1">
      <x:c r="A752" s="10" t="str">
        <x:v>PAG00751</x:v>
      </x:c>
      <x:c r="B752" s="10" t="str">
        <x:v>EMP002</x:v>
      </x:c>
      <x:c r="C752" s="10" t="str">
        <x:v>FOR048</x:v>
      </x:c>
      <x:c r="D752" s="10" t="str">
        <x:v>CC006</x:v>
      </x:c>
      <x:c r="E752" s="10" t="str">
        <x:v>CAT009</x:v>
      </x:c>
      <x:c r="F752" s="10" t="str">
        <x:v>CTA004</x:v>
      </x:c>
      <x:c r="G752" s="10" t="str">
        <x:v>NF-100751</x:v>
      </x:c>
      <x:c r="H752" s="10" t="str">
        <x:v>Prestação de serviços</x:v>
      </x:c>
      <x:c r="I752" s="16" t="n">
        <x:v>45694.777715729164</x:v>
      </x:c>
      <x:c r="J752" s="16" t="n">
        <x:v>45754.777715729164</x:v>
      </x:c>
      <x:c r="K752" s="16" t="n">
        <x:v>45756.777715729164</x:v>
      </x:c>
      <x:c r="L752" s="20" t="n">
        <x:v>813.97</x:v>
      </x:c>
      <x:c r="M752" s="20" t="n">
        <x:v>1.14</x:v>
      </x:c>
      <x:c r="N752" s="20" t="n">
        <x:v>0</x:v>
      </x:c>
      <x:c r="O752" s="20" t="n">
        <x:v>815.11</x:v>
      </x:c>
      <x:c r="P752" s="20" t="n">
        <x:v>0</x:v>
      </x:c>
      <x:c r="Q752" s="10" t="str">
        <x:v>Pago</x:v>
      </x:c>
      <x:c r="R752" s="10" t="str">
        <x:v>Débito Automático</x:v>
      </x:c>
      <x:c r="S752" s="10" t="str">
        <x:v>2025-02</x:v>
      </x:c>
      <x:c r="T752" s="10" t="n">
        <x:v>0</x:v>
      </x:c>
      <x:c r="U752" s="10" t="str">
        <x:v>Liquidado</x:v>
      </x:c>
      <x:c r="V752" s="10" t="str">
        <x:v>UND003</x:v>
      </x:c>
    </x:row>
    <x:row r="753" ht="18" customHeight="1">
      <x:c r="A753" s="10" t="str">
        <x:v>PAG00752</x:v>
      </x:c>
      <x:c r="B753" s="10" t="str">
        <x:v>EMP002</x:v>
      </x:c>
      <x:c r="C753" s="10" t="str">
        <x:v>FOR029</x:v>
      </x:c>
      <x:c r="D753" s="10" t="str">
        <x:v>CC004</x:v>
      </x:c>
      <x:c r="E753" s="10" t="str">
        <x:v>CAT016</x:v>
      </x:c>
      <x:c r="F753" s="10" t="str">
        <x:v>CTA003</x:v>
      </x:c>
      <x:c r="G753" s="10" t="str">
        <x:v>NF-100752</x:v>
      </x:c>
      <x:c r="H753" s="10" t="str">
        <x:v>Contrato recorrente</x:v>
      </x:c>
      <x:c r="I753" s="16" t="n">
        <x:v>45672.51218806713</x:v>
      </x:c>
      <x:c r="J753" s="16" t="n">
        <x:v>45700.51218806713</x:v>
      </x:c>
      <x:c r="K753" s="16" t="n">
        <x:v>45698.51218806713</x:v>
      </x:c>
      <x:c r="L753" s="20" t="n">
        <x:v>601.15</x:v>
      </x:c>
      <x:c r="M753" s="20" t="n">
        <x:v>0</x:v>
      </x:c>
      <x:c r="N753" s="20" t="n">
        <x:v>0</x:v>
      </x:c>
      <x:c r="O753" s="20" t="n">
        <x:v>601.15</x:v>
      </x:c>
      <x:c r="P753" s="20" t="n">
        <x:v>0</x:v>
      </x:c>
      <x:c r="Q753" s="10" t="str">
        <x:v>Pago</x:v>
      </x:c>
      <x:c r="R753" s="10" t="str">
        <x:v>PIX</x:v>
      </x:c>
      <x:c r="S753" s="10" t="str">
        <x:v>2025-01</x:v>
      </x:c>
      <x:c r="T753" s="10" t="n">
        <x:v>0</x:v>
      </x:c>
      <x:c r="U753" s="10" t="str">
        <x:v>Liquidado</x:v>
      </x:c>
      <x:c r="V753" s="10" t="str">
        <x:v>UND003</x:v>
      </x:c>
    </x:row>
    <x:row r="754" ht="18" customHeight="1">
      <x:c r="A754" s="10" t="str">
        <x:v>PAG00753</x:v>
      </x:c>
      <x:c r="B754" s="10" t="str">
        <x:v>EMP002</x:v>
      </x:c>
      <x:c r="C754" s="10" t="str">
        <x:v>FOR014</x:v>
      </x:c>
      <x:c r="D754" s="10" t="str">
        <x:v>CC005</x:v>
      </x:c>
      <x:c r="E754" s="10" t="str">
        <x:v>CAT014</x:v>
      </x:c>
      <x:c r="F754" s="10" t="str">
        <x:v>CTA003</x:v>
      </x:c>
      <x:c r="G754" s="10" t="str">
        <x:v>NF-100753</x:v>
      </x:c>
      <x:c r="H754" s="10" t="str">
        <x:v>Compra de materiais</x:v>
      </x:c>
      <x:c r="I754" s="16" t="n">
        <x:v>45649.59097564815</x:v>
      </x:c>
      <x:c r="J754" s="16" t="n">
        <x:v>45709.59097564815</x:v>
      </x:c>
      <x:c r="K754" s="16" t="n">
        <x:v>45710.59097564815</x:v>
      </x:c>
      <x:c r="L754" s="20" t="n">
        <x:v>92143.64</x:v>
      </x:c>
      <x:c r="M754" s="20" t="n">
        <x:v>64.5</x:v>
      </x:c>
      <x:c r="N754" s="20" t="n">
        <x:v>0</x:v>
      </x:c>
      <x:c r="O754" s="20" t="n">
        <x:v>92208.14</x:v>
      </x:c>
      <x:c r="P754" s="20" t="n">
        <x:v>0</x:v>
      </x:c>
      <x:c r="Q754" s="10" t="str">
        <x:v>Pago</x:v>
      </x:c>
      <x:c r="R754" s="10" t="str">
        <x:v>Cartão Corporativo</x:v>
      </x:c>
      <x:c r="S754" s="10" t="str">
        <x:v>2024-12</x:v>
      </x:c>
      <x:c r="T754" s="10" t="n">
        <x:v>0</x:v>
      </x:c>
      <x:c r="U754" s="10" t="str">
        <x:v>Liquidado</x:v>
      </x:c>
      <x:c r="V754" s="10" t="str">
        <x:v>UND003</x:v>
      </x:c>
    </x:row>
    <x:row r="755" ht="18" customHeight="1">
      <x:c r="A755" s="10" t="str">
        <x:v>PAG00754</x:v>
      </x:c>
      <x:c r="B755" s="10" t="str">
        <x:v>EMP003</x:v>
      </x:c>
      <x:c r="C755" s="10" t="str">
        <x:v>FOR018</x:v>
      </x:c>
      <x:c r="D755" s="10" t="str">
        <x:v>CC007</x:v>
      </x:c>
      <x:c r="E755" s="10" t="str">
        <x:v>CAT010</x:v>
      </x:c>
      <x:c r="F755" s="10" t="str">
        <x:v>CTA005</x:v>
      </x:c>
      <x:c r="G755" s="10" t="str">
        <x:v>NF-100754</x:v>
      </x:c>
      <x:c r="H755" s="10" t="str">
        <x:v>Prestação de serviços</x:v>
      </x:c>
      <x:c r="I755" s="16" t="n">
        <x:v>45468.20126900463</x:v>
      </x:c>
      <x:c r="J755" s="16" t="n">
        <x:v>45496.20126900463</x:v>
      </x:c>
      <x:c r="K755" s="16" t="n">
        <x:v>45491.20126900463</x:v>
      </x:c>
      <x:c r="L755" s="20" t="n">
        <x:v>78641.52</x:v>
      </x:c>
      <x:c r="M755" s="20" t="n">
        <x:v>0</x:v>
      </x:c>
      <x:c r="N755" s="20" t="n">
        <x:v>393.21</x:v>
      </x:c>
      <x:c r="O755" s="20" t="n">
        <x:v>78248.31</x:v>
      </x:c>
      <x:c r="P755" s="20" t="n">
        <x:v>0</x:v>
      </x:c>
      <x:c r="Q755" s="10" t="str">
        <x:v>Pago</x:v>
      </x:c>
      <x:c r="R755" s="10" t="str">
        <x:v>Boleto</x:v>
      </x:c>
      <x:c r="S755" s="10" t="str">
        <x:v>2024-06</x:v>
      </x:c>
      <x:c r="T755" s="10" t="n">
        <x:v>0</x:v>
      </x:c>
      <x:c r="U755" s="10" t="str">
        <x:v>Liquidado</x:v>
      </x:c>
      <x:c r="V755" s="10" t="str">
        <x:v>UND004</x:v>
      </x:c>
    </x:row>
    <x:row r="756" ht="18" customHeight="1">
      <x:c r="A756" s="10" t="str">
        <x:v>PAG00755</x:v>
      </x:c>
      <x:c r="B756" s="10" t="str">
        <x:v>EMP002</x:v>
      </x:c>
      <x:c r="C756" s="10" t="str">
        <x:v>FOR042</x:v>
      </x:c>
      <x:c r="D756" s="10" t="str">
        <x:v>CC002</x:v>
      </x:c>
      <x:c r="E756" s="10" t="str">
        <x:v>CAT016</x:v>
      </x:c>
      <x:c r="F756" s="10" t="str">
        <x:v>CTA003</x:v>
      </x:c>
      <x:c r="G756" s="10" t="str">
        <x:v>NF-100755</x:v>
      </x:c>
      <x:c r="H756" s="10" t="str">
        <x:v>Contrato recorrente</x:v>
      </x:c>
      <x:c r="I756" s="16" t="n">
        <x:v>45489.780166909724</x:v>
      </x:c>
      <x:c r="J756" s="16" t="n">
        <x:v>45517.780166909724</x:v>
      </x:c>
      <x:c r="K756" s="16" t="n">
        <x:v>45517.780166909724</x:v>
      </x:c>
      <x:c r="L756" s="20" t="n">
        <x:v>12707.01</x:v>
      </x:c>
      <x:c r="M756" s="20" t="n">
        <x:v>0</x:v>
      </x:c>
      <x:c r="N756" s="20" t="n">
        <x:v>0</x:v>
      </x:c>
      <x:c r="O756" s="20" t="n">
        <x:v>12707.01</x:v>
      </x:c>
      <x:c r="P756" s="20" t="n">
        <x:v>0</x:v>
      </x:c>
      <x:c r="Q756" s="10" t="str">
        <x:v>Pago</x:v>
      </x:c>
      <x:c r="R756" s="10" t="str">
        <x:v>Débito Automático</x:v>
      </x:c>
      <x:c r="S756" s="10" t="str">
        <x:v>2024-07</x:v>
      </x:c>
      <x:c r="T756" s="10" t="n">
        <x:v>0</x:v>
      </x:c>
      <x:c r="U756" s="10" t="str">
        <x:v>Liquidado</x:v>
      </x:c>
      <x:c r="V756" s="10" t="str">
        <x:v>UND003</x:v>
      </x:c>
    </x:row>
    <x:row r="757" ht="18" customHeight="1">
      <x:c r="A757" s="10" t="str">
        <x:v>PAG00756</x:v>
      </x:c>
      <x:c r="B757" s="10" t="str">
        <x:v>EMP001</x:v>
      </x:c>
      <x:c r="C757" s="10" t="str">
        <x:v>FOR058</x:v>
      </x:c>
      <x:c r="D757" s="10" t="str">
        <x:v>CC007</x:v>
      </x:c>
      <x:c r="E757" s="10" t="str">
        <x:v>CAT016</x:v>
      </x:c>
      <x:c r="F757" s="10" t="str">
        <x:v>CTA001</x:v>
      </x:c>
      <x:c r="G757" s="10" t="str">
        <x:v>NF-100756</x:v>
      </x:c>
      <x:c r="H757" s="10" t="str">
        <x:v>Prestação de serviços</x:v>
      </x:c>
      <x:c r="I757" s="16" t="n">
        <x:v>45293.05104622685</x:v>
      </x:c>
      <x:c r="J757" s="16" t="n">
        <x:v>45328.05104622685</x:v>
      </x:c>
      <x:c r="K757" s="16" t="n">
        <x:v>45343.05104622685</x:v>
      </x:c>
      <x:c r="L757" s="20" t="n">
        <x:v>87417.17</x:v>
      </x:c>
      <x:c r="M757" s="20" t="n">
        <x:v>917.88</x:v>
      </x:c>
      <x:c r="N757" s="20" t="n">
        <x:v>0</x:v>
      </x:c>
      <x:c r="O757" s="20" t="n">
        <x:v>88335.05</x:v>
      </x:c>
      <x:c r="P757" s="20" t="n">
        <x:v>0</x:v>
      </x:c>
      <x:c r="Q757" s="10" t="str">
        <x:v>Pago</x:v>
      </x:c>
      <x:c r="R757" s="10" t="str">
        <x:v>TED</x:v>
      </x:c>
      <x:c r="S757" s="10" t="str">
        <x:v>2024-01</x:v>
      </x:c>
      <x:c r="T757" s="10" t="n">
        <x:v>0</x:v>
      </x:c>
      <x:c r="U757" s="10" t="str">
        <x:v>Liquidado</x:v>
      </x:c>
      <x:c r="V757" s="10" t="str">
        <x:v>UND002</x:v>
      </x:c>
    </x:row>
    <x:row r="758" ht="18" customHeight="1">
      <x:c r="A758" s="10" t="str">
        <x:v>PAG00757</x:v>
      </x:c>
      <x:c r="B758" s="10" t="str">
        <x:v>EMP001</x:v>
      </x:c>
      <x:c r="C758" s="10" t="str">
        <x:v>FOR049</x:v>
      </x:c>
      <x:c r="D758" s="10" t="str">
        <x:v>CC005</x:v>
      </x:c>
      <x:c r="E758" s="10" t="str">
        <x:v>CAT006</x:v>
      </x:c>
      <x:c r="F758" s="10" t="str">
        <x:v>CTA002</x:v>
      </x:c>
      <x:c r="G758" s="10" t="str">
        <x:v>NF-100757</x:v>
      </x:c>
      <x:c r="H758" s="10" t="str">
        <x:v>Contrato recorrente</x:v>
      </x:c>
      <x:c r="I758" s="16" t="n">
        <x:v>45841.14337023148</x:v>
      </x:c>
      <x:c r="J758" s="16" t="n">
        <x:v>45856.14337023148</x:v>
      </x:c>
      <x:c r="K758" s="16" t="n">
        <x:v>45850.14337023148</x:v>
      </x:c>
      <x:c r="L758" s="20" t="n">
        <x:v>7606.26</x:v>
      </x:c>
      <x:c r="M758" s="20" t="n">
        <x:v>0</x:v>
      </x:c>
      <x:c r="N758" s="20" t="n">
        <x:v>0</x:v>
      </x:c>
      <x:c r="O758" s="20" t="n">
        <x:v>7606.26</x:v>
      </x:c>
      <x:c r="P758" s="20" t="n">
        <x:v>0</x:v>
      </x:c>
      <x:c r="Q758" s="10" t="str">
        <x:v>Pago</x:v>
      </x:c>
      <x:c r="R758" s="10" t="str">
        <x:v>Débito Automático</x:v>
      </x:c>
      <x:c r="S758" s="10" t="str">
        <x:v>2025-07</x:v>
      </x:c>
      <x:c r="T758" s="10" t="n">
        <x:v>0</x:v>
      </x:c>
      <x:c r="U758" s="10" t="str">
        <x:v>Liquidado</x:v>
      </x:c>
      <x:c r="V758" s="10" t="str">
        <x:v>UND002</x:v>
      </x:c>
    </x:row>
    <x:row r="759" ht="18" customHeight="1">
      <x:c r="A759" s="10" t="str">
        <x:v>PAG00758</x:v>
      </x:c>
      <x:c r="B759" s="10" t="str">
        <x:v>EMP003</x:v>
      </x:c>
      <x:c r="C759" s="10" t="str">
        <x:v>FOR038</x:v>
      </x:c>
      <x:c r="D759" s="10" t="str">
        <x:v>CC008</x:v>
      </x:c>
      <x:c r="E759" s="10" t="str">
        <x:v>CAT005</x:v>
      </x:c>
      <x:c r="F759" s="10" t="str">
        <x:v>CTA006</x:v>
      </x:c>
      <x:c r="G759" s="10" t="str">
        <x:v>NF-100758</x:v>
      </x:c>
      <x:c r="H759" s="10" t="str">
        <x:v>Prestação de serviços</x:v>
      </x:c>
      <x:c r="I759" s="16" t="n">
        <x:v>45779.72727105324</x:v>
      </x:c>
      <x:c r="J759" s="16" t="n">
        <x:v>45854.72727105324</x:v>
      </x:c>
      <x:c r="K759" s="16" t="n">
        <x:v>45847.72727105324</x:v>
      </x:c>
      <x:c r="L759" s="20" t="n">
        <x:v>934.68</x:v>
      </x:c>
      <x:c r="M759" s="20" t="n">
        <x:v>0</x:v>
      </x:c>
      <x:c r="N759" s="20" t="n">
        <x:v>9.35</x:v>
      </x:c>
      <x:c r="O759" s="20" t="n">
        <x:v>925.33</x:v>
      </x:c>
      <x:c r="P759" s="20" t="n">
        <x:v>0</x:v>
      </x:c>
      <x:c r="Q759" s="10" t="str">
        <x:v>Pago</x:v>
      </x:c>
      <x:c r="R759" s="10" t="str">
        <x:v>TED</x:v>
      </x:c>
      <x:c r="S759" s="10" t="str">
        <x:v>2025-05</x:v>
      </x:c>
      <x:c r="T759" s="10" t="n">
        <x:v>0</x:v>
      </x:c>
      <x:c r="U759" s="10" t="str">
        <x:v>Liquidado</x:v>
      </x:c>
      <x:c r="V759" s="10" t="str">
        <x:v>UND004</x:v>
      </x:c>
    </x:row>
    <x:row r="760" ht="18" customHeight="1">
      <x:c r="A760" s="10" t="str">
        <x:v>PAG00759</x:v>
      </x:c>
      <x:c r="B760" s="10" t="str">
        <x:v>EMP002</x:v>
      </x:c>
      <x:c r="C760" s="10" t="str">
        <x:v>FOR060</x:v>
      </x:c>
      <x:c r="D760" s="10" t="str">
        <x:v>CC006</x:v>
      </x:c>
      <x:c r="E760" s="10" t="str">
        <x:v>CAT010</x:v>
      </x:c>
      <x:c r="F760" s="10" t="str">
        <x:v>CTA003</x:v>
      </x:c>
      <x:c r="G760" s="10" t="str">
        <x:v>NF-100759</x:v>
      </x:c>
      <x:c r="H760" s="10" t="str">
        <x:v>Prestação de serviços</x:v>
      </x:c>
      <x:c r="I760" s="16" t="n">
        <x:v>45306.298490636575</x:v>
      </x:c>
      <x:c r="J760" s="16" t="n">
        <x:v>45366.298490636575</x:v>
      </x:c>
      <x:c r="K760" s="16" t="n">
        <x:v>45367.298490636575</x:v>
      </x:c>
      <x:c r="L760" s="20" t="n">
        <x:v>2756.88</x:v>
      </x:c>
      <x:c r="M760" s="20" t="n">
        <x:v>1.93</x:v>
      </x:c>
      <x:c r="N760" s="20" t="n">
        <x:v>0</x:v>
      </x:c>
      <x:c r="O760" s="20" t="n">
        <x:v>2758.81</x:v>
      </x:c>
      <x:c r="P760" s="20" t="n">
        <x:v>0</x:v>
      </x:c>
      <x:c r="Q760" s="10" t="str">
        <x:v>Pago</x:v>
      </x:c>
      <x:c r="R760" s="10" t="str">
        <x:v>TED</x:v>
      </x:c>
      <x:c r="S760" s="10" t="str">
        <x:v>2024-01</x:v>
      </x:c>
      <x:c r="T760" s="10" t="n">
        <x:v>0</x:v>
      </x:c>
      <x:c r="U760" s="10" t="str">
        <x:v>Liquidado</x:v>
      </x:c>
      <x:c r="V760" s="10" t="str">
        <x:v>UND003</x:v>
      </x:c>
    </x:row>
    <x:row r="761" ht="18" customHeight="1">
      <x:c r="A761" s="10" t="str">
        <x:v>PAG00760</x:v>
      </x:c>
      <x:c r="B761" s="10" t="str">
        <x:v>EMP003</x:v>
      </x:c>
      <x:c r="C761" s="10" t="str">
        <x:v>FOR001</x:v>
      </x:c>
      <x:c r="D761" s="10" t="str">
        <x:v>CC001</x:v>
      </x:c>
      <x:c r="E761" s="10" t="str">
        <x:v>CAT011</x:v>
      </x:c>
      <x:c r="F761" s="10" t="str">
        <x:v>CTA006</x:v>
      </x:c>
      <x:c r="G761" s="10" t="str">
        <x:v>NF-100760</x:v>
      </x:c>
      <x:c r="H761" s="10" t="str">
        <x:v>Contrato recorrente</x:v>
      </x:c>
      <x:c r="I761" s="16" t="n">
        <x:v>45499.33033774306</x:v>
      </x:c>
      <x:c r="J761" s="16" t="n">
        <x:v>45544.33033774306</x:v>
      </x:c>
      <x:c r="K761" s="16" t="n">
        <x:v>45539.33033774306</x:v>
      </x:c>
      <x:c r="L761" s="20" t="n">
        <x:v>25795.26</x:v>
      </x:c>
      <x:c r="M761" s="20" t="n">
        <x:v>0</x:v>
      </x:c>
      <x:c r="N761" s="20" t="n">
        <x:v>0</x:v>
      </x:c>
      <x:c r="O761" s="20" t="n">
        <x:v>25795.26</x:v>
      </x:c>
      <x:c r="P761" s="20" t="n">
        <x:v>0</x:v>
      </x:c>
      <x:c r="Q761" s="10" t="str">
        <x:v>Pago</x:v>
      </x:c>
      <x:c r="R761" s="10" t="str">
        <x:v>PIX</x:v>
      </x:c>
      <x:c r="S761" s="10" t="str">
        <x:v>2024-07</x:v>
      </x:c>
      <x:c r="T761" s="10" t="n">
        <x:v>0</x:v>
      </x:c>
      <x:c r="U761" s="10" t="str">
        <x:v>Liquidado</x:v>
      </x:c>
      <x:c r="V761" s="10" t="str">
        <x:v>UND004</x:v>
      </x:c>
    </x:row>
    <x:row r="762" ht="18" customHeight="1">
      <x:c r="A762" s="10" t="str">
        <x:v>PAG00761</x:v>
      </x:c>
      <x:c r="B762" s="10" t="str">
        <x:v>EMP003</x:v>
      </x:c>
      <x:c r="C762" s="10" t="str">
        <x:v>FOR053</x:v>
      </x:c>
      <x:c r="D762" s="10" t="str">
        <x:v>CC002</x:v>
      </x:c>
      <x:c r="E762" s="10" t="str">
        <x:v>CAT016</x:v>
      </x:c>
      <x:c r="F762" s="10" t="str">
        <x:v>CTA005</x:v>
      </x:c>
      <x:c r="G762" s="10" t="str">
        <x:v>NF-100761</x:v>
      </x:c>
      <x:c r="H762" s="10" t="str">
        <x:v>Tributos e taxas</x:v>
      </x:c>
      <x:c r="I762" s="16" t="n">
        <x:v>45823.380526030094</x:v>
      </x:c>
      <x:c r="J762" s="16" t="n">
        <x:v>45851.380526030094</x:v>
      </x:c>
      <x:c r="K762" s="16"/>
      <x:c r="L762" s="20" t="n">
        <x:v>72315.5</x:v>
      </x:c>
      <x:c r="M762" s="20" t="n">
        <x:v>0</x:v>
      </x:c>
      <x:c r="N762" s="20" t="n">
        <x:v>0</x:v>
      </x:c>
      <x:c r="O762" s="20" t="n">
        <x:v>0</x:v>
      </x:c>
      <x:c r="P762" s="20" t="n">
        <x:v>72315.5</x:v>
      </x:c>
      <x:c r="Q762" s="10" t="str">
        <x:v>Vencido</x:v>
      </x:c>
      <x:c r="R762" s="10" t="str">
        <x:v>TED</x:v>
      </x:c>
      <x:c r="S762" s="10" t="str">
        <x:v>2025-06</x:v>
      </x:c>
      <x:c r="T762" s="10" t="n">
        <x:v>170</x:v>
      </x:c>
      <x:c r="U762" s="10" t="str">
        <x:v>&gt; 120 dias</x:v>
      </x:c>
      <x:c r="V762" s="10" t="str">
        <x:v>UND004</x:v>
      </x:c>
    </x:row>
    <x:row r="763" ht="18" customHeight="1">
      <x:c r="A763" s="10" t="str">
        <x:v>PAG00762</x:v>
      </x:c>
      <x:c r="B763" s="10" t="str">
        <x:v>EMP003</x:v>
      </x:c>
      <x:c r="C763" s="10" t="str">
        <x:v>FOR055</x:v>
      </x:c>
      <x:c r="D763" s="10" t="str">
        <x:v>CC007</x:v>
      </x:c>
      <x:c r="E763" s="10" t="str">
        <x:v>CAT008</x:v>
      </x:c>
      <x:c r="F763" s="10" t="str">
        <x:v>CTA006</x:v>
      </x:c>
      <x:c r="G763" s="10" t="str">
        <x:v>NF-100762</x:v>
      </x:c>
      <x:c r="H763" s="10" t="str">
        <x:v>Contrato recorrente</x:v>
      </x:c>
      <x:c r="I763" s="16" t="n">
        <x:v>45947.669712233794</x:v>
      </x:c>
      <x:c r="J763" s="16" t="n">
        <x:v>46022.669712233794</x:v>
      </x:c>
      <x:c r="K763" s="16"/>
      <x:c r="L763" s="20" t="n">
        <x:v>50832.76</x:v>
      </x:c>
      <x:c r="M763" s="20" t="n">
        <x:v>0</x:v>
      </x:c>
      <x:c r="N763" s="20" t="n">
        <x:v>0</x:v>
      </x:c>
      <x:c r="O763" s="20" t="n">
        <x:v>0</x:v>
      </x:c>
      <x:c r="P763" s="20" t="n">
        <x:v>50832.76</x:v>
      </x:c>
      <x:c r="Q763" s="10" t="str">
        <x:v>A vencer</x:v>
      </x:c>
      <x:c r="R763" s="10" t="str">
        <x:v>Débito Automático</x:v>
      </x:c>
      <x:c r="S763" s="10" t="str">
        <x:v>2025-10</x:v>
      </x:c>
      <x:c r="T763" s="10" t="n">
        <x:v>0</x:v>
      </x:c>
      <x:c r="U763" s="10" t="str">
        <x:v>A vencer</x:v>
      </x:c>
      <x:c r="V763" s="10" t="str">
        <x:v>UND004</x:v>
      </x:c>
    </x:row>
    <x:row r="764" ht="18" customHeight="1">
      <x:c r="A764" s="10" t="str">
        <x:v>PAG00763</x:v>
      </x:c>
      <x:c r="B764" s="10" t="str">
        <x:v>EMP003</x:v>
      </x:c>
      <x:c r="C764" s="10" t="str">
        <x:v>FOR032</x:v>
      </x:c>
      <x:c r="D764" s="10" t="str">
        <x:v>CC003</x:v>
      </x:c>
      <x:c r="E764" s="10" t="str">
        <x:v>CAT016</x:v>
      </x:c>
      <x:c r="F764" s="10" t="str">
        <x:v>CTA006</x:v>
      </x:c>
      <x:c r="G764" s="10" t="str">
        <x:v>NF-100763</x:v>
      </x:c>
      <x:c r="H764" s="10" t="str">
        <x:v>Tributos e taxas</x:v>
      </x:c>
      <x:c r="I764" s="16" t="n">
        <x:v>45652.68243107639</x:v>
      </x:c>
      <x:c r="J764" s="16" t="n">
        <x:v>45682.68243107639</x:v>
      </x:c>
      <x:c r="K764" s="16" t="n">
        <x:v>45683.68243107639</x:v>
      </x:c>
      <x:c r="L764" s="20" t="n">
        <x:v>1958.87</x:v>
      </x:c>
      <x:c r="M764" s="20" t="n">
        <x:v>1.37</x:v>
      </x:c>
      <x:c r="N764" s="20" t="n">
        <x:v>0</x:v>
      </x:c>
      <x:c r="O764" s="20" t="n">
        <x:v>1960.24</x:v>
      </x:c>
      <x:c r="P764" s="20" t="n">
        <x:v>0</x:v>
      </x:c>
      <x:c r="Q764" s="10" t="str">
        <x:v>Pago</x:v>
      </x:c>
      <x:c r="R764" s="10" t="str">
        <x:v>PIX</x:v>
      </x:c>
      <x:c r="S764" s="10" t="str">
        <x:v>2024-12</x:v>
      </x:c>
      <x:c r="T764" s="10" t="n">
        <x:v>0</x:v>
      </x:c>
      <x:c r="U764" s="10" t="str">
        <x:v>Liquidado</x:v>
      </x:c>
      <x:c r="V764" s="10" t="str">
        <x:v>UND004</x:v>
      </x:c>
    </x:row>
    <x:row r="765" ht="18" customHeight="1">
      <x:c r="A765" s="10" t="str">
        <x:v>PAG00764</x:v>
      </x:c>
      <x:c r="B765" s="10" t="str">
        <x:v>EMP003</x:v>
      </x:c>
      <x:c r="C765" s="10" t="str">
        <x:v>FOR015</x:v>
      </x:c>
      <x:c r="D765" s="10" t="str">
        <x:v>CC007</x:v>
      </x:c>
      <x:c r="E765" s="10" t="str">
        <x:v>CAT017</x:v>
      </x:c>
      <x:c r="F765" s="10" t="str">
        <x:v>CTA006</x:v>
      </x:c>
      <x:c r="G765" s="10" t="str">
        <x:v>NF-100764</x:v>
      </x:c>
      <x:c r="H765" s="10" t="str">
        <x:v>Tributos e taxas</x:v>
      </x:c>
      <x:c r="I765" s="16" t="n">
        <x:v>45816.19656613426</x:v>
      </x:c>
      <x:c r="J765" s="16" t="n">
        <x:v>45836.19656613426</x:v>
      </x:c>
      <x:c r="K765" s="16" t="n">
        <x:v>45867.19656613426</x:v>
      </x:c>
      <x:c r="L765" s="20" t="n">
        <x:v>20914.27</x:v>
      </x:c>
      <x:c r="M765" s="20" t="n">
        <x:v>453.84</x:v>
      </x:c>
      <x:c r="N765" s="20" t="n">
        <x:v>0</x:v>
      </x:c>
      <x:c r="O765" s="20" t="n">
        <x:v>21368.11</x:v>
      </x:c>
      <x:c r="P765" s="20" t="n">
        <x:v>0</x:v>
      </x:c>
      <x:c r="Q765" s="10" t="str">
        <x:v>Pago</x:v>
      </x:c>
      <x:c r="R765" s="10" t="str">
        <x:v>PIX</x:v>
      </x:c>
      <x:c r="S765" s="10" t="str">
        <x:v>2025-06</x:v>
      </x:c>
      <x:c r="T765" s="10" t="n">
        <x:v>0</x:v>
      </x:c>
      <x:c r="U765" s="10" t="str">
        <x:v>Liquidado</x:v>
      </x:c>
      <x:c r="V765" s="10" t="str">
        <x:v>UND004</x:v>
      </x:c>
    </x:row>
    <x:row r="766" ht="18" customHeight="1">
      <x:c r="A766" s="10" t="str">
        <x:v>PAG00765</x:v>
      </x:c>
      <x:c r="B766" s="10" t="str">
        <x:v>EMP001</x:v>
      </x:c>
      <x:c r="C766" s="10" t="str">
        <x:v>FOR048</x:v>
      </x:c>
      <x:c r="D766" s="10" t="str">
        <x:v>CC003</x:v>
      </x:c>
      <x:c r="E766" s="10" t="str">
        <x:v>CAT013</x:v>
      </x:c>
      <x:c r="F766" s="10" t="str">
        <x:v>CTA002</x:v>
      </x:c>
      <x:c r="G766" s="10" t="str">
        <x:v>NF-100765</x:v>
      </x:c>
      <x:c r="H766" s="10" t="str">
        <x:v>Contrato recorrente</x:v>
      </x:c>
      <x:c r="I766" s="16" t="n">
        <x:v>45439.03540980324</x:v>
      </x:c>
      <x:c r="J766" s="16" t="n">
        <x:v>45454.03540980324</x:v>
      </x:c>
      <x:c r="K766" s="16" t="n">
        <x:v>45455.03540980324</x:v>
      </x:c>
      <x:c r="L766" s="20" t="n">
        <x:v>43765.8</x:v>
      </x:c>
      <x:c r="M766" s="20" t="n">
        <x:v>30.64</x:v>
      </x:c>
      <x:c r="N766" s="20" t="n">
        <x:v>0</x:v>
      </x:c>
      <x:c r="O766" s="20" t="n">
        <x:v>43796.44</x:v>
      </x:c>
      <x:c r="P766" s="20" t="n">
        <x:v>0</x:v>
      </x:c>
      <x:c r="Q766" s="10" t="str">
        <x:v>Pago</x:v>
      </x:c>
      <x:c r="R766" s="10" t="str">
        <x:v>Cartão Corporativo</x:v>
      </x:c>
      <x:c r="S766" s="10" t="str">
        <x:v>2024-05</x:v>
      </x:c>
      <x:c r="T766" s="10" t="n">
        <x:v>0</x:v>
      </x:c>
      <x:c r="U766" s="10" t="str">
        <x:v>Liquidado</x:v>
      </x:c>
      <x:c r="V766" s="10" t="str">
        <x:v>UND002</x:v>
      </x:c>
    </x:row>
    <x:row r="767" ht="18" customHeight="1">
      <x:c r="A767" s="10" t="str">
        <x:v>PAG00766</x:v>
      </x:c>
      <x:c r="B767" s="10" t="str">
        <x:v>EMP003</x:v>
      </x:c>
      <x:c r="C767" s="10" t="str">
        <x:v>FOR056</x:v>
      </x:c>
      <x:c r="D767" s="10" t="str">
        <x:v>CC003</x:v>
      </x:c>
      <x:c r="E767" s="10" t="str">
        <x:v>CAT008</x:v>
      </x:c>
      <x:c r="F767" s="10" t="str">
        <x:v>CTA005</x:v>
      </x:c>
      <x:c r="G767" s="10" t="str">
        <x:v>NF-100766</x:v>
      </x:c>
      <x:c r="H767" s="10" t="str">
        <x:v>Contrato recorrente</x:v>
      </x:c>
      <x:c r="I767" s="16" t="n">
        <x:v>45422.31784775463</x:v>
      </x:c>
      <x:c r="J767" s="16" t="n">
        <x:v>45497.31784775463</x:v>
      </x:c>
      <x:c r="K767" s="16" t="n">
        <x:v>45507.31784775463</x:v>
      </x:c>
      <x:c r="L767" s="20" t="n">
        <x:v>1897.5</x:v>
      </x:c>
      <x:c r="M767" s="20" t="n">
        <x:v>13.28</x:v>
      </x:c>
      <x:c r="N767" s="20" t="n">
        <x:v>0</x:v>
      </x:c>
      <x:c r="O767" s="20" t="n">
        <x:v>1910.78</x:v>
      </x:c>
      <x:c r="P767" s="20" t="n">
        <x:v>0</x:v>
      </x:c>
      <x:c r="Q767" s="10" t="str">
        <x:v>Pago</x:v>
      </x:c>
      <x:c r="R767" s="10" t="str">
        <x:v>PIX</x:v>
      </x:c>
      <x:c r="S767" s="10" t="str">
        <x:v>2024-05</x:v>
      </x:c>
      <x:c r="T767" s="10" t="n">
        <x:v>0</x:v>
      </x:c>
      <x:c r="U767" s="10" t="str">
        <x:v>Liquidado</x:v>
      </x:c>
      <x:c r="V767" s="10" t="str">
        <x:v>UND004</x:v>
      </x:c>
    </x:row>
    <x:row r="768" ht="18" customHeight="1">
      <x:c r="A768" s="10" t="str">
        <x:v>PAG00767</x:v>
      </x:c>
      <x:c r="B768" s="10" t="str">
        <x:v>EMP002</x:v>
      </x:c>
      <x:c r="C768" s="10" t="str">
        <x:v>FOR027</x:v>
      </x:c>
      <x:c r="D768" s="10" t="str">
        <x:v>CC005</x:v>
      </x:c>
      <x:c r="E768" s="10" t="str">
        <x:v>CAT008</x:v>
      </x:c>
      <x:c r="F768" s="10" t="str">
        <x:v>CTA003</x:v>
      </x:c>
      <x:c r="G768" s="10" t="str">
        <x:v>NF-100767</x:v>
      </x:c>
      <x:c r="H768" s="10" t="str">
        <x:v>Tributos e taxas</x:v>
      </x:c>
      <x:c r="I768" s="16" t="n">
        <x:v>45556.49695702546</x:v>
      </x:c>
      <x:c r="J768" s="16" t="n">
        <x:v>45576.49695702546</x:v>
      </x:c>
      <x:c r="K768" s="16" t="n">
        <x:v>45574.49695702546</x:v>
      </x:c>
      <x:c r="L768" s="20" t="n">
        <x:v>42469.43</x:v>
      </x:c>
      <x:c r="M768" s="20" t="n">
        <x:v>0</x:v>
      </x:c>
      <x:c r="N768" s="20" t="n">
        <x:v>424.69</x:v>
      </x:c>
      <x:c r="O768" s="20" t="n">
        <x:v>42044.74</x:v>
      </x:c>
      <x:c r="P768" s="20" t="n">
        <x:v>0</x:v>
      </x:c>
      <x:c r="Q768" s="10" t="str">
        <x:v>Pago</x:v>
      </x:c>
      <x:c r="R768" s="10" t="str">
        <x:v>Cartão Corporativo</x:v>
      </x:c>
      <x:c r="S768" s="10" t="str">
        <x:v>2024-09</x:v>
      </x:c>
      <x:c r="T768" s="10" t="n">
        <x:v>0</x:v>
      </x:c>
      <x:c r="U768" s="10" t="str">
        <x:v>Liquidado</x:v>
      </x:c>
      <x:c r="V768" s="10" t="str">
        <x:v>UND003</x:v>
      </x:c>
    </x:row>
    <x:row r="769" ht="18" customHeight="1">
      <x:c r="A769" s="10" t="str">
        <x:v>PAG00768</x:v>
      </x:c>
      <x:c r="B769" s="10" t="str">
        <x:v>EMP002</x:v>
      </x:c>
      <x:c r="C769" s="10" t="str">
        <x:v>FOR038</x:v>
      </x:c>
      <x:c r="D769" s="10" t="str">
        <x:v>CC002</x:v>
      </x:c>
      <x:c r="E769" s="10" t="str">
        <x:v>CAT011</x:v>
      </x:c>
      <x:c r="F769" s="10" t="str">
        <x:v>CTA003</x:v>
      </x:c>
      <x:c r="G769" s="10" t="str">
        <x:v>NF-100768</x:v>
      </x:c>
      <x:c r="H769" s="10" t="str">
        <x:v>Tributos e taxas</x:v>
      </x:c>
      <x:c r="I769" s="16" t="n">
        <x:v>45868.85718575231</x:v>
      </x:c>
      <x:c r="J769" s="16" t="n">
        <x:v>45883.85718575231</x:v>
      </x:c>
      <x:c r="K769" s="16" t="n">
        <x:v>45890.85718575231</x:v>
      </x:c>
      <x:c r="L769" s="20" t="n">
        <x:v>11119.26</x:v>
      </x:c>
      <x:c r="M769" s="20" t="n">
        <x:v>54.48</x:v>
      </x:c>
      <x:c r="N769" s="20" t="n">
        <x:v>0</x:v>
      </x:c>
      <x:c r="O769" s="20" t="n">
        <x:v>11173.74</x:v>
      </x:c>
      <x:c r="P769" s="20" t="n">
        <x:v>0</x:v>
      </x:c>
      <x:c r="Q769" s="10" t="str">
        <x:v>Pago</x:v>
      </x:c>
      <x:c r="R769" s="10" t="str">
        <x:v>PIX</x:v>
      </x:c>
      <x:c r="S769" s="10" t="str">
        <x:v>2025-07</x:v>
      </x:c>
      <x:c r="T769" s="10" t="n">
        <x:v>0</x:v>
      </x:c>
      <x:c r="U769" s="10" t="str">
        <x:v>Liquidado</x:v>
      </x:c>
      <x:c r="V769" s="10" t="str">
        <x:v>UND003</x:v>
      </x:c>
    </x:row>
    <x:row r="770" ht="18" customHeight="1">
      <x:c r="A770" s="10" t="str">
        <x:v>PAG00769</x:v>
      </x:c>
      <x:c r="B770" s="10" t="str">
        <x:v>EMP001</x:v>
      </x:c>
      <x:c r="C770" s="10" t="str">
        <x:v>FOR039</x:v>
      </x:c>
      <x:c r="D770" s="10" t="str">
        <x:v>CC008</x:v>
      </x:c>
      <x:c r="E770" s="10" t="str">
        <x:v>CAT007</x:v>
      </x:c>
      <x:c r="F770" s="10" t="str">
        <x:v>CTA002</x:v>
      </x:c>
      <x:c r="G770" s="10" t="str">
        <x:v>NF-100769</x:v>
      </x:c>
      <x:c r="H770" s="10" t="str">
        <x:v>Tributos e taxas</x:v>
      </x:c>
      <x:c r="I770" s="16" t="n">
        <x:v>45741.94826236111</x:v>
      </x:c>
      <x:c r="J770" s="16" t="n">
        <x:v>45756.94826236111</x:v>
      </x:c>
      <x:c r="K770" s="16" t="n">
        <x:v>45766.94826236111</x:v>
      </x:c>
      <x:c r="L770" s="20" t="n">
        <x:v>45439.1</x:v>
      </x:c>
      <x:c r="M770" s="20" t="n">
        <x:v>318.07</x:v>
      </x:c>
      <x:c r="N770" s="20" t="n">
        <x:v>0</x:v>
      </x:c>
      <x:c r="O770" s="20" t="n">
        <x:v>45757.17</x:v>
      </x:c>
      <x:c r="P770" s="20" t="n">
        <x:v>0</x:v>
      </x:c>
      <x:c r="Q770" s="10" t="str">
        <x:v>Pago</x:v>
      </x:c>
      <x:c r="R770" s="10" t="str">
        <x:v>PIX</x:v>
      </x:c>
      <x:c r="S770" s="10" t="str">
        <x:v>2025-03</x:v>
      </x:c>
      <x:c r="T770" s="10" t="n">
        <x:v>0</x:v>
      </x:c>
      <x:c r="U770" s="10" t="str">
        <x:v>Liquidado</x:v>
      </x:c>
      <x:c r="V770" s="10" t="str">
        <x:v>UND001</x:v>
      </x:c>
    </x:row>
    <x:row r="771" ht="18" customHeight="1">
      <x:c r="A771" s="10" t="str">
        <x:v>PAG00770</x:v>
      </x:c>
      <x:c r="B771" s="10" t="str">
        <x:v>EMP001</x:v>
      </x:c>
      <x:c r="C771" s="10" t="str">
        <x:v>FOR034</x:v>
      </x:c>
      <x:c r="D771" s="10" t="str">
        <x:v>CC003</x:v>
      </x:c>
      <x:c r="E771" s="10" t="str">
        <x:v>CAT008</x:v>
      </x:c>
      <x:c r="F771" s="10" t="str">
        <x:v>CTA001</x:v>
      </x:c>
      <x:c r="G771" s="10" t="str">
        <x:v>NF-100770</x:v>
      </x:c>
      <x:c r="H771" s="10" t="str">
        <x:v>Tributos e taxas</x:v>
      </x:c>
      <x:c r="I771" s="16" t="n">
        <x:v>45479.64650582176</x:v>
      </x:c>
      <x:c r="J771" s="16" t="n">
        <x:v>45554.64650582176</x:v>
      </x:c>
      <x:c r="K771" s="16" t="n">
        <x:v>45573.64650582176</x:v>
      </x:c>
      <x:c r="L771" s="20" t="n">
        <x:v>34286.3</x:v>
      </x:c>
      <x:c r="M771" s="20" t="n">
        <x:v>456.01</x:v>
      </x:c>
      <x:c r="N771" s="20" t="n">
        <x:v>0</x:v>
      </x:c>
      <x:c r="O771" s="20" t="n">
        <x:v>34742.31</x:v>
      </x:c>
      <x:c r="P771" s="20" t="n">
        <x:v>0</x:v>
      </x:c>
      <x:c r="Q771" s="10" t="str">
        <x:v>Pago</x:v>
      </x:c>
      <x:c r="R771" s="10" t="str">
        <x:v>TED</x:v>
      </x:c>
      <x:c r="S771" s="10" t="str">
        <x:v>2024-07</x:v>
      </x:c>
      <x:c r="T771" s="10" t="n">
        <x:v>0</x:v>
      </x:c>
      <x:c r="U771" s="10" t="str">
        <x:v>Liquidado</x:v>
      </x:c>
      <x:c r="V771" s="10" t="str">
        <x:v>UND001</x:v>
      </x:c>
    </x:row>
    <x:row r="772" ht="18" customHeight="1">
      <x:c r="A772" s="10" t="str">
        <x:v>PAG00771</x:v>
      </x:c>
      <x:c r="B772" s="10" t="str">
        <x:v>EMP003</x:v>
      </x:c>
      <x:c r="C772" s="10" t="str">
        <x:v>FOR021</x:v>
      </x:c>
      <x:c r="D772" s="10" t="str">
        <x:v>CC006</x:v>
      </x:c>
      <x:c r="E772" s="10" t="str">
        <x:v>CAT015</x:v>
      </x:c>
      <x:c r="F772" s="10" t="str">
        <x:v>CTA006</x:v>
      </x:c>
      <x:c r="G772" s="10" t="str">
        <x:v>NF-100771</x:v>
      </x:c>
      <x:c r="H772" s="10" t="str">
        <x:v>Despesa operacional</x:v>
      </x:c>
      <x:c r="I772" s="16" t="n">
        <x:v>45606.54255092593</x:v>
      </x:c>
      <x:c r="J772" s="16" t="n">
        <x:v>45621.54255092593</x:v>
      </x:c>
      <x:c r="K772" s="16" t="n">
        <x:v>45615.54255092593</x:v>
      </x:c>
      <x:c r="L772" s="20" t="n">
        <x:v>14026.68</x:v>
      </x:c>
      <x:c r="M772" s="20" t="n">
        <x:v>0</x:v>
      </x:c>
      <x:c r="N772" s="20" t="n">
        <x:v>0</x:v>
      </x:c>
      <x:c r="O772" s="20" t="n">
        <x:v>14026.68</x:v>
      </x:c>
      <x:c r="P772" s="20" t="n">
        <x:v>0</x:v>
      </x:c>
      <x:c r="Q772" s="10" t="str">
        <x:v>Pago</x:v>
      </x:c>
      <x:c r="R772" s="10" t="str">
        <x:v>PIX</x:v>
      </x:c>
      <x:c r="S772" s="10" t="str">
        <x:v>2024-11</x:v>
      </x:c>
      <x:c r="T772" s="10" t="n">
        <x:v>0</x:v>
      </x:c>
      <x:c r="U772" s="10" t="str">
        <x:v>Liquidado</x:v>
      </x:c>
      <x:c r="V772" s="10" t="str">
        <x:v>UND004</x:v>
      </x:c>
    </x:row>
    <x:row r="773" ht="18" customHeight="1">
      <x:c r="A773" s="10" t="str">
        <x:v>PAG00772</x:v>
      </x:c>
      <x:c r="B773" s="10" t="str">
        <x:v>EMP003</x:v>
      </x:c>
      <x:c r="C773" s="10" t="str">
        <x:v>FOR051</x:v>
      </x:c>
      <x:c r="D773" s="10" t="str">
        <x:v>CC001</x:v>
      </x:c>
      <x:c r="E773" s="10" t="str">
        <x:v>CAT006</x:v>
      </x:c>
      <x:c r="F773" s="10" t="str">
        <x:v>CTA006</x:v>
      </x:c>
      <x:c r="G773" s="10" t="str">
        <x:v>NF-100772</x:v>
      </x:c>
      <x:c r="H773" s="10" t="str">
        <x:v>Prestação de serviços</x:v>
      </x:c>
      <x:c r="I773" s="16" t="n">
        <x:v>45803.592531863425</x:v>
      </x:c>
      <x:c r="J773" s="16" t="n">
        <x:v>45818.592531863425</x:v>
      </x:c>
      <x:c r="K773" s="16" t="n">
        <x:v>45823.592531863425</x:v>
      </x:c>
      <x:c r="L773" s="20" t="n">
        <x:v>797.5</x:v>
      </x:c>
      <x:c r="M773" s="20" t="n">
        <x:v>2.79</x:v>
      </x:c>
      <x:c r="N773" s="20" t="n">
        <x:v>0</x:v>
      </x:c>
      <x:c r="O773" s="20" t="n">
        <x:v>800.29</x:v>
      </x:c>
      <x:c r="P773" s="20" t="n">
        <x:v>0</x:v>
      </x:c>
      <x:c r="Q773" s="10" t="str">
        <x:v>Pago</x:v>
      </x:c>
      <x:c r="R773" s="10" t="str">
        <x:v>PIX</x:v>
      </x:c>
      <x:c r="S773" s="10" t="str">
        <x:v>2025-05</x:v>
      </x:c>
      <x:c r="T773" s="10" t="n">
        <x:v>0</x:v>
      </x:c>
      <x:c r="U773" s="10" t="str">
        <x:v>Liquidado</x:v>
      </x:c>
      <x:c r="V773" s="10" t="str">
        <x:v>UND004</x:v>
      </x:c>
    </x:row>
    <x:row r="774" ht="18" customHeight="1">
      <x:c r="A774" s="10" t="str">
        <x:v>PAG00773</x:v>
      </x:c>
      <x:c r="B774" s="10" t="str">
        <x:v>EMP003</x:v>
      </x:c>
      <x:c r="C774" s="10" t="str">
        <x:v>FOR028</x:v>
      </x:c>
      <x:c r="D774" s="10" t="str">
        <x:v>CC008</x:v>
      </x:c>
      <x:c r="E774" s="10" t="str">
        <x:v>CAT005</x:v>
      </x:c>
      <x:c r="F774" s="10" t="str">
        <x:v>CTA006</x:v>
      </x:c>
      <x:c r="G774" s="10" t="str">
        <x:v>NF-100773</x:v>
      </x:c>
      <x:c r="H774" s="10" t="str">
        <x:v>Prestação de serviços</x:v>
      </x:c>
      <x:c r="I774" s="16" t="n">
        <x:v>45954.82258381944</x:v>
      </x:c>
      <x:c r="J774" s="16" t="n">
        <x:v>45989.82258381944</x:v>
      </x:c>
      <x:c r="K774" s="16" t="n">
        <x:v>46001.82258381944</x:v>
      </x:c>
      <x:c r="L774" s="20" t="n">
        <x:v>18558.37</x:v>
      </x:c>
      <x:c r="M774" s="20" t="n">
        <x:v>155.89</x:v>
      </x:c>
      <x:c r="N774" s="20" t="n">
        <x:v>0</x:v>
      </x:c>
      <x:c r="O774" s="20" t="n">
        <x:v>18714.26</x:v>
      </x:c>
      <x:c r="P774" s="20" t="n">
        <x:v>0</x:v>
      </x:c>
      <x:c r="Q774" s="10" t="str">
        <x:v>Pago</x:v>
      </x:c>
      <x:c r="R774" s="10" t="str">
        <x:v>Cartão Corporativo</x:v>
      </x:c>
      <x:c r="S774" s="10" t="str">
        <x:v>2025-10</x:v>
      </x:c>
      <x:c r="T774" s="10" t="n">
        <x:v>0</x:v>
      </x:c>
      <x:c r="U774" s="10" t="str">
        <x:v>Liquidado</x:v>
      </x:c>
      <x:c r="V774" s="10" t="str">
        <x:v>UND004</x:v>
      </x:c>
    </x:row>
    <x:row r="775" ht="18" customHeight="1">
      <x:c r="A775" s="10" t="str">
        <x:v>PAG00774</x:v>
      </x:c>
      <x:c r="B775" s="10" t="str">
        <x:v>EMP001</x:v>
      </x:c>
      <x:c r="C775" s="10" t="str">
        <x:v>FOR015</x:v>
      </x:c>
      <x:c r="D775" s="10" t="str">
        <x:v>CC003</x:v>
      </x:c>
      <x:c r="E775" s="10" t="str">
        <x:v>CAT012</x:v>
      </x:c>
      <x:c r="F775" s="10" t="str">
        <x:v>CTA001</x:v>
      </x:c>
      <x:c r="G775" s="10" t="str">
        <x:v>NF-100774</x:v>
      </x:c>
      <x:c r="H775" s="10" t="str">
        <x:v>Compra de materiais</x:v>
      </x:c>
      <x:c r="I775" s="16" t="n">
        <x:v>45572.74584847222</x:v>
      </x:c>
      <x:c r="J775" s="16" t="n">
        <x:v>45607.74584847222</x:v>
      </x:c>
      <x:c r="K775" s="16"/>
      <x:c r="L775" s="20" t="n">
        <x:v>45123.87</x:v>
      </x:c>
      <x:c r="M775" s="20" t="n">
        <x:v>0</x:v>
      </x:c>
      <x:c r="N775" s="20" t="n">
        <x:v>0</x:v>
      </x:c>
      <x:c r="O775" s="20" t="n">
        <x:v>0</x:v>
      </x:c>
      <x:c r="P775" s="20" t="n">
        <x:v>0</x:v>
      </x:c>
      <x:c r="Q775" s="10" t="str">
        <x:v>Cancelado</x:v>
      </x:c>
      <x:c r="R775" s="10" t="str">
        <x:v>PIX</x:v>
      </x:c>
      <x:c r="S775" s="10" t="str">
        <x:v>2024-10</x:v>
      </x:c>
      <x:c r="T775" s="10" t="n">
        <x:v>0</x:v>
      </x:c>
      <x:c r="U775" s="10" t="str">
        <x:v>Cancelado</x:v>
      </x:c>
      <x:c r="V775" s="10" t="str">
        <x:v>UND002</x:v>
      </x:c>
    </x:row>
    <x:row r="776" ht="18" customHeight="1">
      <x:c r="A776" s="10" t="str">
        <x:v>PAG00775</x:v>
      </x:c>
      <x:c r="B776" s="10" t="str">
        <x:v>EMP002</x:v>
      </x:c>
      <x:c r="C776" s="10" t="str">
        <x:v>FOR027</x:v>
      </x:c>
      <x:c r="D776" s="10" t="str">
        <x:v>CC002</x:v>
      </x:c>
      <x:c r="E776" s="10" t="str">
        <x:v>CAT009</x:v>
      </x:c>
      <x:c r="F776" s="10" t="str">
        <x:v>CTA004</x:v>
      </x:c>
      <x:c r="G776" s="10" t="str">
        <x:v>NF-100775</x:v>
      </x:c>
      <x:c r="H776" s="10" t="str">
        <x:v>Compra de materiais</x:v>
      </x:c>
      <x:c r="I776" s="16" t="n">
        <x:v>45497.26861452546</x:v>
      </x:c>
      <x:c r="J776" s="16" t="n">
        <x:v>45527.26861452546</x:v>
      </x:c>
      <x:c r="K776" s="16" t="n">
        <x:v>45526.26861452546</x:v>
      </x:c>
      <x:c r="L776" s="20" t="n">
        <x:v>13585.21</x:v>
      </x:c>
      <x:c r="M776" s="20" t="n">
        <x:v>0</x:v>
      </x:c>
      <x:c r="N776" s="20" t="n">
        <x:v>0</x:v>
      </x:c>
      <x:c r="O776" s="20" t="n">
        <x:v>13585.21</x:v>
      </x:c>
      <x:c r="P776" s="20" t="n">
        <x:v>0</x:v>
      </x:c>
      <x:c r="Q776" s="10" t="str">
        <x:v>Pago</x:v>
      </x:c>
      <x:c r="R776" s="10" t="str">
        <x:v>Débito Automático</x:v>
      </x:c>
      <x:c r="S776" s="10" t="str">
        <x:v>2024-07</x:v>
      </x:c>
      <x:c r="T776" s="10" t="n">
        <x:v>0</x:v>
      </x:c>
      <x:c r="U776" s="10" t="str">
        <x:v>Liquidado</x:v>
      </x:c>
      <x:c r="V776" s="10" t="str">
        <x:v>UND003</x:v>
      </x:c>
    </x:row>
    <x:row r="777" ht="18" customHeight="1">
      <x:c r="A777" s="10" t="str">
        <x:v>PAG00776</x:v>
      </x:c>
      <x:c r="B777" s="10" t="str">
        <x:v>EMP001</x:v>
      </x:c>
      <x:c r="C777" s="10" t="str">
        <x:v>FOR038</x:v>
      </x:c>
      <x:c r="D777" s="10" t="str">
        <x:v>CC004</x:v>
      </x:c>
      <x:c r="E777" s="10" t="str">
        <x:v>CAT008</x:v>
      </x:c>
      <x:c r="F777" s="10" t="str">
        <x:v>CTA001</x:v>
      </x:c>
      <x:c r="G777" s="10" t="str">
        <x:v>NF-100776</x:v>
      </x:c>
      <x:c r="H777" s="10" t="str">
        <x:v>Contrato recorrente</x:v>
      </x:c>
      <x:c r="I777" s="16" t="n">
        <x:v>45922.0013565162</x:v>
      </x:c>
      <x:c r="J777" s="16" t="n">
        <x:v>45967.0013565162</x:v>
      </x:c>
      <x:c r="K777" s="16"/>
      <x:c r="L777" s="20" t="n">
        <x:v>106508.32</x:v>
      </x:c>
      <x:c r="M777" s="20" t="n">
        <x:v>0</x:v>
      </x:c>
      <x:c r="N777" s="20" t="n">
        <x:v>0</x:v>
      </x:c>
      <x:c r="O777" s="20" t="n">
        <x:v>0</x:v>
      </x:c>
      <x:c r="P777" s="20" t="n">
        <x:v>0</x:v>
      </x:c>
      <x:c r="Q777" s="10" t="str">
        <x:v>Cancelado</x:v>
      </x:c>
      <x:c r="R777" s="10" t="str">
        <x:v>Cartão Corporativo</x:v>
      </x:c>
      <x:c r="S777" s="10" t="str">
        <x:v>2025-09</x:v>
      </x:c>
      <x:c r="T777" s="10" t="n">
        <x:v>0</x:v>
      </x:c>
      <x:c r="U777" s="10" t="str">
        <x:v>Cancelado</x:v>
      </x:c>
      <x:c r="V777" s="10" t="str">
        <x:v>UND002</x:v>
      </x:c>
    </x:row>
    <x:row r="778" ht="18" customHeight="1">
      <x:c r="A778" s="10" t="str">
        <x:v>PAG00777</x:v>
      </x:c>
      <x:c r="B778" s="10" t="str">
        <x:v>EMP003</x:v>
      </x:c>
      <x:c r="C778" s="10" t="str">
        <x:v>FOR044</x:v>
      </x:c>
      <x:c r="D778" s="10" t="str">
        <x:v>CC004</x:v>
      </x:c>
      <x:c r="E778" s="10" t="str">
        <x:v>CAT007</x:v>
      </x:c>
      <x:c r="F778" s="10" t="str">
        <x:v>CTA006</x:v>
      </x:c>
      <x:c r="G778" s="10" t="str">
        <x:v>NF-100777</x:v>
      </x:c>
      <x:c r="H778" s="10" t="str">
        <x:v>Despesa operacional</x:v>
      </x:c>
      <x:c r="I778" s="16" t="n">
        <x:v>45801.307836458334</x:v>
      </x:c>
      <x:c r="J778" s="16" t="n">
        <x:v>45876.307836458334</x:v>
      </x:c>
      <x:c r="K778" s="16" t="n">
        <x:v>45876.307836458334</x:v>
      </x:c>
      <x:c r="L778" s="20" t="n">
        <x:v>1504.58</x:v>
      </x:c>
      <x:c r="M778" s="20" t="n">
        <x:v>0</x:v>
      </x:c>
      <x:c r="N778" s="20" t="n">
        <x:v>0</x:v>
      </x:c>
      <x:c r="O778" s="20" t="n">
        <x:v>1504.58</x:v>
      </x:c>
      <x:c r="P778" s="20" t="n">
        <x:v>0</x:v>
      </x:c>
      <x:c r="Q778" s="10" t="str">
        <x:v>Pago</x:v>
      </x:c>
      <x:c r="R778" s="10" t="str">
        <x:v>PIX</x:v>
      </x:c>
      <x:c r="S778" s="10" t="str">
        <x:v>2025-05</x:v>
      </x:c>
      <x:c r="T778" s="10" t="n">
        <x:v>0</x:v>
      </x:c>
      <x:c r="U778" s="10" t="str">
        <x:v>Liquidado</x:v>
      </x:c>
      <x:c r="V778" s="10" t="str">
        <x:v>UND004</x:v>
      </x:c>
    </x:row>
    <x:row r="779" ht="18" customHeight="1">
      <x:c r="A779" s="10" t="str">
        <x:v>PAG00778</x:v>
      </x:c>
      <x:c r="B779" s="10" t="str">
        <x:v>EMP003</x:v>
      </x:c>
      <x:c r="C779" s="10" t="str">
        <x:v>FOR016</x:v>
      </x:c>
      <x:c r="D779" s="10" t="str">
        <x:v>CC003</x:v>
      </x:c>
      <x:c r="E779" s="10" t="str">
        <x:v>CAT008</x:v>
      </x:c>
      <x:c r="F779" s="10" t="str">
        <x:v>CTA005</x:v>
      </x:c>
      <x:c r="G779" s="10" t="str">
        <x:v>NF-100778</x:v>
      </x:c>
      <x:c r="H779" s="10" t="str">
        <x:v>Compra de materiais</x:v>
      </x:c>
      <x:c r="I779" s="16" t="n">
        <x:v>45921.6805903125</x:v>
      </x:c>
      <x:c r="J779" s="16" t="n">
        <x:v>45936.6805903125</x:v>
      </x:c>
      <x:c r="K779" s="16"/>
      <x:c r="L779" s="20" t="n">
        <x:v>28152.31</x:v>
      </x:c>
      <x:c r="M779" s="20" t="n">
        <x:v>0</x:v>
      </x:c>
      <x:c r="N779" s="20" t="n">
        <x:v>0</x:v>
      </x:c>
      <x:c r="O779" s="20" t="n">
        <x:v>0</x:v>
      </x:c>
      <x:c r="P779" s="20" t="n">
        <x:v>28152.31</x:v>
      </x:c>
      <x:c r="Q779" s="10" t="str">
        <x:v>Vencido</x:v>
      </x:c>
      <x:c r="R779" s="10" t="str">
        <x:v>TED</x:v>
      </x:c>
      <x:c r="S779" s="10" t="str">
        <x:v>2025-09</x:v>
      </x:c>
      <x:c r="T779" s="10" t="n">
        <x:v>85</x:v>
      </x:c>
      <x:c r="U779" s="10" t="str">
        <x:v>61 a 90 dias</x:v>
      </x:c>
      <x:c r="V779" s="10" t="str">
        <x:v>UND004</x:v>
      </x:c>
    </x:row>
    <x:row r="780" ht="18" customHeight="1">
      <x:c r="A780" s="10" t="str">
        <x:v>PAG00779</x:v>
      </x:c>
      <x:c r="B780" s="10" t="str">
        <x:v>EMP001</x:v>
      </x:c>
      <x:c r="C780" s="10" t="str">
        <x:v>FOR034</x:v>
      </x:c>
      <x:c r="D780" s="10" t="str">
        <x:v>CC006</x:v>
      </x:c>
      <x:c r="E780" s="10" t="str">
        <x:v>CAT008</x:v>
      </x:c>
      <x:c r="F780" s="10" t="str">
        <x:v>CTA002</x:v>
      </x:c>
      <x:c r="G780" s="10" t="str">
        <x:v>NF-100779</x:v>
      </x:c>
      <x:c r="H780" s="10" t="str">
        <x:v>Prestação de serviços</x:v>
      </x:c>
      <x:c r="I780" s="16" t="n">
        <x:v>45600.9303309838</x:v>
      </x:c>
      <x:c r="J780" s="16" t="n">
        <x:v>45620.9303309838</x:v>
      </x:c>
      <x:c r="K780" s="16" t="n">
        <x:v>45631.9303309838</x:v>
      </x:c>
      <x:c r="L780" s="20" t="n">
        <x:v>10218.51</x:v>
      </x:c>
      <x:c r="M780" s="20" t="n">
        <x:v>78.68</x:v>
      </x:c>
      <x:c r="N780" s="20" t="n">
        <x:v>0</x:v>
      </x:c>
      <x:c r="O780" s="20" t="n">
        <x:v>10297.19</x:v>
      </x:c>
      <x:c r="P780" s="20" t="n">
        <x:v>0</x:v>
      </x:c>
      <x:c r="Q780" s="10" t="str">
        <x:v>Pago</x:v>
      </x:c>
      <x:c r="R780" s="10" t="str">
        <x:v>Débito Automático</x:v>
      </x:c>
      <x:c r="S780" s="10" t="str">
        <x:v>2024-11</x:v>
      </x:c>
      <x:c r="T780" s="10" t="n">
        <x:v>0</x:v>
      </x:c>
      <x:c r="U780" s="10" t="str">
        <x:v>Liquidado</x:v>
      </x:c>
      <x:c r="V780" s="10" t="str">
        <x:v>UND001</x:v>
      </x:c>
    </x:row>
    <x:row r="781" ht="18" customHeight="1">
      <x:c r="A781" s="10" t="str">
        <x:v>PAG00780</x:v>
      </x:c>
      <x:c r="B781" s="10" t="str">
        <x:v>EMP003</x:v>
      </x:c>
      <x:c r="C781" s="10" t="str">
        <x:v>FOR014</x:v>
      </x:c>
      <x:c r="D781" s="10" t="str">
        <x:v>CC001</x:v>
      </x:c>
      <x:c r="E781" s="10" t="str">
        <x:v>CAT015</x:v>
      </x:c>
      <x:c r="F781" s="10" t="str">
        <x:v>CTA005</x:v>
      </x:c>
      <x:c r="G781" s="10" t="str">
        <x:v>NF-100780</x:v>
      </x:c>
      <x:c r="H781" s="10" t="str">
        <x:v>Despesa operacional</x:v>
      </x:c>
      <x:c r="I781" s="16" t="n">
        <x:v>45677.22323993056</x:v>
      </x:c>
      <x:c r="J781" s="16" t="n">
        <x:v>45707.22323993056</x:v>
      </x:c>
      <x:c r="K781" s="16" t="n">
        <x:v>45713.22323993056</x:v>
      </x:c>
      <x:c r="L781" s="20" t="n">
        <x:v>624.52</x:v>
      </x:c>
      <x:c r="M781" s="20" t="n">
        <x:v>2.62</x:v>
      </x:c>
      <x:c r="N781" s="20" t="n">
        <x:v>0</x:v>
      </x:c>
      <x:c r="O781" s="20" t="n">
        <x:v>627.14</x:v>
      </x:c>
      <x:c r="P781" s="20" t="n">
        <x:v>0</x:v>
      </x:c>
      <x:c r="Q781" s="10" t="str">
        <x:v>Pago</x:v>
      </x:c>
      <x:c r="R781" s="10" t="str">
        <x:v>Débito Automático</x:v>
      </x:c>
      <x:c r="S781" s="10" t="str">
        <x:v>2025-01</x:v>
      </x:c>
      <x:c r="T781" s="10" t="n">
        <x:v>0</x:v>
      </x:c>
      <x:c r="U781" s="10" t="str">
        <x:v>Liquidado</x:v>
      </x:c>
      <x:c r="V781" s="10" t="str">
        <x:v>UND004</x:v>
      </x:c>
    </x:row>
    <x:row r="782" ht="18" customHeight="1">
      <x:c r="A782" s="10" t="str">
        <x:v>PAG00781</x:v>
      </x:c>
      <x:c r="B782" s="10" t="str">
        <x:v>EMP003</x:v>
      </x:c>
      <x:c r="C782" s="10" t="str">
        <x:v>FOR018</x:v>
      </x:c>
      <x:c r="D782" s="10" t="str">
        <x:v>CC002</x:v>
      </x:c>
      <x:c r="E782" s="10" t="str">
        <x:v>CAT014</x:v>
      </x:c>
      <x:c r="F782" s="10" t="str">
        <x:v>CTA005</x:v>
      </x:c>
      <x:c r="G782" s="10" t="str">
        <x:v>NF-100781</x:v>
      </x:c>
      <x:c r="H782" s="10" t="str">
        <x:v>Compra de materiais</x:v>
      </x:c>
      <x:c r="I782" s="16" t="n">
        <x:v>45848.80329130787</x:v>
      </x:c>
      <x:c r="J782" s="16" t="n">
        <x:v>45893.80329130787</x:v>
      </x:c>
      <x:c r="K782" s="16" t="n">
        <x:v>45887.80329130787</x:v>
      </x:c>
      <x:c r="L782" s="20" t="n">
        <x:v>50564.22</x:v>
      </x:c>
      <x:c r="M782" s="20" t="n">
        <x:v>0</x:v>
      </x:c>
      <x:c r="N782" s="20" t="n">
        <x:v>252.82</x:v>
      </x:c>
      <x:c r="O782" s="20" t="n">
        <x:v>50311.4</x:v>
      </x:c>
      <x:c r="P782" s="20" t="n">
        <x:v>0</x:v>
      </x:c>
      <x:c r="Q782" s="10" t="str">
        <x:v>Pago</x:v>
      </x:c>
      <x:c r="R782" s="10" t="str">
        <x:v>Cartão Corporativo</x:v>
      </x:c>
      <x:c r="S782" s="10" t="str">
        <x:v>2025-07</x:v>
      </x:c>
      <x:c r="T782" s="10" t="n">
        <x:v>0</x:v>
      </x:c>
      <x:c r="U782" s="10" t="str">
        <x:v>Liquidado</x:v>
      </x:c>
      <x:c r="V782" s="10" t="str">
        <x:v>UND004</x:v>
      </x:c>
    </x:row>
    <x:row r="783" ht="18" customHeight="1">
      <x:c r="A783" s="10" t="str">
        <x:v>PAG00782</x:v>
      </x:c>
      <x:c r="B783" s="10" t="str">
        <x:v>EMP002</x:v>
      </x:c>
      <x:c r="C783" s="10" t="str">
        <x:v>FOR054</x:v>
      </x:c>
      <x:c r="D783" s="10" t="str">
        <x:v>CC002</x:v>
      </x:c>
      <x:c r="E783" s="10" t="str">
        <x:v>CAT017</x:v>
      </x:c>
      <x:c r="F783" s="10" t="str">
        <x:v>CTA004</x:v>
      </x:c>
      <x:c r="G783" s="10" t="str">
        <x:v>NF-100782</x:v>
      </x:c>
      <x:c r="H783" s="10" t="str">
        <x:v>Prestação de serviços</x:v>
      </x:c>
      <x:c r="I783" s="16" t="n">
        <x:v>45445.97688592593</x:v>
      </x:c>
      <x:c r="J783" s="16" t="n">
        <x:v>45475.97688592593</x:v>
      </x:c>
      <x:c r="K783" s="16"/>
      <x:c r="L783" s="20" t="n">
        <x:v>94846.18</x:v>
      </x:c>
      <x:c r="M783" s="20" t="n">
        <x:v>0</x:v>
      </x:c>
      <x:c r="N783" s="20" t="n">
        <x:v>0</x:v>
      </x:c>
      <x:c r="O783" s="20" t="n">
        <x:v>0</x:v>
      </x:c>
      <x:c r="P783" s="20" t="n">
        <x:v>94846.18</x:v>
      </x:c>
      <x:c r="Q783" s="10" t="str">
        <x:v>Vencido</x:v>
      </x:c>
      <x:c r="R783" s="10" t="str">
        <x:v>Cartão Corporativo</x:v>
      </x:c>
      <x:c r="S783" s="10" t="str">
        <x:v>2024-06</x:v>
      </x:c>
      <x:c r="T783" s="10" t="n">
        <x:v>546</x:v>
      </x:c>
      <x:c r="U783" s="10" t="str">
        <x:v>&gt; 120 dias</x:v>
      </x:c>
      <x:c r="V783" s="10" t="str">
        <x:v>UND003</x:v>
      </x:c>
    </x:row>
    <x:row r="784" ht="18" customHeight="1">
      <x:c r="A784" s="10" t="str">
        <x:v>PAG00783</x:v>
      </x:c>
      <x:c r="B784" s="10" t="str">
        <x:v>EMP003</x:v>
      </x:c>
      <x:c r="C784" s="10" t="str">
        <x:v>FOR045</x:v>
      </x:c>
      <x:c r="D784" s="10" t="str">
        <x:v>CC005</x:v>
      </x:c>
      <x:c r="E784" s="10" t="str">
        <x:v>CAT008</x:v>
      </x:c>
      <x:c r="F784" s="10" t="str">
        <x:v>CTA005</x:v>
      </x:c>
      <x:c r="G784" s="10" t="str">
        <x:v>NF-100783</x:v>
      </x:c>
      <x:c r="H784" s="10" t="str">
        <x:v>Contrato recorrente</x:v>
      </x:c>
      <x:c r="I784" s="16" t="n">
        <x:v>45342.27879285879</x:v>
      </x:c>
      <x:c r="J784" s="16" t="n">
        <x:v>45377.27879285879</x:v>
      </x:c>
      <x:c r="K784" s="16" t="n">
        <x:v>45369.27879285879</x:v>
      </x:c>
      <x:c r="L784" s="20" t="n">
        <x:v>4318.12</x:v>
      </x:c>
      <x:c r="M784" s="20" t="n">
        <x:v>0</x:v>
      </x:c>
      <x:c r="N784" s="20" t="n">
        <x:v>0</x:v>
      </x:c>
      <x:c r="O784" s="20" t="n">
        <x:v>4318.12</x:v>
      </x:c>
      <x:c r="P784" s="20" t="n">
        <x:v>0</x:v>
      </x:c>
      <x:c r="Q784" s="10" t="str">
        <x:v>Pago</x:v>
      </x:c>
      <x:c r="R784" s="10" t="str">
        <x:v>Boleto</x:v>
      </x:c>
      <x:c r="S784" s="10" t="str">
        <x:v>2024-02</x:v>
      </x:c>
      <x:c r="T784" s="10" t="n">
        <x:v>0</x:v>
      </x:c>
      <x:c r="U784" s="10" t="str">
        <x:v>Liquidado</x:v>
      </x:c>
      <x:c r="V784" s="10" t="str">
        <x:v>UND004</x:v>
      </x:c>
    </x:row>
    <x:row r="785" ht="18" customHeight="1">
      <x:c r="A785" s="10" t="str">
        <x:v>PAG00784</x:v>
      </x:c>
      <x:c r="B785" s="10" t="str">
        <x:v>EMP003</x:v>
      </x:c>
      <x:c r="C785" s="10" t="str">
        <x:v>FOR028</x:v>
      </x:c>
      <x:c r="D785" s="10" t="str">
        <x:v>CC004</x:v>
      </x:c>
      <x:c r="E785" s="10" t="str">
        <x:v>CAT010</x:v>
      </x:c>
      <x:c r="F785" s="10" t="str">
        <x:v>CTA006</x:v>
      </x:c>
      <x:c r="G785" s="10" t="str">
        <x:v>NF-100784</x:v>
      </x:c>
      <x:c r="H785" s="10" t="str">
        <x:v>Despesa operacional</x:v>
      </x:c>
      <x:c r="I785" s="16" t="n">
        <x:v>45756.60116115741</x:v>
      </x:c>
      <x:c r="J785" s="16" t="n">
        <x:v>45784.60116115741</x:v>
      </x:c>
      <x:c r="K785" s="16" t="n">
        <x:v>45784.60116115741</x:v>
      </x:c>
      <x:c r="L785" s="20" t="n">
        <x:v>91401.11</x:v>
      </x:c>
      <x:c r="M785" s="20" t="n">
        <x:v>0</x:v>
      </x:c>
      <x:c r="N785" s="20" t="n">
        <x:v>0</x:v>
      </x:c>
      <x:c r="O785" s="20" t="n">
        <x:v>91401.11</x:v>
      </x:c>
      <x:c r="P785" s="20" t="n">
        <x:v>0</x:v>
      </x:c>
      <x:c r="Q785" s="10" t="str">
        <x:v>Pago</x:v>
      </x:c>
      <x:c r="R785" s="10" t="str">
        <x:v>Boleto</x:v>
      </x:c>
      <x:c r="S785" s="10" t="str">
        <x:v>2025-04</x:v>
      </x:c>
      <x:c r="T785" s="10" t="n">
        <x:v>0</x:v>
      </x:c>
      <x:c r="U785" s="10" t="str">
        <x:v>Liquidado</x:v>
      </x:c>
      <x:c r="V785" s="10" t="str">
        <x:v>UND004</x:v>
      </x:c>
    </x:row>
    <x:row r="786" ht="18" customHeight="1">
      <x:c r="A786" s="10" t="str">
        <x:v>PAG00785</x:v>
      </x:c>
      <x:c r="B786" s="10" t="str">
        <x:v>EMP001</x:v>
      </x:c>
      <x:c r="C786" s="10" t="str">
        <x:v>FOR004</x:v>
      </x:c>
      <x:c r="D786" s="10" t="str">
        <x:v>CC004</x:v>
      </x:c>
      <x:c r="E786" s="10" t="str">
        <x:v>CAT012</x:v>
      </x:c>
      <x:c r="F786" s="10" t="str">
        <x:v>CTA002</x:v>
      </x:c>
      <x:c r="G786" s="10" t="str">
        <x:v>NF-100785</x:v>
      </x:c>
      <x:c r="H786" s="10" t="str">
        <x:v>Despesa operacional</x:v>
      </x:c>
      <x:c r="I786" s="16" t="n">
        <x:v>45463.75384929398</x:v>
      </x:c>
      <x:c r="J786" s="16" t="n">
        <x:v>45538.75384929398</x:v>
      </x:c>
      <x:c r="K786" s="16" t="n">
        <x:v>45533.75384929398</x:v>
      </x:c>
      <x:c r="L786" s="20" t="n">
        <x:v>109359.03</x:v>
      </x:c>
      <x:c r="M786" s="20" t="n">
        <x:v>0</x:v>
      </x:c>
      <x:c r="N786" s="20" t="n">
        <x:v>0</x:v>
      </x:c>
      <x:c r="O786" s="20" t="n">
        <x:v>109359.03</x:v>
      </x:c>
      <x:c r="P786" s="20" t="n">
        <x:v>0</x:v>
      </x:c>
      <x:c r="Q786" s="10" t="str">
        <x:v>Pago</x:v>
      </x:c>
      <x:c r="R786" s="10" t="str">
        <x:v>Cartão Corporativo</x:v>
      </x:c>
      <x:c r="S786" s="10" t="str">
        <x:v>2024-06</x:v>
      </x:c>
      <x:c r="T786" s="10" t="n">
        <x:v>0</x:v>
      </x:c>
      <x:c r="U786" s="10" t="str">
        <x:v>Liquidado</x:v>
      </x:c>
      <x:c r="V786" s="10" t="str">
        <x:v>UND001</x:v>
      </x:c>
    </x:row>
    <x:row r="787" ht="18" customHeight="1">
      <x:c r="A787" s="10" t="str">
        <x:v>PAG00786</x:v>
      </x:c>
      <x:c r="B787" s="10" t="str">
        <x:v>EMP001</x:v>
      </x:c>
      <x:c r="C787" s="10" t="str">
        <x:v>FOR049</x:v>
      </x:c>
      <x:c r="D787" s="10" t="str">
        <x:v>CC004</x:v>
      </x:c>
      <x:c r="E787" s="10" t="str">
        <x:v>CAT010</x:v>
      </x:c>
      <x:c r="F787" s="10" t="str">
        <x:v>CTA002</x:v>
      </x:c>
      <x:c r="G787" s="10" t="str">
        <x:v>NF-100786</x:v>
      </x:c>
      <x:c r="H787" s="10" t="str">
        <x:v>Compra de materiais</x:v>
      </x:c>
      <x:c r="I787" s="16" t="n">
        <x:v>45619.87381788195</x:v>
      </x:c>
      <x:c r="J787" s="16" t="n">
        <x:v>45694.87381788195</x:v>
      </x:c>
      <x:c r="K787" s="16" t="n">
        <x:v>45703.87381788195</x:v>
      </x:c>
      <x:c r="L787" s="20" t="n">
        <x:v>4958.01</x:v>
      </x:c>
      <x:c r="M787" s="20" t="n">
        <x:v>31.24</x:v>
      </x:c>
      <x:c r="N787" s="20" t="n">
        <x:v>0</x:v>
      </x:c>
      <x:c r="O787" s="20" t="n">
        <x:v>4989.25</x:v>
      </x:c>
      <x:c r="P787" s="20" t="n">
        <x:v>0</x:v>
      </x:c>
      <x:c r="Q787" s="10" t="str">
        <x:v>Pago</x:v>
      </x:c>
      <x:c r="R787" s="10" t="str">
        <x:v>Cartão Corporativo</x:v>
      </x:c>
      <x:c r="S787" s="10" t="str">
        <x:v>2024-11</x:v>
      </x:c>
      <x:c r="T787" s="10" t="n">
        <x:v>0</x:v>
      </x:c>
      <x:c r="U787" s="10" t="str">
        <x:v>Liquidado</x:v>
      </x:c>
      <x:c r="V787" s="10" t="str">
        <x:v>UND001</x:v>
      </x:c>
    </x:row>
    <x:row r="788" ht="18" customHeight="1">
      <x:c r="A788" s="10" t="str">
        <x:v>PAG00787</x:v>
      </x:c>
      <x:c r="B788" s="10" t="str">
        <x:v>EMP003</x:v>
      </x:c>
      <x:c r="C788" s="10" t="str">
        <x:v>FOR040</x:v>
      </x:c>
      <x:c r="D788" s="10" t="str">
        <x:v>CC004</x:v>
      </x:c>
      <x:c r="E788" s="10" t="str">
        <x:v>CAT014</x:v>
      </x:c>
      <x:c r="F788" s="10" t="str">
        <x:v>CTA006</x:v>
      </x:c>
      <x:c r="G788" s="10" t="str">
        <x:v>NF-100787</x:v>
      </x:c>
      <x:c r="H788" s="10" t="str">
        <x:v>Compra de materiais</x:v>
      </x:c>
      <x:c r="I788" s="16" t="n">
        <x:v>45808.058653125</x:v>
      </x:c>
      <x:c r="J788" s="16" t="n">
        <x:v>45823.058653125</x:v>
      </x:c>
      <x:c r="K788" s="16" t="n">
        <x:v>45833.058653125</x:v>
      </x:c>
      <x:c r="L788" s="20" t="n">
        <x:v>71982.25</x:v>
      </x:c>
      <x:c r="M788" s="20" t="n">
        <x:v>503.88</x:v>
      </x:c>
      <x:c r="N788" s="20" t="n">
        <x:v>0</x:v>
      </x:c>
      <x:c r="O788" s="20" t="n">
        <x:v>72486.13</x:v>
      </x:c>
      <x:c r="P788" s="20" t="n">
        <x:v>0</x:v>
      </x:c>
      <x:c r="Q788" s="10" t="str">
        <x:v>Pago</x:v>
      </x:c>
      <x:c r="R788" s="10" t="str">
        <x:v>PIX</x:v>
      </x:c>
      <x:c r="S788" s="10" t="str">
        <x:v>2025-05</x:v>
      </x:c>
      <x:c r="T788" s="10" t="n">
        <x:v>0</x:v>
      </x:c>
      <x:c r="U788" s="10" t="str">
        <x:v>Liquidado</x:v>
      </x:c>
      <x:c r="V788" s="10" t="str">
        <x:v>UND004</x:v>
      </x:c>
    </x:row>
    <x:row r="789" ht="18" customHeight="1">
      <x:c r="A789" s="10" t="str">
        <x:v>PAG00788</x:v>
      </x:c>
      <x:c r="B789" s="10" t="str">
        <x:v>EMP003</x:v>
      </x:c>
      <x:c r="C789" s="10" t="str">
        <x:v>FOR020</x:v>
      </x:c>
      <x:c r="D789" s="10" t="str">
        <x:v>CC007</x:v>
      </x:c>
      <x:c r="E789" s="10" t="str">
        <x:v>CAT018</x:v>
      </x:c>
      <x:c r="F789" s="10" t="str">
        <x:v>CTA005</x:v>
      </x:c>
      <x:c r="G789" s="10" t="str">
        <x:v>NF-100788</x:v>
      </x:c>
      <x:c r="H789" s="10" t="str">
        <x:v>Compra de materiais</x:v>
      </x:c>
      <x:c r="I789" s="16" t="n">
        <x:v>45952.99312046296</x:v>
      </x:c>
      <x:c r="J789" s="16" t="n">
        <x:v>45980.99312046296</x:v>
      </x:c>
      <x:c r="K789" s="16" t="n">
        <x:v>45992.99312046296</x:v>
      </x:c>
      <x:c r="L789" s="20" t="n">
        <x:v>60069.93</x:v>
      </x:c>
      <x:c r="M789" s="20" t="n">
        <x:v>504.59</x:v>
      </x:c>
      <x:c r="N789" s="20" t="n">
        <x:v>0</x:v>
      </x:c>
      <x:c r="O789" s="20" t="n">
        <x:v>60574.52</x:v>
      </x:c>
      <x:c r="P789" s="20" t="n">
        <x:v>0</x:v>
      </x:c>
      <x:c r="Q789" s="10" t="str">
        <x:v>Pago</x:v>
      </x:c>
      <x:c r="R789" s="10" t="str">
        <x:v>PIX</x:v>
      </x:c>
      <x:c r="S789" s="10" t="str">
        <x:v>2025-10</x:v>
      </x:c>
      <x:c r="T789" s="10" t="n">
        <x:v>0</x:v>
      </x:c>
      <x:c r="U789" s="10" t="str">
        <x:v>Liquidado</x:v>
      </x:c>
      <x:c r="V789" s="10" t="str">
        <x:v>UND004</x:v>
      </x:c>
    </x:row>
    <x:row r="790" ht="18" customHeight="1">
      <x:c r="A790" s="10" t="str">
        <x:v>PAG00789</x:v>
      </x:c>
      <x:c r="B790" s="10" t="str">
        <x:v>EMP001</x:v>
      </x:c>
      <x:c r="C790" s="10" t="str">
        <x:v>FOR009</x:v>
      </x:c>
      <x:c r="D790" s="10" t="str">
        <x:v>CC006</x:v>
      </x:c>
      <x:c r="E790" s="10" t="str">
        <x:v>CAT014</x:v>
      </x:c>
      <x:c r="F790" s="10" t="str">
        <x:v>CTA002</x:v>
      </x:c>
      <x:c r="G790" s="10" t="str">
        <x:v>NF-100789</x:v>
      </x:c>
      <x:c r="H790" s="10" t="str">
        <x:v>Despesa operacional</x:v>
      </x:c>
      <x:c r="I790" s="16" t="n">
        <x:v>45917.13666739583</x:v>
      </x:c>
      <x:c r="J790" s="16" t="n">
        <x:v>45977.13666739583</x:v>
      </x:c>
      <x:c r="K790" s="16"/>
      <x:c r="L790" s="20" t="n">
        <x:v>45685.75</x:v>
      </x:c>
      <x:c r="M790" s="20" t="n">
        <x:v>0</x:v>
      </x:c>
      <x:c r="N790" s="20" t="n">
        <x:v>0</x:v>
      </x:c>
      <x:c r="O790" s="20" t="n">
        <x:v>0</x:v>
      </x:c>
      <x:c r="P790" s="20" t="n">
        <x:v>45685.75</x:v>
      </x:c>
      <x:c r="Q790" s="10" t="str">
        <x:v>Vencido</x:v>
      </x:c>
      <x:c r="R790" s="10" t="str">
        <x:v>TED</x:v>
      </x:c>
      <x:c r="S790" s="10" t="str">
        <x:v>2025-09</x:v>
      </x:c>
      <x:c r="T790" s="10" t="n">
        <x:v>44</x:v>
      </x:c>
      <x:c r="U790" s="10" t="str">
        <x:v>31 a 60 dias</x:v>
      </x:c>
      <x:c r="V790" s="10" t="str">
        <x:v>UND002</x:v>
      </x:c>
    </x:row>
    <x:row r="791" ht="18" customHeight="1">
      <x:c r="A791" s="10" t="str">
        <x:v>PAG00790</x:v>
      </x:c>
      <x:c r="B791" s="10" t="str">
        <x:v>EMP002</x:v>
      </x:c>
      <x:c r="C791" s="10" t="str">
        <x:v>FOR056</x:v>
      </x:c>
      <x:c r="D791" s="10" t="str">
        <x:v>CC006</x:v>
      </x:c>
      <x:c r="E791" s="10" t="str">
        <x:v>CAT018</x:v>
      </x:c>
      <x:c r="F791" s="10" t="str">
        <x:v>CTA003</x:v>
      </x:c>
      <x:c r="G791" s="10" t="str">
        <x:v>NF-100790</x:v>
      </x:c>
      <x:c r="H791" s="10" t="str">
        <x:v>Despesa operacional</x:v>
      </x:c>
      <x:c r="I791" s="16" t="n">
        <x:v>45658.022256944445</x:v>
      </x:c>
      <x:c r="J791" s="16" t="n">
        <x:v>45688.022256944445</x:v>
      </x:c>
      <x:c r="K791" s="16" t="n">
        <x:v>45681.022256944445</x:v>
      </x:c>
      <x:c r="L791" s="20" t="n">
        <x:v>80437.4</x:v>
      </x:c>
      <x:c r="M791" s="20" t="n">
        <x:v>0</x:v>
      </x:c>
      <x:c r="N791" s="20" t="n">
        <x:v>0</x:v>
      </x:c>
      <x:c r="O791" s="20" t="n">
        <x:v>80437.4</x:v>
      </x:c>
      <x:c r="P791" s="20" t="n">
        <x:v>0</x:v>
      </x:c>
      <x:c r="Q791" s="10" t="str">
        <x:v>Pago</x:v>
      </x:c>
      <x:c r="R791" s="10" t="str">
        <x:v>PIX</x:v>
      </x:c>
      <x:c r="S791" s="10" t="str">
        <x:v>2025-01</x:v>
      </x:c>
      <x:c r="T791" s="10" t="n">
        <x:v>0</x:v>
      </x:c>
      <x:c r="U791" s="10" t="str">
        <x:v>Liquidado</x:v>
      </x:c>
      <x:c r="V791" s="10" t="str">
        <x:v>UND003</x:v>
      </x:c>
    </x:row>
    <x:row r="792" ht="18" customHeight="1">
      <x:c r="A792" s="10" t="str">
        <x:v>PAG00791</x:v>
      </x:c>
      <x:c r="B792" s="10" t="str">
        <x:v>EMP001</x:v>
      </x:c>
      <x:c r="C792" s="10" t="str">
        <x:v>FOR015</x:v>
      </x:c>
      <x:c r="D792" s="10" t="str">
        <x:v>CC008</x:v>
      </x:c>
      <x:c r="E792" s="10" t="str">
        <x:v>CAT009</x:v>
      </x:c>
      <x:c r="F792" s="10" t="str">
        <x:v>CTA002</x:v>
      </x:c>
      <x:c r="G792" s="10" t="str">
        <x:v>NF-100791</x:v>
      </x:c>
      <x:c r="H792" s="10" t="str">
        <x:v>Despesa operacional</x:v>
      </x:c>
      <x:c r="I792" s="16" t="n">
        <x:v>45452.62046050926</x:v>
      </x:c>
      <x:c r="J792" s="16" t="n">
        <x:v>45467.62046050926</x:v>
      </x:c>
      <x:c r="K792" s="16" t="n">
        <x:v>45477.62046050926</x:v>
      </x:c>
      <x:c r="L792" s="20" t="n">
        <x:v>25151.46</x:v>
      </x:c>
      <x:c r="M792" s="20" t="n">
        <x:v>176.06</x:v>
      </x:c>
      <x:c r="N792" s="20" t="n">
        <x:v>0</x:v>
      </x:c>
      <x:c r="O792" s="20" t="n">
        <x:v>25327.52</x:v>
      </x:c>
      <x:c r="P792" s="20" t="n">
        <x:v>0</x:v>
      </x:c>
      <x:c r="Q792" s="10" t="str">
        <x:v>Pago</x:v>
      </x:c>
      <x:c r="R792" s="10" t="str">
        <x:v>Boleto</x:v>
      </x:c>
      <x:c r="S792" s="10" t="str">
        <x:v>2024-06</x:v>
      </x:c>
      <x:c r="T792" s="10" t="n">
        <x:v>0</x:v>
      </x:c>
      <x:c r="U792" s="10" t="str">
        <x:v>Liquidado</x:v>
      </x:c>
      <x:c r="V792" s="10" t="str">
        <x:v>UND002</x:v>
      </x:c>
    </x:row>
    <x:row r="793" ht="18" customHeight="1">
      <x:c r="A793" s="10" t="str">
        <x:v>PAG00792</x:v>
      </x:c>
      <x:c r="B793" s="10" t="str">
        <x:v>EMP003</x:v>
      </x:c>
      <x:c r="C793" s="10" t="str">
        <x:v>FOR051</x:v>
      </x:c>
      <x:c r="D793" s="10" t="str">
        <x:v>CC004</x:v>
      </x:c>
      <x:c r="E793" s="10" t="str">
        <x:v>CAT011</x:v>
      </x:c>
      <x:c r="F793" s="10" t="str">
        <x:v>CTA006</x:v>
      </x:c>
      <x:c r="G793" s="10" t="str">
        <x:v>NF-100792</x:v>
      </x:c>
      <x:c r="H793" s="10" t="str">
        <x:v>Contrato recorrente</x:v>
      </x:c>
      <x:c r="I793" s="16" t="n">
        <x:v>45911.67149905093</x:v>
      </x:c>
      <x:c r="J793" s="16" t="n">
        <x:v>45941.67149905093</x:v>
      </x:c>
      <x:c r="K793" s="16" t="n">
        <x:v>45945.67149905093</x:v>
      </x:c>
      <x:c r="L793" s="20" t="n">
        <x:v>40335.62</x:v>
      </x:c>
      <x:c r="M793" s="20" t="n">
        <x:v>112.94</x:v>
      </x:c>
      <x:c r="N793" s="20" t="n">
        <x:v>0</x:v>
      </x:c>
      <x:c r="O793" s="20" t="n">
        <x:v>40448.56</x:v>
      </x:c>
      <x:c r="P793" s="20" t="n">
        <x:v>0</x:v>
      </x:c>
      <x:c r="Q793" s="10" t="str">
        <x:v>Pago</x:v>
      </x:c>
      <x:c r="R793" s="10" t="str">
        <x:v>Boleto</x:v>
      </x:c>
      <x:c r="S793" s="10" t="str">
        <x:v>2025-09</x:v>
      </x:c>
      <x:c r="T793" s="10" t="n">
        <x:v>0</x:v>
      </x:c>
      <x:c r="U793" s="10" t="str">
        <x:v>Liquidado</x:v>
      </x:c>
      <x:c r="V793" s="10" t="str">
        <x:v>UND004</x:v>
      </x:c>
    </x:row>
    <x:row r="794" ht="18" customHeight="1">
      <x:c r="A794" s="10" t="str">
        <x:v>PAG00793</x:v>
      </x:c>
      <x:c r="B794" s="10" t="str">
        <x:v>EMP002</x:v>
      </x:c>
      <x:c r="C794" s="10" t="str">
        <x:v>FOR024</x:v>
      </x:c>
      <x:c r="D794" s="10" t="str">
        <x:v>CC005</x:v>
      </x:c>
      <x:c r="E794" s="10" t="str">
        <x:v>CAT011</x:v>
      </x:c>
      <x:c r="F794" s="10" t="str">
        <x:v>CTA003</x:v>
      </x:c>
      <x:c r="G794" s="10" t="str">
        <x:v>NF-100793</x:v>
      </x:c>
      <x:c r="H794" s="10" t="str">
        <x:v>Contrato recorrente</x:v>
      </x:c>
      <x:c r="I794" s="16" t="n">
        <x:v>45322.74043642361</x:v>
      </x:c>
      <x:c r="J794" s="16" t="n">
        <x:v>45350.74043642361</x:v>
      </x:c>
      <x:c r="K794" s="16" t="n">
        <x:v>45353.74043642361</x:v>
      </x:c>
      <x:c r="L794" s="20" t="n">
        <x:v>46932.74</x:v>
      </x:c>
      <x:c r="M794" s="20" t="n">
        <x:v>98.56</x:v>
      </x:c>
      <x:c r="N794" s="20" t="n">
        <x:v>0</x:v>
      </x:c>
      <x:c r="O794" s="20" t="n">
        <x:v>47031.3</x:v>
      </x:c>
      <x:c r="P794" s="20" t="n">
        <x:v>0</x:v>
      </x:c>
      <x:c r="Q794" s="10" t="str">
        <x:v>Pago</x:v>
      </x:c>
      <x:c r="R794" s="10" t="str">
        <x:v>Débito Automático</x:v>
      </x:c>
      <x:c r="S794" s="10" t="str">
        <x:v>2024-01</x:v>
      </x:c>
      <x:c r="T794" s="10" t="n">
        <x:v>0</x:v>
      </x:c>
      <x:c r="U794" s="10" t="str">
        <x:v>Liquidado</x:v>
      </x:c>
      <x:c r="V794" s="10" t="str">
        <x:v>UND003</x:v>
      </x:c>
    </x:row>
    <x:row r="795" ht="18" customHeight="1">
      <x:c r="A795" s="10" t="str">
        <x:v>PAG00794</x:v>
      </x:c>
      <x:c r="B795" s="10" t="str">
        <x:v>EMP002</x:v>
      </x:c>
      <x:c r="C795" s="10" t="str">
        <x:v>FOR050</x:v>
      </x:c>
      <x:c r="D795" s="10" t="str">
        <x:v>CC008</x:v>
      </x:c>
      <x:c r="E795" s="10" t="str">
        <x:v>CAT015</x:v>
      </x:c>
      <x:c r="F795" s="10" t="str">
        <x:v>CTA004</x:v>
      </x:c>
      <x:c r="G795" s="10" t="str">
        <x:v>NF-100794</x:v>
      </x:c>
      <x:c r="H795" s="10" t="str">
        <x:v>Prestação de serviços</x:v>
      </x:c>
      <x:c r="I795" s="16" t="n">
        <x:v>45879.686287303244</x:v>
      </x:c>
      <x:c r="J795" s="16" t="n">
        <x:v>45899.686287303244</x:v>
      </x:c>
      <x:c r="K795" s="16" t="n">
        <x:v>45894.686287303244</x:v>
      </x:c>
      <x:c r="L795" s="20" t="n">
        <x:v>11083.72</x:v>
      </x:c>
      <x:c r="M795" s="20" t="n">
        <x:v>0</x:v>
      </x:c>
      <x:c r="N795" s="20" t="n">
        <x:v>55.42</x:v>
      </x:c>
      <x:c r="O795" s="20" t="n">
        <x:v>11028.3</x:v>
      </x:c>
      <x:c r="P795" s="20" t="n">
        <x:v>0</x:v>
      </x:c>
      <x:c r="Q795" s="10" t="str">
        <x:v>Pago</x:v>
      </x:c>
      <x:c r="R795" s="10" t="str">
        <x:v>PIX</x:v>
      </x:c>
      <x:c r="S795" s="10" t="str">
        <x:v>2025-08</x:v>
      </x:c>
      <x:c r="T795" s="10" t="n">
        <x:v>0</x:v>
      </x:c>
      <x:c r="U795" s="10" t="str">
        <x:v>Liquidado</x:v>
      </x:c>
      <x:c r="V795" s="10" t="str">
        <x:v>UND003</x:v>
      </x:c>
    </x:row>
    <x:row r="796" ht="18" customHeight="1">
      <x:c r="A796" s="10" t="str">
        <x:v>PAG00795</x:v>
      </x:c>
      <x:c r="B796" s="10" t="str">
        <x:v>EMP003</x:v>
      </x:c>
      <x:c r="C796" s="10" t="str">
        <x:v>FOR039</x:v>
      </x:c>
      <x:c r="D796" s="10" t="str">
        <x:v>CC004</x:v>
      </x:c>
      <x:c r="E796" s="10" t="str">
        <x:v>CAT015</x:v>
      </x:c>
      <x:c r="F796" s="10" t="str">
        <x:v>CTA006</x:v>
      </x:c>
      <x:c r="G796" s="10" t="str">
        <x:v>NF-100795</x:v>
      </x:c>
      <x:c r="H796" s="10" t="str">
        <x:v>Prestação de serviços</x:v>
      </x:c>
      <x:c r="I796" s="16" t="n">
        <x:v>45445.764232685186</x:v>
      </x:c>
      <x:c r="J796" s="16" t="n">
        <x:v>45505.764232685186</x:v>
      </x:c>
      <x:c r="K796" s="16"/>
      <x:c r="L796" s="20" t="n">
        <x:v>3069.32</x:v>
      </x:c>
      <x:c r="M796" s="20" t="n">
        <x:v>0</x:v>
      </x:c>
      <x:c r="N796" s="20" t="n">
        <x:v>0</x:v>
      </x:c>
      <x:c r="O796" s="20" t="n">
        <x:v>0</x:v>
      </x:c>
      <x:c r="P796" s="20" t="n">
        <x:v>3069.32</x:v>
      </x:c>
      <x:c r="Q796" s="10" t="str">
        <x:v>Vencido</x:v>
      </x:c>
      <x:c r="R796" s="10" t="str">
        <x:v>TED</x:v>
      </x:c>
      <x:c r="S796" s="10" t="str">
        <x:v>2024-06</x:v>
      </x:c>
      <x:c r="T796" s="10" t="n">
        <x:v>516</x:v>
      </x:c>
      <x:c r="U796" s="10" t="str">
        <x:v>&gt; 120 dias</x:v>
      </x:c>
      <x:c r="V796" s="10" t="str">
        <x:v>UND004</x:v>
      </x:c>
    </x:row>
    <x:row r="797" ht="18" customHeight="1">
      <x:c r="A797" s="10" t="str">
        <x:v>PAG00796</x:v>
      </x:c>
      <x:c r="B797" s="10" t="str">
        <x:v>EMP002</x:v>
      </x:c>
      <x:c r="C797" s="10" t="str">
        <x:v>FOR003</x:v>
      </x:c>
      <x:c r="D797" s="10" t="str">
        <x:v>CC005</x:v>
      </x:c>
      <x:c r="E797" s="10" t="str">
        <x:v>CAT011</x:v>
      </x:c>
      <x:c r="F797" s="10" t="str">
        <x:v>CTA003</x:v>
      </x:c>
      <x:c r="G797" s="10" t="str">
        <x:v>NF-100796</x:v>
      </x:c>
      <x:c r="H797" s="10" t="str">
        <x:v>Prestação de serviços</x:v>
      </x:c>
      <x:c r="I797" s="16" t="n">
        <x:v>45322.10142895833</x:v>
      </x:c>
      <x:c r="J797" s="16" t="n">
        <x:v>45382.10142895833</x:v>
      </x:c>
      <x:c r="K797" s="16"/>
      <x:c r="L797" s="20" t="n">
        <x:v>52610.34</x:v>
      </x:c>
      <x:c r="M797" s="20" t="n">
        <x:v>0</x:v>
      </x:c>
      <x:c r="N797" s="20" t="n">
        <x:v>0</x:v>
      </x:c>
      <x:c r="O797" s="20" t="n">
        <x:v>0</x:v>
      </x:c>
      <x:c r="P797" s="20" t="n">
        <x:v>52610.34</x:v>
      </x:c>
      <x:c r="Q797" s="10" t="str">
        <x:v>Vencido</x:v>
      </x:c>
      <x:c r="R797" s="10" t="str">
        <x:v>PIX</x:v>
      </x:c>
      <x:c r="S797" s="10" t="str">
        <x:v>2024-01</x:v>
      </x:c>
      <x:c r="T797" s="10" t="n">
        <x:v>639</x:v>
      </x:c>
      <x:c r="U797" s="10" t="str">
        <x:v>&gt; 120 dias</x:v>
      </x:c>
      <x:c r="V797" s="10" t="str">
        <x:v>UND003</x:v>
      </x:c>
    </x:row>
    <x:row r="798" ht="18" customHeight="1">
      <x:c r="A798" s="10" t="str">
        <x:v>PAG00797</x:v>
      </x:c>
      <x:c r="B798" s="10" t="str">
        <x:v>EMP002</x:v>
      </x:c>
      <x:c r="C798" s="10" t="str">
        <x:v>FOR001</x:v>
      </x:c>
      <x:c r="D798" s="10" t="str">
        <x:v>CC006</x:v>
      </x:c>
      <x:c r="E798" s="10" t="str">
        <x:v>CAT005</x:v>
      </x:c>
      <x:c r="F798" s="10" t="str">
        <x:v>CTA003</x:v>
      </x:c>
      <x:c r="G798" s="10" t="str">
        <x:v>NF-100797</x:v>
      </x:c>
      <x:c r="H798" s="10" t="str">
        <x:v>Prestação de serviços</x:v>
      </x:c>
      <x:c r="I798" s="16" t="n">
        <x:v>45416.9002703588</x:v>
      </x:c>
      <x:c r="J798" s="16" t="n">
        <x:v>45491.9002703588</x:v>
      </x:c>
      <x:c r="K798" s="16" t="n">
        <x:v>45500.9002703588</x:v>
      </x:c>
      <x:c r="L798" s="20" t="n">
        <x:v>109333.5</x:v>
      </x:c>
      <x:c r="M798" s="20" t="n">
        <x:v>688.8</x:v>
      </x:c>
      <x:c r="N798" s="20" t="n">
        <x:v>0</x:v>
      </x:c>
      <x:c r="O798" s="20" t="n">
        <x:v>110022.3</x:v>
      </x:c>
      <x:c r="P798" s="20" t="n">
        <x:v>0</x:v>
      </x:c>
      <x:c r="Q798" s="10" t="str">
        <x:v>Pago</x:v>
      </x:c>
      <x:c r="R798" s="10" t="str">
        <x:v>TED</x:v>
      </x:c>
      <x:c r="S798" s="10" t="str">
        <x:v>2024-05</x:v>
      </x:c>
      <x:c r="T798" s="10" t="n">
        <x:v>0</x:v>
      </x:c>
      <x:c r="U798" s="10" t="str">
        <x:v>Liquidado</x:v>
      </x:c>
      <x:c r="V798" s="10" t="str">
        <x:v>UND003</x:v>
      </x:c>
    </x:row>
    <x:row r="799" ht="18" customHeight="1">
      <x:c r="A799" s="10" t="str">
        <x:v>PAG00798</x:v>
      </x:c>
      <x:c r="B799" s="10" t="str">
        <x:v>EMP002</x:v>
      </x:c>
      <x:c r="C799" s="10" t="str">
        <x:v>FOR025</x:v>
      </x:c>
      <x:c r="D799" s="10" t="str">
        <x:v>CC008</x:v>
      </x:c>
      <x:c r="E799" s="10" t="str">
        <x:v>CAT014</x:v>
      </x:c>
      <x:c r="F799" s="10" t="str">
        <x:v>CTA004</x:v>
      </x:c>
      <x:c r="G799" s="10" t="str">
        <x:v>NF-100798</x:v>
      </x:c>
      <x:c r="H799" s="10" t="str">
        <x:v>Contrato recorrente</x:v>
      </x:c>
      <x:c r="I799" s="16" t="n">
        <x:v>45350.37805204861</x:v>
      </x:c>
      <x:c r="J799" s="16" t="n">
        <x:v>45410.37805204861</x:v>
      </x:c>
      <x:c r="K799" s="16" t="n">
        <x:v>45415.37805204861</x:v>
      </x:c>
      <x:c r="L799" s="20" t="n">
        <x:v>110605.9</x:v>
      </x:c>
      <x:c r="M799" s="20" t="n">
        <x:v>387.12</x:v>
      </x:c>
      <x:c r="N799" s="20" t="n">
        <x:v>0</x:v>
      </x:c>
      <x:c r="O799" s="20" t="n">
        <x:v>110993.02</x:v>
      </x:c>
      <x:c r="P799" s="20" t="n">
        <x:v>0</x:v>
      </x:c>
      <x:c r="Q799" s="10" t="str">
        <x:v>Pago</x:v>
      </x:c>
      <x:c r="R799" s="10" t="str">
        <x:v>Cartão Corporativo</x:v>
      </x:c>
      <x:c r="S799" s="10" t="str">
        <x:v>2024-02</x:v>
      </x:c>
      <x:c r="T799" s="10" t="n">
        <x:v>0</x:v>
      </x:c>
      <x:c r="U799" s="10" t="str">
        <x:v>Liquidado</x:v>
      </x:c>
      <x:c r="V799" s="10" t="str">
        <x:v>UND003</x:v>
      </x:c>
    </x:row>
    <x:row r="800" ht="18" customHeight="1">
      <x:c r="A800" s="10" t="str">
        <x:v>PAG00799</x:v>
      </x:c>
      <x:c r="B800" s="10" t="str">
        <x:v>EMP002</x:v>
      </x:c>
      <x:c r="C800" s="10" t="str">
        <x:v>FOR004</x:v>
      </x:c>
      <x:c r="D800" s="10" t="str">
        <x:v>CC002</x:v>
      </x:c>
      <x:c r="E800" s="10" t="str">
        <x:v>CAT018</x:v>
      </x:c>
      <x:c r="F800" s="10" t="str">
        <x:v>CTA003</x:v>
      </x:c>
      <x:c r="G800" s="10" t="str">
        <x:v>NF-100799</x:v>
      </x:c>
      <x:c r="H800" s="10" t="str">
        <x:v>Contrato recorrente</x:v>
      </x:c>
      <x:c r="I800" s="16" t="n">
        <x:v>45957.9740094213</x:v>
      </x:c>
      <x:c r="J800" s="16" t="n">
        <x:v>45977.9740094213</x:v>
      </x:c>
      <x:c r="K800" s="16" t="n">
        <x:v>45978.9740094213</x:v>
      </x:c>
      <x:c r="L800" s="20" t="n">
        <x:v>27618.08</x:v>
      </x:c>
      <x:c r="M800" s="20" t="n">
        <x:v>19.33</x:v>
      </x:c>
      <x:c r="N800" s="20" t="n">
        <x:v>0</x:v>
      </x:c>
      <x:c r="O800" s="20" t="n">
        <x:v>27637.41</x:v>
      </x:c>
      <x:c r="P800" s="20" t="n">
        <x:v>0</x:v>
      </x:c>
      <x:c r="Q800" s="10" t="str">
        <x:v>Pago</x:v>
      </x:c>
      <x:c r="R800" s="10" t="str">
        <x:v>Boleto</x:v>
      </x:c>
      <x:c r="S800" s="10" t="str">
        <x:v>2025-10</x:v>
      </x:c>
      <x:c r="T800" s="10" t="n">
        <x:v>0</x:v>
      </x:c>
      <x:c r="U800" s="10" t="str">
        <x:v>Liquidado</x:v>
      </x:c>
      <x:c r="V800" s="10" t="str">
        <x:v>UND003</x:v>
      </x:c>
    </x:row>
    <x:row r="801" ht="18" customHeight="1">
      <x:c r="A801" s="10" t="str">
        <x:v>PAG00800</x:v>
      </x:c>
      <x:c r="B801" s="10" t="str">
        <x:v>EMP003</x:v>
      </x:c>
      <x:c r="C801" s="10" t="str">
        <x:v>FOR020</x:v>
      </x:c>
      <x:c r="D801" s="10" t="str">
        <x:v>CC008</x:v>
      </x:c>
      <x:c r="E801" s="10" t="str">
        <x:v>CAT017</x:v>
      </x:c>
      <x:c r="F801" s="10" t="str">
        <x:v>CTA006</x:v>
      </x:c>
      <x:c r="G801" s="10" t="str">
        <x:v>NF-100800</x:v>
      </x:c>
      <x:c r="H801" s="10" t="str">
        <x:v>Compra de materiais</x:v>
      </x:c>
      <x:c r="I801" s="16" t="n">
        <x:v>45373.752257569446</x:v>
      </x:c>
      <x:c r="J801" s="16" t="n">
        <x:v>45433.752257569446</x:v>
      </x:c>
      <x:c r="K801" s="16" t="n">
        <x:v>45443.752257569446</x:v>
      </x:c>
      <x:c r="L801" s="20" t="n">
        <x:v>1266.57</x:v>
      </x:c>
      <x:c r="M801" s="20" t="n">
        <x:v>8.87</x:v>
      </x:c>
      <x:c r="N801" s="20" t="n">
        <x:v>0</x:v>
      </x:c>
      <x:c r="O801" s="20" t="n">
        <x:v>1275.44</x:v>
      </x:c>
      <x:c r="P801" s="20" t="n">
        <x:v>0</x:v>
      </x:c>
      <x:c r="Q801" s="10" t="str">
        <x:v>Pago</x:v>
      </x:c>
      <x:c r="R801" s="10" t="str">
        <x:v>Cartão Corporativo</x:v>
      </x:c>
      <x:c r="S801" s="10" t="str">
        <x:v>2024-03</x:v>
      </x:c>
      <x:c r="T801" s="10" t="n">
        <x:v>0</x:v>
      </x:c>
      <x:c r="U801" s="10" t="str">
        <x:v>Liquidado</x:v>
      </x:c>
      <x:c r="V801" s="10" t="str">
        <x:v>UND004</x:v>
      </x:c>
    </x:row>
    <x:row r="802" ht="18" customHeight="1">
      <x:c r="A802" s="10" t="str">
        <x:v>PAG00801</x:v>
      </x:c>
      <x:c r="B802" s="10" t="str">
        <x:v>EMP001</x:v>
      </x:c>
      <x:c r="C802" s="10" t="str">
        <x:v>FOR058</x:v>
      </x:c>
      <x:c r="D802" s="10" t="str">
        <x:v>CC001</x:v>
      </x:c>
      <x:c r="E802" s="10" t="str">
        <x:v>CAT017</x:v>
      </x:c>
      <x:c r="F802" s="10" t="str">
        <x:v>CTA002</x:v>
      </x:c>
      <x:c r="G802" s="10" t="str">
        <x:v>NF-100801</x:v>
      </x:c>
      <x:c r="H802" s="10" t="str">
        <x:v>Prestação de serviços</x:v>
      </x:c>
      <x:c r="I802" s="16" t="n">
        <x:v>45370.24791913194</x:v>
      </x:c>
      <x:c r="J802" s="16" t="n">
        <x:v>45415.24791913194</x:v>
      </x:c>
      <x:c r="K802" s="16" t="n">
        <x:v>45423.24791913194</x:v>
      </x:c>
      <x:c r="L802" s="20" t="n">
        <x:v>75648.63</x:v>
      </x:c>
      <x:c r="M802" s="20" t="n">
        <x:v>423.63</x:v>
      </x:c>
      <x:c r="N802" s="20" t="n">
        <x:v>0</x:v>
      </x:c>
      <x:c r="O802" s="20" t="n">
        <x:v>76072.26</x:v>
      </x:c>
      <x:c r="P802" s="20" t="n">
        <x:v>0</x:v>
      </x:c>
      <x:c r="Q802" s="10" t="str">
        <x:v>Pago</x:v>
      </x:c>
      <x:c r="R802" s="10" t="str">
        <x:v>Débito Automático</x:v>
      </x:c>
      <x:c r="S802" s="10" t="str">
        <x:v>2024-03</x:v>
      </x:c>
      <x:c r="T802" s="10" t="n">
        <x:v>0</x:v>
      </x:c>
      <x:c r="U802" s="10" t="str">
        <x:v>Liquidado</x:v>
      </x:c>
      <x:c r="V802" s="10" t="str">
        <x:v>UND001</x:v>
      </x:c>
    </x:row>
    <x:row r="803" ht="18" customHeight="1">
      <x:c r="A803" s="10" t="str">
        <x:v>PAG00802</x:v>
      </x:c>
      <x:c r="B803" s="10" t="str">
        <x:v>EMP002</x:v>
      </x:c>
      <x:c r="C803" s="10" t="str">
        <x:v>FOR035</x:v>
      </x:c>
      <x:c r="D803" s="10" t="str">
        <x:v>CC001</x:v>
      </x:c>
      <x:c r="E803" s="10" t="str">
        <x:v>CAT013</x:v>
      </x:c>
      <x:c r="F803" s="10" t="str">
        <x:v>CTA004</x:v>
      </x:c>
      <x:c r="G803" s="10" t="str">
        <x:v>NF-100802</x:v>
      </x:c>
      <x:c r="H803" s="10" t="str">
        <x:v>Compra de materiais</x:v>
      </x:c>
      <x:c r="I803" s="16" t="n">
        <x:v>45445.904714386576</x:v>
      </x:c>
      <x:c r="J803" s="16" t="n">
        <x:v>45490.904714386576</x:v>
      </x:c>
      <x:c r="K803" s="16" t="n">
        <x:v>45505.904714386576</x:v>
      </x:c>
      <x:c r="L803" s="20" t="n">
        <x:v>10187.86</x:v>
      </x:c>
      <x:c r="M803" s="20" t="n">
        <x:v>106.97</x:v>
      </x:c>
      <x:c r="N803" s="20" t="n">
        <x:v>0</x:v>
      </x:c>
      <x:c r="O803" s="20" t="n">
        <x:v>10294.83</x:v>
      </x:c>
      <x:c r="P803" s="20" t="n">
        <x:v>0</x:v>
      </x:c>
      <x:c r="Q803" s="10" t="str">
        <x:v>Pago</x:v>
      </x:c>
      <x:c r="R803" s="10" t="str">
        <x:v>PIX</x:v>
      </x:c>
      <x:c r="S803" s="10" t="str">
        <x:v>2024-06</x:v>
      </x:c>
      <x:c r="T803" s="10" t="n">
        <x:v>0</x:v>
      </x:c>
      <x:c r="U803" s="10" t="str">
        <x:v>Liquidado</x:v>
      </x:c>
      <x:c r="V803" s="10" t="str">
        <x:v>UND003</x:v>
      </x:c>
    </x:row>
    <x:row r="804" ht="18" customHeight="1">
      <x:c r="A804" s="10" t="str">
        <x:v>PAG00803</x:v>
      </x:c>
      <x:c r="B804" s="10" t="str">
        <x:v>EMP001</x:v>
      </x:c>
      <x:c r="C804" s="10" t="str">
        <x:v>FOR055</x:v>
      </x:c>
      <x:c r="D804" s="10" t="str">
        <x:v>CC008</x:v>
      </x:c>
      <x:c r="E804" s="10" t="str">
        <x:v>CAT005</x:v>
      </x:c>
      <x:c r="F804" s="10" t="str">
        <x:v>CTA001</x:v>
      </x:c>
      <x:c r="G804" s="10" t="str">
        <x:v>NF-100803</x:v>
      </x:c>
      <x:c r="H804" s="10" t="str">
        <x:v>Tributos e taxas</x:v>
      </x:c>
      <x:c r="I804" s="16" t="n">
        <x:v>45471.290111967595</x:v>
      </x:c>
      <x:c r="J804" s="16" t="n">
        <x:v>45506.290111967595</x:v>
      </x:c>
      <x:c r="K804" s="16" t="n">
        <x:v>45528.290111967595</x:v>
      </x:c>
      <x:c r="L804" s="20" t="n">
        <x:v>71754.02</x:v>
      </x:c>
      <x:c r="M804" s="20" t="n">
        <x:v>1105.01</x:v>
      </x:c>
      <x:c r="N804" s="20" t="n">
        <x:v>0</x:v>
      </x:c>
      <x:c r="O804" s="20" t="n">
        <x:v>72859.03</x:v>
      </x:c>
      <x:c r="P804" s="20" t="n">
        <x:v>0</x:v>
      </x:c>
      <x:c r="Q804" s="10" t="str">
        <x:v>Pago</x:v>
      </x:c>
      <x:c r="R804" s="10" t="str">
        <x:v>Boleto</x:v>
      </x:c>
      <x:c r="S804" s="10" t="str">
        <x:v>2024-06</x:v>
      </x:c>
      <x:c r="T804" s="10" t="n">
        <x:v>0</x:v>
      </x:c>
      <x:c r="U804" s="10" t="str">
        <x:v>Liquidado</x:v>
      </x:c>
      <x:c r="V804" s="10" t="str">
        <x:v>UND001</x:v>
      </x:c>
    </x:row>
    <x:row r="805" ht="18" customHeight="1">
      <x:c r="A805" s="10" t="str">
        <x:v>PAG00804</x:v>
      </x:c>
      <x:c r="B805" s="10" t="str">
        <x:v>EMP001</x:v>
      </x:c>
      <x:c r="C805" s="10" t="str">
        <x:v>FOR051</x:v>
      </x:c>
      <x:c r="D805" s="10" t="str">
        <x:v>CC002</x:v>
      </x:c>
      <x:c r="E805" s="10" t="str">
        <x:v>CAT017</x:v>
      </x:c>
      <x:c r="F805" s="10" t="str">
        <x:v>CTA001</x:v>
      </x:c>
      <x:c r="G805" s="10" t="str">
        <x:v>NF-100804</x:v>
      </x:c>
      <x:c r="H805" s="10" t="str">
        <x:v>Prestação de serviços</x:v>
      </x:c>
      <x:c r="I805" s="16" t="n">
        <x:v>45820.35801560185</x:v>
      </x:c>
      <x:c r="J805" s="16" t="n">
        <x:v>45848.35801560185</x:v>
      </x:c>
      <x:c r="K805" s="16" t="n">
        <x:v>45872.35801560185</x:v>
      </x:c>
      <x:c r="L805" s="20" t="n">
        <x:v>82759.37</x:v>
      </x:c>
      <x:c r="M805" s="20" t="n">
        <x:v>1390.36</x:v>
      </x:c>
      <x:c r="N805" s="20" t="n">
        <x:v>0</x:v>
      </x:c>
      <x:c r="O805" s="20" t="n">
        <x:v>84149.73</x:v>
      </x:c>
      <x:c r="P805" s="20" t="n">
        <x:v>0</x:v>
      </x:c>
      <x:c r="Q805" s="10" t="str">
        <x:v>Pago</x:v>
      </x:c>
      <x:c r="R805" s="10" t="str">
        <x:v>Boleto</x:v>
      </x:c>
      <x:c r="S805" s="10" t="str">
        <x:v>2025-06</x:v>
      </x:c>
      <x:c r="T805" s="10" t="n">
        <x:v>0</x:v>
      </x:c>
      <x:c r="U805" s="10" t="str">
        <x:v>Liquidado</x:v>
      </x:c>
      <x:c r="V805" s="10" t="str">
        <x:v>UND002</x:v>
      </x:c>
    </x:row>
    <x:row r="806" ht="18" customHeight="1">
      <x:c r="A806" s="10" t="str">
        <x:v>PAG00805</x:v>
      </x:c>
      <x:c r="B806" s="10" t="str">
        <x:v>EMP003</x:v>
      </x:c>
      <x:c r="C806" s="10" t="str">
        <x:v>FOR037</x:v>
      </x:c>
      <x:c r="D806" s="10" t="str">
        <x:v>CC002</x:v>
      </x:c>
      <x:c r="E806" s="10" t="str">
        <x:v>CAT011</x:v>
      </x:c>
      <x:c r="F806" s="10" t="str">
        <x:v>CTA005</x:v>
      </x:c>
      <x:c r="G806" s="10" t="str">
        <x:v>NF-100805</x:v>
      </x:c>
      <x:c r="H806" s="10" t="str">
        <x:v>Tributos e taxas</x:v>
      </x:c>
      <x:c r="I806" s="16" t="n">
        <x:v>45822.11139273148</x:v>
      </x:c>
      <x:c r="J806" s="16" t="n">
        <x:v>45837.11139273148</x:v>
      </x:c>
      <x:c r="K806" s="16" t="n">
        <x:v>45847.11139273148</x:v>
      </x:c>
      <x:c r="L806" s="20" t="n">
        <x:v>77214.9</x:v>
      </x:c>
      <x:c r="M806" s="20" t="n">
        <x:v>540.5</x:v>
      </x:c>
      <x:c r="N806" s="20" t="n">
        <x:v>0</x:v>
      </x:c>
      <x:c r="O806" s="20" t="n">
        <x:v>77755.4</x:v>
      </x:c>
      <x:c r="P806" s="20" t="n">
        <x:v>0</x:v>
      </x:c>
      <x:c r="Q806" s="10" t="str">
        <x:v>Pago</x:v>
      </x:c>
      <x:c r="R806" s="10" t="str">
        <x:v>TED</x:v>
      </x:c>
      <x:c r="S806" s="10" t="str">
        <x:v>2025-06</x:v>
      </x:c>
      <x:c r="T806" s="10" t="n">
        <x:v>0</x:v>
      </x:c>
      <x:c r="U806" s="10" t="str">
        <x:v>Liquidado</x:v>
      </x:c>
      <x:c r="V806" s="10" t="str">
        <x:v>UND004</x:v>
      </x:c>
    </x:row>
    <x:row r="807" ht="18" customHeight="1">
      <x:c r="A807" s="10" t="str">
        <x:v>PAG00806</x:v>
      </x:c>
      <x:c r="B807" s="10" t="str">
        <x:v>EMP003</x:v>
      </x:c>
      <x:c r="C807" s="10" t="str">
        <x:v>FOR015</x:v>
      </x:c>
      <x:c r="D807" s="10" t="str">
        <x:v>CC002</x:v>
      </x:c>
      <x:c r="E807" s="10" t="str">
        <x:v>CAT013</x:v>
      </x:c>
      <x:c r="F807" s="10" t="str">
        <x:v>CTA005</x:v>
      </x:c>
      <x:c r="G807" s="10" t="str">
        <x:v>NF-100806</x:v>
      </x:c>
      <x:c r="H807" s="10" t="str">
        <x:v>Contrato recorrente</x:v>
      </x:c>
      <x:c r="I807" s="16" t="n">
        <x:v>45362.859495289355</x:v>
      </x:c>
      <x:c r="J807" s="16" t="n">
        <x:v>45390.859495289355</x:v>
      </x:c>
      <x:c r="K807" s="16" t="n">
        <x:v>45400.859495289355</x:v>
      </x:c>
      <x:c r="L807" s="20" t="n">
        <x:v>27659.05</x:v>
      </x:c>
      <x:c r="M807" s="20" t="n">
        <x:v>193.61</x:v>
      </x:c>
      <x:c r="N807" s="20" t="n">
        <x:v>0</x:v>
      </x:c>
      <x:c r="O807" s="20" t="n">
        <x:v>27852.66</x:v>
      </x:c>
      <x:c r="P807" s="20" t="n">
        <x:v>0</x:v>
      </x:c>
      <x:c r="Q807" s="10" t="str">
        <x:v>Pago</x:v>
      </x:c>
      <x:c r="R807" s="10" t="str">
        <x:v>TED</x:v>
      </x:c>
      <x:c r="S807" s="10" t="str">
        <x:v>2024-03</x:v>
      </x:c>
      <x:c r="T807" s="10" t="n">
        <x:v>0</x:v>
      </x:c>
      <x:c r="U807" s="10" t="str">
        <x:v>Liquidado</x:v>
      </x:c>
      <x:c r="V807" s="10" t="str">
        <x:v>UND004</x:v>
      </x:c>
    </x:row>
    <x:row r="808" ht="18" customHeight="1">
      <x:c r="A808" s="10" t="str">
        <x:v>PAG00807</x:v>
      </x:c>
      <x:c r="B808" s="10" t="str">
        <x:v>EMP001</x:v>
      </x:c>
      <x:c r="C808" s="10" t="str">
        <x:v>FOR013</x:v>
      </x:c>
      <x:c r="D808" s="10" t="str">
        <x:v>CC007</x:v>
      </x:c>
      <x:c r="E808" s="10" t="str">
        <x:v>CAT013</x:v>
      </x:c>
      <x:c r="F808" s="10" t="str">
        <x:v>CTA001</x:v>
      </x:c>
      <x:c r="G808" s="10" t="str">
        <x:v>NF-100807</x:v>
      </x:c>
      <x:c r="H808" s="10" t="str">
        <x:v>Contrato recorrente</x:v>
      </x:c>
      <x:c r="I808" s="16" t="n">
        <x:v>45941.75030039352</x:v>
      </x:c>
      <x:c r="J808" s="16" t="n">
        <x:v>45961.75030039352</x:v>
      </x:c>
      <x:c r="K808" s="16"/>
      <x:c r="L808" s="20" t="n">
        <x:v>11484.41</x:v>
      </x:c>
      <x:c r="M808" s="20" t="n">
        <x:v>0</x:v>
      </x:c>
      <x:c r="N808" s="20" t="n">
        <x:v>0</x:v>
      </x:c>
      <x:c r="O808" s="20" t="n">
        <x:v>0</x:v>
      </x:c>
      <x:c r="P808" s="20" t="n">
        <x:v>11484.41</x:v>
      </x:c>
      <x:c r="Q808" s="10" t="str">
        <x:v>Vencido</x:v>
      </x:c>
      <x:c r="R808" s="10" t="str">
        <x:v>Cartão Corporativo</x:v>
      </x:c>
      <x:c r="S808" s="10" t="str">
        <x:v>2025-10</x:v>
      </x:c>
      <x:c r="T808" s="10" t="n">
        <x:v>60</x:v>
      </x:c>
      <x:c r="U808" s="10" t="str">
        <x:v>31 a 60 dias</x:v>
      </x:c>
      <x:c r="V808" s="10" t="str">
        <x:v>UND002</x:v>
      </x:c>
    </x:row>
    <x:row r="809" ht="18" customHeight="1">
      <x:c r="A809" s="10" t="str">
        <x:v>PAG00808</x:v>
      </x:c>
      <x:c r="B809" s="10" t="str">
        <x:v>EMP003</x:v>
      </x:c>
      <x:c r="C809" s="10" t="str">
        <x:v>FOR042</x:v>
      </x:c>
      <x:c r="D809" s="10" t="str">
        <x:v>CC002</x:v>
      </x:c>
      <x:c r="E809" s="10" t="str">
        <x:v>CAT016</x:v>
      </x:c>
      <x:c r="F809" s="10" t="str">
        <x:v>CTA006</x:v>
      </x:c>
      <x:c r="G809" s="10" t="str">
        <x:v>NF-100808</x:v>
      </x:c>
      <x:c r="H809" s="10" t="str">
        <x:v>Contrato recorrente</x:v>
      </x:c>
      <x:c r="I809" s="16" t="n">
        <x:v>45434.2043240625</x:v>
      </x:c>
      <x:c r="J809" s="16" t="n">
        <x:v>45462.2043240625</x:v>
      </x:c>
      <x:c r="K809" s="16" t="n">
        <x:v>45473.2043240625</x:v>
      </x:c>
      <x:c r="L809" s="20" t="n">
        <x:v>25909.41</x:v>
      </x:c>
      <x:c r="M809" s="20" t="n">
        <x:v>199.5</x:v>
      </x:c>
      <x:c r="N809" s="20" t="n">
        <x:v>0</x:v>
      </x:c>
      <x:c r="O809" s="20" t="n">
        <x:v>26108.91</x:v>
      </x:c>
      <x:c r="P809" s="20" t="n">
        <x:v>0</x:v>
      </x:c>
      <x:c r="Q809" s="10" t="str">
        <x:v>Pago</x:v>
      </x:c>
      <x:c r="R809" s="10" t="str">
        <x:v>Débito Automático</x:v>
      </x:c>
      <x:c r="S809" s="10" t="str">
        <x:v>2024-05</x:v>
      </x:c>
      <x:c r="T809" s="10" t="n">
        <x:v>0</x:v>
      </x:c>
      <x:c r="U809" s="10" t="str">
        <x:v>Liquidado</x:v>
      </x:c>
      <x:c r="V809" s="10" t="str">
        <x:v>UND004</x:v>
      </x:c>
    </x:row>
    <x:row r="810" ht="18" customHeight="1">
      <x:c r="A810" s="10" t="str">
        <x:v>PAG00809</x:v>
      </x:c>
      <x:c r="B810" s="10" t="str">
        <x:v>EMP003</x:v>
      </x:c>
      <x:c r="C810" s="10" t="str">
        <x:v>FOR058</x:v>
      </x:c>
      <x:c r="D810" s="10" t="str">
        <x:v>CC001</x:v>
      </x:c>
      <x:c r="E810" s="10" t="str">
        <x:v>CAT016</x:v>
      </x:c>
      <x:c r="F810" s="10" t="str">
        <x:v>CTA006</x:v>
      </x:c>
      <x:c r="G810" s="10" t="str">
        <x:v>NF-100809</x:v>
      </x:c>
      <x:c r="H810" s="10" t="str">
        <x:v>Contrato recorrente</x:v>
      </x:c>
      <x:c r="I810" s="16" t="n">
        <x:v>45396.9609340625</x:v>
      </x:c>
      <x:c r="J810" s="16" t="n">
        <x:v>45424.9609340625</x:v>
      </x:c>
      <x:c r="K810" s="16" t="n">
        <x:v>45431.9609340625</x:v>
      </x:c>
      <x:c r="L810" s="20" t="n">
        <x:v>83040.08</x:v>
      </x:c>
      <x:c r="M810" s="20" t="n">
        <x:v>406.9</x:v>
      </x:c>
      <x:c r="N810" s="20" t="n">
        <x:v>0</x:v>
      </x:c>
      <x:c r="O810" s="20" t="n">
        <x:v>83446.98</x:v>
      </x:c>
      <x:c r="P810" s="20" t="n">
        <x:v>0</x:v>
      </x:c>
      <x:c r="Q810" s="10" t="str">
        <x:v>Pago</x:v>
      </x:c>
      <x:c r="R810" s="10" t="str">
        <x:v>TED</x:v>
      </x:c>
      <x:c r="S810" s="10" t="str">
        <x:v>2024-04</x:v>
      </x:c>
      <x:c r="T810" s="10" t="n">
        <x:v>0</x:v>
      </x:c>
      <x:c r="U810" s="10" t="str">
        <x:v>Liquidado</x:v>
      </x:c>
      <x:c r="V810" s="10" t="str">
        <x:v>UND004</x:v>
      </x:c>
    </x:row>
    <x:row r="811" ht="18" customHeight="1">
      <x:c r="A811" s="10" t="str">
        <x:v>PAG00810</x:v>
      </x:c>
      <x:c r="B811" s="10" t="str">
        <x:v>EMP002</x:v>
      </x:c>
      <x:c r="C811" s="10" t="str">
        <x:v>FOR022</x:v>
      </x:c>
      <x:c r="D811" s="10" t="str">
        <x:v>CC005</x:v>
      </x:c>
      <x:c r="E811" s="10" t="str">
        <x:v>CAT006</x:v>
      </x:c>
      <x:c r="F811" s="10" t="str">
        <x:v>CTA004</x:v>
      </x:c>
      <x:c r="G811" s="10" t="str">
        <x:v>NF-100810</x:v>
      </x:c>
      <x:c r="H811" s="10" t="str">
        <x:v>Prestação de serviços</x:v>
      </x:c>
      <x:c r="I811" s="16" t="n">
        <x:v>45824.1881653125</x:v>
      </x:c>
      <x:c r="J811" s="16" t="n">
        <x:v>45839.1881653125</x:v>
      </x:c>
      <x:c r="K811" s="16" t="n">
        <x:v>45834.1881653125</x:v>
      </x:c>
      <x:c r="L811" s="20" t="n">
        <x:v>85968.48</x:v>
      </x:c>
      <x:c r="M811" s="20" t="n">
        <x:v>0</x:v>
      </x:c>
      <x:c r="N811" s="20" t="n">
        <x:v>0</x:v>
      </x:c>
      <x:c r="O811" s="20" t="n">
        <x:v>85968.48</x:v>
      </x:c>
      <x:c r="P811" s="20" t="n">
        <x:v>0</x:v>
      </x:c>
      <x:c r="Q811" s="10" t="str">
        <x:v>Pago</x:v>
      </x:c>
      <x:c r="R811" s="10" t="str">
        <x:v>PIX</x:v>
      </x:c>
      <x:c r="S811" s="10" t="str">
        <x:v>2025-06</x:v>
      </x:c>
      <x:c r="T811" s="10" t="n">
        <x:v>0</x:v>
      </x:c>
      <x:c r="U811" s="10" t="str">
        <x:v>Liquidado</x:v>
      </x:c>
      <x:c r="V811" s="10" t="str">
        <x:v>UND003</x:v>
      </x:c>
    </x:row>
    <x:row r="812" ht="18" customHeight="1">
      <x:c r="A812" s="10" t="str">
        <x:v>PAG00811</x:v>
      </x:c>
      <x:c r="B812" s="10" t="str">
        <x:v>EMP002</x:v>
      </x:c>
      <x:c r="C812" s="10" t="str">
        <x:v>FOR012</x:v>
      </x:c>
      <x:c r="D812" s="10" t="str">
        <x:v>CC007</x:v>
      </x:c>
      <x:c r="E812" s="10" t="str">
        <x:v>CAT011</x:v>
      </x:c>
      <x:c r="F812" s="10" t="str">
        <x:v>CTA004</x:v>
      </x:c>
      <x:c r="G812" s="10" t="str">
        <x:v>NF-100811</x:v>
      </x:c>
      <x:c r="H812" s="10" t="str">
        <x:v>Despesa operacional</x:v>
      </x:c>
      <x:c r="I812" s="16" t="n">
        <x:v>45639.97469540509</x:v>
      </x:c>
      <x:c r="J812" s="16" t="n">
        <x:v>45699.97469540509</x:v>
      </x:c>
      <x:c r="K812" s="16"/>
      <x:c r="L812" s="20" t="n">
        <x:v>61981.49</x:v>
      </x:c>
      <x:c r="M812" s="20" t="n">
        <x:v>0</x:v>
      </x:c>
      <x:c r="N812" s="20" t="n">
        <x:v>0</x:v>
      </x:c>
      <x:c r="O812" s="20" t="n">
        <x:v>0</x:v>
      </x:c>
      <x:c r="P812" s="20" t="n">
        <x:v>61981.49</x:v>
      </x:c>
      <x:c r="Q812" s="10" t="str">
        <x:v>Vencido</x:v>
      </x:c>
      <x:c r="R812" s="10" t="str">
        <x:v>TED</x:v>
      </x:c>
      <x:c r="S812" s="10" t="str">
        <x:v>2024-12</x:v>
      </x:c>
      <x:c r="T812" s="10" t="n">
        <x:v>322</x:v>
      </x:c>
      <x:c r="U812" s="10" t="str">
        <x:v>&gt; 120 dias</x:v>
      </x:c>
      <x:c r="V812" s="10" t="str">
        <x:v>UND003</x:v>
      </x:c>
    </x:row>
    <x:row r="813" ht="18" customHeight="1">
      <x:c r="A813" s="10" t="str">
        <x:v>PAG00812</x:v>
      </x:c>
      <x:c r="B813" s="10" t="str">
        <x:v>EMP001</x:v>
      </x:c>
      <x:c r="C813" s="10" t="str">
        <x:v>FOR032</x:v>
      </x:c>
      <x:c r="D813" s="10" t="str">
        <x:v>CC004</x:v>
      </x:c>
      <x:c r="E813" s="10" t="str">
        <x:v>CAT014</x:v>
      </x:c>
      <x:c r="F813" s="10" t="str">
        <x:v>CTA001</x:v>
      </x:c>
      <x:c r="G813" s="10" t="str">
        <x:v>NF-100812</x:v>
      </x:c>
      <x:c r="H813" s="10" t="str">
        <x:v>Compra de materiais</x:v>
      </x:c>
      <x:c r="I813" s="16" t="n">
        <x:v>45637.41598184028</x:v>
      </x:c>
      <x:c r="J813" s="16" t="n">
        <x:v>45682.41598184028</x:v>
      </x:c>
      <x:c r="K813" s="16" t="n">
        <x:v>45694.41598184028</x:v>
      </x:c>
      <x:c r="L813" s="20" t="n">
        <x:v>104703.76</x:v>
      </x:c>
      <x:c r="M813" s="20" t="n">
        <x:v>879.51</x:v>
      </x:c>
      <x:c r="N813" s="20" t="n">
        <x:v>0</x:v>
      </x:c>
      <x:c r="O813" s="20" t="n">
        <x:v>105583.27</x:v>
      </x:c>
      <x:c r="P813" s="20" t="n">
        <x:v>0</x:v>
      </x:c>
      <x:c r="Q813" s="10" t="str">
        <x:v>Pago</x:v>
      </x:c>
      <x:c r="R813" s="10" t="str">
        <x:v>Cartão Corporativo</x:v>
      </x:c>
      <x:c r="S813" s="10" t="str">
        <x:v>2024-12</x:v>
      </x:c>
      <x:c r="T813" s="10" t="n">
        <x:v>0</x:v>
      </x:c>
      <x:c r="U813" s="10" t="str">
        <x:v>Liquidado</x:v>
      </x:c>
      <x:c r="V813" s="10" t="str">
        <x:v>UND001</x:v>
      </x:c>
    </x:row>
    <x:row r="814" ht="18" customHeight="1">
      <x:c r="A814" s="10" t="str">
        <x:v>PAG00813</x:v>
      </x:c>
      <x:c r="B814" s="10" t="str">
        <x:v>EMP002</x:v>
      </x:c>
      <x:c r="C814" s="10" t="str">
        <x:v>FOR006</x:v>
      </x:c>
      <x:c r="D814" s="10" t="str">
        <x:v>CC001</x:v>
      </x:c>
      <x:c r="E814" s="10" t="str">
        <x:v>CAT005</x:v>
      </x:c>
      <x:c r="F814" s="10" t="str">
        <x:v>CTA003</x:v>
      </x:c>
      <x:c r="G814" s="10" t="str">
        <x:v>NF-100813</x:v>
      </x:c>
      <x:c r="H814" s="10" t="str">
        <x:v>Despesa operacional</x:v>
      </x:c>
      <x:c r="I814" s="16" t="n">
        <x:v>45662.09647846065</x:v>
      </x:c>
      <x:c r="J814" s="16" t="n">
        <x:v>45737.09647846065</x:v>
      </x:c>
      <x:c r="K814" s="16" t="n">
        <x:v>45740.09647846065</x:v>
      </x:c>
      <x:c r="L814" s="20" t="n">
        <x:v>43285.76</x:v>
      </x:c>
      <x:c r="M814" s="20" t="n">
        <x:v>90.9</x:v>
      </x:c>
      <x:c r="N814" s="20" t="n">
        <x:v>0</x:v>
      </x:c>
      <x:c r="O814" s="20" t="n">
        <x:v>43376.66</x:v>
      </x:c>
      <x:c r="P814" s="20" t="n">
        <x:v>0</x:v>
      </x:c>
      <x:c r="Q814" s="10" t="str">
        <x:v>Pago</x:v>
      </x:c>
      <x:c r="R814" s="10" t="str">
        <x:v>Débito Automático</x:v>
      </x:c>
      <x:c r="S814" s="10" t="str">
        <x:v>2025-01</x:v>
      </x:c>
      <x:c r="T814" s="10" t="n">
        <x:v>0</x:v>
      </x:c>
      <x:c r="U814" s="10" t="str">
        <x:v>Liquidado</x:v>
      </x:c>
      <x:c r="V814" s="10" t="str">
        <x:v>UND003</x:v>
      </x:c>
    </x:row>
    <x:row r="815" ht="18" customHeight="1">
      <x:c r="A815" s="10" t="str">
        <x:v>PAG00814</x:v>
      </x:c>
      <x:c r="B815" s="10" t="str">
        <x:v>EMP002</x:v>
      </x:c>
      <x:c r="C815" s="10" t="str">
        <x:v>FOR047</x:v>
      </x:c>
      <x:c r="D815" s="10" t="str">
        <x:v>CC004</x:v>
      </x:c>
      <x:c r="E815" s="10" t="str">
        <x:v>CAT009</x:v>
      </x:c>
      <x:c r="F815" s="10" t="str">
        <x:v>CTA003</x:v>
      </x:c>
      <x:c r="G815" s="10" t="str">
        <x:v>NF-100814</x:v>
      </x:c>
      <x:c r="H815" s="10" t="str">
        <x:v>Contrato recorrente</x:v>
      </x:c>
      <x:c r="I815" s="16" t="n">
        <x:v>45836.637657569445</x:v>
      </x:c>
      <x:c r="J815" s="16" t="n">
        <x:v>45911.637657569445</x:v>
      </x:c>
      <x:c r="K815" s="16" t="n">
        <x:v>45918.637657569445</x:v>
      </x:c>
      <x:c r="L815" s="20" t="n">
        <x:v>81929.88</x:v>
      </x:c>
      <x:c r="M815" s="20" t="n">
        <x:v>401.46</x:v>
      </x:c>
      <x:c r="N815" s="20" t="n">
        <x:v>0</x:v>
      </x:c>
      <x:c r="O815" s="20" t="n">
        <x:v>82331.34</x:v>
      </x:c>
      <x:c r="P815" s="20" t="n">
        <x:v>0</x:v>
      </x:c>
      <x:c r="Q815" s="10" t="str">
        <x:v>Pago</x:v>
      </x:c>
      <x:c r="R815" s="10" t="str">
        <x:v>Cartão Corporativo</x:v>
      </x:c>
      <x:c r="S815" s="10" t="str">
        <x:v>2025-06</x:v>
      </x:c>
      <x:c r="T815" s="10" t="n">
        <x:v>0</x:v>
      </x:c>
      <x:c r="U815" s="10" t="str">
        <x:v>Liquidado</x:v>
      </x:c>
      <x:c r="V815" s="10" t="str">
        <x:v>UND003</x:v>
      </x:c>
    </x:row>
    <x:row r="816" ht="18" customHeight="1">
      <x:c r="A816" s="10" t="str">
        <x:v>PAG00815</x:v>
      </x:c>
      <x:c r="B816" s="10" t="str">
        <x:v>EMP002</x:v>
      </x:c>
      <x:c r="C816" s="10" t="str">
        <x:v>FOR036</x:v>
      </x:c>
      <x:c r="D816" s="10" t="str">
        <x:v>CC008</x:v>
      </x:c>
      <x:c r="E816" s="10" t="str">
        <x:v>CAT007</x:v>
      </x:c>
      <x:c r="F816" s="10" t="str">
        <x:v>CTA004</x:v>
      </x:c>
      <x:c r="G816" s="10" t="str">
        <x:v>NF-100815</x:v>
      </x:c>
      <x:c r="H816" s="10" t="str">
        <x:v>Despesa operacional</x:v>
      </x:c>
      <x:c r="I816" s="16" t="n">
        <x:v>45613.38092662037</x:v>
      </x:c>
      <x:c r="J816" s="16" t="n">
        <x:v>45641.38092662037</x:v>
      </x:c>
      <x:c r="K816" s="16" t="n">
        <x:v>45674.38092662037</x:v>
      </x:c>
      <x:c r="L816" s="20" t="n">
        <x:v>4268.32</x:v>
      </x:c>
      <x:c r="M816" s="20" t="n">
        <x:v>98.6</x:v>
      </x:c>
      <x:c r="N816" s="20" t="n">
        <x:v>0</x:v>
      </x:c>
      <x:c r="O816" s="20" t="n">
        <x:v>4366.92</x:v>
      </x:c>
      <x:c r="P816" s="20" t="n">
        <x:v>0</x:v>
      </x:c>
      <x:c r="Q816" s="10" t="str">
        <x:v>Pago</x:v>
      </x:c>
      <x:c r="R816" s="10" t="str">
        <x:v>Cartão Corporativo</x:v>
      </x:c>
      <x:c r="S816" s="10" t="str">
        <x:v>2024-11</x:v>
      </x:c>
      <x:c r="T816" s="10" t="n">
        <x:v>0</x:v>
      </x:c>
      <x:c r="U816" s="10" t="str">
        <x:v>Liquidado</x:v>
      </x:c>
      <x:c r="V816" s="10" t="str">
        <x:v>UND003</x:v>
      </x:c>
    </x:row>
    <x:row r="817" ht="18" customHeight="1">
      <x:c r="A817" s="10" t="str">
        <x:v>PAG00816</x:v>
      </x:c>
      <x:c r="B817" s="10" t="str">
        <x:v>EMP002</x:v>
      </x:c>
      <x:c r="C817" s="10" t="str">
        <x:v>FOR058</x:v>
      </x:c>
      <x:c r="D817" s="10" t="str">
        <x:v>CC003</x:v>
      </x:c>
      <x:c r="E817" s="10" t="str">
        <x:v>CAT007</x:v>
      </x:c>
      <x:c r="F817" s="10" t="str">
        <x:v>CTA003</x:v>
      </x:c>
      <x:c r="G817" s="10" t="str">
        <x:v>NF-100816</x:v>
      </x:c>
      <x:c r="H817" s="10" t="str">
        <x:v>Tributos e taxas</x:v>
      </x:c>
      <x:c r="I817" s="16" t="n">
        <x:v>45995.08644273148</x:v>
      </x:c>
      <x:c r="J817" s="16" t="n">
        <x:v>46023.08644273148</x:v>
      </x:c>
      <x:c r="K817" s="16"/>
      <x:c r="L817" s="20" t="n">
        <x:v>12998.32</x:v>
      </x:c>
      <x:c r="M817" s="20" t="n">
        <x:v>0</x:v>
      </x:c>
      <x:c r="N817" s="20" t="n">
        <x:v>0</x:v>
      </x:c>
      <x:c r="O817" s="20" t="n">
        <x:v>0</x:v>
      </x:c>
      <x:c r="P817" s="20" t="n">
        <x:v>12998.32</x:v>
      </x:c>
      <x:c r="Q817" s="10" t="str">
        <x:v>A vencer</x:v>
      </x:c>
      <x:c r="R817" s="10" t="str">
        <x:v>Boleto</x:v>
      </x:c>
      <x:c r="S817" s="10" t="str">
        <x:v>2025-12</x:v>
      </x:c>
      <x:c r="T817" s="10" t="n">
        <x:v>0</x:v>
      </x:c>
      <x:c r="U817" s="10" t="str">
        <x:v>A vencer</x:v>
      </x:c>
      <x:c r="V817" s="10" t="str">
        <x:v>UND003</x:v>
      </x:c>
    </x:row>
    <x:row r="818" ht="18" customHeight="1">
      <x:c r="A818" s="10" t="str">
        <x:v>PAG00817</x:v>
      </x:c>
      <x:c r="B818" s="10" t="str">
        <x:v>EMP003</x:v>
      </x:c>
      <x:c r="C818" s="10" t="str">
        <x:v>FOR019</x:v>
      </x:c>
      <x:c r="D818" s="10" t="str">
        <x:v>CC007</x:v>
      </x:c>
      <x:c r="E818" s="10" t="str">
        <x:v>CAT014</x:v>
      </x:c>
      <x:c r="F818" s="10" t="str">
        <x:v>CTA006</x:v>
      </x:c>
      <x:c r="G818" s="10" t="str">
        <x:v>NF-100817</x:v>
      </x:c>
      <x:c r="H818" s="10" t="str">
        <x:v>Tributos e taxas</x:v>
      </x:c>
      <x:c r="I818" s="16" t="n">
        <x:v>45608.71395133102</x:v>
      </x:c>
      <x:c r="J818" s="16" t="n">
        <x:v>45643.71395133102</x:v>
      </x:c>
      <x:c r="K818" s="16" t="n">
        <x:v>45639.71395133102</x:v>
      </x:c>
      <x:c r="L818" s="20" t="n">
        <x:v>12296.72</x:v>
      </x:c>
      <x:c r="M818" s="20" t="n">
        <x:v>0</x:v>
      </x:c>
      <x:c r="N818" s="20" t="n">
        <x:v>122.97</x:v>
      </x:c>
      <x:c r="O818" s="20" t="n">
        <x:v>12173.75</x:v>
      </x:c>
      <x:c r="P818" s="20" t="n">
        <x:v>0</x:v>
      </x:c>
      <x:c r="Q818" s="10" t="str">
        <x:v>Pago</x:v>
      </x:c>
      <x:c r="R818" s="10" t="str">
        <x:v>TED</x:v>
      </x:c>
      <x:c r="S818" s="10" t="str">
        <x:v>2024-11</x:v>
      </x:c>
      <x:c r="T818" s="10" t="n">
        <x:v>0</x:v>
      </x:c>
      <x:c r="U818" s="10" t="str">
        <x:v>Liquidado</x:v>
      </x:c>
      <x:c r="V818" s="10" t="str">
        <x:v>UND004</x:v>
      </x:c>
    </x:row>
    <x:row r="819" ht="18" customHeight="1">
      <x:c r="A819" s="10" t="str">
        <x:v>PAG00818</x:v>
      </x:c>
      <x:c r="B819" s="10" t="str">
        <x:v>EMP003</x:v>
      </x:c>
      <x:c r="C819" s="10" t="str">
        <x:v>FOR027</x:v>
      </x:c>
      <x:c r="D819" s="10" t="str">
        <x:v>CC002</x:v>
      </x:c>
      <x:c r="E819" s="10" t="str">
        <x:v>CAT007</x:v>
      </x:c>
      <x:c r="F819" s="10" t="str">
        <x:v>CTA005</x:v>
      </x:c>
      <x:c r="G819" s="10" t="str">
        <x:v>NF-100818</x:v>
      </x:c>
      <x:c r="H819" s="10" t="str">
        <x:v>Prestação de serviços</x:v>
      </x:c>
      <x:c r="I819" s="16" t="n">
        <x:v>45752.39400517361</x:v>
      </x:c>
      <x:c r="J819" s="16" t="n">
        <x:v>45782.39400517361</x:v>
      </x:c>
      <x:c r="K819" s="16" t="n">
        <x:v>45792.39400517361</x:v>
      </x:c>
      <x:c r="L819" s="20" t="n">
        <x:v>16227.69</x:v>
      </x:c>
      <x:c r="M819" s="20" t="n">
        <x:v>113.59</x:v>
      </x:c>
      <x:c r="N819" s="20" t="n">
        <x:v>0</x:v>
      </x:c>
      <x:c r="O819" s="20" t="n">
        <x:v>16341.28</x:v>
      </x:c>
      <x:c r="P819" s="20" t="n">
        <x:v>0</x:v>
      </x:c>
      <x:c r="Q819" s="10" t="str">
        <x:v>Pago</x:v>
      </x:c>
      <x:c r="R819" s="10" t="str">
        <x:v>TED</x:v>
      </x:c>
      <x:c r="S819" s="10" t="str">
        <x:v>2025-04</x:v>
      </x:c>
      <x:c r="T819" s="10" t="n">
        <x:v>0</x:v>
      </x:c>
      <x:c r="U819" s="10" t="str">
        <x:v>Liquidado</x:v>
      </x:c>
      <x:c r="V819" s="10" t="str">
        <x:v>UND004</x:v>
      </x:c>
    </x:row>
    <x:row r="820" ht="18" customHeight="1">
      <x:c r="A820" s="10" t="str">
        <x:v>PAG00819</x:v>
      </x:c>
      <x:c r="B820" s="10" t="str">
        <x:v>EMP003</x:v>
      </x:c>
      <x:c r="C820" s="10" t="str">
        <x:v>FOR060</x:v>
      </x:c>
      <x:c r="D820" s="10" t="str">
        <x:v>CC001</x:v>
      </x:c>
      <x:c r="E820" s="10" t="str">
        <x:v>CAT015</x:v>
      </x:c>
      <x:c r="F820" s="10" t="str">
        <x:v>CTA005</x:v>
      </x:c>
      <x:c r="G820" s="10" t="str">
        <x:v>NF-100819</x:v>
      </x:c>
      <x:c r="H820" s="10" t="str">
        <x:v>Compra de materiais</x:v>
      </x:c>
      <x:c r="I820" s="16" t="n">
        <x:v>45916.62099427083</x:v>
      </x:c>
      <x:c r="J820" s="16" t="n">
        <x:v>45936.62099427083</x:v>
      </x:c>
      <x:c r="K820" s="16" t="n">
        <x:v>45944.62099427083</x:v>
      </x:c>
      <x:c r="L820" s="20" t="n">
        <x:v>6972.35</x:v>
      </x:c>
      <x:c r="M820" s="20" t="n">
        <x:v>39.05</x:v>
      </x:c>
      <x:c r="N820" s="20" t="n">
        <x:v>0</x:v>
      </x:c>
      <x:c r="O820" s="20" t="n">
        <x:v>7011.4</x:v>
      </x:c>
      <x:c r="P820" s="20" t="n">
        <x:v>0</x:v>
      </x:c>
      <x:c r="Q820" s="10" t="str">
        <x:v>Pago</x:v>
      </x:c>
      <x:c r="R820" s="10" t="str">
        <x:v>TED</x:v>
      </x:c>
      <x:c r="S820" s="10" t="str">
        <x:v>2025-09</x:v>
      </x:c>
      <x:c r="T820" s="10" t="n">
        <x:v>0</x:v>
      </x:c>
      <x:c r="U820" s="10" t="str">
        <x:v>Liquidado</x:v>
      </x:c>
      <x:c r="V820" s="10" t="str">
        <x:v>UND004</x:v>
      </x:c>
    </x:row>
    <x:row r="821" ht="18" customHeight="1">
      <x:c r="A821" s="10" t="str">
        <x:v>PAG00820</x:v>
      </x:c>
      <x:c r="B821" s="10" t="str">
        <x:v>EMP002</x:v>
      </x:c>
      <x:c r="C821" s="10" t="str">
        <x:v>FOR047</x:v>
      </x:c>
      <x:c r="D821" s="10" t="str">
        <x:v>CC007</x:v>
      </x:c>
      <x:c r="E821" s="10" t="str">
        <x:v>CAT010</x:v>
      </x:c>
      <x:c r="F821" s="10" t="str">
        <x:v>CTA004</x:v>
      </x:c>
      <x:c r="G821" s="10" t="str">
        <x:v>NF-100820</x:v>
      </x:c>
      <x:c r="H821" s="10" t="str">
        <x:v>Prestação de serviços</x:v>
      </x:c>
      <x:c r="I821" s="16" t="n">
        <x:v>45586.599180081015</x:v>
      </x:c>
      <x:c r="J821" s="16" t="n">
        <x:v>45621.599180081015</x:v>
      </x:c>
      <x:c r="K821" s="16" t="n">
        <x:v>45627.599180081015</x:v>
      </x:c>
      <x:c r="L821" s="20" t="n">
        <x:v>15025.13</x:v>
      </x:c>
      <x:c r="M821" s="20" t="n">
        <x:v>63.11</x:v>
      </x:c>
      <x:c r="N821" s="20" t="n">
        <x:v>0</x:v>
      </x:c>
      <x:c r="O821" s="20" t="n">
        <x:v>15088.24</x:v>
      </x:c>
      <x:c r="P821" s="20" t="n">
        <x:v>0</x:v>
      </x:c>
      <x:c r="Q821" s="10" t="str">
        <x:v>Pago</x:v>
      </x:c>
      <x:c r="R821" s="10" t="str">
        <x:v>TED</x:v>
      </x:c>
      <x:c r="S821" s="10" t="str">
        <x:v>2024-10</x:v>
      </x:c>
      <x:c r="T821" s="10" t="n">
        <x:v>0</x:v>
      </x:c>
      <x:c r="U821" s="10" t="str">
        <x:v>Liquidado</x:v>
      </x:c>
      <x:c r="V821" s="10" t="str">
        <x:v>UND003</x:v>
      </x:c>
    </x:row>
    <x:row r="822" ht="18" customHeight="1">
      <x:c r="A822" s="10" t="str">
        <x:v>PAG00821</x:v>
      </x:c>
      <x:c r="B822" s="10" t="str">
        <x:v>EMP001</x:v>
      </x:c>
      <x:c r="C822" s="10" t="str">
        <x:v>FOR033</x:v>
      </x:c>
      <x:c r="D822" s="10" t="str">
        <x:v>CC007</x:v>
      </x:c>
      <x:c r="E822" s="10" t="str">
        <x:v>CAT015</x:v>
      </x:c>
      <x:c r="F822" s="10" t="str">
        <x:v>CTA001</x:v>
      </x:c>
      <x:c r="G822" s="10" t="str">
        <x:v>NF-100821</x:v>
      </x:c>
      <x:c r="H822" s="10" t="str">
        <x:v>Despesa operacional</x:v>
      </x:c>
      <x:c r="I822" s="16" t="n">
        <x:v>45882.481454872686</x:v>
      </x:c>
      <x:c r="J822" s="16" t="n">
        <x:v>45910.481454872686</x:v>
      </x:c>
      <x:c r="K822" s="16" t="n">
        <x:v>45919.481454872686</x:v>
      </x:c>
      <x:c r="L822" s="20" t="n">
        <x:v>92142.09</x:v>
      </x:c>
      <x:c r="M822" s="20" t="n">
        <x:v>580.5</x:v>
      </x:c>
      <x:c r="N822" s="20" t="n">
        <x:v>0</x:v>
      </x:c>
      <x:c r="O822" s="20" t="n">
        <x:v>92722.59</x:v>
      </x:c>
      <x:c r="P822" s="20" t="n">
        <x:v>0</x:v>
      </x:c>
      <x:c r="Q822" s="10" t="str">
        <x:v>Pago</x:v>
      </x:c>
      <x:c r="R822" s="10" t="str">
        <x:v>TED</x:v>
      </x:c>
      <x:c r="S822" s="10" t="str">
        <x:v>2025-08</x:v>
      </x:c>
      <x:c r="T822" s="10" t="n">
        <x:v>0</x:v>
      </x:c>
      <x:c r="U822" s="10" t="str">
        <x:v>Liquidado</x:v>
      </x:c>
      <x:c r="V822" s="10" t="str">
        <x:v>UND002</x:v>
      </x:c>
    </x:row>
    <x:row r="823" ht="18" customHeight="1">
      <x:c r="A823" s="10" t="str">
        <x:v>PAG00822</x:v>
      </x:c>
      <x:c r="B823" s="10" t="str">
        <x:v>EMP003</x:v>
      </x:c>
      <x:c r="C823" s="10" t="str">
        <x:v>FOR033</x:v>
      </x:c>
      <x:c r="D823" s="10" t="str">
        <x:v>CC005</x:v>
      </x:c>
      <x:c r="E823" s="10" t="str">
        <x:v>CAT014</x:v>
      </x:c>
      <x:c r="F823" s="10" t="str">
        <x:v>CTA006</x:v>
      </x:c>
      <x:c r="G823" s="10" t="str">
        <x:v>NF-100822</x:v>
      </x:c>
      <x:c r="H823" s="10" t="str">
        <x:v>Tributos e taxas</x:v>
      </x:c>
      <x:c r="I823" s="16" t="n">
        <x:v>45535.130769351854</x:v>
      </x:c>
      <x:c r="J823" s="16" t="n">
        <x:v>45580.130769351854</x:v>
      </x:c>
      <x:c r="K823" s="16" t="n">
        <x:v>45583.130769351854</x:v>
      </x:c>
      <x:c r="L823" s="20" t="n">
        <x:v>11378.08</x:v>
      </x:c>
      <x:c r="M823" s="20" t="n">
        <x:v>23.89</x:v>
      </x:c>
      <x:c r="N823" s="20" t="n">
        <x:v>0</x:v>
      </x:c>
      <x:c r="O823" s="20" t="n">
        <x:v>11401.97</x:v>
      </x:c>
      <x:c r="P823" s="20" t="n">
        <x:v>0</x:v>
      </x:c>
      <x:c r="Q823" s="10" t="str">
        <x:v>Pago</x:v>
      </x:c>
      <x:c r="R823" s="10" t="str">
        <x:v>Débito Automático</x:v>
      </x:c>
      <x:c r="S823" s="10" t="str">
        <x:v>2024-08</x:v>
      </x:c>
      <x:c r="T823" s="10" t="n">
        <x:v>0</x:v>
      </x:c>
      <x:c r="U823" s="10" t="str">
        <x:v>Liquidado</x:v>
      </x:c>
      <x:c r="V823" s="10" t="str">
        <x:v>UND004</x:v>
      </x:c>
    </x:row>
    <x:row r="824" ht="18" customHeight="1">
      <x:c r="A824" s="10" t="str">
        <x:v>PAG00823</x:v>
      </x:c>
      <x:c r="B824" s="10" t="str">
        <x:v>EMP001</x:v>
      </x:c>
      <x:c r="C824" s="10" t="str">
        <x:v>FOR026</x:v>
      </x:c>
      <x:c r="D824" s="10" t="str">
        <x:v>CC007</x:v>
      </x:c>
      <x:c r="E824" s="10" t="str">
        <x:v>CAT017</x:v>
      </x:c>
      <x:c r="F824" s="10" t="str">
        <x:v>CTA001</x:v>
      </x:c>
      <x:c r="G824" s="10" t="str">
        <x:v>NF-100823</x:v>
      </x:c>
      <x:c r="H824" s="10" t="str">
        <x:v>Tributos e taxas</x:v>
      </x:c>
      <x:c r="I824" s="16" t="n">
        <x:v>45450.689906875</x:v>
      </x:c>
      <x:c r="J824" s="16" t="n">
        <x:v>45465.689906875</x:v>
      </x:c>
      <x:c r="K824" s="16" t="n">
        <x:v>45473.689906875</x:v>
      </x:c>
      <x:c r="L824" s="20" t="n">
        <x:v>5736.26</x:v>
      </x:c>
      <x:c r="M824" s="20" t="n">
        <x:v>32.12</x:v>
      </x:c>
      <x:c r="N824" s="20" t="n">
        <x:v>0</x:v>
      </x:c>
      <x:c r="O824" s="20" t="n">
        <x:v>5768.38</x:v>
      </x:c>
      <x:c r="P824" s="20" t="n">
        <x:v>0</x:v>
      </x:c>
      <x:c r="Q824" s="10" t="str">
        <x:v>Pago</x:v>
      </x:c>
      <x:c r="R824" s="10" t="str">
        <x:v>Débito Automático</x:v>
      </x:c>
      <x:c r="S824" s="10" t="str">
        <x:v>2024-06</x:v>
      </x:c>
      <x:c r="T824" s="10" t="n">
        <x:v>0</x:v>
      </x:c>
      <x:c r="U824" s="10" t="str">
        <x:v>Liquidado</x:v>
      </x:c>
      <x:c r="V824" s="10" t="str">
        <x:v>UND001</x:v>
      </x:c>
    </x:row>
    <x:row r="825" ht="18" customHeight="1">
      <x:c r="A825" s="10" t="str">
        <x:v>PAG00824</x:v>
      </x:c>
      <x:c r="B825" s="10" t="str">
        <x:v>EMP002</x:v>
      </x:c>
      <x:c r="C825" s="10" t="str">
        <x:v>FOR004</x:v>
      </x:c>
      <x:c r="D825" s="10" t="str">
        <x:v>CC001</x:v>
      </x:c>
      <x:c r="E825" s="10" t="str">
        <x:v>CAT018</x:v>
      </x:c>
      <x:c r="F825" s="10" t="str">
        <x:v>CTA004</x:v>
      </x:c>
      <x:c r="G825" s="10" t="str">
        <x:v>NF-100824</x:v>
      </x:c>
      <x:c r="H825" s="10" t="str">
        <x:v>Tributos e taxas</x:v>
      </x:c>
      <x:c r="I825" s="16" t="n">
        <x:v>45613.881464375</x:v>
      </x:c>
      <x:c r="J825" s="16" t="n">
        <x:v>45628.881464375</x:v>
      </x:c>
      <x:c r="K825" s="16" t="n">
        <x:v>45632.881464375</x:v>
      </x:c>
      <x:c r="L825" s="20" t="n">
        <x:v>30929.84</x:v>
      </x:c>
      <x:c r="M825" s="20" t="n">
        <x:v>86.6</x:v>
      </x:c>
      <x:c r="N825" s="20" t="n">
        <x:v>0</x:v>
      </x:c>
      <x:c r="O825" s="20" t="n">
        <x:v>31016.44</x:v>
      </x:c>
      <x:c r="P825" s="20" t="n">
        <x:v>0</x:v>
      </x:c>
      <x:c r="Q825" s="10" t="str">
        <x:v>Pago</x:v>
      </x:c>
      <x:c r="R825" s="10" t="str">
        <x:v>PIX</x:v>
      </x:c>
      <x:c r="S825" s="10" t="str">
        <x:v>2024-11</x:v>
      </x:c>
      <x:c r="T825" s="10" t="n">
        <x:v>0</x:v>
      </x:c>
      <x:c r="U825" s="10" t="str">
        <x:v>Liquidado</x:v>
      </x:c>
      <x:c r="V825" s="10" t="str">
        <x:v>UND003</x:v>
      </x:c>
    </x:row>
    <x:row r="826" ht="18" customHeight="1">
      <x:c r="A826" s="10" t="str">
        <x:v>PAG00825</x:v>
      </x:c>
      <x:c r="B826" s="10" t="str">
        <x:v>EMP002</x:v>
      </x:c>
      <x:c r="C826" s="10" t="str">
        <x:v>FOR047</x:v>
      </x:c>
      <x:c r="D826" s="10" t="str">
        <x:v>CC005</x:v>
      </x:c>
      <x:c r="E826" s="10" t="str">
        <x:v>CAT006</x:v>
      </x:c>
      <x:c r="F826" s="10" t="str">
        <x:v>CTA003</x:v>
      </x:c>
      <x:c r="G826" s="10" t="str">
        <x:v>NF-100825</x:v>
      </x:c>
      <x:c r="H826" s="10" t="str">
        <x:v>Despesa operacional</x:v>
      </x:c>
      <x:c r="I826" s="16" t="n">
        <x:v>45817.66782650463</x:v>
      </x:c>
      <x:c r="J826" s="16" t="n">
        <x:v>45837.66782650463</x:v>
      </x:c>
      <x:c r="K826" s="16" t="n">
        <x:v>45841.66782650463</x:v>
      </x:c>
      <x:c r="L826" s="20" t="n">
        <x:v>75618.78</x:v>
      </x:c>
      <x:c r="M826" s="20" t="n">
        <x:v>211.73</x:v>
      </x:c>
      <x:c r="N826" s="20" t="n">
        <x:v>0</x:v>
      </x:c>
      <x:c r="O826" s="20" t="n">
        <x:v>75830.51</x:v>
      </x:c>
      <x:c r="P826" s="20" t="n">
        <x:v>0</x:v>
      </x:c>
      <x:c r="Q826" s="10" t="str">
        <x:v>Pago</x:v>
      </x:c>
      <x:c r="R826" s="10" t="str">
        <x:v>PIX</x:v>
      </x:c>
      <x:c r="S826" s="10" t="str">
        <x:v>2025-06</x:v>
      </x:c>
      <x:c r="T826" s="10" t="n">
        <x:v>0</x:v>
      </x:c>
      <x:c r="U826" s="10" t="str">
        <x:v>Liquidado</x:v>
      </x:c>
      <x:c r="V826" s="10" t="str">
        <x:v>UND003</x:v>
      </x:c>
    </x:row>
    <x:row r="827" ht="18" customHeight="1">
      <x:c r="A827" s="10" t="str">
        <x:v>PAG00826</x:v>
      </x:c>
      <x:c r="B827" s="10" t="str">
        <x:v>EMP003</x:v>
      </x:c>
      <x:c r="C827" s="10" t="str">
        <x:v>FOR024</x:v>
      </x:c>
      <x:c r="D827" s="10" t="str">
        <x:v>CC002</x:v>
      </x:c>
      <x:c r="E827" s="10" t="str">
        <x:v>CAT016</x:v>
      </x:c>
      <x:c r="F827" s="10" t="str">
        <x:v>CTA005</x:v>
      </x:c>
      <x:c r="G827" s="10" t="str">
        <x:v>NF-100826</x:v>
      </x:c>
      <x:c r="H827" s="10" t="str">
        <x:v>Tributos e taxas</x:v>
      </x:c>
      <x:c r="I827" s="16" t="n">
        <x:v>45940.11085931713</x:v>
      </x:c>
      <x:c r="J827" s="16" t="n">
        <x:v>45960.11085931713</x:v>
      </x:c>
      <x:c r="K827" s="16" t="n">
        <x:v>45958.11085931713</x:v>
      </x:c>
      <x:c r="L827" s="20" t="n">
        <x:v>14614.02</x:v>
      </x:c>
      <x:c r="M827" s="20" t="n">
        <x:v>0</x:v>
      </x:c>
      <x:c r="N827" s="20" t="n">
        <x:v>0</x:v>
      </x:c>
      <x:c r="O827" s="20" t="n">
        <x:v>14614.02</x:v>
      </x:c>
      <x:c r="P827" s="20" t="n">
        <x:v>0</x:v>
      </x:c>
      <x:c r="Q827" s="10" t="str">
        <x:v>Pago</x:v>
      </x:c>
      <x:c r="R827" s="10" t="str">
        <x:v>TED</x:v>
      </x:c>
      <x:c r="S827" s="10" t="str">
        <x:v>2025-10</x:v>
      </x:c>
      <x:c r="T827" s="10" t="n">
        <x:v>0</x:v>
      </x:c>
      <x:c r="U827" s="10" t="str">
        <x:v>Liquidado</x:v>
      </x:c>
      <x:c r="V827" s="10" t="str">
        <x:v>UND004</x:v>
      </x:c>
    </x:row>
    <x:row r="828" ht="18" customHeight="1">
      <x:c r="A828" s="10" t="str">
        <x:v>PAG00827</x:v>
      </x:c>
      <x:c r="B828" s="10" t="str">
        <x:v>EMP002</x:v>
      </x:c>
      <x:c r="C828" s="10" t="str">
        <x:v>FOR035</x:v>
      </x:c>
      <x:c r="D828" s="10" t="str">
        <x:v>CC001</x:v>
      </x:c>
      <x:c r="E828" s="10" t="str">
        <x:v>CAT009</x:v>
      </x:c>
      <x:c r="F828" s="10" t="str">
        <x:v>CTA003</x:v>
      </x:c>
      <x:c r="G828" s="10" t="str">
        <x:v>NF-100827</x:v>
      </x:c>
      <x:c r="H828" s="10" t="str">
        <x:v>Prestação de serviços</x:v>
      </x:c>
      <x:c r="I828" s="16" t="n">
        <x:v>45419.862012997684</x:v>
      </x:c>
      <x:c r="J828" s="16" t="n">
        <x:v>45479.862012997684</x:v>
      </x:c>
      <x:c r="K828" s="16" t="n">
        <x:v>45474.862012997684</x:v>
      </x:c>
      <x:c r="L828" s="20" t="n">
        <x:v>57521.07</x:v>
      </x:c>
      <x:c r="M828" s="20" t="n">
        <x:v>0</x:v>
      </x:c>
      <x:c r="N828" s="20" t="n">
        <x:v>0</x:v>
      </x:c>
      <x:c r="O828" s="20" t="n">
        <x:v>57521.07</x:v>
      </x:c>
      <x:c r="P828" s="20" t="n">
        <x:v>0</x:v>
      </x:c>
      <x:c r="Q828" s="10" t="str">
        <x:v>Pago</x:v>
      </x:c>
      <x:c r="R828" s="10" t="str">
        <x:v>Débito Automático</x:v>
      </x:c>
      <x:c r="S828" s="10" t="str">
        <x:v>2024-05</x:v>
      </x:c>
      <x:c r="T828" s="10" t="n">
        <x:v>0</x:v>
      </x:c>
      <x:c r="U828" s="10" t="str">
        <x:v>Liquidado</x:v>
      </x:c>
      <x:c r="V828" s="10" t="str">
        <x:v>UND003</x:v>
      </x:c>
    </x:row>
    <x:row r="829" ht="18" customHeight="1">
      <x:c r="A829" s="10" t="str">
        <x:v>PAG00828</x:v>
      </x:c>
      <x:c r="B829" s="10" t="str">
        <x:v>EMP003</x:v>
      </x:c>
      <x:c r="C829" s="10" t="str">
        <x:v>FOR054</x:v>
      </x:c>
      <x:c r="D829" s="10" t="str">
        <x:v>CC006</x:v>
      </x:c>
      <x:c r="E829" s="10" t="str">
        <x:v>CAT018</x:v>
      </x:c>
      <x:c r="F829" s="10" t="str">
        <x:v>CTA006</x:v>
      </x:c>
      <x:c r="G829" s="10" t="str">
        <x:v>NF-100828</x:v>
      </x:c>
      <x:c r="H829" s="10" t="str">
        <x:v>Contrato recorrente</x:v>
      </x:c>
      <x:c r="I829" s="16" t="n">
        <x:v>45590.140309201386</x:v>
      </x:c>
      <x:c r="J829" s="16" t="n">
        <x:v>45665.140309201386</x:v>
      </x:c>
      <x:c r="K829" s="16" t="n">
        <x:v>45666.140309201386</x:v>
      </x:c>
      <x:c r="L829" s="20" t="n">
        <x:v>56978.98</x:v>
      </x:c>
      <x:c r="M829" s="20" t="n">
        <x:v>39.89</x:v>
      </x:c>
      <x:c r="N829" s="20" t="n">
        <x:v>0</x:v>
      </x:c>
      <x:c r="O829" s="20" t="n">
        <x:v>57018.87</x:v>
      </x:c>
      <x:c r="P829" s="20" t="n">
        <x:v>0</x:v>
      </x:c>
      <x:c r="Q829" s="10" t="str">
        <x:v>Pago</x:v>
      </x:c>
      <x:c r="R829" s="10" t="str">
        <x:v>Débito Automático</x:v>
      </x:c>
      <x:c r="S829" s="10" t="str">
        <x:v>2024-10</x:v>
      </x:c>
      <x:c r="T829" s="10" t="n">
        <x:v>0</x:v>
      </x:c>
      <x:c r="U829" s="10" t="str">
        <x:v>Liquidado</x:v>
      </x:c>
      <x:c r="V829" s="10" t="str">
        <x:v>UND004</x:v>
      </x:c>
    </x:row>
    <x:row r="830" ht="18" customHeight="1">
      <x:c r="A830" s="10" t="str">
        <x:v>PAG00829</x:v>
      </x:c>
      <x:c r="B830" s="10" t="str">
        <x:v>EMP001</x:v>
      </x:c>
      <x:c r="C830" s="10" t="str">
        <x:v>FOR060</x:v>
      </x:c>
      <x:c r="D830" s="10" t="str">
        <x:v>CC008</x:v>
      </x:c>
      <x:c r="E830" s="10" t="str">
        <x:v>CAT009</x:v>
      </x:c>
      <x:c r="F830" s="10" t="str">
        <x:v>CTA001</x:v>
      </x:c>
      <x:c r="G830" s="10" t="str">
        <x:v>NF-100829</x:v>
      </x:c>
      <x:c r="H830" s="10" t="str">
        <x:v>Prestação de serviços</x:v>
      </x:c>
      <x:c r="I830" s="16" t="n">
        <x:v>45613.6011552662</x:v>
      </x:c>
      <x:c r="J830" s="16" t="n">
        <x:v>45633.6011552662</x:v>
      </x:c>
      <x:c r="K830" s="16" t="n">
        <x:v>45637.6011552662</x:v>
      </x:c>
      <x:c r="L830" s="20" t="n">
        <x:v>8247.61</x:v>
      </x:c>
      <x:c r="M830" s="20" t="n">
        <x:v>23.09</x:v>
      </x:c>
      <x:c r="N830" s="20" t="n">
        <x:v>0</x:v>
      </x:c>
      <x:c r="O830" s="20" t="n">
        <x:v>8270.7</x:v>
      </x:c>
      <x:c r="P830" s="20" t="n">
        <x:v>0</x:v>
      </x:c>
      <x:c r="Q830" s="10" t="str">
        <x:v>Pago</x:v>
      </x:c>
      <x:c r="R830" s="10" t="str">
        <x:v>Cartão Corporativo</x:v>
      </x:c>
      <x:c r="S830" s="10" t="str">
        <x:v>2024-11</x:v>
      </x:c>
      <x:c r="T830" s="10" t="n">
        <x:v>0</x:v>
      </x:c>
      <x:c r="U830" s="10" t="str">
        <x:v>Liquidado</x:v>
      </x:c>
      <x:c r="V830" s="10" t="str">
        <x:v>UND001</x:v>
      </x:c>
    </x:row>
    <x:row r="831" ht="18" customHeight="1">
      <x:c r="A831" s="10" t="str">
        <x:v>PAG00830</x:v>
      </x:c>
      <x:c r="B831" s="10" t="str">
        <x:v>EMP001</x:v>
      </x:c>
      <x:c r="C831" s="10" t="str">
        <x:v>FOR014</x:v>
      </x:c>
      <x:c r="D831" s="10" t="str">
        <x:v>CC003</x:v>
      </x:c>
      <x:c r="E831" s="10" t="str">
        <x:v>CAT009</x:v>
      </x:c>
      <x:c r="F831" s="10" t="str">
        <x:v>CTA002</x:v>
      </x:c>
      <x:c r="G831" s="10" t="str">
        <x:v>NF-100830</x:v>
      </x:c>
      <x:c r="H831" s="10" t="str">
        <x:v>Compra de materiais</x:v>
      </x:c>
      <x:c r="I831" s="16" t="n">
        <x:v>45508.7762665162</x:v>
      </x:c>
      <x:c r="J831" s="16" t="n">
        <x:v>45523.7762665162</x:v>
      </x:c>
      <x:c r="K831" s="16" t="n">
        <x:v>45531.7762665162</x:v>
      </x:c>
      <x:c r="L831" s="20" t="n">
        <x:v>54683.68</x:v>
      </x:c>
      <x:c r="M831" s="20" t="n">
        <x:v>306.23</x:v>
      </x:c>
      <x:c r="N831" s="20" t="n">
        <x:v>0</x:v>
      </x:c>
      <x:c r="O831" s="20" t="n">
        <x:v>54989.91</x:v>
      </x:c>
      <x:c r="P831" s="20" t="n">
        <x:v>0</x:v>
      </x:c>
      <x:c r="Q831" s="10" t="str">
        <x:v>Pago</x:v>
      </x:c>
      <x:c r="R831" s="10" t="str">
        <x:v>Boleto</x:v>
      </x:c>
      <x:c r="S831" s="10" t="str">
        <x:v>2024-08</x:v>
      </x:c>
      <x:c r="T831" s="10" t="n">
        <x:v>0</x:v>
      </x:c>
      <x:c r="U831" s="10" t="str">
        <x:v>Liquidado</x:v>
      </x:c>
      <x:c r="V831" s="10" t="str">
        <x:v>UND002</x:v>
      </x:c>
    </x:row>
    <x:row r="832" ht="18" customHeight="1">
      <x:c r="A832" s="10" t="str">
        <x:v>PAG00831</x:v>
      </x:c>
      <x:c r="B832" s="10" t="str">
        <x:v>EMP001</x:v>
      </x:c>
      <x:c r="C832" s="10" t="str">
        <x:v>FOR040</x:v>
      </x:c>
      <x:c r="D832" s="10" t="str">
        <x:v>CC001</x:v>
      </x:c>
      <x:c r="E832" s="10" t="str">
        <x:v>CAT007</x:v>
      </x:c>
      <x:c r="F832" s="10" t="str">
        <x:v>CTA001</x:v>
      </x:c>
      <x:c r="G832" s="10" t="str">
        <x:v>NF-100831</x:v>
      </x:c>
      <x:c r="H832" s="10" t="str">
        <x:v>Prestação de serviços</x:v>
      </x:c>
      <x:c r="I832" s="16" t="n">
        <x:v>45754.746914027775</x:v>
      </x:c>
      <x:c r="J832" s="16" t="n">
        <x:v>45829.746914027775</x:v>
      </x:c>
      <x:c r="K832" s="16" t="n">
        <x:v>45828.746914027775</x:v>
      </x:c>
      <x:c r="L832" s="20" t="n">
        <x:v>7287.99</x:v>
      </x:c>
      <x:c r="M832" s="20" t="n">
        <x:v>0</x:v>
      </x:c>
      <x:c r="N832" s="20" t="n">
        <x:v>0</x:v>
      </x:c>
      <x:c r="O832" s="20" t="n">
        <x:v>7287.99</x:v>
      </x:c>
      <x:c r="P832" s="20" t="n">
        <x:v>0</x:v>
      </x:c>
      <x:c r="Q832" s="10" t="str">
        <x:v>Pago</x:v>
      </x:c>
      <x:c r="R832" s="10" t="str">
        <x:v>Boleto</x:v>
      </x:c>
      <x:c r="S832" s="10" t="str">
        <x:v>2025-04</x:v>
      </x:c>
      <x:c r="T832" s="10" t="n">
        <x:v>0</x:v>
      </x:c>
      <x:c r="U832" s="10" t="str">
        <x:v>Liquidado</x:v>
      </x:c>
      <x:c r="V832" s="10" t="str">
        <x:v>UND001</x:v>
      </x:c>
    </x:row>
    <x:row r="833" ht="18" customHeight="1">
      <x:c r="A833" s="10" t="str">
        <x:v>PAG00832</x:v>
      </x:c>
      <x:c r="B833" s="10" t="str">
        <x:v>EMP001</x:v>
      </x:c>
      <x:c r="C833" s="10" t="str">
        <x:v>FOR012</x:v>
      </x:c>
      <x:c r="D833" s="10" t="str">
        <x:v>CC002</x:v>
      </x:c>
      <x:c r="E833" s="10" t="str">
        <x:v>CAT007</x:v>
      </x:c>
      <x:c r="F833" s="10" t="str">
        <x:v>CTA002</x:v>
      </x:c>
      <x:c r="G833" s="10" t="str">
        <x:v>NF-100832</x:v>
      </x:c>
      <x:c r="H833" s="10" t="str">
        <x:v>Contrato recorrente</x:v>
      </x:c>
      <x:c r="I833" s="16" t="n">
        <x:v>45914.27500686343</x:v>
      </x:c>
      <x:c r="J833" s="16" t="n">
        <x:v>45974.27500686343</x:v>
      </x:c>
      <x:c r="K833" s="16"/>
      <x:c r="L833" s="20" t="n">
        <x:v>80993.71</x:v>
      </x:c>
      <x:c r="M833" s="20" t="n">
        <x:v>0</x:v>
      </x:c>
      <x:c r="N833" s="20" t="n">
        <x:v>0</x:v>
      </x:c>
      <x:c r="O833" s="20" t="n">
        <x:v>0</x:v>
      </x:c>
      <x:c r="P833" s="20" t="n">
        <x:v>0</x:v>
      </x:c>
      <x:c r="Q833" s="10" t="str">
        <x:v>Cancelado</x:v>
      </x:c>
      <x:c r="R833" s="10" t="str">
        <x:v>Débito Automático</x:v>
      </x:c>
      <x:c r="S833" s="10" t="str">
        <x:v>2025-09</x:v>
      </x:c>
      <x:c r="T833" s="10" t="n">
        <x:v>0</x:v>
      </x:c>
      <x:c r="U833" s="10" t="str">
        <x:v>Cancelado</x:v>
      </x:c>
      <x:c r="V833" s="10" t="str">
        <x:v>UND002</x:v>
      </x:c>
    </x:row>
    <x:row r="834" ht="18" customHeight="1">
      <x:c r="A834" s="10" t="str">
        <x:v>PAG00833</x:v>
      </x:c>
      <x:c r="B834" s="10" t="str">
        <x:v>EMP002</x:v>
      </x:c>
      <x:c r="C834" s="10" t="str">
        <x:v>FOR027</x:v>
      </x:c>
      <x:c r="D834" s="10" t="str">
        <x:v>CC002</x:v>
      </x:c>
      <x:c r="E834" s="10" t="str">
        <x:v>CAT018</x:v>
      </x:c>
      <x:c r="F834" s="10" t="str">
        <x:v>CTA004</x:v>
      </x:c>
      <x:c r="G834" s="10" t="str">
        <x:v>NF-100833</x:v>
      </x:c>
      <x:c r="H834" s="10" t="str">
        <x:v>Prestação de serviços</x:v>
      </x:c>
      <x:c r="I834" s="16" t="n">
        <x:v>45889.86243123843</x:v>
      </x:c>
      <x:c r="J834" s="16" t="n">
        <x:v>45964.86243123843</x:v>
      </x:c>
      <x:c r="K834" s="16"/>
      <x:c r="L834" s="20" t="n">
        <x:v>709.47</x:v>
      </x:c>
      <x:c r="M834" s="20" t="n">
        <x:v>0</x:v>
      </x:c>
      <x:c r="N834" s="20" t="n">
        <x:v>0</x:v>
      </x:c>
      <x:c r="O834" s="20" t="n">
        <x:v>0</x:v>
      </x:c>
      <x:c r="P834" s="20" t="n">
        <x:v>709.47</x:v>
      </x:c>
      <x:c r="Q834" s="10" t="str">
        <x:v>Vencido</x:v>
      </x:c>
      <x:c r="R834" s="10" t="str">
        <x:v>PIX</x:v>
      </x:c>
      <x:c r="S834" s="10" t="str">
        <x:v>2025-08</x:v>
      </x:c>
      <x:c r="T834" s="10" t="n">
        <x:v>57</x:v>
      </x:c>
      <x:c r="U834" s="10" t="str">
        <x:v>31 a 60 dias</x:v>
      </x:c>
      <x:c r="V834" s="10" t="str">
        <x:v>UND003</x:v>
      </x:c>
    </x:row>
    <x:row r="835" ht="18" customHeight="1">
      <x:c r="A835" s="10" t="str">
        <x:v>PAG00834</x:v>
      </x:c>
      <x:c r="B835" s="10" t="str">
        <x:v>EMP003</x:v>
      </x:c>
      <x:c r="C835" s="10" t="str">
        <x:v>FOR013</x:v>
      </x:c>
      <x:c r="D835" s="10" t="str">
        <x:v>CC008</x:v>
      </x:c>
      <x:c r="E835" s="10" t="str">
        <x:v>CAT018</x:v>
      </x:c>
      <x:c r="F835" s="10" t="str">
        <x:v>CTA006</x:v>
      </x:c>
      <x:c r="G835" s="10" t="str">
        <x:v>NF-100834</x:v>
      </x:c>
      <x:c r="H835" s="10" t="str">
        <x:v>Despesa operacional</x:v>
      </x:c>
      <x:c r="I835" s="16" t="n">
        <x:v>45928.09525409722</x:v>
      </x:c>
      <x:c r="J835" s="16" t="n">
        <x:v>45988.09525409722</x:v>
      </x:c>
      <x:c r="K835" s="16" t="n">
        <x:v>45990.09525409722</x:v>
      </x:c>
      <x:c r="L835" s="20" t="n">
        <x:v>13289.8</x:v>
      </x:c>
      <x:c r="M835" s="20" t="n">
        <x:v>18.61</x:v>
      </x:c>
      <x:c r="N835" s="20" t="n">
        <x:v>0</x:v>
      </x:c>
      <x:c r="O835" s="20" t="n">
        <x:v>13308.41</x:v>
      </x:c>
      <x:c r="P835" s="20" t="n">
        <x:v>0</x:v>
      </x:c>
      <x:c r="Q835" s="10" t="str">
        <x:v>Pago</x:v>
      </x:c>
      <x:c r="R835" s="10" t="str">
        <x:v>Débito Automático</x:v>
      </x:c>
      <x:c r="S835" s="10" t="str">
        <x:v>2025-09</x:v>
      </x:c>
      <x:c r="T835" s="10" t="n">
        <x:v>0</x:v>
      </x:c>
      <x:c r="U835" s="10" t="str">
        <x:v>Liquidado</x:v>
      </x:c>
      <x:c r="V835" s="10" t="str">
        <x:v>UND004</x:v>
      </x:c>
    </x:row>
    <x:row r="836" ht="18" customHeight="1">
      <x:c r="A836" s="10" t="str">
        <x:v>PAG00835</x:v>
      </x:c>
      <x:c r="B836" s="10" t="str">
        <x:v>EMP002</x:v>
      </x:c>
      <x:c r="C836" s="10" t="str">
        <x:v>FOR024</x:v>
      </x:c>
      <x:c r="D836" s="10" t="str">
        <x:v>CC004</x:v>
      </x:c>
      <x:c r="E836" s="10" t="str">
        <x:v>CAT012</x:v>
      </x:c>
      <x:c r="F836" s="10" t="str">
        <x:v>CTA004</x:v>
      </x:c>
      <x:c r="G836" s="10" t="str">
        <x:v>NF-100835</x:v>
      </x:c>
      <x:c r="H836" s="10" t="str">
        <x:v>Tributos e taxas</x:v>
      </x:c>
      <x:c r="I836" s="16" t="n">
        <x:v>45811.159263946756</x:v>
      </x:c>
      <x:c r="J836" s="16" t="n">
        <x:v>45871.159263946756</x:v>
      </x:c>
      <x:c r="K836" s="16" t="n">
        <x:v>45871.159263946756</x:v>
      </x:c>
      <x:c r="L836" s="20" t="n">
        <x:v>98533.84</x:v>
      </x:c>
      <x:c r="M836" s="20" t="n">
        <x:v>0</x:v>
      </x:c>
      <x:c r="N836" s="20" t="n">
        <x:v>0</x:v>
      </x:c>
      <x:c r="O836" s="20" t="n">
        <x:v>98533.84</x:v>
      </x:c>
      <x:c r="P836" s="20" t="n">
        <x:v>0</x:v>
      </x:c>
      <x:c r="Q836" s="10" t="str">
        <x:v>Pago</x:v>
      </x:c>
      <x:c r="R836" s="10" t="str">
        <x:v>Boleto</x:v>
      </x:c>
      <x:c r="S836" s="10" t="str">
        <x:v>2025-06</x:v>
      </x:c>
      <x:c r="T836" s="10" t="n">
        <x:v>0</x:v>
      </x:c>
      <x:c r="U836" s="10" t="str">
        <x:v>Liquidado</x:v>
      </x:c>
      <x:c r="V836" s="10" t="str">
        <x:v>UND003</x:v>
      </x:c>
    </x:row>
    <x:row r="837" ht="18" customHeight="1">
      <x:c r="A837" s="10" t="str">
        <x:v>PAG00836</x:v>
      </x:c>
      <x:c r="B837" s="10" t="str">
        <x:v>EMP003</x:v>
      </x:c>
      <x:c r="C837" s="10" t="str">
        <x:v>FOR015</x:v>
      </x:c>
      <x:c r="D837" s="10" t="str">
        <x:v>CC007</x:v>
      </x:c>
      <x:c r="E837" s="10" t="str">
        <x:v>CAT012</x:v>
      </x:c>
      <x:c r="F837" s="10" t="str">
        <x:v>CTA005</x:v>
      </x:c>
      <x:c r="G837" s="10" t="str">
        <x:v>NF-100836</x:v>
      </x:c>
      <x:c r="H837" s="10" t="str">
        <x:v>Contrato recorrente</x:v>
      </x:c>
      <x:c r="I837" s="16" t="n">
        <x:v>45423.76732290509</x:v>
      </x:c>
      <x:c r="J837" s="16" t="n">
        <x:v>45483.76732290509</x:v>
      </x:c>
      <x:c r="K837" s="16" t="n">
        <x:v>45492.76732290509</x:v>
      </x:c>
      <x:c r="L837" s="20" t="n">
        <x:v>709.16</x:v>
      </x:c>
      <x:c r="M837" s="20" t="n">
        <x:v>4.47</x:v>
      </x:c>
      <x:c r="N837" s="20" t="n">
        <x:v>0</x:v>
      </x:c>
      <x:c r="O837" s="20" t="n">
        <x:v>713.63</x:v>
      </x:c>
      <x:c r="P837" s="20" t="n">
        <x:v>0</x:v>
      </x:c>
      <x:c r="Q837" s="10" t="str">
        <x:v>Pago</x:v>
      </x:c>
      <x:c r="R837" s="10" t="str">
        <x:v>TED</x:v>
      </x:c>
      <x:c r="S837" s="10" t="str">
        <x:v>2024-05</x:v>
      </x:c>
      <x:c r="T837" s="10" t="n">
        <x:v>0</x:v>
      </x:c>
      <x:c r="U837" s="10" t="str">
        <x:v>Liquidado</x:v>
      </x:c>
      <x:c r="V837" s="10" t="str">
        <x:v>UND004</x:v>
      </x:c>
    </x:row>
    <x:row r="838" ht="18" customHeight="1">
      <x:c r="A838" s="10" t="str">
        <x:v>PAG00837</x:v>
      </x:c>
      <x:c r="B838" s="10" t="str">
        <x:v>EMP001</x:v>
      </x:c>
      <x:c r="C838" s="10" t="str">
        <x:v>FOR040</x:v>
      </x:c>
      <x:c r="D838" s="10" t="str">
        <x:v>CC003</x:v>
      </x:c>
      <x:c r="E838" s="10" t="str">
        <x:v>CAT015</x:v>
      </x:c>
      <x:c r="F838" s="10" t="str">
        <x:v>CTA001</x:v>
      </x:c>
      <x:c r="G838" s="10" t="str">
        <x:v>NF-100837</x:v>
      </x:c>
      <x:c r="H838" s="10" t="str">
        <x:v>Contrato recorrente</x:v>
      </x:c>
      <x:c r="I838" s="16" t="n">
        <x:v>45826.64098359954</x:v>
      </x:c>
      <x:c r="J838" s="16" t="n">
        <x:v>45861.64098359954</x:v>
      </x:c>
      <x:c r="K838" s="16"/>
      <x:c r="L838" s="20" t="n">
        <x:v>21617.38</x:v>
      </x:c>
      <x:c r="M838" s="20" t="n">
        <x:v>0</x:v>
      </x:c>
      <x:c r="N838" s="20" t="n">
        <x:v>0</x:v>
      </x:c>
      <x:c r="O838" s="20" t="n">
        <x:v>0</x:v>
      </x:c>
      <x:c r="P838" s="20" t="n">
        <x:v>0</x:v>
      </x:c>
      <x:c r="Q838" s="10" t="str">
        <x:v>Cancelado</x:v>
      </x:c>
      <x:c r="R838" s="10" t="str">
        <x:v>Cartão Corporativo</x:v>
      </x:c>
      <x:c r="S838" s="10" t="str">
        <x:v>2025-06</x:v>
      </x:c>
      <x:c r="T838" s="10" t="n">
        <x:v>0</x:v>
      </x:c>
      <x:c r="U838" s="10" t="str">
        <x:v>Cancelado</x:v>
      </x:c>
      <x:c r="V838" s="10" t="str">
        <x:v>UND002</x:v>
      </x:c>
    </x:row>
    <x:row r="839" ht="18" customHeight="1">
      <x:c r="A839" s="10" t="str">
        <x:v>PAG00838</x:v>
      </x:c>
      <x:c r="B839" s="10" t="str">
        <x:v>EMP002</x:v>
      </x:c>
      <x:c r="C839" s="10" t="str">
        <x:v>FOR011</x:v>
      </x:c>
      <x:c r="D839" s="10" t="str">
        <x:v>CC008</x:v>
      </x:c>
      <x:c r="E839" s="10" t="str">
        <x:v>CAT011</x:v>
      </x:c>
      <x:c r="F839" s="10" t="str">
        <x:v>CTA003</x:v>
      </x:c>
      <x:c r="G839" s="10" t="str">
        <x:v>NF-100838</x:v>
      </x:c>
      <x:c r="H839" s="10" t="str">
        <x:v>Tributos e taxas</x:v>
      </x:c>
      <x:c r="I839" s="16" t="n">
        <x:v>45354.31271135416</x:v>
      </x:c>
      <x:c r="J839" s="16" t="n">
        <x:v>45369.31271135416</x:v>
      </x:c>
      <x:c r="K839" s="16" t="n">
        <x:v>45365.31271135416</x:v>
      </x:c>
      <x:c r="L839" s="20" t="n">
        <x:v>24214.54</x:v>
      </x:c>
      <x:c r="M839" s="20" t="n">
        <x:v>0</x:v>
      </x:c>
      <x:c r="N839" s="20" t="n">
        <x:v>0</x:v>
      </x:c>
      <x:c r="O839" s="20" t="n">
        <x:v>24214.54</x:v>
      </x:c>
      <x:c r="P839" s="20" t="n">
        <x:v>0</x:v>
      </x:c>
      <x:c r="Q839" s="10" t="str">
        <x:v>Pago</x:v>
      </x:c>
      <x:c r="R839" s="10" t="str">
        <x:v>Boleto</x:v>
      </x:c>
      <x:c r="S839" s="10" t="str">
        <x:v>2024-03</x:v>
      </x:c>
      <x:c r="T839" s="10" t="n">
        <x:v>0</x:v>
      </x:c>
      <x:c r="U839" s="10" t="str">
        <x:v>Liquidado</x:v>
      </x:c>
      <x:c r="V839" s="10" t="str">
        <x:v>UND003</x:v>
      </x:c>
    </x:row>
    <x:row r="840" ht="18" customHeight="1">
      <x:c r="A840" s="10" t="str">
        <x:v>PAG00839</x:v>
      </x:c>
      <x:c r="B840" s="10" t="str">
        <x:v>EMP001</x:v>
      </x:c>
      <x:c r="C840" s="10" t="str">
        <x:v>FOR007</x:v>
      </x:c>
      <x:c r="D840" s="10" t="str">
        <x:v>CC003</x:v>
      </x:c>
      <x:c r="E840" s="10" t="str">
        <x:v>CAT015</x:v>
      </x:c>
      <x:c r="F840" s="10" t="str">
        <x:v>CTA001</x:v>
      </x:c>
      <x:c r="G840" s="10" t="str">
        <x:v>NF-100839</x:v>
      </x:c>
      <x:c r="H840" s="10" t="str">
        <x:v>Contrato recorrente</x:v>
      </x:c>
      <x:c r="I840" s="16" t="n">
        <x:v>45301.17735868056</x:v>
      </x:c>
      <x:c r="J840" s="16" t="n">
        <x:v>45316.17735868056</x:v>
      </x:c>
      <x:c r="K840" s="16" t="n">
        <x:v>45338.17735868056</x:v>
      </x:c>
      <x:c r="L840" s="20" t="n">
        <x:v>100473.17</x:v>
      </x:c>
      <x:c r="M840" s="20" t="n">
        <x:v>1547.29</x:v>
      </x:c>
      <x:c r="N840" s="20" t="n">
        <x:v>0</x:v>
      </x:c>
      <x:c r="O840" s="20" t="n">
        <x:v>102020.46</x:v>
      </x:c>
      <x:c r="P840" s="20" t="n">
        <x:v>0</x:v>
      </x:c>
      <x:c r="Q840" s="10" t="str">
        <x:v>Pago</x:v>
      </x:c>
      <x:c r="R840" s="10" t="str">
        <x:v>Boleto</x:v>
      </x:c>
      <x:c r="S840" s="10" t="str">
        <x:v>2024-01</x:v>
      </x:c>
      <x:c r="T840" s="10" t="n">
        <x:v>0</x:v>
      </x:c>
      <x:c r="U840" s="10" t="str">
        <x:v>Liquidado</x:v>
      </x:c>
      <x:c r="V840" s="10" t="str">
        <x:v>UND002</x:v>
      </x:c>
    </x:row>
    <x:row r="841" ht="18" customHeight="1">
      <x:c r="A841" s="10" t="str">
        <x:v>PAG00840</x:v>
      </x:c>
      <x:c r="B841" s="10" t="str">
        <x:v>EMP003</x:v>
      </x:c>
      <x:c r="C841" s="10" t="str">
        <x:v>FOR028</x:v>
      </x:c>
      <x:c r="D841" s="10" t="str">
        <x:v>CC003</x:v>
      </x:c>
      <x:c r="E841" s="10" t="str">
        <x:v>CAT013</x:v>
      </x:c>
      <x:c r="F841" s="10" t="str">
        <x:v>CTA006</x:v>
      </x:c>
      <x:c r="G841" s="10" t="str">
        <x:v>NF-100840</x:v>
      </x:c>
      <x:c r="H841" s="10" t="str">
        <x:v>Contrato recorrente</x:v>
      </x:c>
      <x:c r="I841" s="16" t="n">
        <x:v>45627.03048378472</x:v>
      </x:c>
      <x:c r="J841" s="16" t="n">
        <x:v>45655.03048378472</x:v>
      </x:c>
      <x:c r="K841" s="16"/>
      <x:c r="L841" s="20" t="n">
        <x:v>48427.82</x:v>
      </x:c>
      <x:c r="M841" s="20" t="n">
        <x:v>0</x:v>
      </x:c>
      <x:c r="N841" s="20" t="n">
        <x:v>0</x:v>
      </x:c>
      <x:c r="O841" s="20" t="n">
        <x:v>0</x:v>
      </x:c>
      <x:c r="P841" s="20" t="n">
        <x:v>0</x:v>
      </x:c>
      <x:c r="Q841" s="10" t="str">
        <x:v>Cancelado</x:v>
      </x:c>
      <x:c r="R841" s="10" t="str">
        <x:v>Débito Automático</x:v>
      </x:c>
      <x:c r="S841" s="10" t="str">
        <x:v>2024-12</x:v>
      </x:c>
      <x:c r="T841" s="10" t="n">
        <x:v>0</x:v>
      </x:c>
      <x:c r="U841" s="10" t="str">
        <x:v>Cancelado</x:v>
      </x:c>
      <x:c r="V841" s="10" t="str">
        <x:v>UND004</x:v>
      </x:c>
    </x:row>
    <x:row r="842" ht="18" customHeight="1">
      <x:c r="A842" s="10" t="str">
        <x:v>PAG00841</x:v>
      </x:c>
      <x:c r="B842" s="10" t="str">
        <x:v>EMP002</x:v>
      </x:c>
      <x:c r="C842" s="10" t="str">
        <x:v>FOR007</x:v>
      </x:c>
      <x:c r="D842" s="10" t="str">
        <x:v>CC002</x:v>
      </x:c>
      <x:c r="E842" s="10" t="str">
        <x:v>CAT017</x:v>
      </x:c>
      <x:c r="F842" s="10" t="str">
        <x:v>CTA004</x:v>
      </x:c>
      <x:c r="G842" s="10" t="str">
        <x:v>NF-100841</x:v>
      </x:c>
      <x:c r="H842" s="10" t="str">
        <x:v>Prestação de serviços</x:v>
      </x:c>
      <x:c r="I842" s="16" t="n">
        <x:v>45704.14093021991</x:v>
      </x:c>
      <x:c r="J842" s="16" t="n">
        <x:v>45749.14093021991</x:v>
      </x:c>
      <x:c r="K842" s="16" t="n">
        <x:v>45760.14093021991</x:v>
      </x:c>
      <x:c r="L842" s="20" t="n">
        <x:v>72550.85</x:v>
      </x:c>
      <x:c r="M842" s="20" t="n">
        <x:v>558.64</x:v>
      </x:c>
      <x:c r="N842" s="20" t="n">
        <x:v>0</x:v>
      </x:c>
      <x:c r="O842" s="20" t="n">
        <x:v>73109.49</x:v>
      </x:c>
      <x:c r="P842" s="20" t="n">
        <x:v>0</x:v>
      </x:c>
      <x:c r="Q842" s="10" t="str">
        <x:v>Pago</x:v>
      </x:c>
      <x:c r="R842" s="10" t="str">
        <x:v>Débito Automático</x:v>
      </x:c>
      <x:c r="S842" s="10" t="str">
        <x:v>2025-02</x:v>
      </x:c>
      <x:c r="T842" s="10" t="n">
        <x:v>0</x:v>
      </x:c>
      <x:c r="U842" s="10" t="str">
        <x:v>Liquidado</x:v>
      </x:c>
      <x:c r="V842" s="10" t="str">
        <x:v>UND003</x:v>
      </x:c>
    </x:row>
    <x:row r="843" ht="18" customHeight="1">
      <x:c r="A843" s="10" t="str">
        <x:v>PAG00842</x:v>
      </x:c>
      <x:c r="B843" s="10" t="str">
        <x:v>EMP002</x:v>
      </x:c>
      <x:c r="C843" s="10" t="str">
        <x:v>FOR004</x:v>
      </x:c>
      <x:c r="D843" s="10" t="str">
        <x:v>CC004</x:v>
      </x:c>
      <x:c r="E843" s="10" t="str">
        <x:v>CAT018</x:v>
      </x:c>
      <x:c r="F843" s="10" t="str">
        <x:v>CTA004</x:v>
      </x:c>
      <x:c r="G843" s="10" t="str">
        <x:v>NF-100842</x:v>
      </x:c>
      <x:c r="H843" s="10" t="str">
        <x:v>Prestação de serviços</x:v>
      </x:c>
      <x:c r="I843" s="16" t="n">
        <x:v>45525.785579814816</x:v>
      </x:c>
      <x:c r="J843" s="16" t="n">
        <x:v>45600.785579814816</x:v>
      </x:c>
      <x:c r="K843" s="16" t="n">
        <x:v>45599.785579814816</x:v>
      </x:c>
      <x:c r="L843" s="20" t="n">
        <x:v>28628.47</x:v>
      </x:c>
      <x:c r="M843" s="20" t="n">
        <x:v>0</x:v>
      </x:c>
      <x:c r="N843" s="20" t="n">
        <x:v>286.28</x:v>
      </x:c>
      <x:c r="O843" s="20" t="n">
        <x:v>28342.19</x:v>
      </x:c>
      <x:c r="P843" s="20" t="n">
        <x:v>0</x:v>
      </x:c>
      <x:c r="Q843" s="10" t="str">
        <x:v>Pago</x:v>
      </x:c>
      <x:c r="R843" s="10" t="str">
        <x:v>Cartão Corporativo</x:v>
      </x:c>
      <x:c r="S843" s="10" t="str">
        <x:v>2024-08</x:v>
      </x:c>
      <x:c r="T843" s="10" t="n">
        <x:v>0</x:v>
      </x:c>
      <x:c r="U843" s="10" t="str">
        <x:v>Liquidado</x:v>
      </x:c>
      <x:c r="V843" s="10" t="str">
        <x:v>UND003</x:v>
      </x:c>
    </x:row>
    <x:row r="844" ht="18" customHeight="1">
      <x:c r="A844" s="10" t="str">
        <x:v>PAG00843</x:v>
      </x:c>
      <x:c r="B844" s="10" t="str">
        <x:v>EMP003</x:v>
      </x:c>
      <x:c r="C844" s="10" t="str">
        <x:v>FOR007</x:v>
      </x:c>
      <x:c r="D844" s="10" t="str">
        <x:v>CC008</x:v>
      </x:c>
      <x:c r="E844" s="10" t="str">
        <x:v>CAT007</x:v>
      </x:c>
      <x:c r="F844" s="10" t="str">
        <x:v>CTA005</x:v>
      </x:c>
      <x:c r="G844" s="10" t="str">
        <x:v>NF-100843</x:v>
      </x:c>
      <x:c r="H844" s="10" t="str">
        <x:v>Contrato recorrente</x:v>
      </x:c>
      <x:c r="I844" s="16" t="n">
        <x:v>45857.211766782406</x:v>
      </x:c>
      <x:c r="J844" s="16" t="n">
        <x:v>45887.211766782406</x:v>
      </x:c>
      <x:c r="K844" s="16" t="n">
        <x:v>45893.211766782406</x:v>
      </x:c>
      <x:c r="L844" s="20" t="n">
        <x:v>38600.87</x:v>
      </x:c>
      <x:c r="M844" s="20" t="n">
        <x:v>162.12</x:v>
      </x:c>
      <x:c r="N844" s="20" t="n">
        <x:v>0</x:v>
      </x:c>
      <x:c r="O844" s="20" t="n">
        <x:v>38762.99</x:v>
      </x:c>
      <x:c r="P844" s="20" t="n">
        <x:v>0</x:v>
      </x:c>
      <x:c r="Q844" s="10" t="str">
        <x:v>Pago</x:v>
      </x:c>
      <x:c r="R844" s="10" t="str">
        <x:v>TED</x:v>
      </x:c>
      <x:c r="S844" s="10" t="str">
        <x:v>2025-07</x:v>
      </x:c>
      <x:c r="T844" s="10" t="n">
        <x:v>0</x:v>
      </x:c>
      <x:c r="U844" s="10" t="str">
        <x:v>Liquidado</x:v>
      </x:c>
      <x:c r="V844" s="10" t="str">
        <x:v>UND004</x:v>
      </x:c>
    </x:row>
    <x:row r="845" ht="18" customHeight="1">
      <x:c r="A845" s="10" t="str">
        <x:v>PAG00844</x:v>
      </x:c>
      <x:c r="B845" s="10" t="str">
        <x:v>EMP003</x:v>
      </x:c>
      <x:c r="C845" s="10" t="str">
        <x:v>FOR006</x:v>
      </x:c>
      <x:c r="D845" s="10" t="str">
        <x:v>CC003</x:v>
      </x:c>
      <x:c r="E845" s="10" t="str">
        <x:v>CAT008</x:v>
      </x:c>
      <x:c r="F845" s="10" t="str">
        <x:v>CTA006</x:v>
      </x:c>
      <x:c r="G845" s="10" t="str">
        <x:v>NF-100844</x:v>
      </x:c>
      <x:c r="H845" s="10" t="str">
        <x:v>Compra de materiais</x:v>
      </x:c>
      <x:c r="I845" s="16" t="n">
        <x:v>45915.112727789354</x:v>
      </x:c>
      <x:c r="J845" s="16" t="n">
        <x:v>45960.112727789354</x:v>
      </x:c>
      <x:c r="K845" s="16" t="n">
        <x:v>45959.112727789354</x:v>
      </x:c>
      <x:c r="L845" s="20" t="n">
        <x:v>6383.75</x:v>
      </x:c>
      <x:c r="M845" s="20" t="n">
        <x:v>0</x:v>
      </x:c>
      <x:c r="N845" s="20" t="n">
        <x:v>63.84</x:v>
      </x:c>
      <x:c r="O845" s="20" t="n">
        <x:v>6319.91</x:v>
      </x:c>
      <x:c r="P845" s="20" t="n">
        <x:v>0</x:v>
      </x:c>
      <x:c r="Q845" s="10" t="str">
        <x:v>Pago</x:v>
      </x:c>
      <x:c r="R845" s="10" t="str">
        <x:v>Cartão Corporativo</x:v>
      </x:c>
      <x:c r="S845" s="10" t="str">
        <x:v>2025-09</x:v>
      </x:c>
      <x:c r="T845" s="10" t="n">
        <x:v>0</x:v>
      </x:c>
      <x:c r="U845" s="10" t="str">
        <x:v>Liquidado</x:v>
      </x:c>
      <x:c r="V845" s="10" t="str">
        <x:v>UND004</x:v>
      </x:c>
    </x:row>
    <x:row r="846" ht="18" customHeight="1">
      <x:c r="A846" s="10" t="str">
        <x:v>PAG00845</x:v>
      </x:c>
      <x:c r="B846" s="10" t="str">
        <x:v>EMP003</x:v>
      </x:c>
      <x:c r="C846" s="10" t="str">
        <x:v>FOR012</x:v>
      </x:c>
      <x:c r="D846" s="10" t="str">
        <x:v>CC001</x:v>
      </x:c>
      <x:c r="E846" s="10" t="str">
        <x:v>CAT018</x:v>
      </x:c>
      <x:c r="F846" s="10" t="str">
        <x:v>CTA005</x:v>
      </x:c>
      <x:c r="G846" s="10" t="str">
        <x:v>NF-100845</x:v>
      </x:c>
      <x:c r="H846" s="10" t="str">
        <x:v>Contrato recorrente</x:v>
      </x:c>
      <x:c r="I846" s="16" t="n">
        <x:v>45317.32640456018</x:v>
      </x:c>
      <x:c r="J846" s="16" t="n">
        <x:v>45345.32640456018</x:v>
      </x:c>
      <x:c r="K846" s="16" t="n">
        <x:v>45346.32640456018</x:v>
      </x:c>
      <x:c r="L846" s="20" t="n">
        <x:v>78017.88</x:v>
      </x:c>
      <x:c r="M846" s="20" t="n">
        <x:v>54.61</x:v>
      </x:c>
      <x:c r="N846" s="20" t="n">
        <x:v>0</x:v>
      </x:c>
      <x:c r="O846" s="20" t="n">
        <x:v>78072.49</x:v>
      </x:c>
      <x:c r="P846" s="20" t="n">
        <x:v>0</x:v>
      </x:c>
      <x:c r="Q846" s="10" t="str">
        <x:v>Pago</x:v>
      </x:c>
      <x:c r="R846" s="10" t="str">
        <x:v>Débito Automático</x:v>
      </x:c>
      <x:c r="S846" s="10" t="str">
        <x:v>2024-01</x:v>
      </x:c>
      <x:c r="T846" s="10" t="n">
        <x:v>0</x:v>
      </x:c>
      <x:c r="U846" s="10" t="str">
        <x:v>Liquidado</x:v>
      </x:c>
      <x:c r="V846" s="10" t="str">
        <x:v>UND004</x:v>
      </x:c>
    </x:row>
    <x:row r="847" ht="18" customHeight="1">
      <x:c r="A847" s="10" t="str">
        <x:v>PAG00846</x:v>
      </x:c>
      <x:c r="B847" s="10" t="str">
        <x:v>EMP003</x:v>
      </x:c>
      <x:c r="C847" s="10" t="str">
        <x:v>FOR017</x:v>
      </x:c>
      <x:c r="D847" s="10" t="str">
        <x:v>CC005</x:v>
      </x:c>
      <x:c r="E847" s="10" t="str">
        <x:v>CAT011</x:v>
      </x:c>
      <x:c r="F847" s="10" t="str">
        <x:v>CTA006</x:v>
      </x:c>
      <x:c r="G847" s="10" t="str">
        <x:v>NF-100846</x:v>
      </x:c>
      <x:c r="H847" s="10" t="str">
        <x:v>Tributos e taxas</x:v>
      </x:c>
      <x:c r="I847" s="16" t="n">
        <x:v>45345.51073134259</x:v>
      </x:c>
      <x:c r="J847" s="16" t="n">
        <x:v>45380.51073134259</x:v>
      </x:c>
      <x:c r="K847" s="16" t="n">
        <x:v>45387.51073134259</x:v>
      </x:c>
      <x:c r="L847" s="20" t="n">
        <x:v>29211.74</x:v>
      </x:c>
      <x:c r="M847" s="20" t="n">
        <x:v>143.14</x:v>
      </x:c>
      <x:c r="N847" s="20" t="n">
        <x:v>0</x:v>
      </x:c>
      <x:c r="O847" s="20" t="n">
        <x:v>29354.88</x:v>
      </x:c>
      <x:c r="P847" s="20" t="n">
        <x:v>0</x:v>
      </x:c>
      <x:c r="Q847" s="10" t="str">
        <x:v>Pago</x:v>
      </x:c>
      <x:c r="R847" s="10" t="str">
        <x:v>PIX</x:v>
      </x:c>
      <x:c r="S847" s="10" t="str">
        <x:v>2024-02</x:v>
      </x:c>
      <x:c r="T847" s="10" t="n">
        <x:v>0</x:v>
      </x:c>
      <x:c r="U847" s="10" t="str">
        <x:v>Liquidado</x:v>
      </x:c>
      <x:c r="V847" s="10" t="str">
        <x:v>UND004</x:v>
      </x:c>
    </x:row>
    <x:row r="848" ht="18" customHeight="1">
      <x:c r="A848" s="10" t="str">
        <x:v>PAG00847</x:v>
      </x:c>
      <x:c r="B848" s="10" t="str">
        <x:v>EMP002</x:v>
      </x:c>
      <x:c r="C848" s="10" t="str">
        <x:v>FOR004</x:v>
      </x:c>
      <x:c r="D848" s="10" t="str">
        <x:v>CC007</x:v>
      </x:c>
      <x:c r="E848" s="10" t="str">
        <x:v>CAT015</x:v>
      </x:c>
      <x:c r="F848" s="10" t="str">
        <x:v>CTA003</x:v>
      </x:c>
      <x:c r="G848" s="10" t="str">
        <x:v>NF-100847</x:v>
      </x:c>
      <x:c r="H848" s="10" t="str">
        <x:v>Compra de materiais</x:v>
      </x:c>
      <x:c r="I848" s="16" t="n">
        <x:v>45866.98862667824</x:v>
      </x:c>
      <x:c r="J848" s="16" t="n">
        <x:v>45941.98862667824</x:v>
      </x:c>
      <x:c r="K848" s="16" t="n">
        <x:v>45976.98862667824</x:v>
      </x:c>
      <x:c r="L848" s="20" t="n">
        <x:v>6549.05</x:v>
      </x:c>
      <x:c r="M848" s="20" t="n">
        <x:v>160.45</x:v>
      </x:c>
      <x:c r="N848" s="20" t="n">
        <x:v>0</x:v>
      </x:c>
      <x:c r="O848" s="20" t="n">
        <x:v>6709.5</x:v>
      </x:c>
      <x:c r="P848" s="20" t="n">
        <x:v>0</x:v>
      </x:c>
      <x:c r="Q848" s="10" t="str">
        <x:v>Pago</x:v>
      </x:c>
      <x:c r="R848" s="10" t="str">
        <x:v>Débito Automático</x:v>
      </x:c>
      <x:c r="S848" s="10" t="str">
        <x:v>2025-07</x:v>
      </x:c>
      <x:c r="T848" s="10" t="n">
        <x:v>0</x:v>
      </x:c>
      <x:c r="U848" s="10" t="str">
        <x:v>Liquidado</x:v>
      </x:c>
      <x:c r="V848" s="10" t="str">
        <x:v>UND003</x:v>
      </x:c>
    </x:row>
    <x:row r="849" ht="18" customHeight="1">
      <x:c r="A849" s="10" t="str">
        <x:v>PAG00848</x:v>
      </x:c>
      <x:c r="B849" s="10" t="str">
        <x:v>EMP001</x:v>
      </x:c>
      <x:c r="C849" s="10" t="str">
        <x:v>FOR049</x:v>
      </x:c>
      <x:c r="D849" s="10" t="str">
        <x:v>CC003</x:v>
      </x:c>
      <x:c r="E849" s="10" t="str">
        <x:v>CAT006</x:v>
      </x:c>
      <x:c r="F849" s="10" t="str">
        <x:v>CTA002</x:v>
      </x:c>
      <x:c r="G849" s="10" t="str">
        <x:v>NF-100848</x:v>
      </x:c>
      <x:c r="H849" s="10" t="str">
        <x:v>Compra de materiais</x:v>
      </x:c>
      <x:c r="I849" s="16" t="n">
        <x:v>45494.94221663194</x:v>
      </x:c>
      <x:c r="J849" s="16" t="n">
        <x:v>45529.94221663194</x:v>
      </x:c>
      <x:c r="K849" s="16" t="n">
        <x:v>45532.94221663194</x:v>
      </x:c>
      <x:c r="L849" s="20" t="n">
        <x:v>49658.17</x:v>
      </x:c>
      <x:c r="M849" s="20" t="n">
        <x:v>104.28</x:v>
      </x:c>
      <x:c r="N849" s="20" t="n">
        <x:v>0</x:v>
      </x:c>
      <x:c r="O849" s="20" t="n">
        <x:v>49762.45</x:v>
      </x:c>
      <x:c r="P849" s="20" t="n">
        <x:v>0</x:v>
      </x:c>
      <x:c r="Q849" s="10" t="str">
        <x:v>Pago</x:v>
      </x:c>
      <x:c r="R849" s="10" t="str">
        <x:v>PIX</x:v>
      </x:c>
      <x:c r="S849" s="10" t="str">
        <x:v>2024-07</x:v>
      </x:c>
      <x:c r="T849" s="10" t="n">
        <x:v>0</x:v>
      </x:c>
      <x:c r="U849" s="10" t="str">
        <x:v>Liquidado</x:v>
      </x:c>
      <x:c r="V849" s="10" t="str">
        <x:v>UND001</x:v>
      </x:c>
    </x:row>
    <x:row r="850" ht="18" customHeight="1">
      <x:c r="A850" s="10" t="str">
        <x:v>PAG00849</x:v>
      </x:c>
      <x:c r="B850" s="10" t="str">
        <x:v>EMP002</x:v>
      </x:c>
      <x:c r="C850" s="10" t="str">
        <x:v>FOR045</x:v>
      </x:c>
      <x:c r="D850" s="10" t="str">
        <x:v>CC004</x:v>
      </x:c>
      <x:c r="E850" s="10" t="str">
        <x:v>CAT013</x:v>
      </x:c>
      <x:c r="F850" s="10" t="str">
        <x:v>CTA004</x:v>
      </x:c>
      <x:c r="G850" s="10" t="str">
        <x:v>NF-100849</x:v>
      </x:c>
      <x:c r="H850" s="10" t="str">
        <x:v>Prestação de serviços</x:v>
      </x:c>
      <x:c r="I850" s="16" t="n">
        <x:v>45865.58480928241</x:v>
      </x:c>
      <x:c r="J850" s="16" t="n">
        <x:v>45910.58480928241</x:v>
      </x:c>
      <x:c r="K850" s="16" t="n">
        <x:v>45907.58480928241</x:v>
      </x:c>
      <x:c r="L850" s="20" t="n">
        <x:v>72217.21</x:v>
      </x:c>
      <x:c r="M850" s="20" t="n">
        <x:v>0</x:v>
      </x:c>
      <x:c r="N850" s="20" t="n">
        <x:v>0</x:v>
      </x:c>
      <x:c r="O850" s="20" t="n">
        <x:v>72217.21</x:v>
      </x:c>
      <x:c r="P850" s="20" t="n">
        <x:v>0</x:v>
      </x:c>
      <x:c r="Q850" s="10" t="str">
        <x:v>Pago</x:v>
      </x:c>
      <x:c r="R850" s="10" t="str">
        <x:v>Débito Automático</x:v>
      </x:c>
      <x:c r="S850" s="10" t="str">
        <x:v>2025-07</x:v>
      </x:c>
      <x:c r="T850" s="10" t="n">
        <x:v>0</x:v>
      </x:c>
      <x:c r="U850" s="10" t="str">
        <x:v>Liquidado</x:v>
      </x:c>
      <x:c r="V850" s="10" t="str">
        <x:v>UND003</x:v>
      </x:c>
    </x:row>
    <x:row r="851" ht="18" customHeight="1">
      <x:c r="A851" s="10" t="str">
        <x:v>PAG00850</x:v>
      </x:c>
      <x:c r="B851" s="10" t="str">
        <x:v>EMP001</x:v>
      </x:c>
      <x:c r="C851" s="10" t="str">
        <x:v>FOR041</x:v>
      </x:c>
      <x:c r="D851" s="10" t="str">
        <x:v>CC004</x:v>
      </x:c>
      <x:c r="E851" s="10" t="str">
        <x:v>CAT012</x:v>
      </x:c>
      <x:c r="F851" s="10" t="str">
        <x:v>CTA001</x:v>
      </x:c>
      <x:c r="G851" s="10" t="str">
        <x:v>NF-100850</x:v>
      </x:c>
      <x:c r="H851" s="10" t="str">
        <x:v>Despesa operacional</x:v>
      </x:c>
      <x:c r="I851" s="16" t="n">
        <x:v>45968.71374731482</x:v>
      </x:c>
      <x:c r="J851" s="16" t="n">
        <x:v>45988.71374731482</x:v>
      </x:c>
      <x:c r="K851" s="16" t="n">
        <x:v>45982.71374731482</x:v>
      </x:c>
      <x:c r="L851" s="20" t="n">
        <x:v>101664.7</x:v>
      </x:c>
      <x:c r="M851" s="20" t="n">
        <x:v>0</x:v>
      </x:c>
      <x:c r="N851" s="20" t="n">
        <x:v>1524.97</x:v>
      </x:c>
      <x:c r="O851" s="20" t="n">
        <x:v>100139.73</x:v>
      </x:c>
      <x:c r="P851" s="20" t="n">
        <x:v>0</x:v>
      </x:c>
      <x:c r="Q851" s="10" t="str">
        <x:v>Pago</x:v>
      </x:c>
      <x:c r="R851" s="10" t="str">
        <x:v>Cartão Corporativo</x:v>
      </x:c>
      <x:c r="S851" s="10" t="str">
        <x:v>2025-11</x:v>
      </x:c>
      <x:c r="T851" s="10" t="n">
        <x:v>0</x:v>
      </x:c>
      <x:c r="U851" s="10" t="str">
        <x:v>Liquidado</x:v>
      </x:c>
      <x:c r="V851" s="10" t="str">
        <x:v>UND002</x:v>
      </x:c>
    </x:row>
    <x:row r="852" ht="18" customHeight="1">
      <x:c r="A852" s="10" t="str">
        <x:v>PAG00851</x:v>
      </x:c>
      <x:c r="B852" s="10" t="str">
        <x:v>EMP003</x:v>
      </x:c>
      <x:c r="C852" s="10" t="str">
        <x:v>FOR037</x:v>
      </x:c>
      <x:c r="D852" s="10" t="str">
        <x:v>CC004</x:v>
      </x:c>
      <x:c r="E852" s="10" t="str">
        <x:v>CAT005</x:v>
      </x:c>
      <x:c r="F852" s="10" t="str">
        <x:v>CTA006</x:v>
      </x:c>
      <x:c r="G852" s="10" t="str">
        <x:v>NF-100851</x:v>
      </x:c>
      <x:c r="H852" s="10" t="str">
        <x:v>Compra de materiais</x:v>
      </x:c>
      <x:c r="I852" s="16" t="n">
        <x:v>45359.87161033565</x:v>
      </x:c>
      <x:c r="J852" s="16" t="n">
        <x:v>45374.87161033565</x:v>
      </x:c>
      <x:c r="K852" s="16" t="n">
        <x:v>45369.87161033565</x:v>
      </x:c>
      <x:c r="L852" s="20" t="n">
        <x:v>1117.99</x:v>
      </x:c>
      <x:c r="M852" s="20" t="n">
        <x:v>0</x:v>
      </x:c>
      <x:c r="N852" s="20" t="n">
        <x:v>5.59</x:v>
      </x:c>
      <x:c r="O852" s="20" t="n">
        <x:v>1112.4</x:v>
      </x:c>
      <x:c r="P852" s="20" t="n">
        <x:v>0</x:v>
      </x:c>
      <x:c r="Q852" s="10" t="str">
        <x:v>Pago</x:v>
      </x:c>
      <x:c r="R852" s="10" t="str">
        <x:v>Boleto</x:v>
      </x:c>
      <x:c r="S852" s="10" t="str">
        <x:v>2024-03</x:v>
      </x:c>
      <x:c r="T852" s="10" t="n">
        <x:v>0</x:v>
      </x:c>
      <x:c r="U852" s="10" t="str">
        <x:v>Liquidado</x:v>
      </x:c>
      <x:c r="V852" s="10" t="str">
        <x:v>UND004</x:v>
      </x:c>
    </x:row>
    <x:row r="853" ht="18" customHeight="1">
      <x:c r="A853" s="10" t="str">
        <x:v>PAG00852</x:v>
      </x:c>
      <x:c r="B853" s="10" t="str">
        <x:v>EMP002</x:v>
      </x:c>
      <x:c r="C853" s="10" t="str">
        <x:v>FOR048</x:v>
      </x:c>
      <x:c r="D853" s="10" t="str">
        <x:v>CC005</x:v>
      </x:c>
      <x:c r="E853" s="10" t="str">
        <x:v>CAT012</x:v>
      </x:c>
      <x:c r="F853" s="10" t="str">
        <x:v>CTA004</x:v>
      </x:c>
      <x:c r="G853" s="10" t="str">
        <x:v>NF-100852</x:v>
      </x:c>
      <x:c r="H853" s="10" t="str">
        <x:v>Compra de materiais</x:v>
      </x:c>
      <x:c r="I853" s="16" t="n">
        <x:v>45461.11285761574</x:v>
      </x:c>
      <x:c r="J853" s="16" t="n">
        <x:v>45476.11285761574</x:v>
      </x:c>
      <x:c r="K853" s="16" t="n">
        <x:v>45470.11285761574</x:v>
      </x:c>
      <x:c r="L853" s="20" t="n">
        <x:v>50508.13</x:v>
      </x:c>
      <x:c r="M853" s="20" t="n">
        <x:v>0</x:v>
      </x:c>
      <x:c r="N853" s="20" t="n">
        <x:v>505.08</x:v>
      </x:c>
      <x:c r="O853" s="20" t="n">
        <x:v>50003.05</x:v>
      </x:c>
      <x:c r="P853" s="20" t="n">
        <x:v>0</x:v>
      </x:c>
      <x:c r="Q853" s="10" t="str">
        <x:v>Pago</x:v>
      </x:c>
      <x:c r="R853" s="10" t="str">
        <x:v>Cartão Corporativo</x:v>
      </x:c>
      <x:c r="S853" s="10" t="str">
        <x:v>2024-06</x:v>
      </x:c>
      <x:c r="T853" s="10" t="n">
        <x:v>0</x:v>
      </x:c>
      <x:c r="U853" s="10" t="str">
        <x:v>Liquidado</x:v>
      </x:c>
      <x:c r="V853" s="10" t="str">
        <x:v>UND003</x:v>
      </x:c>
    </x:row>
    <x:row r="854" ht="18" customHeight="1">
      <x:c r="A854" s="10" t="str">
        <x:v>PAG00853</x:v>
      </x:c>
      <x:c r="B854" s="10" t="str">
        <x:v>EMP001</x:v>
      </x:c>
      <x:c r="C854" s="10" t="str">
        <x:v>FOR046</x:v>
      </x:c>
      <x:c r="D854" s="10" t="str">
        <x:v>CC007</x:v>
      </x:c>
      <x:c r="E854" s="10" t="str">
        <x:v>CAT005</x:v>
      </x:c>
      <x:c r="F854" s="10" t="str">
        <x:v>CTA001</x:v>
      </x:c>
      <x:c r="G854" s="10" t="str">
        <x:v>NF-100853</x:v>
      </x:c>
      <x:c r="H854" s="10" t="str">
        <x:v>Tributos e taxas</x:v>
      </x:c>
      <x:c r="I854" s="16" t="n">
        <x:v>45444.82129020833</x:v>
      </x:c>
      <x:c r="J854" s="16" t="n">
        <x:v>45472.82129020833</x:v>
      </x:c>
      <x:c r="K854" s="16" t="n">
        <x:v>45476.82129020833</x:v>
      </x:c>
      <x:c r="L854" s="20" t="n">
        <x:v>16298.78</x:v>
      </x:c>
      <x:c r="M854" s="20" t="n">
        <x:v>45.64</x:v>
      </x:c>
      <x:c r="N854" s="20" t="n">
        <x:v>0</x:v>
      </x:c>
      <x:c r="O854" s="20" t="n">
        <x:v>16344.42</x:v>
      </x:c>
      <x:c r="P854" s="20" t="n">
        <x:v>0</x:v>
      </x:c>
      <x:c r="Q854" s="10" t="str">
        <x:v>Pago</x:v>
      </x:c>
      <x:c r="R854" s="10" t="str">
        <x:v>TED</x:v>
      </x:c>
      <x:c r="S854" s="10" t="str">
        <x:v>2024-06</x:v>
      </x:c>
      <x:c r="T854" s="10" t="n">
        <x:v>0</x:v>
      </x:c>
      <x:c r="U854" s="10" t="str">
        <x:v>Liquidado</x:v>
      </x:c>
      <x:c r="V854" s="10" t="str">
        <x:v>UND001</x:v>
      </x:c>
    </x:row>
    <x:row r="855" ht="18" customHeight="1">
      <x:c r="A855" s="10" t="str">
        <x:v>PAG00854</x:v>
      </x:c>
      <x:c r="B855" s="10" t="str">
        <x:v>EMP002</x:v>
      </x:c>
      <x:c r="C855" s="10" t="str">
        <x:v>FOR019</x:v>
      </x:c>
      <x:c r="D855" s="10" t="str">
        <x:v>CC001</x:v>
      </x:c>
      <x:c r="E855" s="10" t="str">
        <x:v>CAT009</x:v>
      </x:c>
      <x:c r="F855" s="10" t="str">
        <x:v>CTA004</x:v>
      </x:c>
      <x:c r="G855" s="10" t="str">
        <x:v>NF-100854</x:v>
      </x:c>
      <x:c r="H855" s="10" t="str">
        <x:v>Prestação de serviços</x:v>
      </x:c>
      <x:c r="I855" s="16" t="n">
        <x:v>45437.287209664355</x:v>
      </x:c>
      <x:c r="J855" s="16" t="n">
        <x:v>45472.287209664355</x:v>
      </x:c>
      <x:c r="K855" s="16" t="n">
        <x:v>45475.287209664355</x:v>
      </x:c>
      <x:c r="L855" s="20" t="n">
        <x:v>24137.71</x:v>
      </x:c>
      <x:c r="M855" s="20" t="n">
        <x:v>50.69</x:v>
      </x:c>
      <x:c r="N855" s="20" t="n">
        <x:v>0</x:v>
      </x:c>
      <x:c r="O855" s="20" t="n">
        <x:v>24188.4</x:v>
      </x:c>
      <x:c r="P855" s="20" t="n">
        <x:v>0</x:v>
      </x:c>
      <x:c r="Q855" s="10" t="str">
        <x:v>Pago</x:v>
      </x:c>
      <x:c r="R855" s="10" t="str">
        <x:v>Boleto</x:v>
      </x:c>
      <x:c r="S855" s="10" t="str">
        <x:v>2024-05</x:v>
      </x:c>
      <x:c r="T855" s="10" t="n">
        <x:v>0</x:v>
      </x:c>
      <x:c r="U855" s="10" t="str">
        <x:v>Liquidado</x:v>
      </x:c>
      <x:c r="V855" s="10" t="str">
        <x:v>UND003</x:v>
      </x:c>
    </x:row>
    <x:row r="856" ht="18" customHeight="1">
      <x:c r="A856" s="10" t="str">
        <x:v>PAG00855</x:v>
      </x:c>
      <x:c r="B856" s="10" t="str">
        <x:v>EMP002</x:v>
      </x:c>
      <x:c r="C856" s="10" t="str">
        <x:v>FOR058</x:v>
      </x:c>
      <x:c r="D856" s="10" t="str">
        <x:v>CC003</x:v>
      </x:c>
      <x:c r="E856" s="10" t="str">
        <x:v>CAT012</x:v>
      </x:c>
      <x:c r="F856" s="10" t="str">
        <x:v>CTA003</x:v>
      </x:c>
      <x:c r="G856" s="10" t="str">
        <x:v>NF-100855</x:v>
      </x:c>
      <x:c r="H856" s="10" t="str">
        <x:v>Contrato recorrente</x:v>
      </x:c>
      <x:c r="I856" s="16" t="n">
        <x:v>45504.99484784722</x:v>
      </x:c>
      <x:c r="J856" s="16" t="n">
        <x:v>45579.99484784722</x:v>
      </x:c>
      <x:c r="K856" s="16" t="n">
        <x:v>45577.99484784722</x:v>
      </x:c>
      <x:c r="L856" s="20" t="n">
        <x:v>111715.62</x:v>
      </x:c>
      <x:c r="M856" s="20" t="n">
        <x:v>0</x:v>
      </x:c>
      <x:c r="N856" s="20" t="n">
        <x:v>0</x:v>
      </x:c>
      <x:c r="O856" s="20" t="n">
        <x:v>111715.62</x:v>
      </x:c>
      <x:c r="P856" s="20" t="n">
        <x:v>0</x:v>
      </x:c>
      <x:c r="Q856" s="10" t="str">
        <x:v>Pago</x:v>
      </x:c>
      <x:c r="R856" s="10" t="str">
        <x:v>Débito Automático</x:v>
      </x:c>
      <x:c r="S856" s="10" t="str">
        <x:v>2024-07</x:v>
      </x:c>
      <x:c r="T856" s="10" t="n">
        <x:v>0</x:v>
      </x:c>
      <x:c r="U856" s="10" t="str">
        <x:v>Liquidado</x:v>
      </x:c>
      <x:c r="V856" s="10" t="str">
        <x:v>UND003</x:v>
      </x:c>
    </x:row>
    <x:row r="857" ht="18" customHeight="1">
      <x:c r="A857" s="10" t="str">
        <x:v>PAG00856</x:v>
      </x:c>
      <x:c r="B857" s="10" t="str">
        <x:v>EMP003</x:v>
      </x:c>
      <x:c r="C857" s="10" t="str">
        <x:v>FOR038</x:v>
      </x:c>
      <x:c r="D857" s="10" t="str">
        <x:v>CC006</x:v>
      </x:c>
      <x:c r="E857" s="10" t="str">
        <x:v>CAT017</x:v>
      </x:c>
      <x:c r="F857" s="10" t="str">
        <x:v>CTA005</x:v>
      </x:c>
      <x:c r="G857" s="10" t="str">
        <x:v>NF-100856</x:v>
      </x:c>
      <x:c r="H857" s="10" t="str">
        <x:v>Compra de materiais</x:v>
      </x:c>
      <x:c r="I857" s="16" t="n">
        <x:v>45858.47050299768</x:v>
      </x:c>
      <x:c r="J857" s="16" t="n">
        <x:v>45903.47050299768</x:v>
      </x:c>
      <x:c r="K857" s="16" t="n">
        <x:v>45910.47050299768</x:v>
      </x:c>
      <x:c r="L857" s="20" t="n">
        <x:v>1235.53</x:v>
      </x:c>
      <x:c r="M857" s="20" t="n">
        <x:v>6.05</x:v>
      </x:c>
      <x:c r="N857" s="20" t="n">
        <x:v>0</x:v>
      </x:c>
      <x:c r="O857" s="20" t="n">
        <x:v>1241.58</x:v>
      </x:c>
      <x:c r="P857" s="20" t="n">
        <x:v>0</x:v>
      </x:c>
      <x:c r="Q857" s="10" t="str">
        <x:v>Pago</x:v>
      </x:c>
      <x:c r="R857" s="10" t="str">
        <x:v>Cartão Corporativo</x:v>
      </x:c>
      <x:c r="S857" s="10" t="str">
        <x:v>2025-07</x:v>
      </x:c>
      <x:c r="T857" s="10" t="n">
        <x:v>0</x:v>
      </x:c>
      <x:c r="U857" s="10" t="str">
        <x:v>Liquidado</x:v>
      </x:c>
      <x:c r="V857" s="10" t="str">
        <x:v>UND004</x:v>
      </x:c>
    </x:row>
    <x:row r="858" ht="18" customHeight="1">
      <x:c r="A858" s="10" t="str">
        <x:v>PAG00857</x:v>
      </x:c>
      <x:c r="B858" s="10" t="str">
        <x:v>EMP001</x:v>
      </x:c>
      <x:c r="C858" s="10" t="str">
        <x:v>FOR026</x:v>
      </x:c>
      <x:c r="D858" s="10" t="str">
        <x:v>CC003</x:v>
      </x:c>
      <x:c r="E858" s="10" t="str">
        <x:v>CAT018</x:v>
      </x:c>
      <x:c r="F858" s="10" t="str">
        <x:v>CTA001</x:v>
      </x:c>
      <x:c r="G858" s="10" t="str">
        <x:v>NF-100857</x:v>
      </x:c>
      <x:c r="H858" s="10" t="str">
        <x:v>Despesa operacional</x:v>
      </x:c>
      <x:c r="I858" s="16" t="n">
        <x:v>45896.340231539354</x:v>
      </x:c>
      <x:c r="J858" s="16" t="n">
        <x:v>45924.340231539354</x:v>
      </x:c>
      <x:c r="K858" s="16" t="n">
        <x:v>45918.340231539354</x:v>
      </x:c>
      <x:c r="L858" s="20" t="n">
        <x:v>93493.74</x:v>
      </x:c>
      <x:c r="M858" s="20" t="n">
        <x:v>0</x:v>
      </x:c>
      <x:c r="N858" s="20" t="n">
        <x:v>0</x:v>
      </x:c>
      <x:c r="O858" s="20" t="n">
        <x:v>93493.74</x:v>
      </x:c>
      <x:c r="P858" s="20" t="n">
        <x:v>0</x:v>
      </x:c>
      <x:c r="Q858" s="10" t="str">
        <x:v>Pago</x:v>
      </x:c>
      <x:c r="R858" s="10" t="str">
        <x:v>Débito Automático</x:v>
      </x:c>
      <x:c r="S858" s="10" t="str">
        <x:v>2025-08</x:v>
      </x:c>
      <x:c r="T858" s="10" t="n">
        <x:v>0</x:v>
      </x:c>
      <x:c r="U858" s="10" t="str">
        <x:v>Liquidado</x:v>
      </x:c>
      <x:c r="V858" s="10" t="str">
        <x:v>UND002</x:v>
      </x:c>
    </x:row>
    <x:row r="859" ht="18" customHeight="1">
      <x:c r="A859" s="10" t="str">
        <x:v>PAG00858</x:v>
      </x:c>
      <x:c r="B859" s="10" t="str">
        <x:v>EMP001</x:v>
      </x:c>
      <x:c r="C859" s="10" t="str">
        <x:v>FOR029</x:v>
      </x:c>
      <x:c r="D859" s="10" t="str">
        <x:v>CC003</x:v>
      </x:c>
      <x:c r="E859" s="10" t="str">
        <x:v>CAT012</x:v>
      </x:c>
      <x:c r="F859" s="10" t="str">
        <x:v>CTA001</x:v>
      </x:c>
      <x:c r="G859" s="10" t="str">
        <x:v>NF-100858</x:v>
      </x:c>
      <x:c r="H859" s="10" t="str">
        <x:v>Tributos e taxas</x:v>
      </x:c>
      <x:c r="I859" s="16" t="n">
        <x:v>45448.41889893518</x:v>
      </x:c>
      <x:c r="J859" s="16" t="n">
        <x:v>45483.41889893518</x:v>
      </x:c>
      <x:c r="K859" s="16" t="n">
        <x:v>45481.41889893518</x:v>
      </x:c>
      <x:c r="L859" s="20" t="n">
        <x:v>6667.03</x:v>
      </x:c>
      <x:c r="M859" s="20" t="n">
        <x:v>0</x:v>
      </x:c>
      <x:c r="N859" s="20" t="n">
        <x:v>0</x:v>
      </x:c>
      <x:c r="O859" s="20" t="n">
        <x:v>6667.03</x:v>
      </x:c>
      <x:c r="P859" s="20" t="n">
        <x:v>0</x:v>
      </x:c>
      <x:c r="Q859" s="10" t="str">
        <x:v>Pago</x:v>
      </x:c>
      <x:c r="R859" s="10" t="str">
        <x:v>TED</x:v>
      </x:c>
      <x:c r="S859" s="10" t="str">
        <x:v>2024-06</x:v>
      </x:c>
      <x:c r="T859" s="10" t="n">
        <x:v>0</x:v>
      </x:c>
      <x:c r="U859" s="10" t="str">
        <x:v>Liquidado</x:v>
      </x:c>
      <x:c r="V859" s="10" t="str">
        <x:v>UND001</x:v>
      </x:c>
    </x:row>
    <x:row r="860" ht="18" customHeight="1">
      <x:c r="A860" s="10" t="str">
        <x:v>PAG00859</x:v>
      </x:c>
      <x:c r="B860" s="10" t="str">
        <x:v>EMP003</x:v>
      </x:c>
      <x:c r="C860" s="10" t="str">
        <x:v>FOR037</x:v>
      </x:c>
      <x:c r="D860" s="10" t="str">
        <x:v>CC005</x:v>
      </x:c>
      <x:c r="E860" s="10" t="str">
        <x:v>CAT017</x:v>
      </x:c>
      <x:c r="F860" s="10" t="str">
        <x:v>CTA006</x:v>
      </x:c>
      <x:c r="G860" s="10" t="str">
        <x:v>NF-100859</x:v>
      </x:c>
      <x:c r="H860" s="10" t="str">
        <x:v>Tributos e taxas</x:v>
      </x:c>
      <x:c r="I860" s="16" t="n">
        <x:v>45840.02530783565</x:v>
      </x:c>
      <x:c r="J860" s="16" t="n">
        <x:v>45915.02530783565</x:v>
      </x:c>
      <x:c r="K860" s="16" t="n">
        <x:v>45916.02530783565</x:v>
      </x:c>
      <x:c r="L860" s="20" t="n">
        <x:v>2228.35</x:v>
      </x:c>
      <x:c r="M860" s="20" t="n">
        <x:v>1.56</x:v>
      </x:c>
      <x:c r="N860" s="20" t="n">
        <x:v>0</x:v>
      </x:c>
      <x:c r="O860" s="20" t="n">
        <x:v>2229.91</x:v>
      </x:c>
      <x:c r="P860" s="20" t="n">
        <x:v>0</x:v>
      </x:c>
      <x:c r="Q860" s="10" t="str">
        <x:v>Pago</x:v>
      </x:c>
      <x:c r="R860" s="10" t="str">
        <x:v>Boleto</x:v>
      </x:c>
      <x:c r="S860" s="10" t="str">
        <x:v>2025-07</x:v>
      </x:c>
      <x:c r="T860" s="10" t="n">
        <x:v>0</x:v>
      </x:c>
      <x:c r="U860" s="10" t="str">
        <x:v>Liquidado</x:v>
      </x:c>
      <x:c r="V860" s="10" t="str">
        <x:v>UND004</x:v>
      </x:c>
    </x:row>
    <x:row r="861" ht="18" customHeight="1">
      <x:c r="A861" s="10" t="str">
        <x:v>PAG00860</x:v>
      </x:c>
      <x:c r="B861" s="10" t="str">
        <x:v>EMP003</x:v>
      </x:c>
      <x:c r="C861" s="10" t="str">
        <x:v>FOR060</x:v>
      </x:c>
      <x:c r="D861" s="10" t="str">
        <x:v>CC005</x:v>
      </x:c>
      <x:c r="E861" s="10" t="str">
        <x:v>CAT010</x:v>
      </x:c>
      <x:c r="F861" s="10" t="str">
        <x:v>CTA006</x:v>
      </x:c>
      <x:c r="G861" s="10" t="str">
        <x:v>NF-100860</x:v>
      </x:c>
      <x:c r="H861" s="10" t="str">
        <x:v>Contrato recorrente</x:v>
      </x:c>
      <x:c r="I861" s="16" t="n">
        <x:v>45415.3466375</x:v>
      </x:c>
      <x:c r="J861" s="16" t="n">
        <x:v>45435.3466375</x:v>
      </x:c>
      <x:c r="K861" s="16"/>
      <x:c r="L861" s="20" t="n">
        <x:v>65372.96</x:v>
      </x:c>
      <x:c r="M861" s="20" t="n">
        <x:v>0</x:v>
      </x:c>
      <x:c r="N861" s="20" t="n">
        <x:v>0</x:v>
      </x:c>
      <x:c r="O861" s="20" t="n">
        <x:v>0</x:v>
      </x:c>
      <x:c r="P861" s="20" t="n">
        <x:v>65372.96</x:v>
      </x:c>
      <x:c r="Q861" s="10" t="str">
        <x:v>Vencido</x:v>
      </x:c>
      <x:c r="R861" s="10" t="str">
        <x:v>PIX</x:v>
      </x:c>
      <x:c r="S861" s="10" t="str">
        <x:v>2024-05</x:v>
      </x:c>
      <x:c r="T861" s="10" t="n">
        <x:v>586</x:v>
      </x:c>
      <x:c r="U861" s="10" t="str">
        <x:v>&gt; 120 dias</x:v>
      </x:c>
      <x:c r="V861" s="10" t="str">
        <x:v>UND004</x:v>
      </x:c>
    </x:row>
    <x:row r="862" ht="18" customHeight="1">
      <x:c r="A862" s="10" t="str">
        <x:v>PAG00861</x:v>
      </x:c>
      <x:c r="B862" s="10" t="str">
        <x:v>EMP003</x:v>
      </x:c>
      <x:c r="C862" s="10" t="str">
        <x:v>FOR059</x:v>
      </x:c>
      <x:c r="D862" s="10" t="str">
        <x:v>CC005</x:v>
      </x:c>
      <x:c r="E862" s="10" t="str">
        <x:v>CAT017</x:v>
      </x:c>
      <x:c r="F862" s="10" t="str">
        <x:v>CTA006</x:v>
      </x:c>
      <x:c r="G862" s="10" t="str">
        <x:v>NF-100861</x:v>
      </x:c>
      <x:c r="H862" s="10" t="str">
        <x:v>Despesa operacional</x:v>
      </x:c>
      <x:c r="I862" s="16" t="n">
        <x:v>45800.69954296296</x:v>
      </x:c>
      <x:c r="J862" s="16" t="n">
        <x:v>45828.69954296296</x:v>
      </x:c>
      <x:c r="K862" s="16"/>
      <x:c r="L862" s="20" t="n">
        <x:v>6965.85</x:v>
      </x:c>
      <x:c r="M862" s="20" t="n">
        <x:v>0</x:v>
      </x:c>
      <x:c r="N862" s="20" t="n">
        <x:v>0</x:v>
      </x:c>
      <x:c r="O862" s="20" t="n">
        <x:v>0</x:v>
      </x:c>
      <x:c r="P862" s="20" t="n">
        <x:v>0</x:v>
      </x:c>
      <x:c r="Q862" s="10" t="str">
        <x:v>Cancelado</x:v>
      </x:c>
      <x:c r="R862" s="10" t="str">
        <x:v>Débito Automático</x:v>
      </x:c>
      <x:c r="S862" s="10" t="str">
        <x:v>2025-05</x:v>
      </x:c>
      <x:c r="T862" s="10" t="n">
        <x:v>0</x:v>
      </x:c>
      <x:c r="U862" s="10" t="str">
        <x:v>Cancelado</x:v>
      </x:c>
      <x:c r="V862" s="10" t="str">
        <x:v>UND004</x:v>
      </x:c>
    </x:row>
    <x:row r="863" ht="18" customHeight="1">
      <x:c r="A863" s="10" t="str">
        <x:v>PAG00862</x:v>
      </x:c>
      <x:c r="B863" s="10" t="str">
        <x:v>EMP003</x:v>
      </x:c>
      <x:c r="C863" s="10" t="str">
        <x:v>FOR035</x:v>
      </x:c>
      <x:c r="D863" s="10" t="str">
        <x:v>CC006</x:v>
      </x:c>
      <x:c r="E863" s="10" t="str">
        <x:v>CAT017</x:v>
      </x:c>
      <x:c r="F863" s="10" t="str">
        <x:v>CTA006</x:v>
      </x:c>
      <x:c r="G863" s="10" t="str">
        <x:v>NF-100862</x:v>
      </x:c>
      <x:c r="H863" s="10" t="str">
        <x:v>Despesa operacional</x:v>
      </x:c>
      <x:c r="I863" s="16" t="n">
        <x:v>45451.19332900463</x:v>
      </x:c>
      <x:c r="J863" s="16" t="n">
        <x:v>45526.19332900463</x:v>
      </x:c>
      <x:c r="K863" s="16" t="n">
        <x:v>45524.19332900463</x:v>
      </x:c>
      <x:c r="L863" s="20" t="n">
        <x:v>53793.15</x:v>
      </x:c>
      <x:c r="M863" s="20" t="n">
        <x:v>0</x:v>
      </x:c>
      <x:c r="N863" s="20" t="n">
        <x:v>0</x:v>
      </x:c>
      <x:c r="O863" s="20" t="n">
        <x:v>53793.15</x:v>
      </x:c>
      <x:c r="P863" s="20" t="n">
        <x:v>0</x:v>
      </x:c>
      <x:c r="Q863" s="10" t="str">
        <x:v>Pago</x:v>
      </x:c>
      <x:c r="R863" s="10" t="str">
        <x:v>PIX</x:v>
      </x:c>
      <x:c r="S863" s="10" t="str">
        <x:v>2024-06</x:v>
      </x:c>
      <x:c r="T863" s="10" t="n">
        <x:v>0</x:v>
      </x:c>
      <x:c r="U863" s="10" t="str">
        <x:v>Liquidado</x:v>
      </x:c>
      <x:c r="V863" s="10" t="str">
        <x:v>UND004</x:v>
      </x:c>
    </x:row>
    <x:row r="864" ht="18" customHeight="1">
      <x:c r="A864" s="10" t="str">
        <x:v>PAG00863</x:v>
      </x:c>
      <x:c r="B864" s="10" t="str">
        <x:v>EMP003</x:v>
      </x:c>
      <x:c r="C864" s="10" t="str">
        <x:v>FOR046</x:v>
      </x:c>
      <x:c r="D864" s="10" t="str">
        <x:v>CC002</x:v>
      </x:c>
      <x:c r="E864" s="10" t="str">
        <x:v>CAT014</x:v>
      </x:c>
      <x:c r="F864" s="10" t="str">
        <x:v>CTA006</x:v>
      </x:c>
      <x:c r="G864" s="10" t="str">
        <x:v>NF-100863</x:v>
      </x:c>
      <x:c r="H864" s="10" t="str">
        <x:v>Prestação de serviços</x:v>
      </x:c>
      <x:c r="I864" s="16" t="n">
        <x:v>45523.723395092595</x:v>
      </x:c>
      <x:c r="J864" s="16" t="n">
        <x:v>45543.723395092595</x:v>
      </x:c>
      <x:c r="K864" s="16"/>
      <x:c r="L864" s="20" t="n">
        <x:v>29427</x:v>
      </x:c>
      <x:c r="M864" s="20" t="n">
        <x:v>0</x:v>
      </x:c>
      <x:c r="N864" s="20" t="n">
        <x:v>0</x:v>
      </x:c>
      <x:c r="O864" s="20" t="n">
        <x:v>0</x:v>
      </x:c>
      <x:c r="P864" s="20" t="n">
        <x:v>0</x:v>
      </x:c>
      <x:c r="Q864" s="10" t="str">
        <x:v>Cancelado</x:v>
      </x:c>
      <x:c r="R864" s="10" t="str">
        <x:v>PIX</x:v>
      </x:c>
      <x:c r="S864" s="10" t="str">
        <x:v>2024-08</x:v>
      </x:c>
      <x:c r="T864" s="10" t="n">
        <x:v>0</x:v>
      </x:c>
      <x:c r="U864" s="10" t="str">
        <x:v>Cancelado</x:v>
      </x:c>
      <x:c r="V864" s="10" t="str">
        <x:v>UND004</x:v>
      </x:c>
    </x:row>
    <x:row r="865" ht="18" customHeight="1">
      <x:c r="A865" s="10" t="str">
        <x:v>PAG00864</x:v>
      </x:c>
      <x:c r="B865" s="10" t="str">
        <x:v>EMP002</x:v>
      </x:c>
      <x:c r="C865" s="10" t="str">
        <x:v>FOR060</x:v>
      </x:c>
      <x:c r="D865" s="10" t="str">
        <x:v>CC005</x:v>
      </x:c>
      <x:c r="E865" s="10" t="str">
        <x:v>CAT012</x:v>
      </x:c>
      <x:c r="F865" s="10" t="str">
        <x:v>CTA004</x:v>
      </x:c>
      <x:c r="G865" s="10" t="str">
        <x:v>NF-100864</x:v>
      </x:c>
      <x:c r="H865" s="10" t="str">
        <x:v>Contrato recorrente</x:v>
      </x:c>
      <x:c r="I865" s="16" t="n">
        <x:v>46004.272291458336</x:v>
      </x:c>
      <x:c r="J865" s="16" t="n">
        <x:v>46034.272291458336</x:v>
      </x:c>
      <x:c r="K865" s="16"/>
      <x:c r="L865" s="20" t="n">
        <x:v>20094.91</x:v>
      </x:c>
      <x:c r="M865" s="20" t="n">
        <x:v>0</x:v>
      </x:c>
      <x:c r="N865" s="20" t="n">
        <x:v>0</x:v>
      </x:c>
      <x:c r="O865" s="20" t="n">
        <x:v>0</x:v>
      </x:c>
      <x:c r="P865" s="20" t="n">
        <x:v>20094.91</x:v>
      </x:c>
      <x:c r="Q865" s="10" t="str">
        <x:v>A vencer</x:v>
      </x:c>
      <x:c r="R865" s="10" t="str">
        <x:v>TED</x:v>
      </x:c>
      <x:c r="S865" s="10" t="str">
        <x:v>2025-12</x:v>
      </x:c>
      <x:c r="T865" s="10" t="n">
        <x:v>0</x:v>
      </x:c>
      <x:c r="U865" s="10" t="str">
        <x:v>A vencer</x:v>
      </x:c>
      <x:c r="V865" s="10" t="str">
        <x:v>UND003</x:v>
      </x:c>
    </x:row>
    <x:row r="866" ht="18" customHeight="1">
      <x:c r="A866" s="10" t="str">
        <x:v>PAG00865</x:v>
      </x:c>
      <x:c r="B866" s="10" t="str">
        <x:v>EMP001</x:v>
      </x:c>
      <x:c r="C866" s="10" t="str">
        <x:v>FOR005</x:v>
      </x:c>
      <x:c r="D866" s="10" t="str">
        <x:v>CC003</x:v>
      </x:c>
      <x:c r="E866" s="10" t="str">
        <x:v>CAT013</x:v>
      </x:c>
      <x:c r="F866" s="10" t="str">
        <x:v>CTA002</x:v>
      </x:c>
      <x:c r="G866" s="10" t="str">
        <x:v>NF-100865</x:v>
      </x:c>
      <x:c r="H866" s="10" t="str">
        <x:v>Compra de materiais</x:v>
      </x:c>
      <x:c r="I866" s="16" t="n">
        <x:v>45925.360019988424</x:v>
      </x:c>
      <x:c r="J866" s="16" t="n">
        <x:v>45970.360019988424</x:v>
      </x:c>
      <x:c r="K866" s="16" t="n">
        <x:v>45967.360019988424</x:v>
      </x:c>
      <x:c r="L866" s="20" t="n">
        <x:v>112099.37</x:v>
      </x:c>
      <x:c r="M866" s="20" t="n">
        <x:v>0</x:v>
      </x:c>
      <x:c r="N866" s="20" t="n">
        <x:v>0</x:v>
      </x:c>
      <x:c r="O866" s="20" t="n">
        <x:v>112099.37</x:v>
      </x:c>
      <x:c r="P866" s="20" t="n">
        <x:v>0</x:v>
      </x:c>
      <x:c r="Q866" s="10" t="str">
        <x:v>Pago</x:v>
      </x:c>
      <x:c r="R866" s="10" t="str">
        <x:v>Débito Automático</x:v>
      </x:c>
      <x:c r="S866" s="10" t="str">
        <x:v>2025-09</x:v>
      </x:c>
      <x:c r="T866" s="10" t="n">
        <x:v>0</x:v>
      </x:c>
      <x:c r="U866" s="10" t="str">
        <x:v>Liquidado</x:v>
      </x:c>
      <x:c r="V866" s="10" t="str">
        <x:v>UND002</x:v>
      </x:c>
    </x:row>
    <x:row r="867" ht="18" customHeight="1">
      <x:c r="A867" s="10" t="str">
        <x:v>PAG00866</x:v>
      </x:c>
      <x:c r="B867" s="10" t="str">
        <x:v>EMP001</x:v>
      </x:c>
      <x:c r="C867" s="10" t="str">
        <x:v>FOR012</x:v>
      </x:c>
      <x:c r="D867" s="10" t="str">
        <x:v>CC002</x:v>
      </x:c>
      <x:c r="E867" s="10" t="str">
        <x:v>CAT011</x:v>
      </x:c>
      <x:c r="F867" s="10" t="str">
        <x:v>CTA002</x:v>
      </x:c>
      <x:c r="G867" s="10" t="str">
        <x:v>NF-100866</x:v>
      </x:c>
      <x:c r="H867" s="10" t="str">
        <x:v>Tributos e taxas</x:v>
      </x:c>
      <x:c r="I867" s="16" t="n">
        <x:v>45860.74995017361</x:v>
      </x:c>
      <x:c r="J867" s="16" t="n">
        <x:v>45880.74995017361</x:v>
      </x:c>
      <x:c r="K867" s="16" t="n">
        <x:v>45883.74995017361</x:v>
      </x:c>
      <x:c r="L867" s="20" t="n">
        <x:v>4192.24</x:v>
      </x:c>
      <x:c r="M867" s="20" t="n">
        <x:v>8.8</x:v>
      </x:c>
      <x:c r="N867" s="20" t="n">
        <x:v>0</x:v>
      </x:c>
      <x:c r="O867" s="20" t="n">
        <x:v>4201.04</x:v>
      </x:c>
      <x:c r="P867" s="20" t="n">
        <x:v>0</x:v>
      </x:c>
      <x:c r="Q867" s="10" t="str">
        <x:v>Pago</x:v>
      </x:c>
      <x:c r="R867" s="10" t="str">
        <x:v>Cartão Corporativo</x:v>
      </x:c>
      <x:c r="S867" s="10" t="str">
        <x:v>2025-07</x:v>
      </x:c>
      <x:c r="T867" s="10" t="n">
        <x:v>0</x:v>
      </x:c>
      <x:c r="U867" s="10" t="str">
        <x:v>Liquidado</x:v>
      </x:c>
      <x:c r="V867" s="10" t="str">
        <x:v>UND002</x:v>
      </x:c>
    </x:row>
    <x:row r="868" ht="18" customHeight="1">
      <x:c r="A868" s="10" t="str">
        <x:v>PAG00867</x:v>
      </x:c>
      <x:c r="B868" s="10" t="str">
        <x:v>EMP002</x:v>
      </x:c>
      <x:c r="C868" s="10" t="str">
        <x:v>FOR027</x:v>
      </x:c>
      <x:c r="D868" s="10" t="str">
        <x:v>CC001</x:v>
      </x:c>
      <x:c r="E868" s="10" t="str">
        <x:v>CAT009</x:v>
      </x:c>
      <x:c r="F868" s="10" t="str">
        <x:v>CTA004</x:v>
      </x:c>
      <x:c r="G868" s="10" t="str">
        <x:v>NF-100867</x:v>
      </x:c>
      <x:c r="H868" s="10" t="str">
        <x:v>Compra de materiais</x:v>
      </x:c>
      <x:c r="I868" s="16" t="n">
        <x:v>45972.62968866898</x:v>
      </x:c>
      <x:c r="J868" s="16" t="n">
        <x:v>45992.62968866898</x:v>
      </x:c>
      <x:c r="K868" s="16" t="n">
        <x:v>45999.62968866898</x:v>
      </x:c>
      <x:c r="L868" s="20" t="n">
        <x:v>80817.9</x:v>
      </x:c>
      <x:c r="M868" s="20" t="n">
        <x:v>396.01</x:v>
      </x:c>
      <x:c r="N868" s="20" t="n">
        <x:v>0</x:v>
      </x:c>
      <x:c r="O868" s="20" t="n">
        <x:v>81213.91</x:v>
      </x:c>
      <x:c r="P868" s="20" t="n">
        <x:v>0</x:v>
      </x:c>
      <x:c r="Q868" s="10" t="str">
        <x:v>Pago</x:v>
      </x:c>
      <x:c r="R868" s="10" t="str">
        <x:v>Boleto</x:v>
      </x:c>
      <x:c r="S868" s="10" t="str">
        <x:v>2025-11</x:v>
      </x:c>
      <x:c r="T868" s="10" t="n">
        <x:v>0</x:v>
      </x:c>
      <x:c r="U868" s="10" t="str">
        <x:v>Liquidado</x:v>
      </x:c>
      <x:c r="V868" s="10" t="str">
        <x:v>UND003</x:v>
      </x:c>
    </x:row>
    <x:row r="869" ht="18" customHeight="1">
      <x:c r="A869" s="10" t="str">
        <x:v>PAG00868</x:v>
      </x:c>
      <x:c r="B869" s="10" t="str">
        <x:v>EMP003</x:v>
      </x:c>
      <x:c r="C869" s="10" t="str">
        <x:v>FOR025</x:v>
      </x:c>
      <x:c r="D869" s="10" t="str">
        <x:v>CC001</x:v>
      </x:c>
      <x:c r="E869" s="10" t="str">
        <x:v>CAT018</x:v>
      </x:c>
      <x:c r="F869" s="10" t="str">
        <x:v>CTA006</x:v>
      </x:c>
      <x:c r="G869" s="10" t="str">
        <x:v>NF-100868</x:v>
      </x:c>
      <x:c r="H869" s="10" t="str">
        <x:v>Prestação de serviços</x:v>
      </x:c>
      <x:c r="I869" s="16" t="n">
        <x:v>45928.78173028935</x:v>
      </x:c>
      <x:c r="J869" s="16" t="n">
        <x:v>45948.78173028935</x:v>
      </x:c>
      <x:c r="K869" s="16"/>
      <x:c r="L869" s="20" t="n">
        <x:v>1007.47</x:v>
      </x:c>
      <x:c r="M869" s="20" t="n">
        <x:v>0</x:v>
      </x:c>
      <x:c r="N869" s="20" t="n">
        <x:v>0</x:v>
      </x:c>
      <x:c r="O869" s="20" t="n">
        <x:v>0</x:v>
      </x:c>
      <x:c r="P869" s="20" t="n">
        <x:v>1007.47</x:v>
      </x:c>
      <x:c r="Q869" s="10" t="str">
        <x:v>Vencido</x:v>
      </x:c>
      <x:c r="R869" s="10" t="str">
        <x:v>Cartão Corporativo</x:v>
      </x:c>
      <x:c r="S869" s="10" t="str">
        <x:v>2025-09</x:v>
      </x:c>
      <x:c r="T869" s="10" t="n">
        <x:v>73</x:v>
      </x:c>
      <x:c r="U869" s="10" t="str">
        <x:v>61 a 90 dias</x:v>
      </x:c>
      <x:c r="V869" s="10" t="str">
        <x:v>UND004</x:v>
      </x:c>
    </x:row>
    <x:row r="870" ht="18" customHeight="1">
      <x:c r="A870" s="10" t="str">
        <x:v>PAG00869</x:v>
      </x:c>
      <x:c r="B870" s="10" t="str">
        <x:v>EMP001</x:v>
      </x:c>
      <x:c r="C870" s="10" t="str">
        <x:v>FOR014</x:v>
      </x:c>
      <x:c r="D870" s="10" t="str">
        <x:v>CC005</x:v>
      </x:c>
      <x:c r="E870" s="10" t="str">
        <x:v>CAT007</x:v>
      </x:c>
      <x:c r="F870" s="10" t="str">
        <x:v>CTA001</x:v>
      </x:c>
      <x:c r="G870" s="10" t="str">
        <x:v>NF-100869</x:v>
      </x:c>
      <x:c r="H870" s="10" t="str">
        <x:v>Despesa operacional</x:v>
      </x:c>
      <x:c r="I870" s="16" t="n">
        <x:v>45544.35630872685</x:v>
      </x:c>
      <x:c r="J870" s="16" t="n">
        <x:v>45589.35630872685</x:v>
      </x:c>
      <x:c r="K870" s="16" t="n">
        <x:v>45589.35630872685</x:v>
      </x:c>
      <x:c r="L870" s="20" t="n">
        <x:v>19290.09</x:v>
      </x:c>
      <x:c r="M870" s="20" t="n">
        <x:v>0</x:v>
      </x:c>
      <x:c r="N870" s="20" t="n">
        <x:v>0</x:v>
      </x:c>
      <x:c r="O870" s="20" t="n">
        <x:v>19290.09</x:v>
      </x:c>
      <x:c r="P870" s="20" t="n">
        <x:v>0</x:v>
      </x:c>
      <x:c r="Q870" s="10" t="str">
        <x:v>Pago</x:v>
      </x:c>
      <x:c r="R870" s="10" t="str">
        <x:v>Boleto</x:v>
      </x:c>
      <x:c r="S870" s="10" t="str">
        <x:v>2024-09</x:v>
      </x:c>
      <x:c r="T870" s="10" t="n">
        <x:v>0</x:v>
      </x:c>
      <x:c r="U870" s="10" t="str">
        <x:v>Liquidado</x:v>
      </x:c>
      <x:c r="V870" s="10" t="str">
        <x:v>UND002</x:v>
      </x:c>
    </x:row>
    <x:row r="871" ht="18" customHeight="1">
      <x:c r="A871" s="10" t="str">
        <x:v>PAG00870</x:v>
      </x:c>
      <x:c r="B871" s="10" t="str">
        <x:v>EMP003</x:v>
      </x:c>
      <x:c r="C871" s="10" t="str">
        <x:v>FOR033</x:v>
      </x:c>
      <x:c r="D871" s="10" t="str">
        <x:v>CC004</x:v>
      </x:c>
      <x:c r="E871" s="10" t="str">
        <x:v>CAT018</x:v>
      </x:c>
      <x:c r="F871" s="10" t="str">
        <x:v>CTA005</x:v>
      </x:c>
      <x:c r="G871" s="10" t="str">
        <x:v>NF-100870</x:v>
      </x:c>
      <x:c r="H871" s="10" t="str">
        <x:v>Contrato recorrente</x:v>
      </x:c>
      <x:c r="I871" s="16" t="n">
        <x:v>45452.505279074074</x:v>
      </x:c>
      <x:c r="J871" s="16" t="n">
        <x:v>45527.505279074074</x:v>
      </x:c>
      <x:c r="K871" s="16" t="n">
        <x:v>45533.505279074074</x:v>
      </x:c>
      <x:c r="L871" s="20" t="n">
        <x:v>10842.68</x:v>
      </x:c>
      <x:c r="M871" s="20" t="n">
        <x:v>45.54</x:v>
      </x:c>
      <x:c r="N871" s="20" t="n">
        <x:v>0</x:v>
      </x:c>
      <x:c r="O871" s="20" t="n">
        <x:v>10888.22</x:v>
      </x:c>
      <x:c r="P871" s="20" t="n">
        <x:v>0</x:v>
      </x:c>
      <x:c r="Q871" s="10" t="str">
        <x:v>Pago</x:v>
      </x:c>
      <x:c r="R871" s="10" t="str">
        <x:v>Débito Automático</x:v>
      </x:c>
      <x:c r="S871" s="10" t="str">
        <x:v>2024-06</x:v>
      </x:c>
      <x:c r="T871" s="10" t="n">
        <x:v>0</x:v>
      </x:c>
      <x:c r="U871" s="10" t="str">
        <x:v>Liquidado</x:v>
      </x:c>
      <x:c r="V871" s="10" t="str">
        <x:v>UND004</x:v>
      </x:c>
    </x:row>
    <x:row r="872" ht="18" customHeight="1">
      <x:c r="A872" s="10" t="str">
        <x:v>PAG00871</x:v>
      </x:c>
      <x:c r="B872" s="10" t="str">
        <x:v>EMP003</x:v>
      </x:c>
      <x:c r="C872" s="10" t="str">
        <x:v>FOR015</x:v>
      </x:c>
      <x:c r="D872" s="10" t="str">
        <x:v>CC004</x:v>
      </x:c>
      <x:c r="E872" s="10" t="str">
        <x:v>CAT010</x:v>
      </x:c>
      <x:c r="F872" s="10" t="str">
        <x:v>CTA006</x:v>
      </x:c>
      <x:c r="G872" s="10" t="str">
        <x:v>NF-100871</x:v>
      </x:c>
      <x:c r="H872" s="10" t="str">
        <x:v>Contrato recorrente</x:v>
      </x:c>
      <x:c r="I872" s="16" t="n">
        <x:v>45536.72248320602</x:v>
      </x:c>
      <x:c r="J872" s="16" t="n">
        <x:v>45564.72248320602</x:v>
      </x:c>
      <x:c r="K872" s="16" t="n">
        <x:v>45572.72248320602</x:v>
      </x:c>
      <x:c r="L872" s="20" t="n">
        <x:v>34752.77</x:v>
      </x:c>
      <x:c r="M872" s="20" t="n">
        <x:v>194.62</x:v>
      </x:c>
      <x:c r="N872" s="20" t="n">
        <x:v>0</x:v>
      </x:c>
      <x:c r="O872" s="20" t="n">
        <x:v>34947.39</x:v>
      </x:c>
      <x:c r="P872" s="20" t="n">
        <x:v>0</x:v>
      </x:c>
      <x:c r="Q872" s="10" t="str">
        <x:v>Pago</x:v>
      </x:c>
      <x:c r="R872" s="10" t="str">
        <x:v>TED</x:v>
      </x:c>
      <x:c r="S872" s="10" t="str">
        <x:v>2024-09</x:v>
      </x:c>
      <x:c r="T872" s="10" t="n">
        <x:v>0</x:v>
      </x:c>
      <x:c r="U872" s="10" t="str">
        <x:v>Liquidado</x:v>
      </x:c>
      <x:c r="V872" s="10" t="str">
        <x:v>UND004</x:v>
      </x:c>
    </x:row>
    <x:row r="873" ht="18" customHeight="1">
      <x:c r="A873" s="10" t="str">
        <x:v>PAG00872</x:v>
      </x:c>
      <x:c r="B873" s="10" t="str">
        <x:v>EMP001</x:v>
      </x:c>
      <x:c r="C873" s="10" t="str">
        <x:v>FOR021</x:v>
      </x:c>
      <x:c r="D873" s="10" t="str">
        <x:v>CC005</x:v>
      </x:c>
      <x:c r="E873" s="10" t="str">
        <x:v>CAT014</x:v>
      </x:c>
      <x:c r="F873" s="10" t="str">
        <x:v>CTA002</x:v>
      </x:c>
      <x:c r="G873" s="10" t="str">
        <x:v>NF-100872</x:v>
      </x:c>
      <x:c r="H873" s="10" t="str">
        <x:v>Prestação de serviços</x:v>
      </x:c>
      <x:c r="I873" s="16" t="n">
        <x:v>45884.839185324076</x:v>
      </x:c>
      <x:c r="J873" s="16" t="n">
        <x:v>45944.839185324076</x:v>
      </x:c>
      <x:c r="K873" s="16" t="n">
        <x:v>45952.839185324076</x:v>
      </x:c>
      <x:c r="L873" s="20" t="n">
        <x:v>115172.47</x:v>
      </x:c>
      <x:c r="M873" s="20" t="n">
        <x:v>644.97</x:v>
      </x:c>
      <x:c r="N873" s="20" t="n">
        <x:v>0</x:v>
      </x:c>
      <x:c r="O873" s="20" t="n">
        <x:v>115817.44</x:v>
      </x:c>
      <x:c r="P873" s="20" t="n">
        <x:v>0</x:v>
      </x:c>
      <x:c r="Q873" s="10" t="str">
        <x:v>Pago</x:v>
      </x:c>
      <x:c r="R873" s="10" t="str">
        <x:v>TED</x:v>
      </x:c>
      <x:c r="S873" s="10" t="str">
        <x:v>2025-08</x:v>
      </x:c>
      <x:c r="T873" s="10" t="n">
        <x:v>0</x:v>
      </x:c>
      <x:c r="U873" s="10" t="str">
        <x:v>Liquidado</x:v>
      </x:c>
      <x:c r="V873" s="10" t="str">
        <x:v>UND002</x:v>
      </x:c>
    </x:row>
    <x:row r="874" ht="18" customHeight="1">
      <x:c r="A874" s="10" t="str">
        <x:v>PAG00873</x:v>
      </x:c>
      <x:c r="B874" s="10" t="str">
        <x:v>EMP001</x:v>
      </x:c>
      <x:c r="C874" s="10" t="str">
        <x:v>FOR002</x:v>
      </x:c>
      <x:c r="D874" s="10" t="str">
        <x:v>CC008</x:v>
      </x:c>
      <x:c r="E874" s="10" t="str">
        <x:v>CAT012</x:v>
      </x:c>
      <x:c r="F874" s="10" t="str">
        <x:v>CTA002</x:v>
      </x:c>
      <x:c r="G874" s="10" t="str">
        <x:v>NF-100873</x:v>
      </x:c>
      <x:c r="H874" s="10" t="str">
        <x:v>Compra de materiais</x:v>
      </x:c>
      <x:c r="I874" s="16" t="n">
        <x:v>45761.760832430555</x:v>
      </x:c>
      <x:c r="J874" s="16" t="n">
        <x:v>45806.760832430555</x:v>
      </x:c>
      <x:c r="K874" s="16" t="n">
        <x:v>45811.760832430555</x:v>
      </x:c>
      <x:c r="L874" s="20" t="n">
        <x:v>2755.56</x:v>
      </x:c>
      <x:c r="M874" s="20" t="n">
        <x:v>9.64</x:v>
      </x:c>
      <x:c r="N874" s="20" t="n">
        <x:v>0</x:v>
      </x:c>
      <x:c r="O874" s="20" t="n">
        <x:v>2765.2</x:v>
      </x:c>
      <x:c r="P874" s="20" t="n">
        <x:v>0</x:v>
      </x:c>
      <x:c r="Q874" s="10" t="str">
        <x:v>Pago</x:v>
      </x:c>
      <x:c r="R874" s="10" t="str">
        <x:v>Débito Automático</x:v>
      </x:c>
      <x:c r="S874" s="10" t="str">
        <x:v>2025-04</x:v>
      </x:c>
      <x:c r="T874" s="10" t="n">
        <x:v>0</x:v>
      </x:c>
      <x:c r="U874" s="10" t="str">
        <x:v>Liquidado</x:v>
      </x:c>
      <x:c r="V874" s="10" t="str">
        <x:v>UND002</x:v>
      </x:c>
    </x:row>
    <x:row r="875" ht="18" customHeight="1">
      <x:c r="A875" s="10" t="str">
        <x:v>PAG00874</x:v>
      </x:c>
      <x:c r="B875" s="10" t="str">
        <x:v>EMP003</x:v>
      </x:c>
      <x:c r="C875" s="10" t="str">
        <x:v>FOR055</x:v>
      </x:c>
      <x:c r="D875" s="10" t="str">
        <x:v>CC007</x:v>
      </x:c>
      <x:c r="E875" s="10" t="str">
        <x:v>CAT009</x:v>
      </x:c>
      <x:c r="F875" s="10" t="str">
        <x:v>CTA005</x:v>
      </x:c>
      <x:c r="G875" s="10" t="str">
        <x:v>NF-100874</x:v>
      </x:c>
      <x:c r="H875" s="10" t="str">
        <x:v>Contrato recorrente</x:v>
      </x:c>
      <x:c r="I875" s="16" t="n">
        <x:v>45923.13183704861</x:v>
      </x:c>
      <x:c r="J875" s="16" t="n">
        <x:v>45951.13183704861</x:v>
      </x:c>
      <x:c r="K875" s="16" t="n">
        <x:v>45945.13183704861</x:v>
      </x:c>
      <x:c r="L875" s="20" t="n">
        <x:v>9984.6</x:v>
      </x:c>
      <x:c r="M875" s="20" t="n">
        <x:v>0</x:v>
      </x:c>
      <x:c r="N875" s="20" t="n">
        <x:v>99.85</x:v>
      </x:c>
      <x:c r="O875" s="20" t="n">
        <x:v>9884.75</x:v>
      </x:c>
      <x:c r="P875" s="20" t="n">
        <x:v>0</x:v>
      </x:c>
      <x:c r="Q875" s="10" t="str">
        <x:v>Pago</x:v>
      </x:c>
      <x:c r="R875" s="10" t="str">
        <x:v>PIX</x:v>
      </x:c>
      <x:c r="S875" s="10" t="str">
        <x:v>2025-09</x:v>
      </x:c>
      <x:c r="T875" s="10" t="n">
        <x:v>0</x:v>
      </x:c>
      <x:c r="U875" s="10" t="str">
        <x:v>Liquidado</x:v>
      </x:c>
      <x:c r="V875" s="10" t="str">
        <x:v>UND004</x:v>
      </x:c>
    </x:row>
    <x:row r="876" ht="18" customHeight="1">
      <x:c r="A876" s="10" t="str">
        <x:v>PAG00875</x:v>
      </x:c>
      <x:c r="B876" s="10" t="str">
        <x:v>EMP003</x:v>
      </x:c>
      <x:c r="C876" s="10" t="str">
        <x:v>FOR007</x:v>
      </x:c>
      <x:c r="D876" s="10" t="str">
        <x:v>CC004</x:v>
      </x:c>
      <x:c r="E876" s="10" t="str">
        <x:v>CAT010</x:v>
      </x:c>
      <x:c r="F876" s="10" t="str">
        <x:v>CTA006</x:v>
      </x:c>
      <x:c r="G876" s="10" t="str">
        <x:v>NF-100875</x:v>
      </x:c>
      <x:c r="H876" s="10" t="str">
        <x:v>Compra de materiais</x:v>
      </x:c>
      <x:c r="I876" s="16" t="n">
        <x:v>45775.010299050926</x:v>
      </x:c>
      <x:c r="J876" s="16" t="n">
        <x:v>45835.010299050926</x:v>
      </x:c>
      <x:c r="K876" s="16" t="n">
        <x:v>45862.010299050926</x:v>
      </x:c>
      <x:c r="L876" s="20" t="n">
        <x:v>3185.29</x:v>
      </x:c>
      <x:c r="M876" s="20" t="n">
        <x:v>60.2</x:v>
      </x:c>
      <x:c r="N876" s="20" t="n">
        <x:v>0</x:v>
      </x:c>
      <x:c r="O876" s="20" t="n">
        <x:v>3245.49</x:v>
      </x:c>
      <x:c r="P876" s="20" t="n">
        <x:v>0</x:v>
      </x:c>
      <x:c r="Q876" s="10" t="str">
        <x:v>Pago</x:v>
      </x:c>
      <x:c r="R876" s="10" t="str">
        <x:v>Cartão Corporativo</x:v>
      </x:c>
      <x:c r="S876" s="10" t="str">
        <x:v>2025-04</x:v>
      </x:c>
      <x:c r="T876" s="10" t="n">
        <x:v>0</x:v>
      </x:c>
      <x:c r="U876" s="10" t="str">
        <x:v>Liquidado</x:v>
      </x:c>
      <x:c r="V876" s="10" t="str">
        <x:v>UND004</x:v>
      </x:c>
    </x:row>
    <x:row r="877" ht="18" customHeight="1">
      <x:c r="A877" s="10" t="str">
        <x:v>PAG00876</x:v>
      </x:c>
      <x:c r="B877" s="10" t="str">
        <x:v>EMP003</x:v>
      </x:c>
      <x:c r="C877" s="10" t="str">
        <x:v>FOR022</x:v>
      </x:c>
      <x:c r="D877" s="10" t="str">
        <x:v>CC001</x:v>
      </x:c>
      <x:c r="E877" s="10" t="str">
        <x:v>CAT007</x:v>
      </x:c>
      <x:c r="F877" s="10" t="str">
        <x:v>CTA006</x:v>
      </x:c>
      <x:c r="G877" s="10" t="str">
        <x:v>NF-100876</x:v>
      </x:c>
      <x:c r="H877" s="10" t="str">
        <x:v>Despesa operacional</x:v>
      </x:c>
      <x:c r="I877" s="16" t="n">
        <x:v>45732.987850625</x:v>
      </x:c>
      <x:c r="J877" s="16" t="n">
        <x:v>45747.987850625</x:v>
      </x:c>
      <x:c r="K877" s="16" t="n">
        <x:v>45749.987850625</x:v>
      </x:c>
      <x:c r="L877" s="20" t="n">
        <x:v>101940.01</x:v>
      </x:c>
      <x:c r="M877" s="20" t="n">
        <x:v>142.72</x:v>
      </x:c>
      <x:c r="N877" s="20" t="n">
        <x:v>0</x:v>
      </x:c>
      <x:c r="O877" s="20" t="n">
        <x:v>102082.73</x:v>
      </x:c>
      <x:c r="P877" s="20" t="n">
        <x:v>0</x:v>
      </x:c>
      <x:c r="Q877" s="10" t="str">
        <x:v>Pago</x:v>
      </x:c>
      <x:c r="R877" s="10" t="str">
        <x:v>Débito Automático</x:v>
      </x:c>
      <x:c r="S877" s="10" t="str">
        <x:v>2025-03</x:v>
      </x:c>
      <x:c r="T877" s="10" t="n">
        <x:v>0</x:v>
      </x:c>
      <x:c r="U877" s="10" t="str">
        <x:v>Liquidado</x:v>
      </x:c>
      <x:c r="V877" s="10" t="str">
        <x:v>UND004</x:v>
      </x:c>
    </x:row>
    <x:row r="878" ht="18" customHeight="1">
      <x:c r="A878" s="10" t="str">
        <x:v>PAG00877</x:v>
      </x:c>
      <x:c r="B878" s="10" t="str">
        <x:v>EMP001</x:v>
      </x:c>
      <x:c r="C878" s="10" t="str">
        <x:v>FOR054</x:v>
      </x:c>
      <x:c r="D878" s="10" t="str">
        <x:v>CC007</x:v>
      </x:c>
      <x:c r="E878" s="10" t="str">
        <x:v>CAT013</x:v>
      </x:c>
      <x:c r="F878" s="10" t="str">
        <x:v>CTA002</x:v>
      </x:c>
      <x:c r="G878" s="10" t="str">
        <x:v>NF-100877</x:v>
      </x:c>
      <x:c r="H878" s="10" t="str">
        <x:v>Tributos e taxas</x:v>
      </x:c>
      <x:c r="I878" s="16" t="n">
        <x:v>45716.98465622685</x:v>
      </x:c>
      <x:c r="J878" s="16" t="n">
        <x:v>45744.98465622685</x:v>
      </x:c>
      <x:c r="K878" s="16" t="n">
        <x:v>45750.98465622685</x:v>
      </x:c>
      <x:c r="L878" s="20" t="n">
        <x:v>109750.95</x:v>
      </x:c>
      <x:c r="M878" s="20" t="n">
        <x:v>460.95</x:v>
      </x:c>
      <x:c r="N878" s="20" t="n">
        <x:v>0</x:v>
      </x:c>
      <x:c r="O878" s="20" t="n">
        <x:v>110211.9</x:v>
      </x:c>
      <x:c r="P878" s="20" t="n">
        <x:v>0</x:v>
      </x:c>
      <x:c r="Q878" s="10" t="str">
        <x:v>Pago</x:v>
      </x:c>
      <x:c r="R878" s="10" t="str">
        <x:v>TED</x:v>
      </x:c>
      <x:c r="S878" s="10" t="str">
        <x:v>2025-02</x:v>
      </x:c>
      <x:c r="T878" s="10" t="n">
        <x:v>0</x:v>
      </x:c>
      <x:c r="U878" s="10" t="str">
        <x:v>Liquidado</x:v>
      </x:c>
      <x:c r="V878" s="10" t="str">
        <x:v>UND002</x:v>
      </x:c>
    </x:row>
    <x:row r="879" ht="18" customHeight="1">
      <x:c r="A879" s="10" t="str">
        <x:v>PAG00878</x:v>
      </x:c>
      <x:c r="B879" s="10" t="str">
        <x:v>EMP002</x:v>
      </x:c>
      <x:c r="C879" s="10" t="str">
        <x:v>FOR037</x:v>
      </x:c>
      <x:c r="D879" s="10" t="str">
        <x:v>CC004</x:v>
      </x:c>
      <x:c r="E879" s="10" t="str">
        <x:v>CAT005</x:v>
      </x:c>
      <x:c r="F879" s="10" t="str">
        <x:v>CTA004</x:v>
      </x:c>
      <x:c r="G879" s="10" t="str">
        <x:v>NF-100878</x:v>
      </x:c>
      <x:c r="H879" s="10" t="str">
        <x:v>Despesa operacional</x:v>
      </x:c>
      <x:c r="I879" s="16" t="n">
        <x:v>45641.35387269676</x:v>
      </x:c>
      <x:c r="J879" s="16" t="n">
        <x:v>45656.35387269676</x:v>
      </x:c>
      <x:c r="K879" s="16" t="n">
        <x:v>45651.35387269676</x:v>
      </x:c>
      <x:c r="L879" s="20" t="n">
        <x:v>16884.72</x:v>
      </x:c>
      <x:c r="M879" s="20" t="n">
        <x:v>0</x:v>
      </x:c>
      <x:c r="N879" s="20" t="n">
        <x:v>0</x:v>
      </x:c>
      <x:c r="O879" s="20" t="n">
        <x:v>16884.72</x:v>
      </x:c>
      <x:c r="P879" s="20" t="n">
        <x:v>0</x:v>
      </x:c>
      <x:c r="Q879" s="10" t="str">
        <x:v>Pago</x:v>
      </x:c>
      <x:c r="R879" s="10" t="str">
        <x:v>Débito Automático</x:v>
      </x:c>
      <x:c r="S879" s="10" t="str">
        <x:v>2024-12</x:v>
      </x:c>
      <x:c r="T879" s="10" t="n">
        <x:v>0</x:v>
      </x:c>
      <x:c r="U879" s="10" t="str">
        <x:v>Liquidado</x:v>
      </x:c>
      <x:c r="V879" s="10" t="str">
        <x:v>UND003</x:v>
      </x:c>
    </x:row>
    <x:row r="880" ht="18" customHeight="1">
      <x:c r="A880" s="10" t="str">
        <x:v>PAG00879</x:v>
      </x:c>
      <x:c r="B880" s="10" t="str">
        <x:v>EMP001</x:v>
      </x:c>
      <x:c r="C880" s="10" t="str">
        <x:v>FOR029</x:v>
      </x:c>
      <x:c r="D880" s="10" t="str">
        <x:v>CC003</x:v>
      </x:c>
      <x:c r="E880" s="10" t="str">
        <x:v>CAT011</x:v>
      </x:c>
      <x:c r="F880" s="10" t="str">
        <x:v>CTA001</x:v>
      </x:c>
      <x:c r="G880" s="10" t="str">
        <x:v>NF-100879</x:v>
      </x:c>
      <x:c r="H880" s="10" t="str">
        <x:v>Prestação de serviços</x:v>
      </x:c>
      <x:c r="I880" s="16" t="n">
        <x:v>45720.9299040625</x:v>
      </x:c>
      <x:c r="J880" s="16" t="n">
        <x:v>45735.9299040625</x:v>
      </x:c>
      <x:c r="K880" s="16" t="n">
        <x:v>45744.9299040625</x:v>
      </x:c>
      <x:c r="L880" s="20" t="n">
        <x:v>22130.16</x:v>
      </x:c>
      <x:c r="M880" s="20" t="n">
        <x:v>139.42</x:v>
      </x:c>
      <x:c r="N880" s="20" t="n">
        <x:v>0</x:v>
      </x:c>
      <x:c r="O880" s="20" t="n">
        <x:v>22269.58</x:v>
      </x:c>
      <x:c r="P880" s="20" t="n">
        <x:v>0</x:v>
      </x:c>
      <x:c r="Q880" s="10" t="str">
        <x:v>Pago</x:v>
      </x:c>
      <x:c r="R880" s="10" t="str">
        <x:v>Débito Automático</x:v>
      </x:c>
      <x:c r="S880" s="10" t="str">
        <x:v>2025-03</x:v>
      </x:c>
      <x:c r="T880" s="10" t="n">
        <x:v>0</x:v>
      </x:c>
      <x:c r="U880" s="10" t="str">
        <x:v>Liquidado</x:v>
      </x:c>
      <x:c r="V880" s="10" t="str">
        <x:v>UND002</x:v>
      </x:c>
    </x:row>
    <x:row r="881" ht="18" customHeight="1">
      <x:c r="A881" s="10" t="str">
        <x:v>PAG00880</x:v>
      </x:c>
      <x:c r="B881" s="10" t="str">
        <x:v>EMP001</x:v>
      </x:c>
      <x:c r="C881" s="10" t="str">
        <x:v>FOR009</x:v>
      </x:c>
      <x:c r="D881" s="10" t="str">
        <x:v>CC008</x:v>
      </x:c>
      <x:c r="E881" s="10" t="str">
        <x:v>CAT017</x:v>
      </x:c>
      <x:c r="F881" s="10" t="str">
        <x:v>CTA001</x:v>
      </x:c>
      <x:c r="G881" s="10" t="str">
        <x:v>NF-100880</x:v>
      </x:c>
      <x:c r="H881" s="10" t="str">
        <x:v>Tributos e taxas</x:v>
      </x:c>
      <x:c r="I881" s="16" t="n">
        <x:v>45981.36507881944</x:v>
      </x:c>
      <x:c r="J881" s="16" t="n">
        <x:v>46056.36507881944</x:v>
      </x:c>
      <x:c r="K881" s="16"/>
      <x:c r="L881" s="20" t="n">
        <x:v>37532.95</x:v>
      </x:c>
      <x:c r="M881" s="20" t="n">
        <x:v>0</x:v>
      </x:c>
      <x:c r="N881" s="20" t="n">
        <x:v>0</x:v>
      </x:c>
      <x:c r="O881" s="20" t="n">
        <x:v>0</x:v>
      </x:c>
      <x:c r="P881" s="20" t="n">
        <x:v>37532.95</x:v>
      </x:c>
      <x:c r="Q881" s="10" t="str">
        <x:v>A vencer</x:v>
      </x:c>
      <x:c r="R881" s="10" t="str">
        <x:v>Débito Automático</x:v>
      </x:c>
      <x:c r="S881" s="10" t="str">
        <x:v>2025-11</x:v>
      </x:c>
      <x:c r="T881" s="10" t="n">
        <x:v>0</x:v>
      </x:c>
      <x:c r="U881" s="10" t="str">
        <x:v>A vencer</x:v>
      </x:c>
      <x:c r="V881" s="10" t="str">
        <x:v>UND001</x:v>
      </x:c>
    </x:row>
    <x:row r="882" ht="18" customHeight="1">
      <x:c r="A882" s="10" t="str">
        <x:v>PAG00881</x:v>
      </x:c>
      <x:c r="B882" s="10" t="str">
        <x:v>EMP002</x:v>
      </x:c>
      <x:c r="C882" s="10" t="str">
        <x:v>FOR026</x:v>
      </x:c>
      <x:c r="D882" s="10" t="str">
        <x:v>CC007</x:v>
      </x:c>
      <x:c r="E882" s="10" t="str">
        <x:v>CAT017</x:v>
      </x:c>
      <x:c r="F882" s="10" t="str">
        <x:v>CTA004</x:v>
      </x:c>
      <x:c r="G882" s="10" t="str">
        <x:v>NF-100881</x:v>
      </x:c>
      <x:c r="H882" s="10" t="str">
        <x:v>Compra de materiais</x:v>
      </x:c>
      <x:c r="I882" s="16" t="n">
        <x:v>45347.447582465276</x:v>
      </x:c>
      <x:c r="J882" s="16" t="n">
        <x:v>45375.447582465276</x:v>
      </x:c>
      <x:c r="K882" s="16" t="n">
        <x:v>45374.447582465276</x:v>
      </x:c>
      <x:c r="L882" s="20" t="n">
        <x:v>63134.91</x:v>
      </x:c>
      <x:c r="M882" s="20" t="n">
        <x:v>0</x:v>
      </x:c>
      <x:c r="N882" s="20" t="n">
        <x:v>947.02</x:v>
      </x:c>
      <x:c r="O882" s="20" t="n">
        <x:v>62187.89</x:v>
      </x:c>
      <x:c r="P882" s="20" t="n">
        <x:v>0</x:v>
      </x:c>
      <x:c r="Q882" s="10" t="str">
        <x:v>Pago</x:v>
      </x:c>
      <x:c r="R882" s="10" t="str">
        <x:v>TED</x:v>
      </x:c>
      <x:c r="S882" s="10" t="str">
        <x:v>2024-02</x:v>
      </x:c>
      <x:c r="T882" s="10" t="n">
        <x:v>0</x:v>
      </x:c>
      <x:c r="U882" s="10" t="str">
        <x:v>Liquidado</x:v>
      </x:c>
      <x:c r="V882" s="10" t="str">
        <x:v>UND003</x:v>
      </x:c>
    </x:row>
    <x:row r="883" ht="18" customHeight="1">
      <x:c r="A883" s="10" t="str">
        <x:v>PAG00882</x:v>
      </x:c>
      <x:c r="B883" s="10" t="str">
        <x:v>EMP002</x:v>
      </x:c>
      <x:c r="C883" s="10" t="str">
        <x:v>FOR037</x:v>
      </x:c>
      <x:c r="D883" s="10" t="str">
        <x:v>CC007</x:v>
      </x:c>
      <x:c r="E883" s="10" t="str">
        <x:v>CAT012</x:v>
      </x:c>
      <x:c r="F883" s="10" t="str">
        <x:v>CTA003</x:v>
      </x:c>
      <x:c r="G883" s="10" t="str">
        <x:v>NF-100882</x:v>
      </x:c>
      <x:c r="H883" s="10" t="str">
        <x:v>Despesa operacional</x:v>
      </x:c>
      <x:c r="I883" s="16" t="n">
        <x:v>45562.015372407404</x:v>
      </x:c>
      <x:c r="J883" s="16" t="n">
        <x:v>45607.015372407404</x:v>
      </x:c>
      <x:c r="K883" s="16" t="n">
        <x:v>45607.015372407404</x:v>
      </x:c>
      <x:c r="L883" s="20" t="n">
        <x:v>7104.82</x:v>
      </x:c>
      <x:c r="M883" s="20" t="n">
        <x:v>0</x:v>
      </x:c>
      <x:c r="N883" s="20" t="n">
        <x:v>0</x:v>
      </x:c>
      <x:c r="O883" s="20" t="n">
        <x:v>7104.82</x:v>
      </x:c>
      <x:c r="P883" s="20" t="n">
        <x:v>0</x:v>
      </x:c>
      <x:c r="Q883" s="10" t="str">
        <x:v>Pago</x:v>
      </x:c>
      <x:c r="R883" s="10" t="str">
        <x:v>TED</x:v>
      </x:c>
      <x:c r="S883" s="10" t="str">
        <x:v>2024-09</x:v>
      </x:c>
      <x:c r="T883" s="10" t="n">
        <x:v>0</x:v>
      </x:c>
      <x:c r="U883" s="10" t="str">
        <x:v>Liquidado</x:v>
      </x:c>
      <x:c r="V883" s="10" t="str">
        <x:v>UND003</x:v>
      </x:c>
    </x:row>
    <x:row r="884" ht="18" customHeight="1">
      <x:c r="A884" s="10" t="str">
        <x:v>PAG00883</x:v>
      </x:c>
      <x:c r="B884" s="10" t="str">
        <x:v>EMP003</x:v>
      </x:c>
      <x:c r="C884" s="10" t="str">
        <x:v>FOR034</x:v>
      </x:c>
      <x:c r="D884" s="10" t="str">
        <x:v>CC003</x:v>
      </x:c>
      <x:c r="E884" s="10" t="str">
        <x:v>CAT012</x:v>
      </x:c>
      <x:c r="F884" s="10" t="str">
        <x:v>CTA005</x:v>
      </x:c>
      <x:c r="G884" s="10" t="str">
        <x:v>NF-100883</x:v>
      </x:c>
      <x:c r="H884" s="10" t="str">
        <x:v>Contrato recorrente</x:v>
      </x:c>
      <x:c r="I884" s="16" t="n">
        <x:v>45296.56590898148</x:v>
      </x:c>
      <x:c r="J884" s="16" t="n">
        <x:v>45356.56590898148</x:v>
      </x:c>
      <x:c r="K884" s="16" t="n">
        <x:v>45351.56590898148</x:v>
      </x:c>
      <x:c r="L884" s="20" t="n">
        <x:v>42062.69</x:v>
      </x:c>
      <x:c r="M884" s="20" t="n">
        <x:v>0</x:v>
      </x:c>
      <x:c r="N884" s="20" t="n">
        <x:v>0</x:v>
      </x:c>
      <x:c r="O884" s="20" t="n">
        <x:v>42062.69</x:v>
      </x:c>
      <x:c r="P884" s="20" t="n">
        <x:v>0</x:v>
      </x:c>
      <x:c r="Q884" s="10" t="str">
        <x:v>Pago</x:v>
      </x:c>
      <x:c r="R884" s="10" t="str">
        <x:v>TED</x:v>
      </x:c>
      <x:c r="S884" s="10" t="str">
        <x:v>2024-01</x:v>
      </x:c>
      <x:c r="T884" s="10" t="n">
        <x:v>0</x:v>
      </x:c>
      <x:c r="U884" s="10" t="str">
        <x:v>Liquidado</x:v>
      </x:c>
      <x:c r="V884" s="10" t="str">
        <x:v>UND004</x:v>
      </x:c>
    </x:row>
    <x:row r="885" ht="18" customHeight="1">
      <x:c r="A885" s="10" t="str">
        <x:v>PAG00884</x:v>
      </x:c>
      <x:c r="B885" s="10" t="str">
        <x:v>EMP002</x:v>
      </x:c>
      <x:c r="C885" s="10" t="str">
        <x:v>FOR004</x:v>
      </x:c>
      <x:c r="D885" s="10" t="str">
        <x:v>CC006</x:v>
      </x:c>
      <x:c r="E885" s="10" t="str">
        <x:v>CAT005</x:v>
      </x:c>
      <x:c r="F885" s="10" t="str">
        <x:v>CTA003</x:v>
      </x:c>
      <x:c r="G885" s="10" t="str">
        <x:v>NF-100884</x:v>
      </x:c>
      <x:c r="H885" s="10" t="str">
        <x:v>Contrato recorrente</x:v>
      </x:c>
      <x:c r="I885" s="16" t="n">
        <x:v>45635.98944863426</x:v>
      </x:c>
      <x:c r="J885" s="16" t="n">
        <x:v>45680.98944863426</x:v>
      </x:c>
      <x:c r="K885" s="16" t="n">
        <x:v>45687.98944863426</x:v>
      </x:c>
      <x:c r="L885" s="20" t="n">
        <x:v>4025.11</x:v>
      </x:c>
      <x:c r="M885" s="20" t="n">
        <x:v>19.72</x:v>
      </x:c>
      <x:c r="N885" s="20" t="n">
        <x:v>0</x:v>
      </x:c>
      <x:c r="O885" s="20" t="n">
        <x:v>4044.83</x:v>
      </x:c>
      <x:c r="P885" s="20" t="n">
        <x:v>0</x:v>
      </x:c>
      <x:c r="Q885" s="10" t="str">
        <x:v>Pago</x:v>
      </x:c>
      <x:c r="R885" s="10" t="str">
        <x:v>Boleto</x:v>
      </x:c>
      <x:c r="S885" s="10" t="str">
        <x:v>2024-12</x:v>
      </x:c>
      <x:c r="T885" s="10" t="n">
        <x:v>0</x:v>
      </x:c>
      <x:c r="U885" s="10" t="str">
        <x:v>Liquidado</x:v>
      </x:c>
      <x:c r="V885" s="10" t="str">
        <x:v>UND003</x:v>
      </x:c>
    </x:row>
    <x:row r="886" ht="18" customHeight="1">
      <x:c r="A886" s="10" t="str">
        <x:v>PAG00885</x:v>
      </x:c>
      <x:c r="B886" s="10" t="str">
        <x:v>EMP003</x:v>
      </x:c>
      <x:c r="C886" s="10" t="str">
        <x:v>FOR010</x:v>
      </x:c>
      <x:c r="D886" s="10" t="str">
        <x:v>CC008</x:v>
      </x:c>
      <x:c r="E886" s="10" t="str">
        <x:v>CAT012</x:v>
      </x:c>
      <x:c r="F886" s="10" t="str">
        <x:v>CTA005</x:v>
      </x:c>
      <x:c r="G886" s="10" t="str">
        <x:v>NF-100885</x:v>
      </x:c>
      <x:c r="H886" s="10" t="str">
        <x:v>Compra de materiais</x:v>
      </x:c>
      <x:c r="I886" s="16" t="n">
        <x:v>45321.332755462965</x:v>
      </x:c>
      <x:c r="J886" s="16" t="n">
        <x:v>45336.332755462965</x:v>
      </x:c>
      <x:c r="K886" s="16" t="n">
        <x:v>45344.332755462965</x:v>
      </x:c>
      <x:c r="L886" s="20" t="n">
        <x:v>16611.92</x:v>
      </x:c>
      <x:c r="M886" s="20" t="n">
        <x:v>93.03</x:v>
      </x:c>
      <x:c r="N886" s="20" t="n">
        <x:v>0</x:v>
      </x:c>
      <x:c r="O886" s="20" t="n">
        <x:v>16704.95</x:v>
      </x:c>
      <x:c r="P886" s="20" t="n">
        <x:v>0</x:v>
      </x:c>
      <x:c r="Q886" s="10" t="str">
        <x:v>Pago</x:v>
      </x:c>
      <x:c r="R886" s="10" t="str">
        <x:v>PIX</x:v>
      </x:c>
      <x:c r="S886" s="10" t="str">
        <x:v>2024-01</x:v>
      </x:c>
      <x:c r="T886" s="10" t="n">
        <x:v>0</x:v>
      </x:c>
      <x:c r="U886" s="10" t="str">
        <x:v>Liquidado</x:v>
      </x:c>
      <x:c r="V886" s="10" t="str">
        <x:v>UND004</x:v>
      </x:c>
    </x:row>
    <x:row r="887" ht="18" customHeight="1">
      <x:c r="A887" s="10" t="str">
        <x:v>PAG00886</x:v>
      </x:c>
      <x:c r="B887" s="10" t="str">
        <x:v>EMP001</x:v>
      </x:c>
      <x:c r="C887" s="10" t="str">
        <x:v>FOR047</x:v>
      </x:c>
      <x:c r="D887" s="10" t="str">
        <x:v>CC007</x:v>
      </x:c>
      <x:c r="E887" s="10" t="str">
        <x:v>CAT014</x:v>
      </x:c>
      <x:c r="F887" s="10" t="str">
        <x:v>CTA002</x:v>
      </x:c>
      <x:c r="G887" s="10" t="str">
        <x:v>NF-100886</x:v>
      </x:c>
      <x:c r="H887" s="10" t="str">
        <x:v>Prestação de serviços</x:v>
      </x:c>
      <x:c r="I887" s="16" t="n">
        <x:v>45735.2637690162</x:v>
      </x:c>
      <x:c r="J887" s="16" t="n">
        <x:v>45763.2637690162</x:v>
      </x:c>
      <x:c r="K887" s="16" t="n">
        <x:v>45779.2637690162</x:v>
      </x:c>
      <x:c r="L887" s="20" t="n">
        <x:v>13230.26</x:v>
      </x:c>
      <x:c r="M887" s="20" t="n">
        <x:v>148.18</x:v>
      </x:c>
      <x:c r="N887" s="20" t="n">
        <x:v>0</x:v>
      </x:c>
      <x:c r="O887" s="20" t="n">
        <x:v>13378.44</x:v>
      </x:c>
      <x:c r="P887" s="20" t="n">
        <x:v>0</x:v>
      </x:c>
      <x:c r="Q887" s="10" t="str">
        <x:v>Pago</x:v>
      </x:c>
      <x:c r="R887" s="10" t="str">
        <x:v>Boleto</x:v>
      </x:c>
      <x:c r="S887" s="10" t="str">
        <x:v>2025-03</x:v>
      </x:c>
      <x:c r="T887" s="10" t="n">
        <x:v>0</x:v>
      </x:c>
      <x:c r="U887" s="10" t="str">
        <x:v>Liquidado</x:v>
      </x:c>
      <x:c r="V887" s="10" t="str">
        <x:v>UND002</x:v>
      </x:c>
    </x:row>
    <x:row r="888" ht="18" customHeight="1">
      <x:c r="A888" s="10" t="str">
        <x:v>PAG00887</x:v>
      </x:c>
      <x:c r="B888" s="10" t="str">
        <x:v>EMP001</x:v>
      </x:c>
      <x:c r="C888" s="10" t="str">
        <x:v>FOR002</x:v>
      </x:c>
      <x:c r="D888" s="10" t="str">
        <x:v>CC003</x:v>
      </x:c>
      <x:c r="E888" s="10" t="str">
        <x:v>CAT016</x:v>
      </x:c>
      <x:c r="F888" s="10" t="str">
        <x:v>CTA001</x:v>
      </x:c>
      <x:c r="G888" s="10" t="str">
        <x:v>NF-100887</x:v>
      </x:c>
      <x:c r="H888" s="10" t="str">
        <x:v>Despesa operacional</x:v>
      </x:c>
      <x:c r="I888" s="16" t="n">
        <x:v>45864.49439090278</x:v>
      </x:c>
      <x:c r="J888" s="16" t="n">
        <x:v>45892.49439090278</x:v>
      </x:c>
      <x:c r="K888" s="16" t="n">
        <x:v>45900.49439090278</x:v>
      </x:c>
      <x:c r="L888" s="20" t="n">
        <x:v>19677.05</x:v>
      </x:c>
      <x:c r="M888" s="20" t="n">
        <x:v>110.19</x:v>
      </x:c>
      <x:c r="N888" s="20" t="n">
        <x:v>0</x:v>
      </x:c>
      <x:c r="O888" s="20" t="n">
        <x:v>19787.24</x:v>
      </x:c>
      <x:c r="P888" s="20" t="n">
        <x:v>0</x:v>
      </x:c>
      <x:c r="Q888" s="10" t="str">
        <x:v>Pago</x:v>
      </x:c>
      <x:c r="R888" s="10" t="str">
        <x:v>TED</x:v>
      </x:c>
      <x:c r="S888" s="10" t="str">
        <x:v>2025-07</x:v>
      </x:c>
      <x:c r="T888" s="10" t="n">
        <x:v>0</x:v>
      </x:c>
      <x:c r="U888" s="10" t="str">
        <x:v>Liquidado</x:v>
      </x:c>
      <x:c r="V888" s="10" t="str">
        <x:v>UND001</x:v>
      </x:c>
    </x:row>
    <x:row r="889" ht="18" customHeight="1">
      <x:c r="A889" s="10" t="str">
        <x:v>PAG00888</x:v>
      </x:c>
      <x:c r="B889" s="10" t="str">
        <x:v>EMP003</x:v>
      </x:c>
      <x:c r="C889" s="10" t="str">
        <x:v>FOR039</x:v>
      </x:c>
      <x:c r="D889" s="10" t="str">
        <x:v>CC008</x:v>
      </x:c>
      <x:c r="E889" s="10" t="str">
        <x:v>CAT010</x:v>
      </x:c>
      <x:c r="F889" s="10" t="str">
        <x:v>CTA005</x:v>
      </x:c>
      <x:c r="G889" s="10" t="str">
        <x:v>NF-100888</x:v>
      </x:c>
      <x:c r="H889" s="10" t="str">
        <x:v>Tributos e taxas</x:v>
      </x:c>
      <x:c r="I889" s="16" t="n">
        <x:v>45873.85607787037</x:v>
      </x:c>
      <x:c r="J889" s="16" t="n">
        <x:v>45948.85607787037</x:v>
      </x:c>
      <x:c r="K889" s="16" t="n">
        <x:v>45946.85607787037</x:v>
      </x:c>
      <x:c r="L889" s="20" t="n">
        <x:v>19505.09</x:v>
      </x:c>
      <x:c r="M889" s="20" t="n">
        <x:v>0</x:v>
      </x:c>
      <x:c r="N889" s="20" t="n">
        <x:v>0</x:v>
      </x:c>
      <x:c r="O889" s="20" t="n">
        <x:v>19505.09</x:v>
      </x:c>
      <x:c r="P889" s="20" t="n">
        <x:v>0</x:v>
      </x:c>
      <x:c r="Q889" s="10" t="str">
        <x:v>Pago</x:v>
      </x:c>
      <x:c r="R889" s="10" t="str">
        <x:v>PIX</x:v>
      </x:c>
      <x:c r="S889" s="10" t="str">
        <x:v>2025-08</x:v>
      </x:c>
      <x:c r="T889" s="10" t="n">
        <x:v>0</x:v>
      </x:c>
      <x:c r="U889" s="10" t="str">
        <x:v>Liquidado</x:v>
      </x:c>
      <x:c r="V889" s="10" t="str">
        <x:v>UND004</x:v>
      </x:c>
    </x:row>
    <x:row r="890" ht="18" customHeight="1">
      <x:c r="A890" s="10" t="str">
        <x:v>PAG00889</x:v>
      </x:c>
      <x:c r="B890" s="10" t="str">
        <x:v>EMP002</x:v>
      </x:c>
      <x:c r="C890" s="10" t="str">
        <x:v>FOR023</x:v>
      </x:c>
      <x:c r="D890" s="10" t="str">
        <x:v>CC007</x:v>
      </x:c>
      <x:c r="E890" s="10" t="str">
        <x:v>CAT014</x:v>
      </x:c>
      <x:c r="F890" s="10" t="str">
        <x:v>CTA004</x:v>
      </x:c>
      <x:c r="G890" s="10" t="str">
        <x:v>NF-100889</x:v>
      </x:c>
      <x:c r="H890" s="10" t="str">
        <x:v>Tributos e taxas</x:v>
      </x:c>
      <x:c r="I890" s="16" t="n">
        <x:v>45616.08380122685</x:v>
      </x:c>
      <x:c r="J890" s="16" t="n">
        <x:v>45651.08380122685</x:v>
      </x:c>
      <x:c r="K890" s="16"/>
      <x:c r="L890" s="20" t="n">
        <x:v>37094.93</x:v>
      </x:c>
      <x:c r="M890" s="20" t="n">
        <x:v>0</x:v>
      </x:c>
      <x:c r="N890" s="20" t="n">
        <x:v>0</x:v>
      </x:c>
      <x:c r="O890" s="20" t="n">
        <x:v>0</x:v>
      </x:c>
      <x:c r="P890" s="20" t="n">
        <x:v>37094.93</x:v>
      </x:c>
      <x:c r="Q890" s="10" t="str">
        <x:v>Vencido</x:v>
      </x:c>
      <x:c r="R890" s="10" t="str">
        <x:v>Boleto</x:v>
      </x:c>
      <x:c r="S890" s="10" t="str">
        <x:v>2024-11</x:v>
      </x:c>
      <x:c r="T890" s="10" t="n">
        <x:v>370</x:v>
      </x:c>
      <x:c r="U890" s="10" t="str">
        <x:v>&gt; 120 dias</x:v>
      </x:c>
      <x:c r="V890" s="10" t="str">
        <x:v>UND003</x:v>
      </x:c>
    </x:row>
    <x:row r="891" ht="18" customHeight="1">
      <x:c r="A891" s="10" t="str">
        <x:v>PAG00890</x:v>
      </x:c>
      <x:c r="B891" s="10" t="str">
        <x:v>EMP001</x:v>
      </x:c>
      <x:c r="C891" s="10" t="str">
        <x:v>FOR018</x:v>
      </x:c>
      <x:c r="D891" s="10" t="str">
        <x:v>CC007</x:v>
      </x:c>
      <x:c r="E891" s="10" t="str">
        <x:v>CAT011</x:v>
      </x:c>
      <x:c r="F891" s="10" t="str">
        <x:v>CTA002</x:v>
      </x:c>
      <x:c r="G891" s="10" t="str">
        <x:v>NF-100890</x:v>
      </x:c>
      <x:c r="H891" s="10" t="str">
        <x:v>Prestação de serviços</x:v>
      </x:c>
      <x:c r="I891" s="16" t="n">
        <x:v>45410.396560416666</x:v>
      </x:c>
      <x:c r="J891" s="16" t="n">
        <x:v>45430.396560416666</x:v>
      </x:c>
      <x:c r="K891" s="16" t="n">
        <x:v>45425.396560416666</x:v>
      </x:c>
      <x:c r="L891" s="20" t="n">
        <x:v>12647.27</x:v>
      </x:c>
      <x:c r="M891" s="20" t="n">
        <x:v>0</x:v>
      </x:c>
      <x:c r="N891" s="20" t="n">
        <x:v>0</x:v>
      </x:c>
      <x:c r="O891" s="20" t="n">
        <x:v>12647.27</x:v>
      </x:c>
      <x:c r="P891" s="20" t="n">
        <x:v>0</x:v>
      </x:c>
      <x:c r="Q891" s="10" t="str">
        <x:v>Pago</x:v>
      </x:c>
      <x:c r="R891" s="10" t="str">
        <x:v>Cartão Corporativo</x:v>
      </x:c>
      <x:c r="S891" s="10" t="str">
        <x:v>2024-04</x:v>
      </x:c>
      <x:c r="T891" s="10" t="n">
        <x:v>0</x:v>
      </x:c>
      <x:c r="U891" s="10" t="str">
        <x:v>Liquidado</x:v>
      </x:c>
      <x:c r="V891" s="10" t="str">
        <x:v>UND001</x:v>
      </x:c>
    </x:row>
    <x:row r="892" ht="18" customHeight="1">
      <x:c r="A892" s="10" t="str">
        <x:v>PAG00891</x:v>
      </x:c>
      <x:c r="B892" s="10" t="str">
        <x:v>EMP003</x:v>
      </x:c>
      <x:c r="C892" s="10" t="str">
        <x:v>FOR021</x:v>
      </x:c>
      <x:c r="D892" s="10" t="str">
        <x:v>CC004</x:v>
      </x:c>
      <x:c r="E892" s="10" t="str">
        <x:v>CAT007</x:v>
      </x:c>
      <x:c r="F892" s="10" t="str">
        <x:v>CTA006</x:v>
      </x:c>
      <x:c r="G892" s="10" t="str">
        <x:v>NF-100891</x:v>
      </x:c>
      <x:c r="H892" s="10" t="str">
        <x:v>Compra de materiais</x:v>
      </x:c>
      <x:c r="I892" s="16" t="n">
        <x:v>45511.757444270836</x:v>
      </x:c>
      <x:c r="J892" s="16" t="n">
        <x:v>45556.757444270836</x:v>
      </x:c>
      <x:c r="K892" s="16" t="n">
        <x:v>45558.757444270836</x:v>
      </x:c>
      <x:c r="L892" s="20" t="n">
        <x:v>4245.35</x:v>
      </x:c>
      <x:c r="M892" s="20" t="n">
        <x:v>5.94</x:v>
      </x:c>
      <x:c r="N892" s="20" t="n">
        <x:v>0</x:v>
      </x:c>
      <x:c r="O892" s="20" t="n">
        <x:v>4251.29</x:v>
      </x:c>
      <x:c r="P892" s="20" t="n">
        <x:v>0</x:v>
      </x:c>
      <x:c r="Q892" s="10" t="str">
        <x:v>Pago</x:v>
      </x:c>
      <x:c r="R892" s="10" t="str">
        <x:v>Débito Automático</x:v>
      </x:c>
      <x:c r="S892" s="10" t="str">
        <x:v>2024-08</x:v>
      </x:c>
      <x:c r="T892" s="10" t="n">
        <x:v>0</x:v>
      </x:c>
      <x:c r="U892" s="10" t="str">
        <x:v>Liquidado</x:v>
      </x:c>
      <x:c r="V892" s="10" t="str">
        <x:v>UND004</x:v>
      </x:c>
    </x:row>
    <x:row r="893" ht="18" customHeight="1">
      <x:c r="A893" s="10" t="str">
        <x:v>PAG00892</x:v>
      </x:c>
      <x:c r="B893" s="10" t="str">
        <x:v>EMP003</x:v>
      </x:c>
      <x:c r="C893" s="10" t="str">
        <x:v>FOR055</x:v>
      </x:c>
      <x:c r="D893" s="10" t="str">
        <x:v>CC004</x:v>
      </x:c>
      <x:c r="E893" s="10" t="str">
        <x:v>CAT012</x:v>
      </x:c>
      <x:c r="F893" s="10" t="str">
        <x:v>CTA005</x:v>
      </x:c>
      <x:c r="G893" s="10" t="str">
        <x:v>NF-100892</x:v>
      </x:c>
      <x:c r="H893" s="10" t="str">
        <x:v>Despesa operacional</x:v>
      </x:c>
      <x:c r="I893" s="16" t="n">
        <x:v>45591.13944899305</x:v>
      </x:c>
      <x:c r="J893" s="16" t="n">
        <x:v>45611.13944899305</x:v>
      </x:c>
      <x:c r="K893" s="16" t="n">
        <x:v>45606.13944899305</x:v>
      </x:c>
      <x:c r="L893" s="20" t="n">
        <x:v>81751.52</x:v>
      </x:c>
      <x:c r="M893" s="20" t="n">
        <x:v>0</x:v>
      </x:c>
      <x:c r="N893" s="20" t="n">
        <x:v>817.52</x:v>
      </x:c>
      <x:c r="O893" s="20" t="n">
        <x:v>80934</x:v>
      </x:c>
      <x:c r="P893" s="20" t="n">
        <x:v>0</x:v>
      </x:c>
      <x:c r="Q893" s="10" t="str">
        <x:v>Pago</x:v>
      </x:c>
      <x:c r="R893" s="10" t="str">
        <x:v>Boleto</x:v>
      </x:c>
      <x:c r="S893" s="10" t="str">
        <x:v>2024-10</x:v>
      </x:c>
      <x:c r="T893" s="10" t="n">
        <x:v>0</x:v>
      </x:c>
      <x:c r="U893" s="10" t="str">
        <x:v>Liquidado</x:v>
      </x:c>
      <x:c r="V893" s="10" t="str">
        <x:v>UND004</x:v>
      </x:c>
    </x:row>
    <x:row r="894" ht="18" customHeight="1">
      <x:c r="A894" s="10" t="str">
        <x:v>PAG00893</x:v>
      </x:c>
      <x:c r="B894" s="10" t="str">
        <x:v>EMP002</x:v>
      </x:c>
      <x:c r="C894" s="10" t="str">
        <x:v>FOR040</x:v>
      </x:c>
      <x:c r="D894" s="10" t="str">
        <x:v>CC005</x:v>
      </x:c>
      <x:c r="E894" s="10" t="str">
        <x:v>CAT018</x:v>
      </x:c>
      <x:c r="F894" s="10" t="str">
        <x:v>CTA004</x:v>
      </x:c>
      <x:c r="G894" s="10" t="str">
        <x:v>NF-100893</x:v>
      </x:c>
      <x:c r="H894" s="10" t="str">
        <x:v>Compra de materiais</x:v>
      </x:c>
      <x:c r="I894" s="16" t="n">
        <x:v>45384.759351354165</x:v>
      </x:c>
      <x:c r="J894" s="16" t="n">
        <x:v>45414.759351354165</x:v>
      </x:c>
      <x:c r="K894" s="16" t="n">
        <x:v>45430.759351354165</x:v>
      </x:c>
      <x:c r="L894" s="20" t="n">
        <x:v>105843.31</x:v>
      </x:c>
      <x:c r="M894" s="20" t="n">
        <x:v>1185.45</x:v>
      </x:c>
      <x:c r="N894" s="20" t="n">
        <x:v>0</x:v>
      </x:c>
      <x:c r="O894" s="20" t="n">
        <x:v>107028.76</x:v>
      </x:c>
      <x:c r="P894" s="20" t="n">
        <x:v>0</x:v>
      </x:c>
      <x:c r="Q894" s="10" t="str">
        <x:v>Pago</x:v>
      </x:c>
      <x:c r="R894" s="10" t="str">
        <x:v>Boleto</x:v>
      </x:c>
      <x:c r="S894" s="10" t="str">
        <x:v>2024-04</x:v>
      </x:c>
      <x:c r="T894" s="10" t="n">
        <x:v>0</x:v>
      </x:c>
      <x:c r="U894" s="10" t="str">
        <x:v>Liquidado</x:v>
      </x:c>
      <x:c r="V894" s="10" t="str">
        <x:v>UND003</x:v>
      </x:c>
    </x:row>
    <x:row r="895" ht="18" customHeight="1">
      <x:c r="A895" s="10" t="str">
        <x:v>PAG00894</x:v>
      </x:c>
      <x:c r="B895" s="10" t="str">
        <x:v>EMP003</x:v>
      </x:c>
      <x:c r="C895" s="10" t="str">
        <x:v>FOR021</x:v>
      </x:c>
      <x:c r="D895" s="10" t="str">
        <x:v>CC007</x:v>
      </x:c>
      <x:c r="E895" s="10" t="str">
        <x:v>CAT014</x:v>
      </x:c>
      <x:c r="F895" s="10" t="str">
        <x:v>CTA005</x:v>
      </x:c>
      <x:c r="G895" s="10" t="str">
        <x:v>NF-100894</x:v>
      </x:c>
      <x:c r="H895" s="10" t="str">
        <x:v>Prestação de serviços</x:v>
      </x:c>
      <x:c r="I895" s="16" t="n">
        <x:v>45314.350508587966</x:v>
      </x:c>
      <x:c r="J895" s="16" t="n">
        <x:v>45344.350508587966</x:v>
      </x:c>
      <x:c r="K895" s="16" t="n">
        <x:v>45340.350508587966</x:v>
      </x:c>
      <x:c r="L895" s="20" t="n">
        <x:v>57302.81</x:v>
      </x:c>
      <x:c r="M895" s="20" t="n">
        <x:v>0</x:v>
      </x:c>
      <x:c r="N895" s="20" t="n">
        <x:v>0</x:v>
      </x:c>
      <x:c r="O895" s="20" t="n">
        <x:v>57302.81</x:v>
      </x:c>
      <x:c r="P895" s="20" t="n">
        <x:v>0</x:v>
      </x:c>
      <x:c r="Q895" s="10" t="str">
        <x:v>Pago</x:v>
      </x:c>
      <x:c r="R895" s="10" t="str">
        <x:v>Boleto</x:v>
      </x:c>
      <x:c r="S895" s="10" t="str">
        <x:v>2024-01</x:v>
      </x:c>
      <x:c r="T895" s="10" t="n">
        <x:v>0</x:v>
      </x:c>
      <x:c r="U895" s="10" t="str">
        <x:v>Liquidado</x:v>
      </x:c>
      <x:c r="V895" s="10" t="str">
        <x:v>UND004</x:v>
      </x:c>
    </x:row>
    <x:row r="896" ht="18" customHeight="1">
      <x:c r="A896" s="10" t="str">
        <x:v>PAG00895</x:v>
      </x:c>
      <x:c r="B896" s="10" t="str">
        <x:v>EMP003</x:v>
      </x:c>
      <x:c r="C896" s="10" t="str">
        <x:v>FOR051</x:v>
      </x:c>
      <x:c r="D896" s="10" t="str">
        <x:v>CC005</x:v>
      </x:c>
      <x:c r="E896" s="10" t="str">
        <x:v>CAT008</x:v>
      </x:c>
      <x:c r="F896" s="10" t="str">
        <x:v>CTA005</x:v>
      </x:c>
      <x:c r="G896" s="10" t="str">
        <x:v>NF-100895</x:v>
      </x:c>
      <x:c r="H896" s="10" t="str">
        <x:v>Tributos e taxas</x:v>
      </x:c>
      <x:c r="I896" s="16" t="n">
        <x:v>45433.84485976852</x:v>
      </x:c>
      <x:c r="J896" s="16" t="n">
        <x:v>45468.84485976852</x:v>
      </x:c>
      <x:c r="K896" s="16"/>
      <x:c r="L896" s="20" t="n">
        <x:v>91670.01</x:v>
      </x:c>
      <x:c r="M896" s="20" t="n">
        <x:v>0</x:v>
      </x:c>
      <x:c r="N896" s="20" t="n">
        <x:v>0</x:v>
      </x:c>
      <x:c r="O896" s="20" t="n">
        <x:v>0</x:v>
      </x:c>
      <x:c r="P896" s="20" t="n">
        <x:v>91670.01</x:v>
      </x:c>
      <x:c r="Q896" s="10" t="str">
        <x:v>Vencido</x:v>
      </x:c>
      <x:c r="R896" s="10" t="str">
        <x:v>Boleto</x:v>
      </x:c>
      <x:c r="S896" s="10" t="str">
        <x:v>2024-05</x:v>
      </x:c>
      <x:c r="T896" s="10" t="n">
        <x:v>553</x:v>
      </x:c>
      <x:c r="U896" s="10" t="str">
        <x:v>&gt; 120 dias</x:v>
      </x:c>
      <x:c r="V896" s="10" t="str">
        <x:v>UND004</x:v>
      </x:c>
    </x:row>
    <x:row r="897" ht="18" customHeight="1">
      <x:c r="A897" s="10" t="str">
        <x:v>PAG00896</x:v>
      </x:c>
      <x:c r="B897" s="10" t="str">
        <x:v>EMP003</x:v>
      </x:c>
      <x:c r="C897" s="10" t="str">
        <x:v>FOR010</x:v>
      </x:c>
      <x:c r="D897" s="10" t="str">
        <x:v>CC004</x:v>
      </x:c>
      <x:c r="E897" s="10" t="str">
        <x:v>CAT014</x:v>
      </x:c>
      <x:c r="F897" s="10" t="str">
        <x:v>CTA005</x:v>
      </x:c>
      <x:c r="G897" s="10" t="str">
        <x:v>NF-100896</x:v>
      </x:c>
      <x:c r="H897" s="10" t="str">
        <x:v>Despesa operacional</x:v>
      </x:c>
      <x:c r="I897" s="16" t="n">
        <x:v>45939.961695300924</x:v>
      </x:c>
      <x:c r="J897" s="16" t="n">
        <x:v>45974.961695300924</x:v>
      </x:c>
      <x:c r="K897" s="16" t="n">
        <x:v>45970.961695300924</x:v>
      </x:c>
      <x:c r="L897" s="20" t="n">
        <x:v>869.68</x:v>
      </x:c>
      <x:c r="M897" s="20" t="n">
        <x:v>0</x:v>
      </x:c>
      <x:c r="N897" s="20" t="n">
        <x:v>0</x:v>
      </x:c>
      <x:c r="O897" s="20" t="n">
        <x:v>869.68</x:v>
      </x:c>
      <x:c r="P897" s="20" t="n">
        <x:v>0</x:v>
      </x:c>
      <x:c r="Q897" s="10" t="str">
        <x:v>Pago</x:v>
      </x:c>
      <x:c r="R897" s="10" t="str">
        <x:v>Boleto</x:v>
      </x:c>
      <x:c r="S897" s="10" t="str">
        <x:v>2025-10</x:v>
      </x:c>
      <x:c r="T897" s="10" t="n">
        <x:v>0</x:v>
      </x:c>
      <x:c r="U897" s="10" t="str">
        <x:v>Liquidado</x:v>
      </x:c>
      <x:c r="V897" s="10" t="str">
        <x:v>UND004</x:v>
      </x:c>
    </x:row>
    <x:row r="898" ht="18" customHeight="1">
      <x:c r="A898" s="10" t="str">
        <x:v>PAG00897</x:v>
      </x:c>
      <x:c r="B898" s="10" t="str">
        <x:v>EMP003</x:v>
      </x:c>
      <x:c r="C898" s="10" t="str">
        <x:v>FOR006</x:v>
      </x:c>
      <x:c r="D898" s="10" t="str">
        <x:v>CC004</x:v>
      </x:c>
      <x:c r="E898" s="10" t="str">
        <x:v>CAT016</x:v>
      </x:c>
      <x:c r="F898" s="10" t="str">
        <x:v>CTA006</x:v>
      </x:c>
      <x:c r="G898" s="10" t="str">
        <x:v>NF-100897</x:v>
      </x:c>
      <x:c r="H898" s="10" t="str">
        <x:v>Prestação de serviços</x:v>
      </x:c>
      <x:c r="I898" s="16" t="n">
        <x:v>45353.88319515046</x:v>
      </x:c>
      <x:c r="J898" s="16" t="n">
        <x:v>45398.88319515046</x:v>
      </x:c>
      <x:c r="K898" s="16" t="n">
        <x:v>45410.88319515046</x:v>
      </x:c>
      <x:c r="L898" s="20" t="n">
        <x:v>3598.79</x:v>
      </x:c>
      <x:c r="M898" s="20" t="n">
        <x:v>30.23</x:v>
      </x:c>
      <x:c r="N898" s="20" t="n">
        <x:v>0</x:v>
      </x:c>
      <x:c r="O898" s="20" t="n">
        <x:v>3629.02</x:v>
      </x:c>
      <x:c r="P898" s="20" t="n">
        <x:v>0</x:v>
      </x:c>
      <x:c r="Q898" s="10" t="str">
        <x:v>Pago</x:v>
      </x:c>
      <x:c r="R898" s="10" t="str">
        <x:v>Débito Automático</x:v>
      </x:c>
      <x:c r="S898" s="10" t="str">
        <x:v>2024-03</x:v>
      </x:c>
      <x:c r="T898" s="10" t="n">
        <x:v>0</x:v>
      </x:c>
      <x:c r="U898" s="10" t="str">
        <x:v>Liquidado</x:v>
      </x:c>
      <x:c r="V898" s="10" t="str">
        <x:v>UND004</x:v>
      </x:c>
    </x:row>
    <x:row r="899" ht="18" customHeight="1">
      <x:c r="A899" s="10" t="str">
        <x:v>PAG00898</x:v>
      </x:c>
      <x:c r="B899" s="10" t="str">
        <x:v>EMP003</x:v>
      </x:c>
      <x:c r="C899" s="10" t="str">
        <x:v>FOR049</x:v>
      </x:c>
      <x:c r="D899" s="10" t="str">
        <x:v>CC001</x:v>
      </x:c>
      <x:c r="E899" s="10" t="str">
        <x:v>CAT010</x:v>
      </x:c>
      <x:c r="F899" s="10" t="str">
        <x:v>CTA005</x:v>
      </x:c>
      <x:c r="G899" s="10" t="str">
        <x:v>NF-100898</x:v>
      </x:c>
      <x:c r="H899" s="10" t="str">
        <x:v>Contrato recorrente</x:v>
      </x:c>
      <x:c r="I899" s="16" t="n">
        <x:v>45965.33167570602</x:v>
      </x:c>
      <x:c r="J899" s="16" t="n">
        <x:v>46040.33167570602</x:v>
      </x:c>
      <x:c r="K899" s="16"/>
      <x:c r="L899" s="20" t="n">
        <x:v>15169.24</x:v>
      </x:c>
      <x:c r="M899" s="20" t="n">
        <x:v>0</x:v>
      </x:c>
      <x:c r="N899" s="20" t="n">
        <x:v>0</x:v>
      </x:c>
      <x:c r="O899" s="20" t="n">
        <x:v>0</x:v>
      </x:c>
      <x:c r="P899" s="20" t="n">
        <x:v>0</x:v>
      </x:c>
      <x:c r="Q899" s="10" t="str">
        <x:v>Cancelado</x:v>
      </x:c>
      <x:c r="R899" s="10" t="str">
        <x:v>Débito Automático</x:v>
      </x:c>
      <x:c r="S899" s="10" t="str">
        <x:v>2025-11</x:v>
      </x:c>
      <x:c r="T899" s="10" t="n">
        <x:v>0</x:v>
      </x:c>
      <x:c r="U899" s="10" t="str">
        <x:v>Cancelado</x:v>
      </x:c>
      <x:c r="V899" s="10" t="str">
        <x:v>UND004</x:v>
      </x:c>
    </x:row>
    <x:row r="900" ht="18" customHeight="1">
      <x:c r="A900" s="10" t="str">
        <x:v>PAG00899</x:v>
      </x:c>
      <x:c r="B900" s="10" t="str">
        <x:v>EMP003</x:v>
      </x:c>
      <x:c r="C900" s="10" t="str">
        <x:v>FOR059</x:v>
      </x:c>
      <x:c r="D900" s="10" t="str">
        <x:v>CC008</x:v>
      </x:c>
      <x:c r="E900" s="10" t="str">
        <x:v>CAT011</x:v>
      </x:c>
      <x:c r="F900" s="10" t="str">
        <x:v>CTA005</x:v>
      </x:c>
      <x:c r="G900" s="10" t="str">
        <x:v>NF-100899</x:v>
      </x:c>
      <x:c r="H900" s="10" t="str">
        <x:v>Prestação de serviços</x:v>
      </x:c>
      <x:c r="I900" s="16" t="n">
        <x:v>45890.463535393515</x:v>
      </x:c>
      <x:c r="J900" s="16" t="n">
        <x:v>45965.463535393515</x:v>
      </x:c>
      <x:c r="K900" s="16" t="n">
        <x:v>45959.463535393515</x:v>
      </x:c>
      <x:c r="L900" s="20" t="n">
        <x:v>2888.17</x:v>
      </x:c>
      <x:c r="M900" s="20" t="n">
        <x:v>0</x:v>
      </x:c>
      <x:c r="N900" s="20" t="n">
        <x:v>0</x:v>
      </x:c>
      <x:c r="O900" s="20" t="n">
        <x:v>2888.17</x:v>
      </x:c>
      <x:c r="P900" s="20" t="n">
        <x:v>0</x:v>
      </x:c>
      <x:c r="Q900" s="10" t="str">
        <x:v>Pago</x:v>
      </x:c>
      <x:c r="R900" s="10" t="str">
        <x:v>PIX</x:v>
      </x:c>
      <x:c r="S900" s="10" t="str">
        <x:v>2025-08</x:v>
      </x:c>
      <x:c r="T900" s="10" t="n">
        <x:v>0</x:v>
      </x:c>
      <x:c r="U900" s="10" t="str">
        <x:v>Liquidado</x:v>
      </x:c>
      <x:c r="V900" s="10" t="str">
        <x:v>UND004</x:v>
      </x:c>
    </x:row>
    <x:row r="901" ht="18" customHeight="1">
      <x:c r="A901" s="12" t="str">
        <x:v>PAG00900</x:v>
      </x:c>
      <x:c r="B901" s="12" t="str">
        <x:v>EMP001</x:v>
      </x:c>
      <x:c r="C901" s="12" t="str">
        <x:v>FOR038</x:v>
      </x:c>
      <x:c r="D901" s="12" t="str">
        <x:v>CC006</x:v>
      </x:c>
      <x:c r="E901" s="12" t="str">
        <x:v>CAT015</x:v>
      </x:c>
      <x:c r="F901" s="12" t="str">
        <x:v>CTA002</x:v>
      </x:c>
      <x:c r="G901" s="12" t="str">
        <x:v>NF-100900</x:v>
      </x:c>
      <x:c r="H901" s="12" t="str">
        <x:v>Tributos e taxas</x:v>
      </x:c>
      <x:c r="I901" s="17" t="n">
        <x:v>45873.76147467593</x:v>
      </x:c>
      <x:c r="J901" s="17" t="n">
        <x:v>45918.76147467593</x:v>
      </x:c>
      <x:c r="K901" s="17" t="n">
        <x:v>45915.76147467593</x:v>
      </x:c>
      <x:c r="L901" s="21" t="n">
        <x:v>30511.18</x:v>
      </x:c>
      <x:c r="M901" s="21" t="n">
        <x:v>0</x:v>
      </x:c>
      <x:c r="N901" s="21" t="n">
        <x:v>305.11</x:v>
      </x:c>
      <x:c r="O901" s="21" t="n">
        <x:v>30206.07</x:v>
      </x:c>
      <x:c r="P901" s="21" t="n">
        <x:v>0</x:v>
      </x:c>
      <x:c r="Q901" s="12" t="str">
        <x:v>Pago</x:v>
      </x:c>
      <x:c r="R901" s="12" t="str">
        <x:v>Cartão Corporativo</x:v>
      </x:c>
      <x:c r="S901" s="12" t="str">
        <x:v>2025-08</x:v>
      </x:c>
      <x:c r="T901" s="12" t="n">
        <x:v>0</x:v>
      </x:c>
      <x:c r="U901" s="12" t="str">
        <x:v>Liquidado</x:v>
      </x:c>
      <x:c r="V901" s="12" t="str">
        <x:v>UND001</x:v>
      </x:c>
    </x:row>
  </x:sheetData>
  <x:pageMargins left="0.7" right="0.7" top="0.75" bottom="0.75" header="0.3" footer="0.3"/>
  <x:tableParts count="1">
    <x:tablePart xmlns:r="http://schemas.openxmlformats.org/officeDocument/2006/relationships" r:id="R72eb63500d69434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12.75" hidden="0" customWidth="1"/>
    <x:col min="3" max="3" width="12.75" hidden="0" customWidth="1"/>
    <x:col min="4" max="4" width="17.75" hidden="0" customWidth="1"/>
    <x:col min="5" max="5" width="14.75" hidden="0" customWidth="1"/>
    <x:col min="6" max="6" width="19.75" hidden="0" customWidth="1"/>
    <x:col min="7" max="7" width="11.75" hidden="0" customWidth="1"/>
    <x:col min="8" max="8" width="11.75" hidden="0" customWidth="1"/>
    <x:col min="9" max="9" width="14.75" hidden="0" customWidth="1"/>
    <x:col min="10" max="10" width="17.75" hidden="0" customWidth="1"/>
    <x:col min="11" max="11" width="18.75" hidden="0" customWidth="1"/>
    <x:col min="12" max="12" width="16.75" hidden="0" customWidth="1"/>
    <x:col min="13" max="13" width="13.75" hidden="0" customWidth="1"/>
    <x:col min="14" max="14" width="10.75" hidden="0" customWidth="1"/>
    <x:col min="15" max="15" width="16.75" hidden="0" customWidth="1"/>
    <x:col min="16" max="16" width="14.75" hidden="0" customWidth="1"/>
    <x:col min="17" max="17" width="10" hidden="0" customWidth="1"/>
    <x:col min="18" max="18" width="19.75" hidden="0" customWidth="1"/>
    <x:col min="19" max="19" width="13.75" hidden="0" customWidth="1"/>
    <x:col min="20" max="20" width="13.75" hidden="0" customWidth="1"/>
    <x:col min="21" max="21" width="13.75" hidden="0" customWidth="1"/>
    <x:col min="22" max="22" width="15.75" hidden="0" customWidth="1"/>
    <x:col min="23" max="23" width="10.75" hidden="0" customWidth="1"/>
    <x:col min="24" max="24" width="12.75" hidden="0" customWidth="1"/>
  </x:cols>
  <x:sheetData>
    <x:row r="1" ht="28" customHeight="1">
      <x:c r="A1" s="5" t="str">
        <x:v>ID_Titulo_Receber</x:v>
      </x:c>
      <x:c r="B1" s="5" t="str">
        <x:v>ID_Empresa</x:v>
      </x:c>
      <x:c r="C1" s="5" t="str">
        <x:v>ID_Cliente</x:v>
      </x:c>
      <x:c r="D1" s="5" t="str">
        <x:v>ID_Centro_Custo</x:v>
      </x:c>
      <x:c r="E1" s="5" t="str">
        <x:v>ID_Categoria</x:v>
      </x:c>
      <x:c r="F1" s="5" t="str">
        <x:v>ID_Conta_Bancaria</x:v>
      </x:c>
      <x:c r="G1" s="5" t="str">
        <x:v>Documento</x:v>
      </x:c>
      <x:c r="H1" s="5" t="str">
        <x:v>Descricao</x:v>
      </x:c>
      <x:c r="I1" s="14" t="str">
        <x:v>Data_Emissao</x:v>
      </x:c>
      <x:c r="J1" s="14" t="str">
        <x:v>Data_Vencimento</x:v>
      </x:c>
      <x:c r="K1" s="14" t="str">
        <x:v>Data_Recebimento</x:v>
      </x:c>
      <x:c r="L1" s="18" t="str">
        <x:v>Valor_Original</x:v>
      </x:c>
      <x:c r="M1" s="18" t="str">
        <x:v>Juros_Multa</x:v>
      </x:c>
      <x:c r="N1" s="18" t="str">
        <x:v>Desconto</x:v>
      </x:c>
      <x:c r="O1" s="18" t="str">
        <x:v>Valor_Recebido</x:v>
      </x:c>
      <x:c r="P1" s="18" t="str">
        <x:v>Saldo_Aberto</x:v>
      </x:c>
      <x:c r="Q1" s="5" t="str">
        <x:v>Status</x:v>
      </x:c>
      <x:c r="R1" s="5" t="str">
        <x:v>Forma_Recebimento</x:v>
      </x:c>
      <x:c r="S1" s="5" t="str">
        <x:v>Competencia</x:v>
      </x:c>
      <x:c r="T1" s="5" t="str">
        <x:v>Dias_Atraso</x:v>
      </x:c>
      <x:c r="U1" s="5" t="str">
        <x:v>Faixa_Aging</x:v>
      </x:c>
      <x:c r="V1" s="5" t="str">
        <x:v>Risco_Credito</x:v>
      </x:c>
      <x:c r="W1" s="5" t="str">
        <x:v>Segmento</x:v>
      </x:c>
      <x:c r="X1" s="5" t="str">
        <x:v>ID_Unidade</x:v>
      </x:c>
    </x:row>
    <x:row r="2" ht="18" customHeight="1">
      <x:c r="A2" s="8" t="str">
        <x:v>REC00001</x:v>
      </x:c>
      <x:c r="B2" s="8" t="str">
        <x:v>EMP001</x:v>
      </x:c>
      <x:c r="C2" s="8" t="str">
        <x:v>CLI024</x:v>
      </x:c>
      <x:c r="D2" s="8" t="str">
        <x:v>CC003</x:v>
      </x:c>
      <x:c r="E2" s="8" t="str">
        <x:v>CAT001</x:v>
      </x:c>
      <x:c r="F2" s="8" t="str">
        <x:v>CTA001</x:v>
      </x:c>
      <x:c r="G2" s="8" t="str">
        <x:v>FAT-200001</x:v>
      </x:c>
      <x:c r="H2" s="8" t="str">
        <x:v>Projeto especial</x:v>
      </x:c>
      <x:c r="I2" s="15" t="n">
        <x:v>45519.64116936343</x:v>
      </x:c>
      <x:c r="J2" s="15" t="n">
        <x:v>45547.64116936343</x:v>
      </x:c>
      <x:c r="K2" s="15" t="n">
        <x:v>45553.64116936343</x:v>
      </x:c>
      <x:c r="L2" s="19" t="n">
        <x:v>4328.8</x:v>
      </x:c>
      <x:c r="M2" s="19" t="n">
        <x:v>20.78</x:v>
      </x:c>
      <x:c r="N2" s="19" t="n">
        <x:v>0</x:v>
      </x:c>
      <x:c r="O2" s="19" t="n">
        <x:v>4349.58</x:v>
      </x:c>
      <x:c r="P2" s="19" t="n">
        <x:v>0</x:v>
      </x:c>
      <x:c r="Q2" s="8" t="str">
        <x:v>Recebido</x:v>
      </x:c>
      <x:c r="R2" s="8" t="str">
        <x:v>Boleto</x:v>
      </x:c>
      <x:c r="S2" s="8" t="str">
        <x:v>2024-08</x:v>
      </x:c>
      <x:c r="T2" s="8" t="n">
        <x:v>0</x:v>
      </x:c>
      <x:c r="U2" s="8" t="str">
        <x:v>Liquidado</x:v>
      </x:c>
      <x:c r="V2" s="8" t="str">
        <x:v>Baixo</x:v>
      </x:c>
      <x:c r="W2" s="8" t="str">
        <x:v>Saúde</x:v>
      </x:c>
      <x:c r="X2" s="8" t="str">
        <x:v>UND002</x:v>
      </x:c>
    </x:row>
    <x:row r="3" ht="18" customHeight="1">
      <x:c r="A3" s="10" t="str">
        <x:v>REC00002</x:v>
      </x:c>
      <x:c r="B3" s="10" t="str">
        <x:v>EMP003</x:v>
      </x:c>
      <x:c r="C3" s="10" t="str">
        <x:v>CLI023</x:v>
      </x:c>
      <x:c r="D3" s="10" t="str">
        <x:v>CC003</x:v>
      </x:c>
      <x:c r="E3" s="10" t="str">
        <x:v>CAT003</x:v>
      </x:c>
      <x:c r="F3" s="10" t="str">
        <x:v>CTA006</x:v>
      </x:c>
      <x:c r="G3" s="10" t="str">
        <x:v>FAT-200002</x:v>
      </x:c>
      <x:c r="H3" s="10" t="str">
        <x:v>Venda de produtos</x:v>
      </x:c>
      <x:c r="I3" s="16" t="n">
        <x:v>45744.19565596065</x:v>
      </x:c>
      <x:c r="J3" s="16" t="n">
        <x:v>45804.19565596065</x:v>
      </x:c>
      <x:c r="K3" s="16" t="n">
        <x:v>45812.19565596065</x:v>
      </x:c>
      <x:c r="L3" s="20" t="n">
        <x:v>5803.41</x:v>
      </x:c>
      <x:c r="M3" s="20" t="n">
        <x:v>37.14</x:v>
      </x:c>
      <x:c r="N3" s="20" t="n">
        <x:v>0</x:v>
      </x:c>
      <x:c r="O3" s="20" t="n">
        <x:v>5840.55</x:v>
      </x:c>
      <x:c r="P3" s="20" t="n">
        <x:v>0</x:v>
      </x:c>
      <x:c r="Q3" s="10" t="str">
        <x:v>Recebido</x:v>
      </x:c>
      <x:c r="R3" s="10" t="str">
        <x:v>PIX</x:v>
      </x:c>
      <x:c r="S3" s="10" t="str">
        <x:v>2025-03</x:v>
      </x:c>
      <x:c r="T3" s="10" t="n">
        <x:v>0</x:v>
      </x:c>
      <x:c r="U3" s="10" t="str">
        <x:v>Liquidado</x:v>
      </x:c>
      <x:c r="V3" s="10" t="str">
        <x:v>Médio</x:v>
      </x:c>
      <x:c r="W3" s="10" t="str">
        <x:v>Atacado</x:v>
      </x:c>
      <x:c r="X3" s="10" t="str">
        <x:v>UND004</x:v>
      </x:c>
    </x:row>
    <x:row r="4" ht="18" customHeight="1">
      <x:c r="A4" s="10" t="str">
        <x:v>REC00003</x:v>
      </x:c>
      <x:c r="B4" s="10" t="str">
        <x:v>EMP002</x:v>
      </x:c>
      <x:c r="C4" s="10" t="str">
        <x:v>CLI011</x:v>
      </x:c>
      <x:c r="D4" s="10" t="str">
        <x:v>CC001</x:v>
      </x:c>
      <x:c r="E4" s="10" t="str">
        <x:v>CAT001</x:v>
      </x:c>
      <x:c r="F4" s="10" t="str">
        <x:v>CTA003</x:v>
      </x:c>
      <x:c r="G4" s="10" t="str">
        <x:v>FAT-200003</x:v>
      </x:c>
      <x:c r="H4" s="10" t="str">
        <x:v>Projeto especial</x:v>
      </x:c>
      <x:c r="I4" s="16" t="n">
        <x:v>45583.022097291665</x:v>
      </x:c>
      <x:c r="J4" s="16" t="n">
        <x:v>45643.022097291665</x:v>
      </x:c>
      <x:c r="K4" s="16" t="n">
        <x:v>45644.022097291665</x:v>
      </x:c>
      <x:c r="L4" s="20" t="n">
        <x:v>105843.11</x:v>
      </x:c>
      <x:c r="M4" s="20" t="n">
        <x:v>84.67</x:v>
      </x:c>
      <x:c r="N4" s="20" t="n">
        <x:v>0</x:v>
      </x:c>
      <x:c r="O4" s="20" t="n">
        <x:v>105927.78</x:v>
      </x:c>
      <x:c r="P4" s="20" t="n">
        <x:v>0</x:v>
      </x:c>
      <x:c r="Q4" s="10" t="str">
        <x:v>Recebido</x:v>
      </x:c>
      <x:c r="R4" s="10" t="str">
        <x:v>TED</x:v>
      </x:c>
      <x:c r="S4" s="10" t="str">
        <x:v>2024-10</x:v>
      </x:c>
      <x:c r="T4" s="10" t="n">
        <x:v>0</x:v>
      </x:c>
      <x:c r="U4" s="10" t="str">
        <x:v>Liquidado</x:v>
      </x:c>
      <x:c r="V4" s="10" t="str">
        <x:v>Alto</x:v>
      </x:c>
      <x:c r="W4" s="10" t="str">
        <x:v>Serviços</x:v>
      </x:c>
      <x:c r="X4" s="10" t="str">
        <x:v>UND003</x:v>
      </x:c>
    </x:row>
    <x:row r="5" ht="18" customHeight="1">
      <x:c r="A5" s="10" t="str">
        <x:v>REC00004</x:v>
      </x:c>
      <x:c r="B5" s="10" t="str">
        <x:v>EMP002</x:v>
      </x:c>
      <x:c r="C5" s="10" t="str">
        <x:v>CLI046</x:v>
      </x:c>
      <x:c r="D5" s="10" t="str">
        <x:v>CC002</x:v>
      </x:c>
      <x:c r="E5" s="10" t="str">
        <x:v>CAT002</x:v>
      </x:c>
      <x:c r="F5" s="10" t="str">
        <x:v>CTA004</x:v>
      </x:c>
      <x:c r="G5" s="10" t="str">
        <x:v>FAT-200004</x:v>
      </x:c>
      <x:c r="H5" s="10" t="str">
        <x:v>Venda de produtos</x:v>
      </x:c>
      <x:c r="I5" s="16" t="n">
        <x:v>45635.6312015625</x:v>
      </x:c>
      <x:c r="J5" s="16" t="n">
        <x:v>45650.6312015625</x:v>
      </x:c>
      <x:c r="K5" s="16" t="n">
        <x:v>45659.6312015625</x:v>
      </x:c>
      <x:c r="L5" s="20" t="n">
        <x:v>59620.22</x:v>
      </x:c>
      <x:c r="M5" s="20" t="n">
        <x:v>429.27</x:v>
      </x:c>
      <x:c r="N5" s="20" t="n">
        <x:v>0</x:v>
      </x:c>
      <x:c r="O5" s="20" t="n">
        <x:v>60049.49</x:v>
      </x:c>
      <x:c r="P5" s="20" t="n">
        <x:v>0</x:v>
      </x:c>
      <x:c r="Q5" s="10" t="str">
        <x:v>Recebido</x:v>
      </x:c>
      <x:c r="R5" s="10" t="str">
        <x:v>Cartão</x:v>
      </x:c>
      <x:c r="S5" s="10" t="str">
        <x:v>2024-12</x:v>
      </x:c>
      <x:c r="T5" s="10" t="n">
        <x:v>0</x:v>
      </x:c>
      <x:c r="U5" s="10" t="str">
        <x:v>Liquidado</x:v>
      </x:c>
      <x:c r="V5" s="10" t="str">
        <x:v>Alto</x:v>
      </x:c>
      <x:c r="W5" s="10" t="str">
        <x:v>Varejo</x:v>
      </x:c>
      <x:c r="X5" s="10" t="str">
        <x:v>UND003</x:v>
      </x:c>
    </x:row>
    <x:row r="6" ht="18" customHeight="1">
      <x:c r="A6" s="10" t="str">
        <x:v>REC00005</x:v>
      </x:c>
      <x:c r="B6" s="10" t="str">
        <x:v>EMP002</x:v>
      </x:c>
      <x:c r="C6" s="10" t="str">
        <x:v>CLI034</x:v>
      </x:c>
      <x:c r="D6" s="10" t="str">
        <x:v>CC006</x:v>
      </x:c>
      <x:c r="E6" s="10" t="str">
        <x:v>CAT002</x:v>
      </x:c>
      <x:c r="F6" s="10" t="str">
        <x:v>CTA003</x:v>
      </x:c>
      <x:c r="G6" s="10" t="str">
        <x:v>FAT-200005</x:v>
      </x:c>
      <x:c r="H6" s="10" t="str">
        <x:v>Prestação de serviços</x:v>
      </x:c>
      <x:c r="I6" s="16" t="n">
        <x:v>45406.32498858796</x:v>
      </x:c>
      <x:c r="J6" s="16" t="n">
        <x:v>45436.32498858796</x:v>
      </x:c>
      <x:c r="K6" s="16" t="n">
        <x:v>45437.32498858796</x:v>
      </x:c>
      <x:c r="L6" s="20" t="n">
        <x:v>4713.05</x:v>
      </x:c>
      <x:c r="M6" s="20" t="n">
        <x:v>3.77</x:v>
      </x:c>
      <x:c r="N6" s="20" t="n">
        <x:v>0</x:v>
      </x:c>
      <x:c r="O6" s="20" t="n">
        <x:v>4716.82</x:v>
      </x:c>
      <x:c r="P6" s="20" t="n">
        <x:v>0</x:v>
      </x:c>
      <x:c r="Q6" s="10" t="str">
        <x:v>Recebido</x:v>
      </x:c>
      <x:c r="R6" s="10" t="str">
        <x:v>PIX</x:v>
      </x:c>
      <x:c r="S6" s="10" t="str">
        <x:v>2024-04</x:v>
      </x:c>
      <x:c r="T6" s="10" t="n">
        <x:v>0</x:v>
      </x:c>
      <x:c r="U6" s="10" t="str">
        <x:v>Liquidado</x:v>
      </x:c>
      <x:c r="V6" s="10" t="str">
        <x:v>Médio</x:v>
      </x:c>
      <x:c r="W6" s="10" t="str">
        <x:v>Indústria</x:v>
      </x:c>
      <x:c r="X6" s="10" t="str">
        <x:v>UND003</x:v>
      </x:c>
    </x:row>
    <x:row r="7" ht="18" customHeight="1">
      <x:c r="A7" s="10" t="str">
        <x:v>REC00006</x:v>
      </x:c>
      <x:c r="B7" s="10" t="str">
        <x:v>EMP003</x:v>
      </x:c>
      <x:c r="C7" s="10" t="str">
        <x:v>CLI068</x:v>
      </x:c>
      <x:c r="D7" s="10" t="str">
        <x:v>CC004</x:v>
      </x:c>
      <x:c r="E7" s="10" t="str">
        <x:v>CAT004</x:v>
      </x:c>
      <x:c r="F7" s="10" t="str">
        <x:v>CTA005</x:v>
      </x:c>
      <x:c r="G7" s="10" t="str">
        <x:v>FAT-200006</x:v>
      </x:c>
      <x:c r="H7" s="10" t="str">
        <x:v>Contrato mensal</x:v>
      </x:c>
      <x:c r="I7" s="16" t="n">
        <x:v>45918.87512809028</x:v>
      </x:c>
      <x:c r="J7" s="16" t="n">
        <x:v>45933.87512809028</x:v>
      </x:c>
      <x:c r="K7" s="16" t="n">
        <x:v>45945.87512809028</x:v>
      </x:c>
      <x:c r="L7" s="20" t="n">
        <x:v>124188.24</x:v>
      </x:c>
      <x:c r="M7" s="20" t="n">
        <x:v>1192.21</x:v>
      </x:c>
      <x:c r="N7" s="20" t="n">
        <x:v>0</x:v>
      </x:c>
      <x:c r="O7" s="20" t="n">
        <x:v>125380.45</x:v>
      </x:c>
      <x:c r="P7" s="20" t="n">
        <x:v>0</x:v>
      </x:c>
      <x:c r="Q7" s="10" t="str">
        <x:v>Recebido</x:v>
      </x:c>
      <x:c r="R7" s="10" t="str">
        <x:v>Cartão</x:v>
      </x:c>
      <x:c r="S7" s="10" t="str">
        <x:v>2025-09</x:v>
      </x:c>
      <x:c r="T7" s="10" t="n">
        <x:v>0</x:v>
      </x:c>
      <x:c r="U7" s="10" t="str">
        <x:v>Liquidado</x:v>
      </x:c>
      <x:c r="V7" s="10" t="str">
        <x:v>Médio</x:v>
      </x:c>
      <x:c r="W7" s="10" t="str">
        <x:v>Varejo</x:v>
      </x:c>
      <x:c r="X7" s="10" t="str">
        <x:v>UND004</x:v>
      </x:c>
    </x:row>
    <x:row r="8" ht="18" customHeight="1">
      <x:c r="A8" s="10" t="str">
        <x:v>REC00007</x:v>
      </x:c>
      <x:c r="B8" s="10" t="str">
        <x:v>EMP003</x:v>
      </x:c>
      <x:c r="C8" s="10" t="str">
        <x:v>CLI030</x:v>
      </x:c>
      <x:c r="D8" s="10" t="str">
        <x:v>CC001</x:v>
      </x:c>
      <x:c r="E8" s="10" t="str">
        <x:v>CAT002</x:v>
      </x:c>
      <x:c r="F8" s="10" t="str">
        <x:v>CTA006</x:v>
      </x:c>
      <x:c r="G8" s="10" t="str">
        <x:v>FAT-200007</x:v>
      </x:c>
      <x:c r="H8" s="10" t="str">
        <x:v>Prestação de serviços</x:v>
      </x:c>
      <x:c r="I8" s="16" t="n">
        <x:v>45999.42749056713</x:v>
      </x:c>
      <x:c r="J8" s="16" t="n">
        <x:v>46034.42749056713</x:v>
      </x:c>
      <x:c r="K8" s="16"/>
      <x:c r="L8" s="20" t="n">
        <x:v>4657.42</x:v>
      </x:c>
      <x:c r="M8" s="20" t="n">
        <x:v>0</x:v>
      </x:c>
      <x:c r="N8" s="20" t="n">
        <x:v>0</x:v>
      </x:c>
      <x:c r="O8" s="20" t="n">
        <x:v>0</x:v>
      </x:c>
      <x:c r="P8" s="20" t="n">
        <x:v>4657.42</x:v>
      </x:c>
      <x:c r="Q8" s="10" t="str">
        <x:v>A vencer</x:v>
      </x:c>
      <x:c r="R8" s="10" t="str">
        <x:v>Boleto</x:v>
      </x:c>
      <x:c r="S8" s="10" t="str">
        <x:v>2025-12</x:v>
      </x:c>
      <x:c r="T8" s="10" t="n">
        <x:v>0</x:v>
      </x:c>
      <x:c r="U8" s="10" t="str">
        <x:v>A vencer</x:v>
      </x:c>
      <x:c r="V8" s="10" t="str">
        <x:v>Baixo</x:v>
      </x:c>
      <x:c r="W8" s="10" t="str">
        <x:v>Tecnologia</x:v>
      </x:c>
      <x:c r="X8" s="10" t="str">
        <x:v>UND004</x:v>
      </x:c>
    </x:row>
    <x:row r="9" ht="18" customHeight="1">
      <x:c r="A9" s="10" t="str">
        <x:v>REC00008</x:v>
      </x:c>
      <x:c r="B9" s="10" t="str">
        <x:v>EMP001</x:v>
      </x:c>
      <x:c r="C9" s="10" t="str">
        <x:v>CLI029</x:v>
      </x:c>
      <x:c r="D9" s="10" t="str">
        <x:v>CC001</x:v>
      </x:c>
      <x:c r="E9" s="10" t="str">
        <x:v>CAT002</x:v>
      </x:c>
      <x:c r="F9" s="10" t="str">
        <x:v>CTA002</x:v>
      </x:c>
      <x:c r="G9" s="10" t="str">
        <x:v>FAT-200008</x:v>
      </x:c>
      <x:c r="H9" s="10" t="str">
        <x:v>Venda de produtos</x:v>
      </x:c>
      <x:c r="I9" s="16" t="n">
        <x:v>45358.15254368055</x:v>
      </x:c>
      <x:c r="J9" s="16" t="n">
        <x:v>45379.15254368055</x:v>
      </x:c>
      <x:c r="K9" s="16"/>
      <x:c r="L9" s="20" t="n">
        <x:v>11083.51</x:v>
      </x:c>
      <x:c r="M9" s="20" t="n">
        <x:v>0</x:v>
      </x:c>
      <x:c r="N9" s="20" t="n">
        <x:v>0</x:v>
      </x:c>
      <x:c r="O9" s="20" t="n">
        <x:v>0</x:v>
      </x:c>
      <x:c r="P9" s="20" t="n">
        <x:v>11083.51</x:v>
      </x:c>
      <x:c r="Q9" s="10" t="str">
        <x:v>Vencido</x:v>
      </x:c>
      <x:c r="R9" s="10" t="str">
        <x:v>Débito em Conta</x:v>
      </x:c>
      <x:c r="S9" s="10" t="str">
        <x:v>2024-03</x:v>
      </x:c>
      <x:c r="T9" s="10" t="n">
        <x:v>642</x:v>
      </x:c>
      <x:c r="U9" s="10" t="str">
        <x:v>&gt; 120 dias</x:v>
      </x:c>
      <x:c r="V9" s="10" t="str">
        <x:v>Baixo</x:v>
      </x:c>
      <x:c r="W9" s="10" t="str">
        <x:v>Tecnologia</x:v>
      </x:c>
      <x:c r="X9" s="10" t="str">
        <x:v>UND001</x:v>
      </x:c>
    </x:row>
    <x:row r="10" ht="18" customHeight="1">
      <x:c r="A10" s="10" t="str">
        <x:v>REC00009</x:v>
      </x:c>
      <x:c r="B10" s="10" t="str">
        <x:v>EMP003</x:v>
      </x:c>
      <x:c r="C10" s="10" t="str">
        <x:v>CLI066</x:v>
      </x:c>
      <x:c r="D10" s="10" t="str">
        <x:v>CC006</x:v>
      </x:c>
      <x:c r="E10" s="10" t="str">
        <x:v>CAT001</x:v>
      </x:c>
      <x:c r="F10" s="10" t="str">
        <x:v>CTA006</x:v>
      </x:c>
      <x:c r="G10" s="10" t="str">
        <x:v>FAT-200009</x:v>
      </x:c>
      <x:c r="H10" s="10" t="str">
        <x:v>Projeto especial</x:v>
      </x:c>
      <x:c r="I10" s="16" t="n">
        <x:v>45649.19652831018</x:v>
      </x:c>
      <x:c r="J10" s="16" t="n">
        <x:v>45684.19652831018</x:v>
      </x:c>
      <x:c r="K10" s="16" t="n">
        <x:v>45680.19652831018</x:v>
      </x:c>
      <x:c r="L10" s="20" t="n">
        <x:v>95830.24</x:v>
      </x:c>
      <x:c r="M10" s="20" t="n">
        <x:v>0</x:v>
      </x:c>
      <x:c r="N10" s="20" t="n">
        <x:v>0</x:v>
      </x:c>
      <x:c r="O10" s="20" t="n">
        <x:v>95830.24</x:v>
      </x:c>
      <x:c r="P10" s="20" t="n">
        <x:v>0</x:v>
      </x:c>
      <x:c r="Q10" s="10" t="str">
        <x:v>Recebido</x:v>
      </x:c>
      <x:c r="R10" s="10" t="str">
        <x:v>PIX</x:v>
      </x:c>
      <x:c r="S10" s="10" t="str">
        <x:v>2024-12</x:v>
      </x:c>
      <x:c r="T10" s="10" t="n">
        <x:v>0</x:v>
      </x:c>
      <x:c r="U10" s="10" t="str">
        <x:v>Liquidado</x:v>
      </x:c>
      <x:c r="V10" s="10" t="str">
        <x:v>Baixo</x:v>
      </x:c>
      <x:c r="W10" s="10" t="str">
        <x:v>Varejo</x:v>
      </x:c>
      <x:c r="X10" s="10" t="str">
        <x:v>UND004</x:v>
      </x:c>
    </x:row>
    <x:row r="11" ht="18" customHeight="1">
      <x:c r="A11" s="10" t="str">
        <x:v>REC00010</x:v>
      </x:c>
      <x:c r="B11" s="10" t="str">
        <x:v>EMP002</x:v>
      </x:c>
      <x:c r="C11" s="10" t="str">
        <x:v>CLI063</x:v>
      </x:c>
      <x:c r="D11" s="10" t="str">
        <x:v>CC001</x:v>
      </x:c>
      <x:c r="E11" s="10" t="str">
        <x:v>CAT002</x:v>
      </x:c>
      <x:c r="F11" s="10" t="str">
        <x:v>CTA004</x:v>
      </x:c>
      <x:c r="G11" s="10" t="str">
        <x:v>FAT-200010</x:v>
      </x:c>
      <x:c r="H11" s="10" t="str">
        <x:v>Prestação de serviços</x:v>
      </x:c>
      <x:c r="I11" s="16" t="n">
        <x:v>45496.16169586805</x:v>
      </x:c>
      <x:c r="J11" s="16" t="n">
        <x:v>45517.16169586805</x:v>
      </x:c>
      <x:c r="K11" s="16" t="n">
        <x:v>45516.16169586805</x:v>
      </x:c>
      <x:c r="L11" s="20" t="n">
        <x:v>112091.05</x:v>
      </x:c>
      <x:c r="M11" s="20" t="n">
        <x:v>0</x:v>
      </x:c>
      <x:c r="N11" s="20" t="n">
        <x:v>0</x:v>
      </x:c>
      <x:c r="O11" s="20" t="n">
        <x:v>112091.05</x:v>
      </x:c>
      <x:c r="P11" s="20" t="n">
        <x:v>0</x:v>
      </x:c>
      <x:c r="Q11" s="10" t="str">
        <x:v>Recebido</x:v>
      </x:c>
      <x:c r="R11" s="10" t="str">
        <x:v>TED</x:v>
      </x:c>
      <x:c r="S11" s="10" t="str">
        <x:v>2024-07</x:v>
      </x:c>
      <x:c r="T11" s="10" t="n">
        <x:v>0</x:v>
      </x:c>
      <x:c r="U11" s="10" t="str">
        <x:v>Liquidado</x:v>
      </x:c>
      <x:c r="V11" s="10" t="str">
        <x:v>Baixo</x:v>
      </x:c>
      <x:c r="W11" s="10" t="str">
        <x:v>Serviços</x:v>
      </x:c>
      <x:c r="X11" s="10" t="str">
        <x:v>UND003</x:v>
      </x:c>
    </x:row>
    <x:row r="12" ht="18" customHeight="1">
      <x:c r="A12" s="10" t="str">
        <x:v>REC00011</x:v>
      </x:c>
      <x:c r="B12" s="10" t="str">
        <x:v>EMP001</x:v>
      </x:c>
      <x:c r="C12" s="10" t="str">
        <x:v>CLI073</x:v>
      </x:c>
      <x:c r="D12" s="10" t="str">
        <x:v>CC001</x:v>
      </x:c>
      <x:c r="E12" s="10" t="str">
        <x:v>CAT003</x:v>
      </x:c>
      <x:c r="F12" s="10" t="str">
        <x:v>CTA002</x:v>
      </x:c>
      <x:c r="G12" s="10" t="str">
        <x:v>FAT-200011</x:v>
      </x:c>
      <x:c r="H12" s="10" t="str">
        <x:v>Projeto especial</x:v>
      </x:c>
      <x:c r="I12" s="16" t="n">
        <x:v>45834.74733170139</x:v>
      </x:c>
      <x:c r="J12" s="16" t="n">
        <x:v>45849.74733170139</x:v>
      </x:c>
      <x:c r="K12" s="16" t="n">
        <x:v>45860.74733170139</x:v>
      </x:c>
      <x:c r="L12" s="20" t="n">
        <x:v>18011.02</x:v>
      </x:c>
      <x:c r="M12" s="20" t="n">
        <x:v>158.5</x:v>
      </x:c>
      <x:c r="N12" s="20" t="n">
        <x:v>0</x:v>
      </x:c>
      <x:c r="O12" s="20" t="n">
        <x:v>18169.52</x:v>
      </x:c>
      <x:c r="P12" s="20" t="n">
        <x:v>0</x:v>
      </x:c>
      <x:c r="Q12" s="10" t="str">
        <x:v>Recebido</x:v>
      </x:c>
      <x:c r="R12" s="10" t="str">
        <x:v>Cartão</x:v>
      </x:c>
      <x:c r="S12" s="10" t="str">
        <x:v>2025-06</x:v>
      </x:c>
      <x:c r="T12" s="10" t="n">
        <x:v>0</x:v>
      </x:c>
      <x:c r="U12" s="10" t="str">
        <x:v>Liquidado</x:v>
      </x:c>
      <x:c r="V12" s="10" t="str">
        <x:v>Alto</x:v>
      </x:c>
      <x:c r="W12" s="10" t="str">
        <x:v>Tecnologia</x:v>
      </x:c>
      <x:c r="X12" s="10" t="str">
        <x:v>UND002</x:v>
      </x:c>
    </x:row>
    <x:row r="13" ht="18" customHeight="1">
      <x:c r="A13" s="10" t="str">
        <x:v>REC00012</x:v>
      </x:c>
      <x:c r="B13" s="10" t="str">
        <x:v>EMP002</x:v>
      </x:c>
      <x:c r="C13" s="10" t="str">
        <x:v>CLI018</x:v>
      </x:c>
      <x:c r="D13" s="10" t="str">
        <x:v>CC006</x:v>
      </x:c>
      <x:c r="E13" s="10" t="str">
        <x:v>CAT001</x:v>
      </x:c>
      <x:c r="F13" s="10" t="str">
        <x:v>CTA004</x:v>
      </x:c>
      <x:c r="G13" s="10" t="str">
        <x:v>FAT-200012</x:v>
      </x:c>
      <x:c r="H13" s="10" t="str">
        <x:v>Venda de produtos</x:v>
      </x:c>
      <x:c r="I13" s="16" t="n">
        <x:v>45415.42932162037</x:v>
      </x:c>
      <x:c r="J13" s="16" t="n">
        <x:v>45445.42932162037</x:v>
      </x:c>
      <x:c r="K13" s="16" t="n">
        <x:v>45443.42932162037</x:v>
      </x:c>
      <x:c r="L13" s="20" t="n">
        <x:v>114633.38</x:v>
      </x:c>
      <x:c r="M13" s="20" t="n">
        <x:v>0</x:v>
      </x:c>
      <x:c r="N13" s="20" t="n">
        <x:v>573.17</x:v>
      </x:c>
      <x:c r="O13" s="20" t="n">
        <x:v>114060.21</x:v>
      </x:c>
      <x:c r="P13" s="20" t="n">
        <x:v>0</x:v>
      </x:c>
      <x:c r="Q13" s="10" t="str">
        <x:v>Recebido</x:v>
      </x:c>
      <x:c r="R13" s="10" t="str">
        <x:v>TED</x:v>
      </x:c>
      <x:c r="S13" s="10" t="str">
        <x:v>2024-05</x:v>
      </x:c>
      <x:c r="T13" s="10" t="n">
        <x:v>0</x:v>
      </x:c>
      <x:c r="U13" s="10" t="str">
        <x:v>Liquidado</x:v>
      </x:c>
      <x:c r="V13" s="10" t="str">
        <x:v>Médio</x:v>
      </x:c>
      <x:c r="W13" s="10" t="str">
        <x:v>Indústria</x:v>
      </x:c>
      <x:c r="X13" s="10" t="str">
        <x:v>UND003</x:v>
      </x:c>
    </x:row>
    <x:row r="14" ht="18" customHeight="1">
      <x:c r="A14" s="10" t="str">
        <x:v>REC00013</x:v>
      </x:c>
      <x:c r="B14" s="10" t="str">
        <x:v>EMP002</x:v>
      </x:c>
      <x:c r="C14" s="10" t="str">
        <x:v>CLI006</x:v>
      </x:c>
      <x:c r="D14" s="10" t="str">
        <x:v>CC003</x:v>
      </x:c>
      <x:c r="E14" s="10" t="str">
        <x:v>CAT001</x:v>
      </x:c>
      <x:c r="F14" s="10" t="str">
        <x:v>CTA003</x:v>
      </x:c>
      <x:c r="G14" s="10" t="str">
        <x:v>FAT-200013</x:v>
      </x:c>
      <x:c r="H14" s="10" t="str">
        <x:v>Contrato mensal</x:v>
      </x:c>
      <x:c r="I14" s="16" t="n">
        <x:v>45718.70255729167</x:v>
      </x:c>
      <x:c r="J14" s="16" t="n">
        <x:v>45733.70255729167</x:v>
      </x:c>
      <x:c r="K14" s="16" t="n">
        <x:v>45740.70255729167</x:v>
      </x:c>
      <x:c r="L14" s="20" t="n">
        <x:v>32152.56</x:v>
      </x:c>
      <x:c r="M14" s="20" t="n">
        <x:v>180.05</x:v>
      </x:c>
      <x:c r="N14" s="20" t="n">
        <x:v>0</x:v>
      </x:c>
      <x:c r="O14" s="20" t="n">
        <x:v>32332.61</x:v>
      </x:c>
      <x:c r="P14" s="20" t="n">
        <x:v>0</x:v>
      </x:c>
      <x:c r="Q14" s="10" t="str">
        <x:v>Recebido</x:v>
      </x:c>
      <x:c r="R14" s="10" t="str">
        <x:v>Boleto</x:v>
      </x:c>
      <x:c r="S14" s="10" t="str">
        <x:v>2025-03</x:v>
      </x:c>
      <x:c r="T14" s="10" t="n">
        <x:v>0</x:v>
      </x:c>
      <x:c r="U14" s="10" t="str">
        <x:v>Liquidado</x:v>
      </x:c>
      <x:c r="V14" s="10" t="str">
        <x:v>Baixo</x:v>
      </x:c>
      <x:c r="W14" s="10" t="str">
        <x:v>Varejo</x:v>
      </x:c>
      <x:c r="X14" s="10" t="str">
        <x:v>UND003</x:v>
      </x:c>
    </x:row>
    <x:row r="15" ht="18" customHeight="1">
      <x:c r="A15" s="10" t="str">
        <x:v>REC00014</x:v>
      </x:c>
      <x:c r="B15" s="10" t="str">
        <x:v>EMP001</x:v>
      </x:c>
      <x:c r="C15" s="10" t="str">
        <x:v>CLI065</x:v>
      </x:c>
      <x:c r="D15" s="10" t="str">
        <x:v>CC004</x:v>
      </x:c>
      <x:c r="E15" s="10" t="str">
        <x:v>CAT002</x:v>
      </x:c>
      <x:c r="F15" s="10" t="str">
        <x:v>CTA001</x:v>
      </x:c>
      <x:c r="G15" s="10" t="str">
        <x:v>FAT-200014</x:v>
      </x:c>
      <x:c r="H15" s="10" t="str">
        <x:v>Contrato mensal</x:v>
      </x:c>
      <x:c r="I15" s="16" t="n">
        <x:v>46004.2415225</x:v>
      </x:c>
      <x:c r="J15" s="16" t="n">
        <x:v>46034.2415225</x:v>
      </x:c>
      <x:c r="K15" s="16"/>
      <x:c r="L15" s="20" t="n">
        <x:v>12681.44</x:v>
      </x:c>
      <x:c r="M15" s="20" t="n">
        <x:v>0</x:v>
      </x:c>
      <x:c r="N15" s="20" t="n">
        <x:v>0</x:v>
      </x:c>
      <x:c r="O15" s="20" t="n">
        <x:v>0</x:v>
      </x:c>
      <x:c r="P15" s="20" t="n">
        <x:v>12681.44</x:v>
      </x:c>
      <x:c r="Q15" s="10" t="str">
        <x:v>A vencer</x:v>
      </x:c>
      <x:c r="R15" s="10" t="str">
        <x:v>TED</x:v>
      </x:c>
      <x:c r="S15" s="10" t="str">
        <x:v>2025-12</x:v>
      </x:c>
      <x:c r="T15" s="10" t="n">
        <x:v>0</x:v>
      </x:c>
      <x:c r="U15" s="10" t="str">
        <x:v>A vencer</x:v>
      </x:c>
      <x:c r="V15" s="10" t="str">
        <x:v>Médio</x:v>
      </x:c>
      <x:c r="W15" s="10" t="str">
        <x:v>Serviços</x:v>
      </x:c>
      <x:c r="X15" s="10" t="str">
        <x:v>UND001</x:v>
      </x:c>
    </x:row>
    <x:row r="16" ht="18" customHeight="1">
      <x:c r="A16" s="10" t="str">
        <x:v>REC00015</x:v>
      </x:c>
      <x:c r="B16" s="10" t="str">
        <x:v>EMP002</x:v>
      </x:c>
      <x:c r="C16" s="10" t="str">
        <x:v>CLI011</x:v>
      </x:c>
      <x:c r="D16" s="10" t="str">
        <x:v>CC001</x:v>
      </x:c>
      <x:c r="E16" s="10" t="str">
        <x:v>CAT004</x:v>
      </x:c>
      <x:c r="F16" s="10" t="str">
        <x:v>CTA003</x:v>
      </x:c>
      <x:c r="G16" s="10" t="str">
        <x:v>FAT-200015</x:v>
      </x:c>
      <x:c r="H16" s="10" t="str">
        <x:v>Prestação de serviços</x:v>
      </x:c>
      <x:c r="I16" s="16" t="n">
        <x:v>45695.754714386574</x:v>
      </x:c>
      <x:c r="J16" s="16" t="n">
        <x:v>45755.754714386574</x:v>
      </x:c>
      <x:c r="K16" s="16"/>
      <x:c r="L16" s="20" t="n">
        <x:v>44967.37</x:v>
      </x:c>
      <x:c r="M16" s="20" t="n">
        <x:v>0</x:v>
      </x:c>
      <x:c r="N16" s="20" t="n">
        <x:v>0</x:v>
      </x:c>
      <x:c r="O16" s="20" t="n">
        <x:v>0</x:v>
      </x:c>
      <x:c r="P16" s="20" t="n">
        <x:v>44967.37</x:v>
      </x:c>
      <x:c r="Q16" s="10" t="str">
        <x:v>Vencido</x:v>
      </x:c>
      <x:c r="R16" s="10" t="str">
        <x:v>PIX</x:v>
      </x:c>
      <x:c r="S16" s="10" t="str">
        <x:v>2025-02</x:v>
      </x:c>
      <x:c r="T16" s="10" t="n">
        <x:v>266</x:v>
      </x:c>
      <x:c r="U16" s="10" t="str">
        <x:v>&gt; 120 dias</x:v>
      </x:c>
      <x:c r="V16" s="10" t="str">
        <x:v>Alto</x:v>
      </x:c>
      <x:c r="W16" s="10" t="str">
        <x:v>Serviços</x:v>
      </x:c>
      <x:c r="X16" s="10" t="str">
        <x:v>UND003</x:v>
      </x:c>
    </x:row>
    <x:row r="17" ht="18" customHeight="1">
      <x:c r="A17" s="10" t="str">
        <x:v>REC00016</x:v>
      </x:c>
      <x:c r="B17" s="10" t="str">
        <x:v>EMP002</x:v>
      </x:c>
      <x:c r="C17" s="10" t="str">
        <x:v>CLI050</x:v>
      </x:c>
      <x:c r="D17" s="10" t="str">
        <x:v>CC004</x:v>
      </x:c>
      <x:c r="E17" s="10" t="str">
        <x:v>CAT003</x:v>
      </x:c>
      <x:c r="F17" s="10" t="str">
        <x:v>CTA003</x:v>
      </x:c>
      <x:c r="G17" s="10" t="str">
        <x:v>FAT-200016</x:v>
      </x:c>
      <x:c r="H17" s="10" t="str">
        <x:v>Contrato mensal</x:v>
      </x:c>
      <x:c r="I17" s="16" t="n">
        <x:v>45958.658661712965</x:v>
      </x:c>
      <x:c r="J17" s="16" t="n">
        <x:v>45973.658661712965</x:v>
      </x:c>
      <x:c r="K17" s="16"/>
      <x:c r="L17" s="20" t="n">
        <x:v>1333.64</x:v>
      </x:c>
      <x:c r="M17" s="20" t="n">
        <x:v>0</x:v>
      </x:c>
      <x:c r="N17" s="20" t="n">
        <x:v>0</x:v>
      </x:c>
      <x:c r="O17" s="20" t="n">
        <x:v>0</x:v>
      </x:c>
      <x:c r="P17" s="20" t="n">
        <x:v>1333.64</x:v>
      </x:c>
      <x:c r="Q17" s="10" t="str">
        <x:v>Vencido</x:v>
      </x:c>
      <x:c r="R17" s="10" t="str">
        <x:v>Cartão</x:v>
      </x:c>
      <x:c r="S17" s="10" t="str">
        <x:v>2025-10</x:v>
      </x:c>
      <x:c r="T17" s="10" t="n">
        <x:v>48</x:v>
      </x:c>
      <x:c r="U17" s="10" t="str">
        <x:v>31 a 60 dias</x:v>
      </x:c>
      <x:c r="V17" s="10" t="str">
        <x:v>Baixo</x:v>
      </x:c>
      <x:c r="W17" s="10" t="str">
        <x:v>Tecnologia</x:v>
      </x:c>
      <x:c r="X17" s="10" t="str">
        <x:v>UND003</x:v>
      </x:c>
    </x:row>
    <x:row r="18" ht="18" customHeight="1">
      <x:c r="A18" s="10" t="str">
        <x:v>REC00017</x:v>
      </x:c>
      <x:c r="B18" s="10" t="str">
        <x:v>EMP001</x:v>
      </x:c>
      <x:c r="C18" s="10" t="str">
        <x:v>CLI013</x:v>
      </x:c>
      <x:c r="D18" s="10" t="str">
        <x:v>CC007</x:v>
      </x:c>
      <x:c r="E18" s="10" t="str">
        <x:v>CAT003</x:v>
      </x:c>
      <x:c r="F18" s="10" t="str">
        <x:v>CTA002</x:v>
      </x:c>
      <x:c r="G18" s="10" t="str">
        <x:v>FAT-200017</x:v>
      </x:c>
      <x:c r="H18" s="10" t="str">
        <x:v>Frete faturado</x:v>
      </x:c>
      <x:c r="I18" s="16" t="n">
        <x:v>45554.056618553244</x:v>
      </x:c>
      <x:c r="J18" s="16" t="n">
        <x:v>45599.056618553244</x:v>
      </x:c>
      <x:c r="K18" s="16"/>
      <x:c r="L18" s="20" t="n">
        <x:v>85326.02</x:v>
      </x:c>
      <x:c r="M18" s="20" t="n">
        <x:v>0</x:v>
      </x:c>
      <x:c r="N18" s="20" t="n">
        <x:v>0</x:v>
      </x:c>
      <x:c r="O18" s="20" t="n">
        <x:v>0</x:v>
      </x:c>
      <x:c r="P18" s="20" t="n">
        <x:v>0</x:v>
      </x:c>
      <x:c r="Q18" s="10" t="str">
        <x:v>Cancelado</x:v>
      </x:c>
      <x:c r="R18" s="10" t="str">
        <x:v>Cartão</x:v>
      </x:c>
      <x:c r="S18" s="10" t="str">
        <x:v>2024-09</x:v>
      </x:c>
      <x:c r="T18" s="10" t="n">
        <x:v>0</x:v>
      </x:c>
      <x:c r="U18" s="10" t="str">
        <x:v>Cancelado</x:v>
      </x:c>
      <x:c r="V18" s="10" t="str">
        <x:v>Baixo</x:v>
      </x:c>
      <x:c r="W18" s="10" t="str">
        <x:v>Serviços</x:v>
      </x:c>
      <x:c r="X18" s="10" t="str">
        <x:v>UND002</x:v>
      </x:c>
    </x:row>
    <x:row r="19" ht="18" customHeight="1">
      <x:c r="A19" s="10" t="str">
        <x:v>REC00018</x:v>
      </x:c>
      <x:c r="B19" s="10" t="str">
        <x:v>EMP001</x:v>
      </x:c>
      <x:c r="C19" s="10" t="str">
        <x:v>CLI010</x:v>
      </x:c>
      <x:c r="D19" s="10" t="str">
        <x:v>CC005</x:v>
      </x:c>
      <x:c r="E19" s="10" t="str">
        <x:v>CAT003</x:v>
      </x:c>
      <x:c r="F19" s="10" t="str">
        <x:v>CTA001</x:v>
      </x:c>
      <x:c r="G19" s="10" t="str">
        <x:v>FAT-200018</x:v>
      </x:c>
      <x:c r="H19" s="10" t="str">
        <x:v>Venda de produtos</x:v>
      </x:c>
      <x:c r="I19" s="16" t="n">
        <x:v>45380.62707945602</x:v>
      </x:c>
      <x:c r="J19" s="16" t="n">
        <x:v>45425.62707945602</x:v>
      </x:c>
      <x:c r="K19" s="16" t="n">
        <x:v>45423.62707945602</x:v>
      </x:c>
      <x:c r="L19" s="20" t="n">
        <x:v>139452.91</x:v>
      </x:c>
      <x:c r="M19" s="20" t="n">
        <x:v>0</x:v>
      </x:c>
      <x:c r="N19" s="20" t="n">
        <x:v>0</x:v>
      </x:c>
      <x:c r="O19" s="20" t="n">
        <x:v>139452.91</x:v>
      </x:c>
      <x:c r="P19" s="20" t="n">
        <x:v>0</x:v>
      </x:c>
      <x:c r="Q19" s="10" t="str">
        <x:v>Recebido</x:v>
      </x:c>
      <x:c r="R19" s="10" t="str">
        <x:v>Boleto</x:v>
      </x:c>
      <x:c r="S19" s="10" t="str">
        <x:v>2024-03</x:v>
      </x:c>
      <x:c r="T19" s="10" t="n">
        <x:v>0</x:v>
      </x:c>
      <x:c r="U19" s="10" t="str">
        <x:v>Liquidado</x:v>
      </x:c>
      <x:c r="V19" s="10" t="str">
        <x:v>Baixo</x:v>
      </x:c>
      <x:c r="W19" s="10" t="str">
        <x:v>Indústria</x:v>
      </x:c>
      <x:c r="X19" s="10" t="str">
        <x:v>UND001</x:v>
      </x:c>
    </x:row>
    <x:row r="20" ht="18" customHeight="1">
      <x:c r="A20" s="10" t="str">
        <x:v>REC00019</x:v>
      </x:c>
      <x:c r="B20" s="10" t="str">
        <x:v>EMP001</x:v>
      </x:c>
      <x:c r="C20" s="10" t="str">
        <x:v>CLI017</x:v>
      </x:c>
      <x:c r="D20" s="10" t="str">
        <x:v>CC006</x:v>
      </x:c>
      <x:c r="E20" s="10" t="str">
        <x:v>CAT003</x:v>
      </x:c>
      <x:c r="F20" s="10" t="str">
        <x:v>CTA001</x:v>
      </x:c>
      <x:c r="G20" s="10" t="str">
        <x:v>FAT-200019</x:v>
      </x:c>
      <x:c r="H20" s="10" t="str">
        <x:v>Venda de produtos</x:v>
      </x:c>
      <x:c r="I20" s="16" t="n">
        <x:v>45490.72303346065</x:v>
      </x:c>
      <x:c r="J20" s="16" t="n">
        <x:v>45511.72303346065</x:v>
      </x:c>
      <x:c r="K20" s="16" t="n">
        <x:v>45515.72303346065</x:v>
      </x:c>
      <x:c r="L20" s="20" t="n">
        <x:v>28489.78</x:v>
      </x:c>
      <x:c r="M20" s="20" t="n">
        <x:v>91.17</x:v>
      </x:c>
      <x:c r="N20" s="20" t="n">
        <x:v>0</x:v>
      </x:c>
      <x:c r="O20" s="20" t="n">
        <x:v>28580.95</x:v>
      </x:c>
      <x:c r="P20" s="20" t="n">
        <x:v>0</x:v>
      </x:c>
      <x:c r="Q20" s="10" t="str">
        <x:v>Recebido</x:v>
      </x:c>
      <x:c r="R20" s="10" t="str">
        <x:v>PIX</x:v>
      </x:c>
      <x:c r="S20" s="10" t="str">
        <x:v>2024-07</x:v>
      </x:c>
      <x:c r="T20" s="10" t="n">
        <x:v>0</x:v>
      </x:c>
      <x:c r="U20" s="10" t="str">
        <x:v>Liquidado</x:v>
      </x:c>
      <x:c r="V20" s="10" t="str">
        <x:v>Médio</x:v>
      </x:c>
      <x:c r="W20" s="10" t="str">
        <x:v>Atacado</x:v>
      </x:c>
      <x:c r="X20" s="10" t="str">
        <x:v>UND002</x:v>
      </x:c>
    </x:row>
    <x:row r="21" ht="18" customHeight="1">
      <x:c r="A21" s="10" t="str">
        <x:v>REC00020</x:v>
      </x:c>
      <x:c r="B21" s="10" t="str">
        <x:v>EMP002</x:v>
      </x:c>
      <x:c r="C21" s="10" t="str">
        <x:v>CLI026</x:v>
      </x:c>
      <x:c r="D21" s="10" t="str">
        <x:v>CC005</x:v>
      </x:c>
      <x:c r="E21" s="10" t="str">
        <x:v>CAT004</x:v>
      </x:c>
      <x:c r="F21" s="10" t="str">
        <x:v>CTA003</x:v>
      </x:c>
      <x:c r="G21" s="10" t="str">
        <x:v>FAT-200020</x:v>
      </x:c>
      <x:c r="H21" s="10" t="str">
        <x:v>Frete faturado</x:v>
      </x:c>
      <x:c r="I21" s="16" t="n">
        <x:v>45449.57477226852</x:v>
      </x:c>
      <x:c r="J21" s="16" t="n">
        <x:v>45464.57477226852</x:v>
      </x:c>
      <x:c r="K21" s="16" t="n">
        <x:v>45466.57477226852</x:v>
      </x:c>
      <x:c r="L21" s="20" t="n">
        <x:v>1420.14</x:v>
      </x:c>
      <x:c r="M21" s="20" t="n">
        <x:v>2.27</x:v>
      </x:c>
      <x:c r="N21" s="20" t="n">
        <x:v>0</x:v>
      </x:c>
      <x:c r="O21" s="20" t="n">
        <x:v>1422.41</x:v>
      </x:c>
      <x:c r="P21" s="20" t="n">
        <x:v>0</x:v>
      </x:c>
      <x:c r="Q21" s="10" t="str">
        <x:v>Recebido</x:v>
      </x:c>
      <x:c r="R21" s="10" t="str">
        <x:v>Boleto</x:v>
      </x:c>
      <x:c r="S21" s="10" t="str">
        <x:v>2024-06</x:v>
      </x:c>
      <x:c r="T21" s="10" t="n">
        <x:v>0</x:v>
      </x:c>
      <x:c r="U21" s="10" t="str">
        <x:v>Liquidado</x:v>
      </x:c>
      <x:c r="V21" s="10" t="str">
        <x:v>Médio</x:v>
      </x:c>
      <x:c r="W21" s="10" t="str">
        <x:v>Atacado</x:v>
      </x:c>
      <x:c r="X21" s="10" t="str">
        <x:v>UND003</x:v>
      </x:c>
    </x:row>
    <x:row r="22" ht="18" customHeight="1">
      <x:c r="A22" s="10" t="str">
        <x:v>REC00021</x:v>
      </x:c>
      <x:c r="B22" s="10" t="str">
        <x:v>EMP002</x:v>
      </x:c>
      <x:c r="C22" s="10" t="str">
        <x:v>CLI016</x:v>
      </x:c>
      <x:c r="D22" s="10" t="str">
        <x:v>CC004</x:v>
      </x:c>
      <x:c r="E22" s="10" t="str">
        <x:v>CAT001</x:v>
      </x:c>
      <x:c r="F22" s="10" t="str">
        <x:v>CTA003</x:v>
      </x:c>
      <x:c r="G22" s="10" t="str">
        <x:v>FAT-200021</x:v>
      </x:c>
      <x:c r="H22" s="10" t="str">
        <x:v>Prestação de serviços</x:v>
      </x:c>
      <x:c r="I22" s="16" t="n">
        <x:v>45585.42425267361</x:v>
      </x:c>
      <x:c r="J22" s="16" t="n">
        <x:v>45606.42425267361</x:v>
      </x:c>
      <x:c r="K22" s="16"/>
      <x:c r="L22" s="20" t="n">
        <x:v>42023.83</x:v>
      </x:c>
      <x:c r="M22" s="20" t="n">
        <x:v>0</x:v>
      </x:c>
      <x:c r="N22" s="20" t="n">
        <x:v>0</x:v>
      </x:c>
      <x:c r="O22" s="20" t="n">
        <x:v>0</x:v>
      </x:c>
      <x:c r="P22" s="20" t="n">
        <x:v>42023.83</x:v>
      </x:c>
      <x:c r="Q22" s="10" t="str">
        <x:v>Vencido</x:v>
      </x:c>
      <x:c r="R22" s="10" t="str">
        <x:v>Boleto</x:v>
      </x:c>
      <x:c r="S22" s="10" t="str">
        <x:v>2024-10</x:v>
      </x:c>
      <x:c r="T22" s="10" t="n">
        <x:v>415</x:v>
      </x:c>
      <x:c r="U22" s="10" t="str">
        <x:v>&gt; 120 dias</x:v>
      </x:c>
      <x:c r="V22" s="10" t="str">
        <x:v>Baixo</x:v>
      </x:c>
      <x:c r="W22" s="10" t="str">
        <x:v>Serviços</x:v>
      </x:c>
      <x:c r="X22" s="10" t="str">
        <x:v>UND003</x:v>
      </x:c>
    </x:row>
    <x:row r="23" ht="18" customHeight="1">
      <x:c r="A23" s="10" t="str">
        <x:v>REC00022</x:v>
      </x:c>
      <x:c r="B23" s="10" t="str">
        <x:v>EMP003</x:v>
      </x:c>
      <x:c r="C23" s="10" t="str">
        <x:v>CLI053</x:v>
      </x:c>
      <x:c r="D23" s="10" t="str">
        <x:v>CC008</x:v>
      </x:c>
      <x:c r="E23" s="10" t="str">
        <x:v>CAT001</x:v>
      </x:c>
      <x:c r="F23" s="10" t="str">
        <x:v>CTA006</x:v>
      </x:c>
      <x:c r="G23" s="10" t="str">
        <x:v>FAT-200022</x:v>
      </x:c>
      <x:c r="H23" s="10" t="str">
        <x:v>Venda de produtos</x:v>
      </x:c>
      <x:c r="I23" s="16" t="n">
        <x:v>45608.03828159722</x:v>
      </x:c>
      <x:c r="J23" s="16" t="n">
        <x:v>45643.03828159722</x:v>
      </x:c>
      <x:c r="K23" s="16" t="n">
        <x:v>45642.03828159722</x:v>
      </x:c>
      <x:c r="L23" s="20" t="n">
        <x:v>83445.98</x:v>
      </x:c>
      <x:c r="M23" s="20" t="n">
        <x:v>0</x:v>
      </x:c>
      <x:c r="N23" s="20" t="n">
        <x:v>834.46</x:v>
      </x:c>
      <x:c r="O23" s="20" t="n">
        <x:v>82611.52</x:v>
      </x:c>
      <x:c r="P23" s="20" t="n">
        <x:v>0</x:v>
      </x:c>
      <x:c r="Q23" s="10" t="str">
        <x:v>Recebido</x:v>
      </x:c>
      <x:c r="R23" s="10" t="str">
        <x:v>TED</x:v>
      </x:c>
      <x:c r="S23" s="10" t="str">
        <x:v>2024-11</x:v>
      </x:c>
      <x:c r="T23" s="10" t="n">
        <x:v>0</x:v>
      </x:c>
      <x:c r="U23" s="10" t="str">
        <x:v>Liquidado</x:v>
      </x:c>
      <x:c r="V23" s="10" t="str">
        <x:v>Baixo</x:v>
      </x:c>
      <x:c r="W23" s="10" t="str">
        <x:v>Saúde</x:v>
      </x:c>
      <x:c r="X23" s="10" t="str">
        <x:v>UND004</x:v>
      </x:c>
    </x:row>
    <x:row r="24" ht="18" customHeight="1">
      <x:c r="A24" s="10" t="str">
        <x:v>REC00023</x:v>
      </x:c>
      <x:c r="B24" s="10" t="str">
        <x:v>EMP001</x:v>
      </x:c>
      <x:c r="C24" s="10" t="str">
        <x:v>CLI078</x:v>
      </x:c>
      <x:c r="D24" s="10" t="str">
        <x:v>CC008</x:v>
      </x:c>
      <x:c r="E24" s="10" t="str">
        <x:v>CAT002</x:v>
      </x:c>
      <x:c r="F24" s="10" t="str">
        <x:v>CTA001</x:v>
      </x:c>
      <x:c r="G24" s="10" t="str">
        <x:v>FAT-200023</x:v>
      </x:c>
      <x:c r="H24" s="10" t="str">
        <x:v>Venda de produtos</x:v>
      </x:c>
      <x:c r="I24" s="16" t="n">
        <x:v>45728.79337126158</x:v>
      </x:c>
      <x:c r="J24" s="16" t="n">
        <x:v>45756.79337126158</x:v>
      </x:c>
      <x:c r="K24" s="16" t="n">
        <x:v>45758.79337126158</x:v>
      </x:c>
      <x:c r="L24" s="20" t="n">
        <x:v>116215.84</x:v>
      </x:c>
      <x:c r="M24" s="20" t="n">
        <x:v>185.95</x:v>
      </x:c>
      <x:c r="N24" s="20" t="n">
        <x:v>0</x:v>
      </x:c>
      <x:c r="O24" s="20" t="n">
        <x:v>116401.79</x:v>
      </x:c>
      <x:c r="P24" s="20" t="n">
        <x:v>0</x:v>
      </x:c>
      <x:c r="Q24" s="10" t="str">
        <x:v>Recebido</x:v>
      </x:c>
      <x:c r="R24" s="10" t="str">
        <x:v>Boleto</x:v>
      </x:c>
      <x:c r="S24" s="10" t="str">
        <x:v>2025-03</x:v>
      </x:c>
      <x:c r="T24" s="10" t="n">
        <x:v>0</x:v>
      </x:c>
      <x:c r="U24" s="10" t="str">
        <x:v>Liquidado</x:v>
      </x:c>
      <x:c r="V24" s="10" t="str">
        <x:v>Médio</x:v>
      </x:c>
      <x:c r="W24" s="10" t="str">
        <x:v>Tecnologia</x:v>
      </x:c>
      <x:c r="X24" s="10" t="str">
        <x:v>UND001</x:v>
      </x:c>
    </x:row>
    <x:row r="25" ht="18" customHeight="1">
      <x:c r="A25" s="10" t="str">
        <x:v>REC00024</x:v>
      </x:c>
      <x:c r="B25" s="10" t="str">
        <x:v>EMP001</x:v>
      </x:c>
      <x:c r="C25" s="10" t="str">
        <x:v>CLI034</x:v>
      </x:c>
      <x:c r="D25" s="10" t="str">
        <x:v>CC004</x:v>
      </x:c>
      <x:c r="E25" s="10" t="str">
        <x:v>CAT001</x:v>
      </x:c>
      <x:c r="F25" s="10" t="str">
        <x:v>CTA002</x:v>
      </x:c>
      <x:c r="G25" s="10" t="str">
        <x:v>FAT-200024</x:v>
      </x:c>
      <x:c r="H25" s="10" t="str">
        <x:v>Projeto especial</x:v>
      </x:c>
      <x:c r="I25" s="16" t="n">
        <x:v>45367.139919155095</x:v>
      </x:c>
      <x:c r="J25" s="16" t="n">
        <x:v>45382.139919155095</x:v>
      </x:c>
      <x:c r="K25" s="16" t="n">
        <x:v>45385.139919155095</x:v>
      </x:c>
      <x:c r="L25" s="20" t="n">
        <x:v>125399.08</x:v>
      </x:c>
      <x:c r="M25" s="20" t="n">
        <x:v>300.96</x:v>
      </x:c>
      <x:c r="N25" s="20" t="n">
        <x:v>0</x:v>
      </x:c>
      <x:c r="O25" s="20" t="n">
        <x:v>125700.04</x:v>
      </x:c>
      <x:c r="P25" s="20" t="n">
        <x:v>0</x:v>
      </x:c>
      <x:c r="Q25" s="10" t="str">
        <x:v>Recebido</x:v>
      </x:c>
      <x:c r="R25" s="10" t="str">
        <x:v>Débito em Conta</x:v>
      </x:c>
      <x:c r="S25" s="10" t="str">
        <x:v>2024-03</x:v>
      </x:c>
      <x:c r="T25" s="10" t="n">
        <x:v>0</x:v>
      </x:c>
      <x:c r="U25" s="10" t="str">
        <x:v>Liquidado</x:v>
      </x:c>
      <x:c r="V25" s="10" t="str">
        <x:v>Médio</x:v>
      </x:c>
      <x:c r="W25" s="10" t="str">
        <x:v>Indústria</x:v>
      </x:c>
      <x:c r="X25" s="10" t="str">
        <x:v>UND002</x:v>
      </x:c>
    </x:row>
    <x:row r="26" ht="18" customHeight="1">
      <x:c r="A26" s="10" t="str">
        <x:v>REC00025</x:v>
      </x:c>
      <x:c r="B26" s="10" t="str">
        <x:v>EMP002</x:v>
      </x:c>
      <x:c r="C26" s="10" t="str">
        <x:v>CLI025</x:v>
      </x:c>
      <x:c r="D26" s="10" t="str">
        <x:v>CC004</x:v>
      </x:c>
      <x:c r="E26" s="10" t="str">
        <x:v>CAT001</x:v>
      </x:c>
      <x:c r="F26" s="10" t="str">
        <x:v>CTA003</x:v>
      </x:c>
      <x:c r="G26" s="10" t="str">
        <x:v>FAT-200025</x:v>
      </x:c>
      <x:c r="H26" s="10" t="str">
        <x:v>Prestação de serviços</x:v>
      </x:c>
      <x:c r="I26" s="16" t="n">
        <x:v>45423.608196319445</x:v>
      </x:c>
      <x:c r="J26" s="16" t="n">
        <x:v>45438.608196319445</x:v>
      </x:c>
      <x:c r="K26" s="16" t="n">
        <x:v>45445.608196319445</x:v>
      </x:c>
      <x:c r="L26" s="20" t="n">
        <x:v>22890.82</x:v>
      </x:c>
      <x:c r="M26" s="20" t="n">
        <x:v>128.19</x:v>
      </x:c>
      <x:c r="N26" s="20" t="n">
        <x:v>0</x:v>
      </x:c>
      <x:c r="O26" s="20" t="n">
        <x:v>23019.01</x:v>
      </x:c>
      <x:c r="P26" s="20" t="n">
        <x:v>0</x:v>
      </x:c>
      <x:c r="Q26" s="10" t="str">
        <x:v>Recebido</x:v>
      </x:c>
      <x:c r="R26" s="10" t="str">
        <x:v>TED</x:v>
      </x:c>
      <x:c r="S26" s="10" t="str">
        <x:v>2024-05</x:v>
      </x:c>
      <x:c r="T26" s="10" t="n">
        <x:v>0</x:v>
      </x:c>
      <x:c r="U26" s="10" t="str">
        <x:v>Liquidado</x:v>
      </x:c>
      <x:c r="V26" s="10" t="str">
        <x:v>Médio</x:v>
      </x:c>
      <x:c r="W26" s="10" t="str">
        <x:v>Indústria</x:v>
      </x:c>
      <x:c r="X26" s="10" t="str">
        <x:v>UND003</x:v>
      </x:c>
    </x:row>
    <x:row r="27" ht="18" customHeight="1">
      <x:c r="A27" s="10" t="str">
        <x:v>REC00026</x:v>
      </x:c>
      <x:c r="B27" s="10" t="str">
        <x:v>EMP002</x:v>
      </x:c>
      <x:c r="C27" s="10" t="str">
        <x:v>CLI054</x:v>
      </x:c>
      <x:c r="D27" s="10" t="str">
        <x:v>CC002</x:v>
      </x:c>
      <x:c r="E27" s="10" t="str">
        <x:v>CAT004</x:v>
      </x:c>
      <x:c r="F27" s="10" t="str">
        <x:v>CTA003</x:v>
      </x:c>
      <x:c r="G27" s="10" t="str">
        <x:v>FAT-200026</x:v>
      </x:c>
      <x:c r="H27" s="10" t="str">
        <x:v>Frete faturado</x:v>
      </x:c>
      <x:c r="I27" s="16" t="n">
        <x:v>45562.378276793985</x:v>
      </x:c>
      <x:c r="J27" s="16" t="n">
        <x:v>45577.378276793985</x:v>
      </x:c>
      <x:c r="K27" s="16"/>
      <x:c r="L27" s="20" t="n">
        <x:v>1024.67</x:v>
      </x:c>
      <x:c r="M27" s="20" t="n">
        <x:v>0</x:v>
      </x:c>
      <x:c r="N27" s="20" t="n">
        <x:v>0</x:v>
      </x:c>
      <x:c r="O27" s="20" t="n">
        <x:v>0</x:v>
      </x:c>
      <x:c r="P27" s="20" t="n">
        <x:v>1024.67</x:v>
      </x:c>
      <x:c r="Q27" s="10" t="str">
        <x:v>Vencido</x:v>
      </x:c>
      <x:c r="R27" s="10" t="str">
        <x:v>Boleto</x:v>
      </x:c>
      <x:c r="S27" s="10" t="str">
        <x:v>2024-09</x:v>
      </x:c>
      <x:c r="T27" s="10" t="n">
        <x:v>444</x:v>
      </x:c>
      <x:c r="U27" s="10" t="str">
        <x:v>&gt; 120 dias</x:v>
      </x:c>
      <x:c r="V27" s="10" t="str">
        <x:v>Médio</x:v>
      </x:c>
      <x:c r="W27" s="10" t="str">
        <x:v>Indústria</x:v>
      </x:c>
      <x:c r="X27" s="10" t="str">
        <x:v>UND003</x:v>
      </x:c>
    </x:row>
    <x:row r="28" ht="18" customHeight="1">
      <x:c r="A28" s="10" t="str">
        <x:v>REC00027</x:v>
      </x:c>
      <x:c r="B28" s="10" t="str">
        <x:v>EMP003</x:v>
      </x:c>
      <x:c r="C28" s="10" t="str">
        <x:v>CLI069</x:v>
      </x:c>
      <x:c r="D28" s="10" t="str">
        <x:v>CC002</x:v>
      </x:c>
      <x:c r="E28" s="10" t="str">
        <x:v>CAT002</x:v>
      </x:c>
      <x:c r="F28" s="10" t="str">
        <x:v>CTA005</x:v>
      </x:c>
      <x:c r="G28" s="10" t="str">
        <x:v>FAT-200027</x:v>
      </x:c>
      <x:c r="H28" s="10" t="str">
        <x:v>Frete faturado</x:v>
      </x:c>
      <x:c r="I28" s="16" t="n">
        <x:v>45705.519826875</x:v>
      </x:c>
      <x:c r="J28" s="16" t="n">
        <x:v>45750.519826875</x:v>
      </x:c>
      <x:c r="K28" s="16"/>
      <x:c r="L28" s="20" t="n">
        <x:v>1023.56</x:v>
      </x:c>
      <x:c r="M28" s="20" t="n">
        <x:v>0</x:v>
      </x:c>
      <x:c r="N28" s="20" t="n">
        <x:v>0</x:v>
      </x:c>
      <x:c r="O28" s="20" t="n">
        <x:v>0</x:v>
      </x:c>
      <x:c r="P28" s="20" t="n">
        <x:v>1023.56</x:v>
      </x:c>
      <x:c r="Q28" s="10" t="str">
        <x:v>Vencido</x:v>
      </x:c>
      <x:c r="R28" s="10" t="str">
        <x:v>TED</x:v>
      </x:c>
      <x:c r="S28" s="10" t="str">
        <x:v>2025-02</x:v>
      </x:c>
      <x:c r="T28" s="10" t="n">
        <x:v>271</x:v>
      </x:c>
      <x:c r="U28" s="10" t="str">
        <x:v>&gt; 120 dias</x:v>
      </x:c>
      <x:c r="V28" s="10" t="str">
        <x:v>Alto</x:v>
      </x:c>
      <x:c r="W28" s="10" t="str">
        <x:v>Tecnologia</x:v>
      </x:c>
      <x:c r="X28" s="10" t="str">
        <x:v>UND004</x:v>
      </x:c>
    </x:row>
    <x:row r="29" ht="18" customHeight="1">
      <x:c r="A29" s="10" t="str">
        <x:v>REC00028</x:v>
      </x:c>
      <x:c r="B29" s="10" t="str">
        <x:v>EMP002</x:v>
      </x:c>
      <x:c r="C29" s="10" t="str">
        <x:v>CLI024</x:v>
      </x:c>
      <x:c r="D29" s="10" t="str">
        <x:v>CC001</x:v>
      </x:c>
      <x:c r="E29" s="10" t="str">
        <x:v>CAT004</x:v>
      </x:c>
      <x:c r="F29" s="10" t="str">
        <x:v>CTA003</x:v>
      </x:c>
      <x:c r="G29" s="10" t="str">
        <x:v>FAT-200028</x:v>
      </x:c>
      <x:c r="H29" s="10" t="str">
        <x:v>Venda de produtos</x:v>
      </x:c>
      <x:c r="I29" s="16" t="n">
        <x:v>45402.62061116898</x:v>
      </x:c>
      <x:c r="J29" s="16" t="n">
        <x:v>45432.62061116898</x:v>
      </x:c>
      <x:c r="K29" s="16" t="n">
        <x:v>45439.62061116898</x:v>
      </x:c>
      <x:c r="L29" s="20" t="n">
        <x:v>11414.35</x:v>
      </x:c>
      <x:c r="M29" s="20" t="n">
        <x:v>63.92</x:v>
      </x:c>
      <x:c r="N29" s="20" t="n">
        <x:v>0</x:v>
      </x:c>
      <x:c r="O29" s="20" t="n">
        <x:v>11478.27</x:v>
      </x:c>
      <x:c r="P29" s="20" t="n">
        <x:v>0</x:v>
      </x:c>
      <x:c r="Q29" s="10" t="str">
        <x:v>Recebido</x:v>
      </x:c>
      <x:c r="R29" s="10" t="str">
        <x:v>TED</x:v>
      </x:c>
      <x:c r="S29" s="10" t="str">
        <x:v>2024-04</x:v>
      </x:c>
      <x:c r="T29" s="10" t="n">
        <x:v>0</x:v>
      </x:c>
      <x:c r="U29" s="10" t="str">
        <x:v>Liquidado</x:v>
      </x:c>
      <x:c r="V29" s="10" t="str">
        <x:v>Baixo</x:v>
      </x:c>
      <x:c r="W29" s="10" t="str">
        <x:v>Saúde</x:v>
      </x:c>
      <x:c r="X29" s="10" t="str">
        <x:v>UND003</x:v>
      </x:c>
    </x:row>
    <x:row r="30" ht="18" customHeight="1">
      <x:c r="A30" s="10" t="str">
        <x:v>REC00029</x:v>
      </x:c>
      <x:c r="B30" s="10" t="str">
        <x:v>EMP001</x:v>
      </x:c>
      <x:c r="C30" s="10" t="str">
        <x:v>CLI039</x:v>
      </x:c>
      <x:c r="D30" s="10" t="str">
        <x:v>CC005</x:v>
      </x:c>
      <x:c r="E30" s="10" t="str">
        <x:v>CAT004</x:v>
      </x:c>
      <x:c r="F30" s="10" t="str">
        <x:v>CTA001</x:v>
      </x:c>
      <x:c r="G30" s="10" t="str">
        <x:v>FAT-200029</x:v>
      </x:c>
      <x:c r="H30" s="10" t="str">
        <x:v>Contrato mensal</x:v>
      </x:c>
      <x:c r="I30" s="16" t="n">
        <x:v>45552.053451817126</x:v>
      </x:c>
      <x:c r="J30" s="16" t="n">
        <x:v>45612.053451817126</x:v>
      </x:c>
      <x:c r="K30" s="16" t="n">
        <x:v>45636.053451817126</x:v>
      </x:c>
      <x:c r="L30" s="20" t="n">
        <x:v>2195.05</x:v>
      </x:c>
      <x:c r="M30" s="20" t="n">
        <x:v>42.14</x:v>
      </x:c>
      <x:c r="N30" s="20" t="n">
        <x:v>0</x:v>
      </x:c>
      <x:c r="O30" s="20" t="n">
        <x:v>2237.19</x:v>
      </x:c>
      <x:c r="P30" s="20" t="n">
        <x:v>0</x:v>
      </x:c>
      <x:c r="Q30" s="10" t="str">
        <x:v>Recebido</x:v>
      </x:c>
      <x:c r="R30" s="10" t="str">
        <x:v>PIX</x:v>
      </x:c>
      <x:c r="S30" s="10" t="str">
        <x:v>2024-09</x:v>
      </x:c>
      <x:c r="T30" s="10" t="n">
        <x:v>0</x:v>
      </x:c>
      <x:c r="U30" s="10" t="str">
        <x:v>Liquidado</x:v>
      </x:c>
      <x:c r="V30" s="10" t="str">
        <x:v>Alto</x:v>
      </x:c>
      <x:c r="W30" s="10" t="str">
        <x:v>Saúde</x:v>
      </x:c>
      <x:c r="X30" s="10" t="str">
        <x:v>UND001</x:v>
      </x:c>
    </x:row>
    <x:row r="31" ht="18" customHeight="1">
      <x:c r="A31" s="10" t="str">
        <x:v>REC00030</x:v>
      </x:c>
      <x:c r="B31" s="10" t="str">
        <x:v>EMP003</x:v>
      </x:c>
      <x:c r="C31" s="10" t="str">
        <x:v>CLI028</x:v>
      </x:c>
      <x:c r="D31" s="10" t="str">
        <x:v>CC004</x:v>
      </x:c>
      <x:c r="E31" s="10" t="str">
        <x:v>CAT004</x:v>
      </x:c>
      <x:c r="F31" s="10" t="str">
        <x:v>CTA005</x:v>
      </x:c>
      <x:c r="G31" s="10" t="str">
        <x:v>FAT-200030</x:v>
      </x:c>
      <x:c r="H31" s="10" t="str">
        <x:v>Prestação de serviços</x:v>
      </x:c>
      <x:c r="I31" s="16" t="n">
        <x:v>45298.00909015047</x:v>
      </x:c>
      <x:c r="J31" s="16" t="n">
        <x:v>45326.00909015047</x:v>
      </x:c>
      <x:c r="K31" s="16"/>
      <x:c r="L31" s="20" t="n">
        <x:v>74444.95</x:v>
      </x:c>
      <x:c r="M31" s="20" t="n">
        <x:v>0</x:v>
      </x:c>
      <x:c r="N31" s="20" t="n">
        <x:v>0</x:v>
      </x:c>
      <x:c r="O31" s="20" t="n">
        <x:v>0</x:v>
      </x:c>
      <x:c r="P31" s="20" t="n">
        <x:v>74444.95</x:v>
      </x:c>
      <x:c r="Q31" s="10" t="str">
        <x:v>Vencido</x:v>
      </x:c>
      <x:c r="R31" s="10" t="str">
        <x:v>Cartão</x:v>
      </x:c>
      <x:c r="S31" s="10" t="str">
        <x:v>2024-01</x:v>
      </x:c>
      <x:c r="T31" s="10" t="n">
        <x:v>695</x:v>
      </x:c>
      <x:c r="U31" s="10" t="str">
        <x:v>&gt; 120 dias</x:v>
      </x:c>
      <x:c r="V31" s="10" t="str">
        <x:v>Baixo</x:v>
      </x:c>
      <x:c r="W31" s="10" t="str">
        <x:v>Serviços</x:v>
      </x:c>
      <x:c r="X31" s="10" t="str">
        <x:v>UND004</x:v>
      </x:c>
    </x:row>
    <x:row r="32" ht="18" customHeight="1">
      <x:c r="A32" s="10" t="str">
        <x:v>REC00031</x:v>
      </x:c>
      <x:c r="B32" s="10" t="str">
        <x:v>EMP001</x:v>
      </x:c>
      <x:c r="C32" s="10" t="str">
        <x:v>CLI064</x:v>
      </x:c>
      <x:c r="D32" s="10" t="str">
        <x:v>CC002</x:v>
      </x:c>
      <x:c r="E32" s="10" t="str">
        <x:v>CAT002</x:v>
      </x:c>
      <x:c r="F32" s="10" t="str">
        <x:v>CTA001</x:v>
      </x:c>
      <x:c r="G32" s="10" t="str">
        <x:v>FAT-200031</x:v>
      </x:c>
      <x:c r="H32" s="10" t="str">
        <x:v>Projeto especial</x:v>
      </x:c>
      <x:c r="I32" s="16" t="n">
        <x:v>45768.741706851855</x:v>
      </x:c>
      <x:c r="J32" s="16" t="n">
        <x:v>45828.741706851855</x:v>
      </x:c>
      <x:c r="K32" s="16" t="n">
        <x:v>45839.741706851855</x:v>
      </x:c>
      <x:c r="L32" s="20" t="n">
        <x:v>31558.6</x:v>
      </x:c>
      <x:c r="M32" s="20" t="n">
        <x:v>277.72</x:v>
      </x:c>
      <x:c r="N32" s="20" t="n">
        <x:v>0</x:v>
      </x:c>
      <x:c r="O32" s="20" t="n">
        <x:v>31836.32</x:v>
      </x:c>
      <x:c r="P32" s="20" t="n">
        <x:v>0</x:v>
      </x:c>
      <x:c r="Q32" s="10" t="str">
        <x:v>Recebido</x:v>
      </x:c>
      <x:c r="R32" s="10" t="str">
        <x:v>PIX</x:v>
      </x:c>
      <x:c r="S32" s="10" t="str">
        <x:v>2025-04</x:v>
      </x:c>
      <x:c r="T32" s="10" t="n">
        <x:v>0</x:v>
      </x:c>
      <x:c r="U32" s="10" t="str">
        <x:v>Liquidado</x:v>
      </x:c>
      <x:c r="V32" s="10" t="str">
        <x:v>Médio</x:v>
      </x:c>
      <x:c r="W32" s="10" t="str">
        <x:v>Atacado</x:v>
      </x:c>
      <x:c r="X32" s="10" t="str">
        <x:v>UND001</x:v>
      </x:c>
    </x:row>
    <x:row r="33" ht="18" customHeight="1">
      <x:c r="A33" s="10" t="str">
        <x:v>REC00032</x:v>
      </x:c>
      <x:c r="B33" s="10" t="str">
        <x:v>EMP001</x:v>
      </x:c>
      <x:c r="C33" s="10" t="str">
        <x:v>CLI023</x:v>
      </x:c>
      <x:c r="D33" s="10" t="str">
        <x:v>CC003</x:v>
      </x:c>
      <x:c r="E33" s="10" t="str">
        <x:v>CAT001</x:v>
      </x:c>
      <x:c r="F33" s="10" t="str">
        <x:v>CTA001</x:v>
      </x:c>
      <x:c r="G33" s="10" t="str">
        <x:v>FAT-200032</x:v>
      </x:c>
      <x:c r="H33" s="10" t="str">
        <x:v>Venda de produtos</x:v>
      </x:c>
      <x:c r="I33" s="16" t="n">
        <x:v>45420.27091677083</x:v>
      </x:c>
      <x:c r="J33" s="16" t="n">
        <x:v>45441.27091677083</x:v>
      </x:c>
      <x:c r="K33" s="16" t="n">
        <x:v>45444.27091677083</x:v>
      </x:c>
      <x:c r="L33" s="20" t="n">
        <x:v>53978.3</x:v>
      </x:c>
      <x:c r="M33" s="20" t="n">
        <x:v>129.55</x:v>
      </x:c>
      <x:c r="N33" s="20" t="n">
        <x:v>0</x:v>
      </x:c>
      <x:c r="O33" s="20" t="n">
        <x:v>54107.85</x:v>
      </x:c>
      <x:c r="P33" s="20" t="n">
        <x:v>0</x:v>
      </x:c>
      <x:c r="Q33" s="10" t="str">
        <x:v>Recebido</x:v>
      </x:c>
      <x:c r="R33" s="10" t="str">
        <x:v>PIX</x:v>
      </x:c>
      <x:c r="S33" s="10" t="str">
        <x:v>2024-05</x:v>
      </x:c>
      <x:c r="T33" s="10" t="n">
        <x:v>0</x:v>
      </x:c>
      <x:c r="U33" s="10" t="str">
        <x:v>Liquidado</x:v>
      </x:c>
      <x:c r="V33" s="10" t="str">
        <x:v>Médio</x:v>
      </x:c>
      <x:c r="W33" s="10" t="str">
        <x:v>Atacado</x:v>
      </x:c>
      <x:c r="X33" s="10" t="str">
        <x:v>UND002</x:v>
      </x:c>
    </x:row>
    <x:row r="34" ht="18" customHeight="1">
      <x:c r="A34" s="10" t="str">
        <x:v>REC00033</x:v>
      </x:c>
      <x:c r="B34" s="10" t="str">
        <x:v>EMP003</x:v>
      </x:c>
      <x:c r="C34" s="10" t="str">
        <x:v>CLI070</x:v>
      </x:c>
      <x:c r="D34" s="10" t="str">
        <x:v>CC005</x:v>
      </x:c>
      <x:c r="E34" s="10" t="str">
        <x:v>CAT001</x:v>
      </x:c>
      <x:c r="F34" s="10" t="str">
        <x:v>CTA006</x:v>
      </x:c>
      <x:c r="G34" s="10" t="str">
        <x:v>FAT-200033</x:v>
      </x:c>
      <x:c r="H34" s="10" t="str">
        <x:v>Projeto especial</x:v>
      </x:c>
      <x:c r="I34" s="16" t="n">
        <x:v>45493.96417543982</x:v>
      </x:c>
      <x:c r="J34" s="16" t="n">
        <x:v>45523.96417543982</x:v>
      </x:c>
      <x:c r="K34" s="16" t="n">
        <x:v>45528.96417543982</x:v>
      </x:c>
      <x:c r="L34" s="20" t="n">
        <x:v>2198.07</x:v>
      </x:c>
      <x:c r="M34" s="20" t="n">
        <x:v>8.79</x:v>
      </x:c>
      <x:c r="N34" s="20" t="n">
        <x:v>0</x:v>
      </x:c>
      <x:c r="O34" s="20" t="n">
        <x:v>2206.86</x:v>
      </x:c>
      <x:c r="P34" s="20" t="n">
        <x:v>0</x:v>
      </x:c>
      <x:c r="Q34" s="10" t="str">
        <x:v>Recebido</x:v>
      </x:c>
      <x:c r="R34" s="10" t="str">
        <x:v>Débito em Conta</x:v>
      </x:c>
      <x:c r="S34" s="10" t="str">
        <x:v>2024-07</x:v>
      </x:c>
      <x:c r="T34" s="10" t="n">
        <x:v>0</x:v>
      </x:c>
      <x:c r="U34" s="10" t="str">
        <x:v>Liquidado</x:v>
      </x:c>
      <x:c r="V34" s="10" t="str">
        <x:v>Baixo</x:v>
      </x:c>
      <x:c r="W34" s="10" t="str">
        <x:v>Saúde</x:v>
      </x:c>
      <x:c r="X34" s="10" t="str">
        <x:v>UND004</x:v>
      </x:c>
    </x:row>
    <x:row r="35" ht="18" customHeight="1">
      <x:c r="A35" s="10" t="str">
        <x:v>REC00034</x:v>
      </x:c>
      <x:c r="B35" s="10" t="str">
        <x:v>EMP003</x:v>
      </x:c>
      <x:c r="C35" s="10" t="str">
        <x:v>CLI029</x:v>
      </x:c>
      <x:c r="D35" s="10" t="str">
        <x:v>CC005</x:v>
      </x:c>
      <x:c r="E35" s="10" t="str">
        <x:v>CAT001</x:v>
      </x:c>
      <x:c r="F35" s="10" t="str">
        <x:v>CTA005</x:v>
      </x:c>
      <x:c r="G35" s="10" t="str">
        <x:v>FAT-200034</x:v>
      </x:c>
      <x:c r="H35" s="10" t="str">
        <x:v>Prestação de serviços</x:v>
      </x:c>
      <x:c r="I35" s="16" t="n">
        <x:v>45540.46484037037</x:v>
      </x:c>
      <x:c r="J35" s="16" t="n">
        <x:v>45585.46484037037</x:v>
      </x:c>
      <x:c r="K35" s="16" t="n">
        <x:v>45586.46484037037</x:v>
      </x:c>
      <x:c r="L35" s="20" t="n">
        <x:v>42574.18</x:v>
      </x:c>
      <x:c r="M35" s="20" t="n">
        <x:v>34.06</x:v>
      </x:c>
      <x:c r="N35" s="20" t="n">
        <x:v>0</x:v>
      </x:c>
      <x:c r="O35" s="20" t="n">
        <x:v>42608.24</x:v>
      </x:c>
      <x:c r="P35" s="20" t="n">
        <x:v>0</x:v>
      </x:c>
      <x:c r="Q35" s="10" t="str">
        <x:v>Recebido</x:v>
      </x:c>
      <x:c r="R35" s="10" t="str">
        <x:v>PIX</x:v>
      </x:c>
      <x:c r="S35" s="10" t="str">
        <x:v>2024-09</x:v>
      </x:c>
      <x:c r="T35" s="10" t="n">
        <x:v>0</x:v>
      </x:c>
      <x:c r="U35" s="10" t="str">
        <x:v>Liquidado</x:v>
      </x:c>
      <x:c r="V35" s="10" t="str">
        <x:v>Baixo</x:v>
      </x:c>
      <x:c r="W35" s="10" t="str">
        <x:v>Tecnologia</x:v>
      </x:c>
      <x:c r="X35" s="10" t="str">
        <x:v>UND004</x:v>
      </x:c>
    </x:row>
    <x:row r="36" ht="18" customHeight="1">
      <x:c r="A36" s="10" t="str">
        <x:v>REC00035</x:v>
      </x:c>
      <x:c r="B36" s="10" t="str">
        <x:v>EMP003</x:v>
      </x:c>
      <x:c r="C36" s="10" t="str">
        <x:v>CLI008</x:v>
      </x:c>
      <x:c r="D36" s="10" t="str">
        <x:v>CC005</x:v>
      </x:c>
      <x:c r="E36" s="10" t="str">
        <x:v>CAT002</x:v>
      </x:c>
      <x:c r="F36" s="10" t="str">
        <x:v>CTA006</x:v>
      </x:c>
      <x:c r="G36" s="10" t="str">
        <x:v>FAT-200035</x:v>
      </x:c>
      <x:c r="H36" s="10" t="str">
        <x:v>Venda de produtos</x:v>
      </x:c>
      <x:c r="I36" s="16" t="n">
        <x:v>46000.49086172454</x:v>
      </x:c>
      <x:c r="J36" s="16" t="n">
        <x:v>46030.49086172454</x:v>
      </x:c>
      <x:c r="K36" s="16"/>
      <x:c r="L36" s="20" t="n">
        <x:v>20167.44</x:v>
      </x:c>
      <x:c r="M36" s="20" t="n">
        <x:v>0</x:v>
      </x:c>
      <x:c r="N36" s="20" t="n">
        <x:v>0</x:v>
      </x:c>
      <x:c r="O36" s="20" t="n">
        <x:v>0</x:v>
      </x:c>
      <x:c r="P36" s="20" t="n">
        <x:v>20167.44</x:v>
      </x:c>
      <x:c r="Q36" s="10" t="str">
        <x:v>A vencer</x:v>
      </x:c>
      <x:c r="R36" s="10" t="str">
        <x:v>Boleto</x:v>
      </x:c>
      <x:c r="S36" s="10" t="str">
        <x:v>2025-12</x:v>
      </x:c>
      <x:c r="T36" s="10" t="n">
        <x:v>0</x:v>
      </x:c>
      <x:c r="U36" s="10" t="str">
        <x:v>A vencer</x:v>
      </x:c>
      <x:c r="V36" s="10" t="str">
        <x:v>Médio</x:v>
      </x:c>
      <x:c r="W36" s="10" t="str">
        <x:v>Saúde</x:v>
      </x:c>
      <x:c r="X36" s="10" t="str">
        <x:v>UND004</x:v>
      </x:c>
    </x:row>
    <x:row r="37" ht="18" customHeight="1">
      <x:c r="A37" s="10" t="str">
        <x:v>REC00036</x:v>
      </x:c>
      <x:c r="B37" s="10" t="str">
        <x:v>EMP003</x:v>
      </x:c>
      <x:c r="C37" s="10" t="str">
        <x:v>CLI024</x:v>
      </x:c>
      <x:c r="D37" s="10" t="str">
        <x:v>CC002</x:v>
      </x:c>
      <x:c r="E37" s="10" t="str">
        <x:v>CAT001</x:v>
      </x:c>
      <x:c r="F37" s="10" t="str">
        <x:v>CTA006</x:v>
      </x:c>
      <x:c r="G37" s="10" t="str">
        <x:v>FAT-200036</x:v>
      </x:c>
      <x:c r="H37" s="10" t="str">
        <x:v>Projeto especial</x:v>
      </x:c>
      <x:c r="I37" s="16" t="n">
        <x:v>45560.98248875</x:v>
      </x:c>
      <x:c r="J37" s="16" t="n">
        <x:v>45605.98248875</x:v>
      </x:c>
      <x:c r="K37" s="16" t="n">
        <x:v>45608.98248875</x:v>
      </x:c>
      <x:c r="L37" s="20" t="n">
        <x:v>64247.54</x:v>
      </x:c>
      <x:c r="M37" s="20" t="n">
        <x:v>154.19</x:v>
      </x:c>
      <x:c r="N37" s="20" t="n">
        <x:v>0</x:v>
      </x:c>
      <x:c r="O37" s="20" t="n">
        <x:v>64401.73</x:v>
      </x:c>
      <x:c r="P37" s="20" t="n">
        <x:v>0</x:v>
      </x:c>
      <x:c r="Q37" s="10" t="str">
        <x:v>Recebido</x:v>
      </x:c>
      <x:c r="R37" s="10" t="str">
        <x:v>PIX</x:v>
      </x:c>
      <x:c r="S37" s="10" t="str">
        <x:v>2024-09</x:v>
      </x:c>
      <x:c r="T37" s="10" t="n">
        <x:v>0</x:v>
      </x:c>
      <x:c r="U37" s="10" t="str">
        <x:v>Liquidado</x:v>
      </x:c>
      <x:c r="V37" s="10" t="str">
        <x:v>Baixo</x:v>
      </x:c>
      <x:c r="W37" s="10" t="str">
        <x:v>Saúde</x:v>
      </x:c>
      <x:c r="X37" s="10" t="str">
        <x:v>UND004</x:v>
      </x:c>
    </x:row>
    <x:row r="38" ht="18" customHeight="1">
      <x:c r="A38" s="10" t="str">
        <x:v>REC00037</x:v>
      </x:c>
      <x:c r="B38" s="10" t="str">
        <x:v>EMP001</x:v>
      </x:c>
      <x:c r="C38" s="10" t="str">
        <x:v>CLI020</x:v>
      </x:c>
      <x:c r="D38" s="10" t="str">
        <x:v>CC001</x:v>
      </x:c>
      <x:c r="E38" s="10" t="str">
        <x:v>CAT001</x:v>
      </x:c>
      <x:c r="F38" s="10" t="str">
        <x:v>CTA002</x:v>
      </x:c>
      <x:c r="G38" s="10" t="str">
        <x:v>FAT-200037</x:v>
      </x:c>
      <x:c r="H38" s="10" t="str">
        <x:v>Projeto especial</x:v>
      </x:c>
      <x:c r="I38" s="16" t="n">
        <x:v>45474.25489556713</x:v>
      </x:c>
      <x:c r="J38" s="16" t="n">
        <x:v>45509.25489556713</x:v>
      </x:c>
      <x:c r="K38" s="16"/>
      <x:c r="L38" s="20" t="n">
        <x:v>41732.41</x:v>
      </x:c>
      <x:c r="M38" s="20" t="n">
        <x:v>0</x:v>
      </x:c>
      <x:c r="N38" s="20" t="n">
        <x:v>0</x:v>
      </x:c>
      <x:c r="O38" s="20" t="n">
        <x:v>0</x:v>
      </x:c>
      <x:c r="P38" s="20" t="n">
        <x:v>41732.41</x:v>
      </x:c>
      <x:c r="Q38" s="10" t="str">
        <x:v>Vencido</x:v>
      </x:c>
      <x:c r="R38" s="10" t="str">
        <x:v>Boleto</x:v>
      </x:c>
      <x:c r="S38" s="10" t="str">
        <x:v>2024-07</x:v>
      </x:c>
      <x:c r="T38" s="10" t="n">
        <x:v>512</x:v>
      </x:c>
      <x:c r="U38" s="10" t="str">
        <x:v>&gt; 120 dias</x:v>
      </x:c>
      <x:c r="V38" s="10" t="str">
        <x:v>Médio</x:v>
      </x:c>
      <x:c r="W38" s="10" t="str">
        <x:v>Atacado</x:v>
      </x:c>
      <x:c r="X38" s="10" t="str">
        <x:v>UND001</x:v>
      </x:c>
    </x:row>
    <x:row r="39" ht="18" customHeight="1">
      <x:c r="A39" s="10" t="str">
        <x:v>REC00038</x:v>
      </x:c>
      <x:c r="B39" s="10" t="str">
        <x:v>EMP001</x:v>
      </x:c>
      <x:c r="C39" s="10" t="str">
        <x:v>CLI050</x:v>
      </x:c>
      <x:c r="D39" s="10" t="str">
        <x:v>CC001</x:v>
      </x:c>
      <x:c r="E39" s="10" t="str">
        <x:v>CAT002</x:v>
      </x:c>
      <x:c r="F39" s="10" t="str">
        <x:v>CTA001</x:v>
      </x:c>
      <x:c r="G39" s="10" t="str">
        <x:v>FAT-200038</x:v>
      </x:c>
      <x:c r="H39" s="10" t="str">
        <x:v>Venda de produtos</x:v>
      </x:c>
      <x:c r="I39" s="16" t="n">
        <x:v>45448.86809384259</x:v>
      </x:c>
      <x:c r="J39" s="16" t="n">
        <x:v>45483.86809384259</x:v>
      </x:c>
      <x:c r="K39" s="16" t="n">
        <x:v>45478.86809384259</x:v>
      </x:c>
      <x:c r="L39" s="20" t="n">
        <x:v>8585.4</x:v>
      </x:c>
      <x:c r="M39" s="20" t="n">
        <x:v>0</x:v>
      </x:c>
      <x:c r="N39" s="20" t="n">
        <x:v>42.93</x:v>
      </x:c>
      <x:c r="O39" s="20" t="n">
        <x:v>8542.47</x:v>
      </x:c>
      <x:c r="P39" s="20" t="n">
        <x:v>0</x:v>
      </x:c>
      <x:c r="Q39" s="10" t="str">
        <x:v>Recebido</x:v>
      </x:c>
      <x:c r="R39" s="10" t="str">
        <x:v>Cartão</x:v>
      </x:c>
      <x:c r="S39" s="10" t="str">
        <x:v>2024-06</x:v>
      </x:c>
      <x:c r="T39" s="10" t="n">
        <x:v>0</x:v>
      </x:c>
      <x:c r="U39" s="10" t="str">
        <x:v>Liquidado</x:v>
      </x:c>
      <x:c r="V39" s="10" t="str">
        <x:v>Baixo</x:v>
      </x:c>
      <x:c r="W39" s="10" t="str">
        <x:v>Tecnologia</x:v>
      </x:c>
      <x:c r="X39" s="10" t="str">
        <x:v>UND002</x:v>
      </x:c>
    </x:row>
    <x:row r="40" ht="18" customHeight="1">
      <x:c r="A40" s="10" t="str">
        <x:v>REC00039</x:v>
      </x:c>
      <x:c r="B40" s="10" t="str">
        <x:v>EMP001</x:v>
      </x:c>
      <x:c r="C40" s="10" t="str">
        <x:v>CLI049</x:v>
      </x:c>
      <x:c r="D40" s="10" t="str">
        <x:v>CC001</x:v>
      </x:c>
      <x:c r="E40" s="10" t="str">
        <x:v>CAT001</x:v>
      </x:c>
      <x:c r="F40" s="10" t="str">
        <x:v>CTA002</x:v>
      </x:c>
      <x:c r="G40" s="10" t="str">
        <x:v>FAT-200039</x:v>
      </x:c>
      <x:c r="H40" s="10" t="str">
        <x:v>Projeto especial</x:v>
      </x:c>
      <x:c r="I40" s="16" t="n">
        <x:v>45389.51067574074</x:v>
      </x:c>
      <x:c r="J40" s="16" t="n">
        <x:v>45449.51067574074</x:v>
      </x:c>
      <x:c r="K40" s="16"/>
      <x:c r="L40" s="20" t="n">
        <x:v>57769.73</x:v>
      </x:c>
      <x:c r="M40" s="20" t="n">
        <x:v>0</x:v>
      </x:c>
      <x:c r="N40" s="20" t="n">
        <x:v>0</x:v>
      </x:c>
      <x:c r="O40" s="20" t="n">
        <x:v>0</x:v>
      </x:c>
      <x:c r="P40" s="20" t="n">
        <x:v>0</x:v>
      </x:c>
      <x:c r="Q40" s="10" t="str">
        <x:v>Cancelado</x:v>
      </x:c>
      <x:c r="R40" s="10" t="str">
        <x:v>Cartão</x:v>
      </x:c>
      <x:c r="S40" s="10" t="str">
        <x:v>2024-04</x:v>
      </x:c>
      <x:c r="T40" s="10" t="n">
        <x:v>0</x:v>
      </x:c>
      <x:c r="U40" s="10" t="str">
        <x:v>Cancelado</x:v>
      </x:c>
      <x:c r="V40" s="10" t="str">
        <x:v>Médio</x:v>
      </x:c>
      <x:c r="W40" s="10" t="str">
        <x:v>Serviços</x:v>
      </x:c>
      <x:c r="X40" s="10" t="str">
        <x:v>UND001</x:v>
      </x:c>
    </x:row>
    <x:row r="41" ht="18" customHeight="1">
      <x:c r="A41" s="10" t="str">
        <x:v>REC00040</x:v>
      </x:c>
      <x:c r="B41" s="10" t="str">
        <x:v>EMP001</x:v>
      </x:c>
      <x:c r="C41" s="10" t="str">
        <x:v>CLI049</x:v>
      </x:c>
      <x:c r="D41" s="10" t="str">
        <x:v>CC002</x:v>
      </x:c>
      <x:c r="E41" s="10" t="str">
        <x:v>CAT004</x:v>
      </x:c>
      <x:c r="F41" s="10" t="str">
        <x:v>CTA002</x:v>
      </x:c>
      <x:c r="G41" s="10" t="str">
        <x:v>FAT-200040</x:v>
      </x:c>
      <x:c r="H41" s="10" t="str">
        <x:v>Projeto especial</x:v>
      </x:c>
      <x:c r="I41" s="16" t="n">
        <x:v>45294.03533747685</x:v>
      </x:c>
      <x:c r="J41" s="16" t="n">
        <x:v>45339.03533747685</x:v>
      </x:c>
      <x:c r="K41" s="16" t="n">
        <x:v>45345.03533747685</x:v>
      </x:c>
      <x:c r="L41" s="20" t="n">
        <x:v>4481.54</x:v>
      </x:c>
      <x:c r="M41" s="20" t="n">
        <x:v>21.51</x:v>
      </x:c>
      <x:c r="N41" s="20" t="n">
        <x:v>0</x:v>
      </x:c>
      <x:c r="O41" s="20" t="n">
        <x:v>4503.05</x:v>
      </x:c>
      <x:c r="P41" s="20" t="n">
        <x:v>0</x:v>
      </x:c>
      <x:c r="Q41" s="10" t="str">
        <x:v>Recebido</x:v>
      </x:c>
      <x:c r="R41" s="10" t="str">
        <x:v>Cartão</x:v>
      </x:c>
      <x:c r="S41" s="10" t="str">
        <x:v>2024-01</x:v>
      </x:c>
      <x:c r="T41" s="10" t="n">
        <x:v>0</x:v>
      </x:c>
      <x:c r="U41" s="10" t="str">
        <x:v>Liquidado</x:v>
      </x:c>
      <x:c r="V41" s="10" t="str">
        <x:v>Médio</x:v>
      </x:c>
      <x:c r="W41" s="10" t="str">
        <x:v>Serviços</x:v>
      </x:c>
      <x:c r="X41" s="10" t="str">
        <x:v>UND001</x:v>
      </x:c>
    </x:row>
    <x:row r="42" ht="18" customHeight="1">
      <x:c r="A42" s="10" t="str">
        <x:v>REC00041</x:v>
      </x:c>
      <x:c r="B42" s="10" t="str">
        <x:v>EMP003</x:v>
      </x:c>
      <x:c r="C42" s="10" t="str">
        <x:v>CLI073</x:v>
      </x:c>
      <x:c r="D42" s="10" t="str">
        <x:v>CC003</x:v>
      </x:c>
      <x:c r="E42" s="10" t="str">
        <x:v>CAT001</x:v>
      </x:c>
      <x:c r="F42" s="10" t="str">
        <x:v>CTA005</x:v>
      </x:c>
      <x:c r="G42" s="10" t="str">
        <x:v>FAT-200041</x:v>
      </x:c>
      <x:c r="H42" s="10" t="str">
        <x:v>Contrato mensal</x:v>
      </x:c>
      <x:c r="I42" s="16" t="n">
        <x:v>45751.722045601855</x:v>
      </x:c>
      <x:c r="J42" s="16" t="n">
        <x:v>45786.722045601855</x:v>
      </x:c>
      <x:c r="K42" s="16" t="n">
        <x:v>45786.722045601855</x:v>
      </x:c>
      <x:c r="L42" s="20" t="n">
        <x:v>33462.58</x:v>
      </x:c>
      <x:c r="M42" s="20" t="n">
        <x:v>0</x:v>
      </x:c>
      <x:c r="N42" s="20" t="n">
        <x:v>0</x:v>
      </x:c>
      <x:c r="O42" s="20" t="n">
        <x:v>33462.58</x:v>
      </x:c>
      <x:c r="P42" s="20" t="n">
        <x:v>0</x:v>
      </x:c>
      <x:c r="Q42" s="10" t="str">
        <x:v>Recebido</x:v>
      </x:c>
      <x:c r="R42" s="10" t="str">
        <x:v>Boleto</x:v>
      </x:c>
      <x:c r="S42" s="10" t="str">
        <x:v>2025-04</x:v>
      </x:c>
      <x:c r="T42" s="10" t="n">
        <x:v>0</x:v>
      </x:c>
      <x:c r="U42" s="10" t="str">
        <x:v>Liquidado</x:v>
      </x:c>
      <x:c r="V42" s="10" t="str">
        <x:v>Alto</x:v>
      </x:c>
      <x:c r="W42" s="10" t="str">
        <x:v>Tecnologia</x:v>
      </x:c>
      <x:c r="X42" s="10" t="str">
        <x:v>UND004</x:v>
      </x:c>
    </x:row>
    <x:row r="43" ht="18" customHeight="1">
      <x:c r="A43" s="10" t="str">
        <x:v>REC00042</x:v>
      </x:c>
      <x:c r="B43" s="10" t="str">
        <x:v>EMP002</x:v>
      </x:c>
      <x:c r="C43" s="10" t="str">
        <x:v>CLI054</x:v>
      </x:c>
      <x:c r="D43" s="10" t="str">
        <x:v>CC007</x:v>
      </x:c>
      <x:c r="E43" s="10" t="str">
        <x:v>CAT001</x:v>
      </x:c>
      <x:c r="F43" s="10" t="str">
        <x:v>CTA003</x:v>
      </x:c>
      <x:c r="G43" s="10" t="str">
        <x:v>FAT-200042</x:v>
      </x:c>
      <x:c r="H43" s="10" t="str">
        <x:v>Prestação de serviços</x:v>
      </x:c>
      <x:c r="I43" s="16" t="n">
        <x:v>45617.12129525463</x:v>
      </x:c>
      <x:c r="J43" s="16" t="n">
        <x:v>45645.12129525463</x:v>
      </x:c>
      <x:c r="K43" s="16" t="n">
        <x:v>45658.12129525463</x:v>
      </x:c>
      <x:c r="L43" s="20" t="n">
        <x:v>9232.33</x:v>
      </x:c>
      <x:c r="M43" s="20" t="n">
        <x:v>96.02</x:v>
      </x:c>
      <x:c r="N43" s="20" t="n">
        <x:v>0</x:v>
      </x:c>
      <x:c r="O43" s="20" t="n">
        <x:v>9328.35</x:v>
      </x:c>
      <x:c r="P43" s="20" t="n">
        <x:v>0</x:v>
      </x:c>
      <x:c r="Q43" s="10" t="str">
        <x:v>Recebido</x:v>
      </x:c>
      <x:c r="R43" s="10" t="str">
        <x:v>Boleto</x:v>
      </x:c>
      <x:c r="S43" s="10" t="str">
        <x:v>2024-11</x:v>
      </x:c>
      <x:c r="T43" s="10" t="n">
        <x:v>0</x:v>
      </x:c>
      <x:c r="U43" s="10" t="str">
        <x:v>Liquidado</x:v>
      </x:c>
      <x:c r="V43" s="10" t="str">
        <x:v>Médio</x:v>
      </x:c>
      <x:c r="W43" s="10" t="str">
        <x:v>Indústria</x:v>
      </x:c>
      <x:c r="X43" s="10" t="str">
        <x:v>UND003</x:v>
      </x:c>
    </x:row>
    <x:row r="44" ht="18" customHeight="1">
      <x:c r="A44" s="10" t="str">
        <x:v>REC00043</x:v>
      </x:c>
      <x:c r="B44" s="10" t="str">
        <x:v>EMP003</x:v>
      </x:c>
      <x:c r="C44" s="10" t="str">
        <x:v>CLI026</x:v>
      </x:c>
      <x:c r="D44" s="10" t="str">
        <x:v>CC002</x:v>
      </x:c>
      <x:c r="E44" s="10" t="str">
        <x:v>CAT004</x:v>
      </x:c>
      <x:c r="F44" s="10" t="str">
        <x:v>CTA006</x:v>
      </x:c>
      <x:c r="G44" s="10" t="str">
        <x:v>FAT-200043</x:v>
      </x:c>
      <x:c r="H44" s="10" t="str">
        <x:v>Projeto especial</x:v>
      </x:c>
      <x:c r="I44" s="16" t="n">
        <x:v>45308.65158740741</x:v>
      </x:c>
      <x:c r="J44" s="16" t="n">
        <x:v>45353.65158740741</x:v>
      </x:c>
      <x:c r="K44" s="16" t="n">
        <x:v>45351.65158740741</x:v>
      </x:c>
      <x:c r="L44" s="20" t="n">
        <x:v>77325.12</x:v>
      </x:c>
      <x:c r="M44" s="20" t="n">
        <x:v>0</x:v>
      </x:c>
      <x:c r="N44" s="20" t="n">
        <x:v>773.25</x:v>
      </x:c>
      <x:c r="O44" s="20" t="n">
        <x:v>76551.87</x:v>
      </x:c>
      <x:c r="P44" s="20" t="n">
        <x:v>0</x:v>
      </x:c>
      <x:c r="Q44" s="10" t="str">
        <x:v>Recebido</x:v>
      </x:c>
      <x:c r="R44" s="10" t="str">
        <x:v>Boleto</x:v>
      </x:c>
      <x:c r="S44" s="10" t="str">
        <x:v>2024-01</x:v>
      </x:c>
      <x:c r="T44" s="10" t="n">
        <x:v>0</x:v>
      </x:c>
      <x:c r="U44" s="10" t="str">
        <x:v>Liquidado</x:v>
      </x:c>
      <x:c r="V44" s="10" t="str">
        <x:v>Médio</x:v>
      </x:c>
      <x:c r="W44" s="10" t="str">
        <x:v>Atacado</x:v>
      </x:c>
      <x:c r="X44" s="10" t="str">
        <x:v>UND004</x:v>
      </x:c>
    </x:row>
    <x:row r="45" ht="18" customHeight="1">
      <x:c r="A45" s="10" t="str">
        <x:v>REC00044</x:v>
      </x:c>
      <x:c r="B45" s="10" t="str">
        <x:v>EMP001</x:v>
      </x:c>
      <x:c r="C45" s="10" t="str">
        <x:v>CLI079</x:v>
      </x:c>
      <x:c r="D45" s="10" t="str">
        <x:v>CC001</x:v>
      </x:c>
      <x:c r="E45" s="10" t="str">
        <x:v>CAT002</x:v>
      </x:c>
      <x:c r="F45" s="10" t="str">
        <x:v>CTA001</x:v>
      </x:c>
      <x:c r="G45" s="10" t="str">
        <x:v>FAT-200044</x:v>
      </x:c>
      <x:c r="H45" s="10" t="str">
        <x:v>Venda de produtos</x:v>
      </x:c>
      <x:c r="I45" s="16" t="n">
        <x:v>45561.70311516204</x:v>
      </x:c>
      <x:c r="J45" s="16" t="n">
        <x:v>45591.70311516204</x:v>
      </x:c>
      <x:c r="K45" s="16" t="n">
        <x:v>45598.70311516204</x:v>
      </x:c>
      <x:c r="L45" s="20" t="n">
        <x:v>99445.21</x:v>
      </x:c>
      <x:c r="M45" s="20" t="n">
        <x:v>556.89</x:v>
      </x:c>
      <x:c r="N45" s="20" t="n">
        <x:v>0</x:v>
      </x:c>
      <x:c r="O45" s="20" t="n">
        <x:v>100002.1</x:v>
      </x:c>
      <x:c r="P45" s="20" t="n">
        <x:v>0</x:v>
      </x:c>
      <x:c r="Q45" s="10" t="str">
        <x:v>Recebido</x:v>
      </x:c>
      <x:c r="R45" s="10" t="str">
        <x:v>TED</x:v>
      </x:c>
      <x:c r="S45" s="10" t="str">
        <x:v>2024-09</x:v>
      </x:c>
      <x:c r="T45" s="10" t="n">
        <x:v>0</x:v>
      </x:c>
      <x:c r="U45" s="10" t="str">
        <x:v>Liquidado</x:v>
      </x:c>
      <x:c r="V45" s="10" t="str">
        <x:v>Baixo</x:v>
      </x:c>
      <x:c r="W45" s="10" t="str">
        <x:v>Tecnologia</x:v>
      </x:c>
      <x:c r="X45" s="10" t="str">
        <x:v>UND002</x:v>
      </x:c>
    </x:row>
    <x:row r="46" ht="18" customHeight="1">
      <x:c r="A46" s="10" t="str">
        <x:v>REC00045</x:v>
      </x:c>
      <x:c r="B46" s="10" t="str">
        <x:v>EMP001</x:v>
      </x:c>
      <x:c r="C46" s="10" t="str">
        <x:v>CLI070</x:v>
      </x:c>
      <x:c r="D46" s="10" t="str">
        <x:v>CC005</x:v>
      </x:c>
      <x:c r="E46" s="10" t="str">
        <x:v>CAT003</x:v>
      </x:c>
      <x:c r="F46" s="10" t="str">
        <x:v>CTA002</x:v>
      </x:c>
      <x:c r="G46" s="10" t="str">
        <x:v>FAT-200045</x:v>
      </x:c>
      <x:c r="H46" s="10" t="str">
        <x:v>Prestação de serviços</x:v>
      </x:c>
      <x:c r="I46" s="16" t="n">
        <x:v>45777.371558125</x:v>
      </x:c>
      <x:c r="J46" s="16" t="n">
        <x:v>45798.371558125</x:v>
      </x:c>
      <x:c r="K46" s="16" t="n">
        <x:v>45801.371558125</x:v>
      </x:c>
      <x:c r="L46" s="20" t="n">
        <x:v>13013.83</x:v>
      </x:c>
      <x:c r="M46" s="20" t="n">
        <x:v>31.23</x:v>
      </x:c>
      <x:c r="N46" s="20" t="n">
        <x:v>0</x:v>
      </x:c>
      <x:c r="O46" s="20" t="n">
        <x:v>13045.06</x:v>
      </x:c>
      <x:c r="P46" s="20" t="n">
        <x:v>0</x:v>
      </x:c>
      <x:c r="Q46" s="10" t="str">
        <x:v>Recebido</x:v>
      </x:c>
      <x:c r="R46" s="10" t="str">
        <x:v>TED</x:v>
      </x:c>
      <x:c r="S46" s="10" t="str">
        <x:v>2025-04</x:v>
      </x:c>
      <x:c r="T46" s="10" t="n">
        <x:v>0</x:v>
      </x:c>
      <x:c r="U46" s="10" t="str">
        <x:v>Liquidado</x:v>
      </x:c>
      <x:c r="V46" s="10" t="str">
        <x:v>Baixo</x:v>
      </x:c>
      <x:c r="W46" s="10" t="str">
        <x:v>Saúde</x:v>
      </x:c>
      <x:c r="X46" s="10" t="str">
        <x:v>UND001</x:v>
      </x:c>
    </x:row>
    <x:row r="47" ht="18" customHeight="1">
      <x:c r="A47" s="10" t="str">
        <x:v>REC00046</x:v>
      </x:c>
      <x:c r="B47" s="10" t="str">
        <x:v>EMP003</x:v>
      </x:c>
      <x:c r="C47" s="10" t="str">
        <x:v>CLI028</x:v>
      </x:c>
      <x:c r="D47" s="10" t="str">
        <x:v>CC001</x:v>
      </x:c>
      <x:c r="E47" s="10" t="str">
        <x:v>CAT002</x:v>
      </x:c>
      <x:c r="F47" s="10" t="str">
        <x:v>CTA005</x:v>
      </x:c>
      <x:c r="G47" s="10" t="str">
        <x:v>FAT-200046</x:v>
      </x:c>
      <x:c r="H47" s="10" t="str">
        <x:v>Venda de produtos</x:v>
      </x:c>
      <x:c r="I47" s="16" t="n">
        <x:v>45687.866107511574</x:v>
      </x:c>
      <x:c r="J47" s="16" t="n">
        <x:v>45702.866107511574</x:v>
      </x:c>
      <x:c r="K47" s="16" t="n">
        <x:v>45701.866107511574</x:v>
      </x:c>
      <x:c r="L47" s="20" t="n">
        <x:v>8009.89</x:v>
      </x:c>
      <x:c r="M47" s="20" t="n">
        <x:v>0</x:v>
      </x:c>
      <x:c r="N47" s="20" t="n">
        <x:v>80.1</x:v>
      </x:c>
      <x:c r="O47" s="20" t="n">
        <x:v>7929.79</x:v>
      </x:c>
      <x:c r="P47" s="20" t="n">
        <x:v>0</x:v>
      </x:c>
      <x:c r="Q47" s="10" t="str">
        <x:v>Recebido</x:v>
      </x:c>
      <x:c r="R47" s="10" t="str">
        <x:v>TED</x:v>
      </x:c>
      <x:c r="S47" s="10" t="str">
        <x:v>2025-01</x:v>
      </x:c>
      <x:c r="T47" s="10" t="n">
        <x:v>0</x:v>
      </x:c>
      <x:c r="U47" s="10" t="str">
        <x:v>Liquidado</x:v>
      </x:c>
      <x:c r="V47" s="10" t="str">
        <x:v>Baixo</x:v>
      </x:c>
      <x:c r="W47" s="10" t="str">
        <x:v>Serviços</x:v>
      </x:c>
      <x:c r="X47" s="10" t="str">
        <x:v>UND004</x:v>
      </x:c>
    </x:row>
    <x:row r="48" ht="18" customHeight="1">
      <x:c r="A48" s="10" t="str">
        <x:v>REC00047</x:v>
      </x:c>
      <x:c r="B48" s="10" t="str">
        <x:v>EMP002</x:v>
      </x:c>
      <x:c r="C48" s="10" t="str">
        <x:v>CLI073</x:v>
      </x:c>
      <x:c r="D48" s="10" t="str">
        <x:v>CC001</x:v>
      </x:c>
      <x:c r="E48" s="10" t="str">
        <x:v>CAT002</x:v>
      </x:c>
      <x:c r="F48" s="10" t="str">
        <x:v>CTA003</x:v>
      </x:c>
      <x:c r="G48" s="10" t="str">
        <x:v>FAT-200047</x:v>
      </x:c>
      <x:c r="H48" s="10" t="str">
        <x:v>Contrato mensal</x:v>
      </x:c>
      <x:c r="I48" s="16" t="n">
        <x:v>45395.66442664352</x:v>
      </x:c>
      <x:c r="J48" s="16" t="n">
        <x:v>45416.66442664352</x:v>
      </x:c>
      <x:c r="K48" s="16" t="n">
        <x:v>45436.66442664352</x:v>
      </x:c>
      <x:c r="L48" s="20" t="n">
        <x:v>29707.36</x:v>
      </x:c>
      <x:c r="M48" s="20" t="n">
        <x:v>475.32</x:v>
      </x:c>
      <x:c r="N48" s="20" t="n">
        <x:v>0</x:v>
      </x:c>
      <x:c r="O48" s="20" t="n">
        <x:v>30182.68</x:v>
      </x:c>
      <x:c r="P48" s="20" t="n">
        <x:v>0</x:v>
      </x:c>
      <x:c r="Q48" s="10" t="str">
        <x:v>Recebido</x:v>
      </x:c>
      <x:c r="R48" s="10" t="str">
        <x:v>TED</x:v>
      </x:c>
      <x:c r="S48" s="10" t="str">
        <x:v>2024-04</x:v>
      </x:c>
      <x:c r="T48" s="10" t="n">
        <x:v>0</x:v>
      </x:c>
      <x:c r="U48" s="10" t="str">
        <x:v>Liquidado</x:v>
      </x:c>
      <x:c r="V48" s="10" t="str">
        <x:v>Alto</x:v>
      </x:c>
      <x:c r="W48" s="10" t="str">
        <x:v>Tecnologia</x:v>
      </x:c>
      <x:c r="X48" s="10" t="str">
        <x:v>UND003</x:v>
      </x:c>
    </x:row>
    <x:row r="49" ht="18" customHeight="1">
      <x:c r="A49" s="10" t="str">
        <x:v>REC00048</x:v>
      </x:c>
      <x:c r="B49" s="10" t="str">
        <x:v>EMP003</x:v>
      </x:c>
      <x:c r="C49" s="10" t="str">
        <x:v>CLI017</x:v>
      </x:c>
      <x:c r="D49" s="10" t="str">
        <x:v>CC008</x:v>
      </x:c>
      <x:c r="E49" s="10" t="str">
        <x:v>CAT004</x:v>
      </x:c>
      <x:c r="F49" s="10" t="str">
        <x:v>CTA005</x:v>
      </x:c>
      <x:c r="G49" s="10" t="str">
        <x:v>FAT-200048</x:v>
      </x:c>
      <x:c r="H49" s="10" t="str">
        <x:v>Contrato mensal</x:v>
      </x:c>
      <x:c r="I49" s="16" t="n">
        <x:v>45568.37887439815</x:v>
      </x:c>
      <x:c r="J49" s="16" t="n">
        <x:v>45613.37887439815</x:v>
      </x:c>
      <x:c r="K49" s="16" t="n">
        <x:v>45608.37887439815</x:v>
      </x:c>
      <x:c r="L49" s="20" t="n">
        <x:v>4364.89</x:v>
      </x:c>
      <x:c r="M49" s="20" t="n">
        <x:v>0</x:v>
      </x:c>
      <x:c r="N49" s="20" t="n">
        <x:v>0</x:v>
      </x:c>
      <x:c r="O49" s="20" t="n">
        <x:v>4364.89</x:v>
      </x:c>
      <x:c r="P49" s="20" t="n">
        <x:v>0</x:v>
      </x:c>
      <x:c r="Q49" s="10" t="str">
        <x:v>Recebido</x:v>
      </x:c>
      <x:c r="R49" s="10" t="str">
        <x:v>PIX</x:v>
      </x:c>
      <x:c r="S49" s="10" t="str">
        <x:v>2024-10</x:v>
      </x:c>
      <x:c r="T49" s="10" t="n">
        <x:v>0</x:v>
      </x:c>
      <x:c r="U49" s="10" t="str">
        <x:v>Liquidado</x:v>
      </x:c>
      <x:c r="V49" s="10" t="str">
        <x:v>Médio</x:v>
      </x:c>
      <x:c r="W49" s="10" t="str">
        <x:v>Atacado</x:v>
      </x:c>
      <x:c r="X49" s="10" t="str">
        <x:v>UND004</x:v>
      </x:c>
    </x:row>
    <x:row r="50" ht="18" customHeight="1">
      <x:c r="A50" s="10" t="str">
        <x:v>REC00049</x:v>
      </x:c>
      <x:c r="B50" s="10" t="str">
        <x:v>EMP002</x:v>
      </x:c>
      <x:c r="C50" s="10" t="str">
        <x:v>CLI005</x:v>
      </x:c>
      <x:c r="D50" s="10" t="str">
        <x:v>CC006</x:v>
      </x:c>
      <x:c r="E50" s="10" t="str">
        <x:v>CAT004</x:v>
      </x:c>
      <x:c r="F50" s="10" t="str">
        <x:v>CTA004</x:v>
      </x:c>
      <x:c r="G50" s="10" t="str">
        <x:v>FAT-200049</x:v>
      </x:c>
      <x:c r="H50" s="10" t="str">
        <x:v>Projeto especial</x:v>
      </x:c>
      <x:c r="I50" s="16" t="n">
        <x:v>45902.922555694444</x:v>
      </x:c>
      <x:c r="J50" s="16" t="n">
        <x:v>45947.922555694444</x:v>
      </x:c>
      <x:c r="K50" s="16"/>
      <x:c r="L50" s="20" t="n">
        <x:v>13241.56</x:v>
      </x:c>
      <x:c r="M50" s="20" t="n">
        <x:v>0</x:v>
      </x:c>
      <x:c r="N50" s="20" t="n">
        <x:v>0</x:v>
      </x:c>
      <x:c r="O50" s="20" t="n">
        <x:v>0</x:v>
      </x:c>
      <x:c r="P50" s="20" t="n">
        <x:v>13241.56</x:v>
      </x:c>
      <x:c r="Q50" s="10" t="str">
        <x:v>Vencido</x:v>
      </x:c>
      <x:c r="R50" s="10" t="str">
        <x:v>Cartão</x:v>
      </x:c>
      <x:c r="S50" s="10" t="str">
        <x:v>2025-09</x:v>
      </x:c>
      <x:c r="T50" s="10" t="n">
        <x:v>74</x:v>
      </x:c>
      <x:c r="U50" s="10" t="str">
        <x:v>61 a 90 dias</x:v>
      </x:c>
      <x:c r="V50" s="10" t="str">
        <x:v>Baixo</x:v>
      </x:c>
      <x:c r="W50" s="10" t="str">
        <x:v>Atacado</x:v>
      </x:c>
      <x:c r="X50" s="10" t="str">
        <x:v>UND003</x:v>
      </x:c>
    </x:row>
    <x:row r="51" ht="18" customHeight="1">
      <x:c r="A51" s="10" t="str">
        <x:v>REC00050</x:v>
      </x:c>
      <x:c r="B51" s="10" t="str">
        <x:v>EMP002</x:v>
      </x:c>
      <x:c r="C51" s="10" t="str">
        <x:v>CLI060</x:v>
      </x:c>
      <x:c r="D51" s="10" t="str">
        <x:v>CC004</x:v>
      </x:c>
      <x:c r="E51" s="10" t="str">
        <x:v>CAT001</x:v>
      </x:c>
      <x:c r="F51" s="10" t="str">
        <x:v>CTA004</x:v>
      </x:c>
      <x:c r="G51" s="10" t="str">
        <x:v>FAT-200050</x:v>
      </x:c>
      <x:c r="H51" s="10" t="str">
        <x:v>Prestação de serviços</x:v>
      </x:c>
      <x:c r="I51" s="16" t="n">
        <x:v>45973.795713657404</x:v>
      </x:c>
      <x:c r="J51" s="16" t="n">
        <x:v>46003.795713657404</x:v>
      </x:c>
      <x:c r="K51" s="16" t="n">
        <x:v>46008.795713657404</x:v>
      </x:c>
      <x:c r="L51" s="20" t="n">
        <x:v>92656.41</x:v>
      </x:c>
      <x:c r="M51" s="20" t="n">
        <x:v>370.63</x:v>
      </x:c>
      <x:c r="N51" s="20" t="n">
        <x:v>0</x:v>
      </x:c>
      <x:c r="O51" s="20" t="n">
        <x:v>93027.04</x:v>
      </x:c>
      <x:c r="P51" s="20" t="n">
        <x:v>0</x:v>
      </x:c>
      <x:c r="Q51" s="10" t="str">
        <x:v>Recebido</x:v>
      </x:c>
      <x:c r="R51" s="10" t="str">
        <x:v>Cartão</x:v>
      </x:c>
      <x:c r="S51" s="10" t="str">
        <x:v>2025-11</x:v>
      </x:c>
      <x:c r="T51" s="10" t="n">
        <x:v>0</x:v>
      </x:c>
      <x:c r="U51" s="10" t="str">
        <x:v>Liquidado</x:v>
      </x:c>
      <x:c r="V51" s="10" t="str">
        <x:v>Baixo</x:v>
      </x:c>
      <x:c r="W51" s="10" t="str">
        <x:v>Atacado</x:v>
      </x:c>
      <x:c r="X51" s="10" t="str">
        <x:v>UND003</x:v>
      </x:c>
    </x:row>
    <x:row r="52" ht="18" customHeight="1">
      <x:c r="A52" s="10" t="str">
        <x:v>REC00051</x:v>
      </x:c>
      <x:c r="B52" s="10" t="str">
        <x:v>EMP003</x:v>
      </x:c>
      <x:c r="C52" s="10" t="str">
        <x:v>CLI034</x:v>
      </x:c>
      <x:c r="D52" s="10" t="str">
        <x:v>CC007</x:v>
      </x:c>
      <x:c r="E52" s="10" t="str">
        <x:v>CAT003</x:v>
      </x:c>
      <x:c r="F52" s="10" t="str">
        <x:v>CTA005</x:v>
      </x:c>
      <x:c r="G52" s="10" t="str">
        <x:v>FAT-200051</x:v>
      </x:c>
      <x:c r="H52" s="10" t="str">
        <x:v>Prestação de serviços</x:v>
      </x:c>
      <x:c r="I52" s="16" t="n">
        <x:v>45314.38828799769</x:v>
      </x:c>
      <x:c r="J52" s="16" t="n">
        <x:v>45344.38828799769</x:v>
      </x:c>
      <x:c r="K52" s="16" t="n">
        <x:v>45349.38828799769</x:v>
      </x:c>
      <x:c r="L52" s="20" t="n">
        <x:v>854.78</x:v>
      </x:c>
      <x:c r="M52" s="20" t="n">
        <x:v>3.42</x:v>
      </x:c>
      <x:c r="N52" s="20" t="n">
        <x:v>0</x:v>
      </x:c>
      <x:c r="O52" s="20" t="n">
        <x:v>858.2</x:v>
      </x:c>
      <x:c r="P52" s="20" t="n">
        <x:v>0</x:v>
      </x:c>
      <x:c r="Q52" s="10" t="str">
        <x:v>Recebido</x:v>
      </x:c>
      <x:c r="R52" s="10" t="str">
        <x:v>Boleto</x:v>
      </x:c>
      <x:c r="S52" s="10" t="str">
        <x:v>2024-01</x:v>
      </x:c>
      <x:c r="T52" s="10" t="n">
        <x:v>0</x:v>
      </x:c>
      <x:c r="U52" s="10" t="str">
        <x:v>Liquidado</x:v>
      </x:c>
      <x:c r="V52" s="10" t="str">
        <x:v>Médio</x:v>
      </x:c>
      <x:c r="W52" s="10" t="str">
        <x:v>Indústria</x:v>
      </x:c>
      <x:c r="X52" s="10" t="str">
        <x:v>UND004</x:v>
      </x:c>
    </x:row>
    <x:row r="53" ht="18" customHeight="1">
      <x:c r="A53" s="10" t="str">
        <x:v>REC00052</x:v>
      </x:c>
      <x:c r="B53" s="10" t="str">
        <x:v>EMP001</x:v>
      </x:c>
      <x:c r="C53" s="10" t="str">
        <x:v>CLI022</x:v>
      </x:c>
      <x:c r="D53" s="10" t="str">
        <x:v>CC004</x:v>
      </x:c>
      <x:c r="E53" s="10" t="str">
        <x:v>CAT002</x:v>
      </x:c>
      <x:c r="F53" s="10" t="str">
        <x:v>CTA001</x:v>
      </x:c>
      <x:c r="G53" s="10" t="str">
        <x:v>FAT-200052</x:v>
      </x:c>
      <x:c r="H53" s="10" t="str">
        <x:v>Venda de produtos</x:v>
      </x:c>
      <x:c r="I53" s="16" t="n">
        <x:v>45482.64566310185</x:v>
      </x:c>
      <x:c r="J53" s="16" t="n">
        <x:v>45527.64566310185</x:v>
      </x:c>
      <x:c r="K53" s="16" t="n">
        <x:v>45550.64566310185</x:v>
      </x:c>
      <x:c r="L53" s="20" t="n">
        <x:v>87972.6</x:v>
      </x:c>
      <x:c r="M53" s="20" t="n">
        <x:v>1618.7</x:v>
      </x:c>
      <x:c r="N53" s="20" t="n">
        <x:v>0</x:v>
      </x:c>
      <x:c r="O53" s="20" t="n">
        <x:v>89591.3</x:v>
      </x:c>
      <x:c r="P53" s="20" t="n">
        <x:v>0</x:v>
      </x:c>
      <x:c r="Q53" s="10" t="str">
        <x:v>Recebido</x:v>
      </x:c>
      <x:c r="R53" s="10" t="str">
        <x:v>PIX</x:v>
      </x:c>
      <x:c r="S53" s="10" t="str">
        <x:v>2024-07</x:v>
      </x:c>
      <x:c r="T53" s="10" t="n">
        <x:v>0</x:v>
      </x:c>
      <x:c r="U53" s="10" t="str">
        <x:v>Liquidado</x:v>
      </x:c>
      <x:c r="V53" s="10" t="str">
        <x:v>Alto</x:v>
      </x:c>
      <x:c r="W53" s="10" t="str">
        <x:v>Tecnologia</x:v>
      </x:c>
      <x:c r="X53" s="10" t="str">
        <x:v>UND002</x:v>
      </x:c>
    </x:row>
    <x:row r="54" ht="18" customHeight="1">
      <x:c r="A54" s="10" t="str">
        <x:v>REC00053</x:v>
      </x:c>
      <x:c r="B54" s="10" t="str">
        <x:v>EMP001</x:v>
      </x:c>
      <x:c r="C54" s="10" t="str">
        <x:v>CLI064</x:v>
      </x:c>
      <x:c r="D54" s="10" t="str">
        <x:v>CC001</x:v>
      </x:c>
      <x:c r="E54" s="10" t="str">
        <x:v>CAT002</x:v>
      </x:c>
      <x:c r="F54" s="10" t="str">
        <x:v>CTA002</x:v>
      </x:c>
      <x:c r="G54" s="10" t="str">
        <x:v>FAT-200053</x:v>
      </x:c>
      <x:c r="H54" s="10" t="str">
        <x:v>Projeto especial</x:v>
      </x:c>
      <x:c r="I54" s="16" t="n">
        <x:v>45415.93188041667</x:v>
      </x:c>
      <x:c r="J54" s="16" t="n">
        <x:v>45445.93188041667</x:v>
      </x:c>
      <x:c r="K54" s="16" t="n">
        <x:v>45457.93188041667</x:v>
      </x:c>
      <x:c r="L54" s="20" t="n">
        <x:v>46910.3</x:v>
      </x:c>
      <x:c r="M54" s="20" t="n">
        <x:v>450.34</x:v>
      </x:c>
      <x:c r="N54" s="20" t="n">
        <x:v>0</x:v>
      </x:c>
      <x:c r="O54" s="20" t="n">
        <x:v>47360.64</x:v>
      </x:c>
      <x:c r="P54" s="20" t="n">
        <x:v>0</x:v>
      </x:c>
      <x:c r="Q54" s="10" t="str">
        <x:v>Recebido</x:v>
      </x:c>
      <x:c r="R54" s="10" t="str">
        <x:v>Boleto</x:v>
      </x:c>
      <x:c r="S54" s="10" t="str">
        <x:v>2024-05</x:v>
      </x:c>
      <x:c r="T54" s="10" t="n">
        <x:v>0</x:v>
      </x:c>
      <x:c r="U54" s="10" t="str">
        <x:v>Liquidado</x:v>
      </x:c>
      <x:c r="V54" s="10" t="str">
        <x:v>Médio</x:v>
      </x:c>
      <x:c r="W54" s="10" t="str">
        <x:v>Atacado</x:v>
      </x:c>
      <x:c r="X54" s="10" t="str">
        <x:v>UND001</x:v>
      </x:c>
    </x:row>
    <x:row r="55" ht="18" customHeight="1">
      <x:c r="A55" s="10" t="str">
        <x:v>REC00054</x:v>
      </x:c>
      <x:c r="B55" s="10" t="str">
        <x:v>EMP001</x:v>
      </x:c>
      <x:c r="C55" s="10" t="str">
        <x:v>CLI048</x:v>
      </x:c>
      <x:c r="D55" s="10" t="str">
        <x:v>CC003</x:v>
      </x:c>
      <x:c r="E55" s="10" t="str">
        <x:v>CAT004</x:v>
      </x:c>
      <x:c r="F55" s="10" t="str">
        <x:v>CTA002</x:v>
      </x:c>
      <x:c r="G55" s="10" t="str">
        <x:v>FAT-200054</x:v>
      </x:c>
      <x:c r="H55" s="10" t="str">
        <x:v>Venda de produtos</x:v>
      </x:c>
      <x:c r="I55" s="16" t="n">
        <x:v>45583.03282730324</x:v>
      </x:c>
      <x:c r="J55" s="16" t="n">
        <x:v>45598.03282730324</x:v>
      </x:c>
      <x:c r="K55" s="16" t="n">
        <x:v>45598.03282730324</x:v>
      </x:c>
      <x:c r="L55" s="20" t="n">
        <x:v>11343.5</x:v>
      </x:c>
      <x:c r="M55" s="20" t="n">
        <x:v>0</x:v>
      </x:c>
      <x:c r="N55" s="20" t="n">
        <x:v>0</x:v>
      </x:c>
      <x:c r="O55" s="20" t="n">
        <x:v>11343.5</x:v>
      </x:c>
      <x:c r="P55" s="20" t="n">
        <x:v>0</x:v>
      </x:c>
      <x:c r="Q55" s="10" t="str">
        <x:v>Recebido</x:v>
      </x:c>
      <x:c r="R55" s="10" t="str">
        <x:v>Cartão</x:v>
      </x:c>
      <x:c r="S55" s="10" t="str">
        <x:v>2024-10</x:v>
      </x:c>
      <x:c r="T55" s="10" t="n">
        <x:v>0</x:v>
      </x:c>
      <x:c r="U55" s="10" t="str">
        <x:v>Liquidado</x:v>
      </x:c>
      <x:c r="V55" s="10" t="str">
        <x:v>Baixo</x:v>
      </x:c>
      <x:c r="W55" s="10" t="str">
        <x:v>Tecnologia</x:v>
      </x:c>
      <x:c r="X55" s="10" t="str">
        <x:v>UND001</x:v>
      </x:c>
    </x:row>
    <x:row r="56" ht="18" customHeight="1">
      <x:c r="A56" s="10" t="str">
        <x:v>REC00055</x:v>
      </x:c>
      <x:c r="B56" s="10" t="str">
        <x:v>EMP002</x:v>
      </x:c>
      <x:c r="C56" s="10" t="str">
        <x:v>CLI071</x:v>
      </x:c>
      <x:c r="D56" s="10" t="str">
        <x:v>CC002</x:v>
      </x:c>
      <x:c r="E56" s="10" t="str">
        <x:v>CAT001</x:v>
      </x:c>
      <x:c r="F56" s="10" t="str">
        <x:v>CTA003</x:v>
      </x:c>
      <x:c r="G56" s="10" t="str">
        <x:v>FAT-200055</x:v>
      </x:c>
      <x:c r="H56" s="10" t="str">
        <x:v>Frete faturado</x:v>
      </x:c>
      <x:c r="I56" s="16" t="n">
        <x:v>45474.810193125</x:v>
      </x:c>
      <x:c r="J56" s="16" t="n">
        <x:v>45495.810193125</x:v>
      </x:c>
      <x:c r="K56" s="16" t="n">
        <x:v>45498.810193125</x:v>
      </x:c>
      <x:c r="L56" s="20" t="n">
        <x:v>122450.67</x:v>
      </x:c>
      <x:c r="M56" s="20" t="n">
        <x:v>293.88</x:v>
      </x:c>
      <x:c r="N56" s="20" t="n">
        <x:v>0</x:v>
      </x:c>
      <x:c r="O56" s="20" t="n">
        <x:v>122744.55</x:v>
      </x:c>
      <x:c r="P56" s="20" t="n">
        <x:v>0</x:v>
      </x:c>
      <x:c r="Q56" s="10" t="str">
        <x:v>Recebido</x:v>
      </x:c>
      <x:c r="R56" s="10" t="str">
        <x:v>Cartão</x:v>
      </x:c>
      <x:c r="S56" s="10" t="str">
        <x:v>2024-07</x:v>
      </x:c>
      <x:c r="T56" s="10" t="n">
        <x:v>0</x:v>
      </x:c>
      <x:c r="U56" s="10" t="str">
        <x:v>Liquidado</x:v>
      </x:c>
      <x:c r="V56" s="10" t="str">
        <x:v>Baixo</x:v>
      </x:c>
      <x:c r="W56" s="10" t="str">
        <x:v>Tecnologia</x:v>
      </x:c>
      <x:c r="X56" s="10" t="str">
        <x:v>UND003</x:v>
      </x:c>
    </x:row>
    <x:row r="57" ht="18" customHeight="1">
      <x:c r="A57" s="10" t="str">
        <x:v>REC00056</x:v>
      </x:c>
      <x:c r="B57" s="10" t="str">
        <x:v>EMP002</x:v>
      </x:c>
      <x:c r="C57" s="10" t="str">
        <x:v>CLI052</x:v>
      </x:c>
      <x:c r="D57" s="10" t="str">
        <x:v>CC001</x:v>
      </x:c>
      <x:c r="E57" s="10" t="str">
        <x:v>CAT001</x:v>
      </x:c>
      <x:c r="F57" s="10" t="str">
        <x:v>CTA004</x:v>
      </x:c>
      <x:c r="G57" s="10" t="str">
        <x:v>FAT-200056</x:v>
      </x:c>
      <x:c r="H57" s="10" t="str">
        <x:v>Contrato mensal</x:v>
      </x:c>
      <x:c r="I57" s="16" t="n">
        <x:v>45499.96349581019</x:v>
      </x:c>
      <x:c r="J57" s="16" t="n">
        <x:v>45544.96349581019</x:v>
      </x:c>
      <x:c r="K57" s="16"/>
      <x:c r="L57" s="20" t="n">
        <x:v>25285.93</x:v>
      </x:c>
      <x:c r="M57" s="20" t="n">
        <x:v>0</x:v>
      </x:c>
      <x:c r="N57" s="20" t="n">
        <x:v>0</x:v>
      </x:c>
      <x:c r="O57" s="20" t="n">
        <x:v>0</x:v>
      </x:c>
      <x:c r="P57" s="20" t="n">
        <x:v>25285.93</x:v>
      </x:c>
      <x:c r="Q57" s="10" t="str">
        <x:v>Vencido</x:v>
      </x:c>
      <x:c r="R57" s="10" t="str">
        <x:v>PIX</x:v>
      </x:c>
      <x:c r="S57" s="10" t="str">
        <x:v>2024-07</x:v>
      </x:c>
      <x:c r="T57" s="10" t="n">
        <x:v>477</x:v>
      </x:c>
      <x:c r="U57" s="10" t="str">
        <x:v>&gt; 120 dias</x:v>
      </x:c>
      <x:c r="V57" s="10" t="str">
        <x:v>Baixo</x:v>
      </x:c>
      <x:c r="W57" s="10" t="str">
        <x:v>Varejo</x:v>
      </x:c>
      <x:c r="X57" s="10" t="str">
        <x:v>UND003</x:v>
      </x:c>
    </x:row>
    <x:row r="58" ht="18" customHeight="1">
      <x:c r="A58" s="10" t="str">
        <x:v>REC00057</x:v>
      </x:c>
      <x:c r="B58" s="10" t="str">
        <x:v>EMP001</x:v>
      </x:c>
      <x:c r="C58" s="10" t="str">
        <x:v>CLI008</x:v>
      </x:c>
      <x:c r="D58" s="10" t="str">
        <x:v>CC002</x:v>
      </x:c>
      <x:c r="E58" s="10" t="str">
        <x:v>CAT002</x:v>
      </x:c>
      <x:c r="F58" s="10" t="str">
        <x:v>CTA002</x:v>
      </x:c>
      <x:c r="G58" s="10" t="str">
        <x:v>FAT-200057</x:v>
      </x:c>
      <x:c r="H58" s="10" t="str">
        <x:v>Venda de produtos</x:v>
      </x:c>
      <x:c r="I58" s="16" t="n">
        <x:v>45675.392315613426</x:v>
      </x:c>
      <x:c r="J58" s="16" t="n">
        <x:v>45696.392315613426</x:v>
      </x:c>
      <x:c r="K58" s="16" t="n">
        <x:v>45696.392315613426</x:v>
      </x:c>
      <x:c r="L58" s="20" t="n">
        <x:v>2434.65</x:v>
      </x:c>
      <x:c r="M58" s="20" t="n">
        <x:v>0</x:v>
      </x:c>
      <x:c r="N58" s="20" t="n">
        <x:v>0</x:v>
      </x:c>
      <x:c r="O58" s="20" t="n">
        <x:v>2434.65</x:v>
      </x:c>
      <x:c r="P58" s="20" t="n">
        <x:v>0</x:v>
      </x:c>
      <x:c r="Q58" s="10" t="str">
        <x:v>Recebido</x:v>
      </x:c>
      <x:c r="R58" s="10" t="str">
        <x:v>PIX</x:v>
      </x:c>
      <x:c r="S58" s="10" t="str">
        <x:v>2025-01</x:v>
      </x:c>
      <x:c r="T58" s="10" t="n">
        <x:v>0</x:v>
      </x:c>
      <x:c r="U58" s="10" t="str">
        <x:v>Liquidado</x:v>
      </x:c>
      <x:c r="V58" s="10" t="str">
        <x:v>Médio</x:v>
      </x:c>
      <x:c r="W58" s="10" t="str">
        <x:v>Saúde</x:v>
      </x:c>
      <x:c r="X58" s="10" t="str">
        <x:v>UND001</x:v>
      </x:c>
    </x:row>
    <x:row r="59" ht="18" customHeight="1">
      <x:c r="A59" s="10" t="str">
        <x:v>REC00058</x:v>
      </x:c>
      <x:c r="B59" s="10" t="str">
        <x:v>EMP002</x:v>
      </x:c>
      <x:c r="C59" s="10" t="str">
        <x:v>CLI040</x:v>
      </x:c>
      <x:c r="D59" s="10" t="str">
        <x:v>CC008</x:v>
      </x:c>
      <x:c r="E59" s="10" t="str">
        <x:v>CAT002</x:v>
      </x:c>
      <x:c r="F59" s="10" t="str">
        <x:v>CTA004</x:v>
      </x:c>
      <x:c r="G59" s="10" t="str">
        <x:v>FAT-200058</x:v>
      </x:c>
      <x:c r="H59" s="10" t="str">
        <x:v>Frete faturado</x:v>
      </x:c>
      <x:c r="I59" s="16" t="n">
        <x:v>45692.37941836806</x:v>
      </x:c>
      <x:c r="J59" s="16" t="n">
        <x:v>45737.37941836806</x:v>
      </x:c>
      <x:c r="K59" s="16" t="n">
        <x:v>45742.37941836806</x:v>
      </x:c>
      <x:c r="L59" s="20" t="n">
        <x:v>1220.54</x:v>
      </x:c>
      <x:c r="M59" s="20" t="n">
        <x:v>4.88</x:v>
      </x:c>
      <x:c r="N59" s="20" t="n">
        <x:v>0</x:v>
      </x:c>
      <x:c r="O59" s="20" t="n">
        <x:v>1225.42</x:v>
      </x:c>
      <x:c r="P59" s="20" t="n">
        <x:v>0</x:v>
      </x:c>
      <x:c r="Q59" s="10" t="str">
        <x:v>Recebido</x:v>
      </x:c>
      <x:c r="R59" s="10" t="str">
        <x:v>Cartão</x:v>
      </x:c>
      <x:c r="S59" s="10" t="str">
        <x:v>2025-02</x:v>
      </x:c>
      <x:c r="T59" s="10" t="n">
        <x:v>0</x:v>
      </x:c>
      <x:c r="U59" s="10" t="str">
        <x:v>Liquidado</x:v>
      </x:c>
      <x:c r="V59" s="10" t="str">
        <x:v>Baixo</x:v>
      </x:c>
      <x:c r="W59" s="10" t="str">
        <x:v>Saúde</x:v>
      </x:c>
      <x:c r="X59" s="10" t="str">
        <x:v>UND003</x:v>
      </x:c>
    </x:row>
    <x:row r="60" ht="18" customHeight="1">
      <x:c r="A60" s="10" t="str">
        <x:v>REC00059</x:v>
      </x:c>
      <x:c r="B60" s="10" t="str">
        <x:v>EMP001</x:v>
      </x:c>
      <x:c r="C60" s="10" t="str">
        <x:v>CLI073</x:v>
      </x:c>
      <x:c r="D60" s="10" t="str">
        <x:v>CC008</x:v>
      </x:c>
      <x:c r="E60" s="10" t="str">
        <x:v>CAT004</x:v>
      </x:c>
      <x:c r="F60" s="10" t="str">
        <x:v>CTA001</x:v>
      </x:c>
      <x:c r="G60" s="10" t="str">
        <x:v>FAT-200059</x:v>
      </x:c>
      <x:c r="H60" s="10" t="str">
        <x:v>Venda de produtos</x:v>
      </x:c>
      <x:c r="I60" s="16" t="n">
        <x:v>45576.64333587963</x:v>
      </x:c>
      <x:c r="J60" s="16" t="n">
        <x:v>45636.64333587963</x:v>
      </x:c>
      <x:c r="K60" s="16" t="n">
        <x:v>45657.64333587963</x:v>
      </x:c>
      <x:c r="L60" s="20" t="n">
        <x:v>109888.46</x:v>
      </x:c>
      <x:c r="M60" s="20" t="n">
        <x:v>1846.13</x:v>
      </x:c>
      <x:c r="N60" s="20" t="n">
        <x:v>0</x:v>
      </x:c>
      <x:c r="O60" s="20" t="n">
        <x:v>111734.59</x:v>
      </x:c>
      <x:c r="P60" s="20" t="n">
        <x:v>0</x:v>
      </x:c>
      <x:c r="Q60" s="10" t="str">
        <x:v>Recebido</x:v>
      </x:c>
      <x:c r="R60" s="10" t="str">
        <x:v>PIX</x:v>
      </x:c>
      <x:c r="S60" s="10" t="str">
        <x:v>2024-10</x:v>
      </x:c>
      <x:c r="T60" s="10" t="n">
        <x:v>0</x:v>
      </x:c>
      <x:c r="U60" s="10" t="str">
        <x:v>Liquidado</x:v>
      </x:c>
      <x:c r="V60" s="10" t="str">
        <x:v>Alto</x:v>
      </x:c>
      <x:c r="W60" s="10" t="str">
        <x:v>Tecnologia</x:v>
      </x:c>
      <x:c r="X60" s="10" t="str">
        <x:v>UND002</x:v>
      </x:c>
    </x:row>
    <x:row r="61" ht="18" customHeight="1">
      <x:c r="A61" s="10" t="str">
        <x:v>REC00060</x:v>
      </x:c>
      <x:c r="B61" s="10" t="str">
        <x:v>EMP002</x:v>
      </x:c>
      <x:c r="C61" s="10" t="str">
        <x:v>CLI051</x:v>
      </x:c>
      <x:c r="D61" s="10" t="str">
        <x:v>CC007</x:v>
      </x:c>
      <x:c r="E61" s="10" t="str">
        <x:v>CAT003</x:v>
      </x:c>
      <x:c r="F61" s="10" t="str">
        <x:v>CTA003</x:v>
      </x:c>
      <x:c r="G61" s="10" t="str">
        <x:v>FAT-200060</x:v>
      </x:c>
      <x:c r="H61" s="10" t="str">
        <x:v>Projeto especial</x:v>
      </x:c>
      <x:c r="I61" s="16" t="n">
        <x:v>45787.528862708336</x:v>
      </x:c>
      <x:c r="J61" s="16" t="n">
        <x:v>45822.528862708336</x:v>
      </x:c>
      <x:c r="K61" s="16"/>
      <x:c r="L61" s="20" t="n">
        <x:v>106672.51</x:v>
      </x:c>
      <x:c r="M61" s="20" t="n">
        <x:v>0</x:v>
      </x:c>
      <x:c r="N61" s="20" t="n">
        <x:v>0</x:v>
      </x:c>
      <x:c r="O61" s="20" t="n">
        <x:v>0</x:v>
      </x:c>
      <x:c r="P61" s="20" t="n">
        <x:v>0</x:v>
      </x:c>
      <x:c r="Q61" s="10" t="str">
        <x:v>Cancelado</x:v>
      </x:c>
      <x:c r="R61" s="10" t="str">
        <x:v>Cartão</x:v>
      </x:c>
      <x:c r="S61" s="10" t="str">
        <x:v>2025-05</x:v>
      </x:c>
      <x:c r="T61" s="10" t="n">
        <x:v>0</x:v>
      </x:c>
      <x:c r="U61" s="10" t="str">
        <x:v>Cancelado</x:v>
      </x:c>
      <x:c r="V61" s="10" t="str">
        <x:v>Médio</x:v>
      </x:c>
      <x:c r="W61" s="10" t="str">
        <x:v>Saúde</x:v>
      </x:c>
      <x:c r="X61" s="10" t="str">
        <x:v>UND003</x:v>
      </x:c>
    </x:row>
    <x:row r="62" ht="18" customHeight="1">
      <x:c r="A62" s="10" t="str">
        <x:v>REC00061</x:v>
      </x:c>
      <x:c r="B62" s="10" t="str">
        <x:v>EMP002</x:v>
      </x:c>
      <x:c r="C62" s="10" t="str">
        <x:v>CLI078</x:v>
      </x:c>
      <x:c r="D62" s="10" t="str">
        <x:v>CC008</x:v>
      </x:c>
      <x:c r="E62" s="10" t="str">
        <x:v>CAT003</x:v>
      </x:c>
      <x:c r="F62" s="10" t="str">
        <x:v>CTA003</x:v>
      </x:c>
      <x:c r="G62" s="10" t="str">
        <x:v>FAT-200061</x:v>
      </x:c>
      <x:c r="H62" s="10" t="str">
        <x:v>Frete faturado</x:v>
      </x:c>
      <x:c r="I62" s="16" t="n">
        <x:v>45529.19741958333</x:v>
      </x:c>
      <x:c r="J62" s="16" t="n">
        <x:v>45559.19741958333</x:v>
      </x:c>
      <x:c r="K62" s="16" t="n">
        <x:v>45565.19741958333</x:v>
      </x:c>
      <x:c r="L62" s="20" t="n">
        <x:v>120427.95</x:v>
      </x:c>
      <x:c r="M62" s="20" t="n">
        <x:v>578.05</x:v>
      </x:c>
      <x:c r="N62" s="20" t="n">
        <x:v>0</x:v>
      </x:c>
      <x:c r="O62" s="20" t="n">
        <x:v>121006</x:v>
      </x:c>
      <x:c r="P62" s="20" t="n">
        <x:v>0</x:v>
      </x:c>
      <x:c r="Q62" s="10" t="str">
        <x:v>Recebido</x:v>
      </x:c>
      <x:c r="R62" s="10" t="str">
        <x:v>Cartão</x:v>
      </x:c>
      <x:c r="S62" s="10" t="str">
        <x:v>2024-08</x:v>
      </x:c>
      <x:c r="T62" s="10" t="n">
        <x:v>0</x:v>
      </x:c>
      <x:c r="U62" s="10" t="str">
        <x:v>Liquidado</x:v>
      </x:c>
      <x:c r="V62" s="10" t="str">
        <x:v>Médio</x:v>
      </x:c>
      <x:c r="W62" s="10" t="str">
        <x:v>Tecnologia</x:v>
      </x:c>
      <x:c r="X62" s="10" t="str">
        <x:v>UND003</x:v>
      </x:c>
    </x:row>
    <x:row r="63" ht="18" customHeight="1">
      <x:c r="A63" s="10" t="str">
        <x:v>REC00062</x:v>
      </x:c>
      <x:c r="B63" s="10" t="str">
        <x:v>EMP003</x:v>
      </x:c>
      <x:c r="C63" s="10" t="str">
        <x:v>CLI006</x:v>
      </x:c>
      <x:c r="D63" s="10" t="str">
        <x:v>CC006</x:v>
      </x:c>
      <x:c r="E63" s="10" t="str">
        <x:v>CAT004</x:v>
      </x:c>
      <x:c r="F63" s="10" t="str">
        <x:v>CTA005</x:v>
      </x:c>
      <x:c r="G63" s="10" t="str">
        <x:v>FAT-200062</x:v>
      </x:c>
      <x:c r="H63" s="10" t="str">
        <x:v>Projeto especial</x:v>
      </x:c>
      <x:c r="I63" s="16" t="n">
        <x:v>45444.62786320602</x:v>
      </x:c>
      <x:c r="J63" s="16" t="n">
        <x:v>45465.62786320602</x:v>
      </x:c>
      <x:c r="K63" s="16" t="n">
        <x:v>45467.62786320602</x:v>
      </x:c>
      <x:c r="L63" s="20" t="n">
        <x:v>1251.51</x:v>
      </x:c>
      <x:c r="M63" s="20" t="n">
        <x:v>2</x:v>
      </x:c>
      <x:c r="N63" s="20" t="n">
        <x:v>0</x:v>
      </x:c>
      <x:c r="O63" s="20" t="n">
        <x:v>1253.51</x:v>
      </x:c>
      <x:c r="P63" s="20" t="n">
        <x:v>0</x:v>
      </x:c>
      <x:c r="Q63" s="10" t="str">
        <x:v>Recebido</x:v>
      </x:c>
      <x:c r="R63" s="10" t="str">
        <x:v>PIX</x:v>
      </x:c>
      <x:c r="S63" s="10" t="str">
        <x:v>2024-06</x:v>
      </x:c>
      <x:c r="T63" s="10" t="n">
        <x:v>0</x:v>
      </x:c>
      <x:c r="U63" s="10" t="str">
        <x:v>Liquidado</x:v>
      </x:c>
      <x:c r="V63" s="10" t="str">
        <x:v>Baixo</x:v>
      </x:c>
      <x:c r="W63" s="10" t="str">
        <x:v>Varejo</x:v>
      </x:c>
      <x:c r="X63" s="10" t="str">
        <x:v>UND004</x:v>
      </x:c>
    </x:row>
    <x:row r="64" ht="18" customHeight="1">
      <x:c r="A64" s="10" t="str">
        <x:v>REC00063</x:v>
      </x:c>
      <x:c r="B64" s="10" t="str">
        <x:v>EMP003</x:v>
      </x:c>
      <x:c r="C64" s="10" t="str">
        <x:v>CLI022</x:v>
      </x:c>
      <x:c r="D64" s="10" t="str">
        <x:v>CC002</x:v>
      </x:c>
      <x:c r="E64" s="10" t="str">
        <x:v>CAT002</x:v>
      </x:c>
      <x:c r="F64" s="10" t="str">
        <x:v>CTA006</x:v>
      </x:c>
      <x:c r="G64" s="10" t="str">
        <x:v>FAT-200063</x:v>
      </x:c>
      <x:c r="H64" s="10" t="str">
        <x:v>Projeto especial</x:v>
      </x:c>
      <x:c r="I64" s="16" t="n">
        <x:v>45362.521213402775</x:v>
      </x:c>
      <x:c r="J64" s="16" t="n">
        <x:v>45377.521213402775</x:v>
      </x:c>
      <x:c r="K64" s="16" t="n">
        <x:v>45395.521213402775</x:v>
      </x:c>
      <x:c r="L64" s="20" t="n">
        <x:v>43658.54</x:v>
      </x:c>
      <x:c r="M64" s="20" t="n">
        <x:v>628.68</x:v>
      </x:c>
      <x:c r="N64" s="20" t="n">
        <x:v>0</x:v>
      </x:c>
      <x:c r="O64" s="20" t="n">
        <x:v>44287.22</x:v>
      </x:c>
      <x:c r="P64" s="20" t="n">
        <x:v>0</x:v>
      </x:c>
      <x:c r="Q64" s="10" t="str">
        <x:v>Recebido</x:v>
      </x:c>
      <x:c r="R64" s="10" t="str">
        <x:v>Cartão</x:v>
      </x:c>
      <x:c r="S64" s="10" t="str">
        <x:v>2024-03</x:v>
      </x:c>
      <x:c r="T64" s="10" t="n">
        <x:v>0</x:v>
      </x:c>
      <x:c r="U64" s="10" t="str">
        <x:v>Liquidado</x:v>
      </x:c>
      <x:c r="V64" s="10" t="str">
        <x:v>Alto</x:v>
      </x:c>
      <x:c r="W64" s="10" t="str">
        <x:v>Tecnologia</x:v>
      </x:c>
      <x:c r="X64" s="10" t="str">
        <x:v>UND004</x:v>
      </x:c>
    </x:row>
    <x:row r="65" ht="18" customHeight="1">
      <x:c r="A65" s="10" t="str">
        <x:v>REC00064</x:v>
      </x:c>
      <x:c r="B65" s="10" t="str">
        <x:v>EMP003</x:v>
      </x:c>
      <x:c r="C65" s="10" t="str">
        <x:v>CLI046</x:v>
      </x:c>
      <x:c r="D65" s="10" t="str">
        <x:v>CC001</x:v>
      </x:c>
      <x:c r="E65" s="10" t="str">
        <x:v>CAT004</x:v>
      </x:c>
      <x:c r="F65" s="10" t="str">
        <x:v>CTA006</x:v>
      </x:c>
      <x:c r="G65" s="10" t="str">
        <x:v>FAT-200064</x:v>
      </x:c>
      <x:c r="H65" s="10" t="str">
        <x:v>Frete faturado</x:v>
      </x:c>
      <x:c r="I65" s="16" t="n">
        <x:v>45411.617635393515</x:v>
      </x:c>
      <x:c r="J65" s="16" t="n">
        <x:v>45426.617635393515</x:v>
      </x:c>
      <x:c r="K65" s="16" t="n">
        <x:v>45449.617635393515</x:v>
      </x:c>
      <x:c r="L65" s="20" t="n">
        <x:v>123643.76</x:v>
      </x:c>
      <x:c r="M65" s="20" t="n">
        <x:v>2275.05</x:v>
      </x:c>
      <x:c r="N65" s="20" t="n">
        <x:v>0</x:v>
      </x:c>
      <x:c r="O65" s="20" t="n">
        <x:v>125918.81</x:v>
      </x:c>
      <x:c r="P65" s="20" t="n">
        <x:v>0</x:v>
      </x:c>
      <x:c r="Q65" s="10" t="str">
        <x:v>Recebido</x:v>
      </x:c>
      <x:c r="R65" s="10" t="str">
        <x:v>PIX</x:v>
      </x:c>
      <x:c r="S65" s="10" t="str">
        <x:v>2024-04</x:v>
      </x:c>
      <x:c r="T65" s="10" t="n">
        <x:v>0</x:v>
      </x:c>
      <x:c r="U65" s="10" t="str">
        <x:v>Liquidado</x:v>
      </x:c>
      <x:c r="V65" s="10" t="str">
        <x:v>Alto</x:v>
      </x:c>
      <x:c r="W65" s="10" t="str">
        <x:v>Varejo</x:v>
      </x:c>
      <x:c r="X65" s="10" t="str">
        <x:v>UND004</x:v>
      </x:c>
    </x:row>
    <x:row r="66" ht="18" customHeight="1">
      <x:c r="A66" s="10" t="str">
        <x:v>REC00065</x:v>
      </x:c>
      <x:c r="B66" s="10" t="str">
        <x:v>EMP001</x:v>
      </x:c>
      <x:c r="C66" s="10" t="str">
        <x:v>CLI014</x:v>
      </x:c>
      <x:c r="D66" s="10" t="str">
        <x:v>CC007</x:v>
      </x:c>
      <x:c r="E66" s="10" t="str">
        <x:v>CAT001</x:v>
      </x:c>
      <x:c r="F66" s="10" t="str">
        <x:v>CTA001</x:v>
      </x:c>
      <x:c r="G66" s="10" t="str">
        <x:v>FAT-200065</x:v>
      </x:c>
      <x:c r="H66" s="10" t="str">
        <x:v>Contrato mensal</x:v>
      </x:c>
      <x:c r="I66" s="16" t="n">
        <x:v>45326.31637172454</x:v>
      </x:c>
      <x:c r="J66" s="16" t="n">
        <x:v>45347.31637172454</x:v>
      </x:c>
      <x:c r="K66" s="16" t="n">
        <x:v>45361.31637172454</x:v>
      </x:c>
      <x:c r="L66" s="20" t="n">
        <x:v>137907.52</x:v>
      </x:c>
      <x:c r="M66" s="20" t="n">
        <x:v>1544.56</x:v>
      </x:c>
      <x:c r="N66" s="20" t="n">
        <x:v>0</x:v>
      </x:c>
      <x:c r="O66" s="20" t="n">
        <x:v>139452.08</x:v>
      </x:c>
      <x:c r="P66" s="20" t="n">
        <x:v>0</x:v>
      </x:c>
      <x:c r="Q66" s="10" t="str">
        <x:v>Recebido</x:v>
      </x:c>
      <x:c r="R66" s="10" t="str">
        <x:v>Cartão</x:v>
      </x:c>
      <x:c r="S66" s="10" t="str">
        <x:v>2024-02</x:v>
      </x:c>
      <x:c r="T66" s="10" t="n">
        <x:v>0</x:v>
      </x:c>
      <x:c r="U66" s="10" t="str">
        <x:v>Liquidado</x:v>
      </x:c>
      <x:c r="V66" s="10" t="str">
        <x:v>Médio</x:v>
      </x:c>
      <x:c r="W66" s="10" t="str">
        <x:v>Saúde</x:v>
      </x:c>
      <x:c r="X66" s="10" t="str">
        <x:v>UND002</x:v>
      </x:c>
    </x:row>
    <x:row r="67" ht="18" customHeight="1">
      <x:c r="A67" s="10" t="str">
        <x:v>REC00066</x:v>
      </x:c>
      <x:c r="B67" s="10" t="str">
        <x:v>EMP001</x:v>
      </x:c>
      <x:c r="C67" s="10" t="str">
        <x:v>CLI038</x:v>
      </x:c>
      <x:c r="D67" s="10" t="str">
        <x:v>CC004</x:v>
      </x:c>
      <x:c r="E67" s="10" t="str">
        <x:v>CAT001</x:v>
      </x:c>
      <x:c r="F67" s="10" t="str">
        <x:v>CTA001</x:v>
      </x:c>
      <x:c r="G67" s="10" t="str">
        <x:v>FAT-200066</x:v>
      </x:c>
      <x:c r="H67" s="10" t="str">
        <x:v>Contrato mensal</x:v>
      </x:c>
      <x:c r="I67" s="16" t="n">
        <x:v>45455.07106814815</x:v>
      </x:c>
      <x:c r="J67" s="16" t="n">
        <x:v>45470.07106814815</x:v>
      </x:c>
      <x:c r="K67" s="16" t="n">
        <x:v>45470.07106814815</x:v>
      </x:c>
      <x:c r="L67" s="20" t="n">
        <x:v>73120.98</x:v>
      </x:c>
      <x:c r="M67" s="20" t="n">
        <x:v>0</x:v>
      </x:c>
      <x:c r="N67" s="20" t="n">
        <x:v>0</x:v>
      </x:c>
      <x:c r="O67" s="20" t="n">
        <x:v>73120.98</x:v>
      </x:c>
      <x:c r="P67" s="20" t="n">
        <x:v>0</x:v>
      </x:c>
      <x:c r="Q67" s="10" t="str">
        <x:v>Recebido</x:v>
      </x:c>
      <x:c r="R67" s="10" t="str">
        <x:v>Débito em Conta</x:v>
      </x:c>
      <x:c r="S67" s="10" t="str">
        <x:v>2024-06</x:v>
      </x:c>
      <x:c r="T67" s="10" t="n">
        <x:v>0</x:v>
      </x:c>
      <x:c r="U67" s="10" t="str">
        <x:v>Liquidado</x:v>
      </x:c>
      <x:c r="V67" s="10" t="str">
        <x:v>Baixo</x:v>
      </x:c>
      <x:c r="W67" s="10" t="str">
        <x:v>Varejo</x:v>
      </x:c>
      <x:c r="X67" s="10" t="str">
        <x:v>UND002</x:v>
      </x:c>
    </x:row>
    <x:row r="68" ht="18" customHeight="1">
      <x:c r="A68" s="10" t="str">
        <x:v>REC00067</x:v>
      </x:c>
      <x:c r="B68" s="10" t="str">
        <x:v>EMP002</x:v>
      </x:c>
      <x:c r="C68" s="10" t="str">
        <x:v>CLI058</x:v>
      </x:c>
      <x:c r="D68" s="10" t="str">
        <x:v>CC007</x:v>
      </x:c>
      <x:c r="E68" s="10" t="str">
        <x:v>CAT003</x:v>
      </x:c>
      <x:c r="F68" s="10" t="str">
        <x:v>CTA003</x:v>
      </x:c>
      <x:c r="G68" s="10" t="str">
        <x:v>FAT-200067</x:v>
      </x:c>
      <x:c r="H68" s="10" t="str">
        <x:v>Venda de produtos</x:v>
      </x:c>
      <x:c r="I68" s="16" t="n">
        <x:v>45781.039538460645</x:v>
      </x:c>
      <x:c r="J68" s="16" t="n">
        <x:v>45796.039538460645</x:v>
      </x:c>
      <x:c r="K68" s="16" t="n">
        <x:v>45794.039538460645</x:v>
      </x:c>
      <x:c r="L68" s="20" t="n">
        <x:v>11693.6</x:v>
      </x:c>
      <x:c r="M68" s="20" t="n">
        <x:v>0</x:v>
      </x:c>
      <x:c r="N68" s="20" t="n">
        <x:v>0</x:v>
      </x:c>
      <x:c r="O68" s="20" t="n">
        <x:v>11693.6</x:v>
      </x:c>
      <x:c r="P68" s="20" t="n">
        <x:v>0</x:v>
      </x:c>
      <x:c r="Q68" s="10" t="str">
        <x:v>Recebido</x:v>
      </x:c>
      <x:c r="R68" s="10" t="str">
        <x:v>Débito em Conta</x:v>
      </x:c>
      <x:c r="S68" s="10" t="str">
        <x:v>2025-05</x:v>
      </x:c>
      <x:c r="T68" s="10" t="n">
        <x:v>0</x:v>
      </x:c>
      <x:c r="U68" s="10" t="str">
        <x:v>Liquidado</x:v>
      </x:c>
      <x:c r="V68" s="10" t="str">
        <x:v>Baixo</x:v>
      </x:c>
      <x:c r="W68" s="10" t="str">
        <x:v>Atacado</x:v>
      </x:c>
      <x:c r="X68" s="10" t="str">
        <x:v>UND003</x:v>
      </x:c>
    </x:row>
    <x:row r="69" ht="18" customHeight="1">
      <x:c r="A69" s="10" t="str">
        <x:v>REC00068</x:v>
      </x:c>
      <x:c r="B69" s="10" t="str">
        <x:v>EMP001</x:v>
      </x:c>
      <x:c r="C69" s="10" t="str">
        <x:v>CLI078</x:v>
      </x:c>
      <x:c r="D69" s="10" t="str">
        <x:v>CC003</x:v>
      </x:c>
      <x:c r="E69" s="10" t="str">
        <x:v>CAT003</x:v>
      </x:c>
      <x:c r="F69" s="10" t="str">
        <x:v>CTA001</x:v>
      </x:c>
      <x:c r="G69" s="10" t="str">
        <x:v>FAT-200068</x:v>
      </x:c>
      <x:c r="H69" s="10" t="str">
        <x:v>Contrato mensal</x:v>
      </x:c>
      <x:c r="I69" s="16" t="n">
        <x:v>45534.28427106482</x:v>
      </x:c>
      <x:c r="J69" s="16" t="n">
        <x:v>45579.28427106482</x:v>
      </x:c>
      <x:c r="K69" s="16" t="n">
        <x:v>45577.28427106482</x:v>
      </x:c>
      <x:c r="L69" s="20" t="n">
        <x:v>55948.35</x:v>
      </x:c>
      <x:c r="M69" s="20" t="n">
        <x:v>0</x:v>
      </x:c>
      <x:c r="N69" s="20" t="n">
        <x:v>1118.97</x:v>
      </x:c>
      <x:c r="O69" s="20" t="n">
        <x:v>54829.38</x:v>
      </x:c>
      <x:c r="P69" s="20" t="n">
        <x:v>0</x:v>
      </x:c>
      <x:c r="Q69" s="10" t="str">
        <x:v>Recebido</x:v>
      </x:c>
      <x:c r="R69" s="10" t="str">
        <x:v>Cartão</x:v>
      </x:c>
      <x:c r="S69" s="10" t="str">
        <x:v>2024-08</x:v>
      </x:c>
      <x:c r="T69" s="10" t="n">
        <x:v>0</x:v>
      </x:c>
      <x:c r="U69" s="10" t="str">
        <x:v>Liquidado</x:v>
      </x:c>
      <x:c r="V69" s="10" t="str">
        <x:v>Médio</x:v>
      </x:c>
      <x:c r="W69" s="10" t="str">
        <x:v>Tecnologia</x:v>
      </x:c>
      <x:c r="X69" s="10" t="str">
        <x:v>UND002</x:v>
      </x:c>
    </x:row>
    <x:row r="70" ht="18" customHeight="1">
      <x:c r="A70" s="10" t="str">
        <x:v>REC00069</x:v>
      </x:c>
      <x:c r="B70" s="10" t="str">
        <x:v>EMP002</x:v>
      </x:c>
      <x:c r="C70" s="10" t="str">
        <x:v>CLI060</x:v>
      </x:c>
      <x:c r="D70" s="10" t="str">
        <x:v>CC002</x:v>
      </x:c>
      <x:c r="E70" s="10" t="str">
        <x:v>CAT001</x:v>
      </x:c>
      <x:c r="F70" s="10" t="str">
        <x:v>CTA003</x:v>
      </x:c>
      <x:c r="G70" s="10" t="str">
        <x:v>FAT-200069</x:v>
      </x:c>
      <x:c r="H70" s="10" t="str">
        <x:v>Projeto especial</x:v>
      </x:c>
      <x:c r="I70" s="16" t="n">
        <x:v>45305.66540967592</x:v>
      </x:c>
      <x:c r="J70" s="16" t="n">
        <x:v>45365.66540967592</x:v>
      </x:c>
      <x:c r="K70" s="16" t="n">
        <x:v>45359.66540967592</x:v>
      </x:c>
      <x:c r="L70" s="20" t="n">
        <x:v>1397.88</x:v>
      </x:c>
      <x:c r="M70" s="20" t="n">
        <x:v>0</x:v>
      </x:c>
      <x:c r="N70" s="20" t="n">
        <x:v>27.96</x:v>
      </x:c>
      <x:c r="O70" s="20" t="n">
        <x:v>1369.92</x:v>
      </x:c>
      <x:c r="P70" s="20" t="n">
        <x:v>0</x:v>
      </x:c>
      <x:c r="Q70" s="10" t="str">
        <x:v>Recebido</x:v>
      </x:c>
      <x:c r="R70" s="10" t="str">
        <x:v>TED</x:v>
      </x:c>
      <x:c r="S70" s="10" t="str">
        <x:v>2024-01</x:v>
      </x:c>
      <x:c r="T70" s="10" t="n">
        <x:v>0</x:v>
      </x:c>
      <x:c r="U70" s="10" t="str">
        <x:v>Liquidado</x:v>
      </x:c>
      <x:c r="V70" s="10" t="str">
        <x:v>Baixo</x:v>
      </x:c>
      <x:c r="W70" s="10" t="str">
        <x:v>Atacado</x:v>
      </x:c>
      <x:c r="X70" s="10" t="str">
        <x:v>UND003</x:v>
      </x:c>
    </x:row>
    <x:row r="71" ht="18" customHeight="1">
      <x:c r="A71" s="10" t="str">
        <x:v>REC00070</x:v>
      </x:c>
      <x:c r="B71" s="10" t="str">
        <x:v>EMP002</x:v>
      </x:c>
      <x:c r="C71" s="10" t="str">
        <x:v>CLI069</x:v>
      </x:c>
      <x:c r="D71" s="10" t="str">
        <x:v>CC008</x:v>
      </x:c>
      <x:c r="E71" s="10" t="str">
        <x:v>CAT003</x:v>
      </x:c>
      <x:c r="F71" s="10" t="str">
        <x:v>CTA003</x:v>
      </x:c>
      <x:c r="G71" s="10" t="str">
        <x:v>FAT-200070</x:v>
      </x:c>
      <x:c r="H71" s="10" t="str">
        <x:v>Venda de produtos</x:v>
      </x:c>
      <x:c r="I71" s="16" t="n">
        <x:v>45360.018047708334</x:v>
      </x:c>
      <x:c r="J71" s="16" t="n">
        <x:v>45395.018047708334</x:v>
      </x:c>
      <x:c r="K71" s="16" t="n">
        <x:v>45398.018047708334</x:v>
      </x:c>
      <x:c r="L71" s="20" t="n">
        <x:v>122204.88</x:v>
      </x:c>
      <x:c r="M71" s="20" t="n">
        <x:v>293.29</x:v>
      </x:c>
      <x:c r="N71" s="20" t="n">
        <x:v>0</x:v>
      </x:c>
      <x:c r="O71" s="20" t="n">
        <x:v>122498.17</x:v>
      </x:c>
      <x:c r="P71" s="20" t="n">
        <x:v>0</x:v>
      </x:c>
      <x:c r="Q71" s="10" t="str">
        <x:v>Recebido</x:v>
      </x:c>
      <x:c r="R71" s="10" t="str">
        <x:v>Boleto</x:v>
      </x:c>
      <x:c r="S71" s="10" t="str">
        <x:v>2024-03</x:v>
      </x:c>
      <x:c r="T71" s="10" t="n">
        <x:v>0</x:v>
      </x:c>
      <x:c r="U71" s="10" t="str">
        <x:v>Liquidado</x:v>
      </x:c>
      <x:c r="V71" s="10" t="str">
        <x:v>Alto</x:v>
      </x:c>
      <x:c r="W71" s="10" t="str">
        <x:v>Tecnologia</x:v>
      </x:c>
      <x:c r="X71" s="10" t="str">
        <x:v>UND003</x:v>
      </x:c>
    </x:row>
    <x:row r="72" ht="18" customHeight="1">
      <x:c r="A72" s="10" t="str">
        <x:v>REC00071</x:v>
      </x:c>
      <x:c r="B72" s="10" t="str">
        <x:v>EMP002</x:v>
      </x:c>
      <x:c r="C72" s="10" t="str">
        <x:v>CLI002</x:v>
      </x:c>
      <x:c r="D72" s="10" t="str">
        <x:v>CC005</x:v>
      </x:c>
      <x:c r="E72" s="10" t="str">
        <x:v>CAT003</x:v>
      </x:c>
      <x:c r="F72" s="10" t="str">
        <x:v>CTA004</x:v>
      </x:c>
      <x:c r="G72" s="10" t="str">
        <x:v>FAT-200071</x:v>
      </x:c>
      <x:c r="H72" s="10" t="str">
        <x:v>Venda de produtos</x:v>
      </x:c>
      <x:c r="I72" s="16" t="n">
        <x:v>45912.27071359954</x:v>
      </x:c>
      <x:c r="J72" s="16" t="n">
        <x:v>45940.27071359954</x:v>
      </x:c>
      <x:c r="K72" s="16"/>
      <x:c r="L72" s="20" t="n">
        <x:v>39238.4</x:v>
      </x:c>
      <x:c r="M72" s="20" t="n">
        <x:v>0</x:v>
      </x:c>
      <x:c r="N72" s="20" t="n">
        <x:v>0</x:v>
      </x:c>
      <x:c r="O72" s="20" t="n">
        <x:v>0</x:v>
      </x:c>
      <x:c r="P72" s="20" t="n">
        <x:v>39238.4</x:v>
      </x:c>
      <x:c r="Q72" s="10" t="str">
        <x:v>Vencido</x:v>
      </x:c>
      <x:c r="R72" s="10" t="str">
        <x:v>TED</x:v>
      </x:c>
      <x:c r="S72" s="10" t="str">
        <x:v>2025-09</x:v>
      </x:c>
      <x:c r="T72" s="10" t="n">
        <x:v>81</x:v>
      </x:c>
      <x:c r="U72" s="10" t="str">
        <x:v>61 a 90 dias</x:v>
      </x:c>
      <x:c r="V72" s="10" t="str">
        <x:v>Alto</x:v>
      </x:c>
      <x:c r="W72" s="10" t="str">
        <x:v>Serviços</x:v>
      </x:c>
      <x:c r="X72" s="10" t="str">
        <x:v>UND003</x:v>
      </x:c>
    </x:row>
    <x:row r="73" ht="18" customHeight="1">
      <x:c r="A73" s="10" t="str">
        <x:v>REC00072</x:v>
      </x:c>
      <x:c r="B73" s="10" t="str">
        <x:v>EMP001</x:v>
      </x:c>
      <x:c r="C73" s="10" t="str">
        <x:v>CLI027</x:v>
      </x:c>
      <x:c r="D73" s="10" t="str">
        <x:v>CC006</x:v>
      </x:c>
      <x:c r="E73" s="10" t="str">
        <x:v>CAT001</x:v>
      </x:c>
      <x:c r="F73" s="10" t="str">
        <x:v>CTA002</x:v>
      </x:c>
      <x:c r="G73" s="10" t="str">
        <x:v>FAT-200072</x:v>
      </x:c>
      <x:c r="H73" s="10" t="str">
        <x:v>Venda de produtos</x:v>
      </x:c>
      <x:c r="I73" s="16" t="n">
        <x:v>45568.57538543981</x:v>
      </x:c>
      <x:c r="J73" s="16" t="n">
        <x:v>45613.57538543981</x:v>
      </x:c>
      <x:c r="K73" s="16" t="n">
        <x:v>45634.57538543981</x:v>
      </x:c>
      <x:c r="L73" s="20" t="n">
        <x:v>67989.85</x:v>
      </x:c>
      <x:c r="M73" s="20" t="n">
        <x:v>1142.23</x:v>
      </x:c>
      <x:c r="N73" s="20" t="n">
        <x:v>0</x:v>
      </x:c>
      <x:c r="O73" s="20" t="n">
        <x:v>69132.08</x:v>
      </x:c>
      <x:c r="P73" s="20" t="n">
        <x:v>0</x:v>
      </x:c>
      <x:c r="Q73" s="10" t="str">
        <x:v>Recebido</x:v>
      </x:c>
      <x:c r="R73" s="10" t="str">
        <x:v>Boleto</x:v>
      </x:c>
      <x:c r="S73" s="10" t="str">
        <x:v>2024-10</x:v>
      </x:c>
      <x:c r="T73" s="10" t="n">
        <x:v>0</x:v>
      </x:c>
      <x:c r="U73" s="10" t="str">
        <x:v>Liquidado</x:v>
      </x:c>
      <x:c r="V73" s="10" t="str">
        <x:v>Alto</x:v>
      </x:c>
      <x:c r="W73" s="10" t="str">
        <x:v>Serviços</x:v>
      </x:c>
      <x:c r="X73" s="10" t="str">
        <x:v>UND002</x:v>
      </x:c>
    </x:row>
    <x:row r="74" ht="18" customHeight="1">
      <x:c r="A74" s="10" t="str">
        <x:v>REC00073</x:v>
      </x:c>
      <x:c r="B74" s="10" t="str">
        <x:v>EMP002</x:v>
      </x:c>
      <x:c r="C74" s="10" t="str">
        <x:v>CLI037</x:v>
      </x:c>
      <x:c r="D74" s="10" t="str">
        <x:v>CC004</x:v>
      </x:c>
      <x:c r="E74" s="10" t="str">
        <x:v>CAT003</x:v>
      </x:c>
      <x:c r="F74" s="10" t="str">
        <x:v>CTA003</x:v>
      </x:c>
      <x:c r="G74" s="10" t="str">
        <x:v>FAT-200073</x:v>
      </x:c>
      <x:c r="H74" s="10" t="str">
        <x:v>Prestação de serviços</x:v>
      </x:c>
      <x:c r="I74" s="16" t="n">
        <x:v>45301.5194871875</x:v>
      </x:c>
      <x:c r="J74" s="16" t="n">
        <x:v>45322.5194871875</x:v>
      </x:c>
      <x:c r="K74" s="16" t="n">
        <x:v>45320.5194871875</x:v>
      </x:c>
      <x:c r="L74" s="20" t="n">
        <x:v>38120.41</x:v>
      </x:c>
      <x:c r="M74" s="20" t="n">
        <x:v>0</x:v>
      </x:c>
      <x:c r="N74" s="20" t="n">
        <x:v>0</x:v>
      </x:c>
      <x:c r="O74" s="20" t="n">
        <x:v>38120.41</x:v>
      </x:c>
      <x:c r="P74" s="20" t="n">
        <x:v>0</x:v>
      </x:c>
      <x:c r="Q74" s="10" t="str">
        <x:v>Recebido</x:v>
      </x:c>
      <x:c r="R74" s="10" t="str">
        <x:v>Cartão</x:v>
      </x:c>
      <x:c r="S74" s="10" t="str">
        <x:v>2024-01</x:v>
      </x:c>
      <x:c r="T74" s="10" t="n">
        <x:v>0</x:v>
      </x:c>
      <x:c r="U74" s="10" t="str">
        <x:v>Liquidado</x:v>
      </x:c>
      <x:c r="V74" s="10" t="str">
        <x:v>Baixo</x:v>
      </x:c>
      <x:c r="W74" s="10" t="str">
        <x:v>Serviços</x:v>
      </x:c>
      <x:c r="X74" s="10" t="str">
        <x:v>UND003</x:v>
      </x:c>
    </x:row>
    <x:row r="75" ht="18" customHeight="1">
      <x:c r="A75" s="10" t="str">
        <x:v>REC00074</x:v>
      </x:c>
      <x:c r="B75" s="10" t="str">
        <x:v>EMP002</x:v>
      </x:c>
      <x:c r="C75" s="10" t="str">
        <x:v>CLI027</x:v>
      </x:c>
      <x:c r="D75" s="10" t="str">
        <x:v>CC004</x:v>
      </x:c>
      <x:c r="E75" s="10" t="str">
        <x:v>CAT003</x:v>
      </x:c>
      <x:c r="F75" s="10" t="str">
        <x:v>CTA004</x:v>
      </x:c>
      <x:c r="G75" s="10" t="str">
        <x:v>FAT-200074</x:v>
      </x:c>
      <x:c r="H75" s="10" t="str">
        <x:v>Venda de produtos</x:v>
      </x:c>
      <x:c r="I75" s="16" t="n">
        <x:v>45420.01162024306</x:v>
      </x:c>
      <x:c r="J75" s="16" t="n">
        <x:v>45465.01162024306</x:v>
      </x:c>
      <x:c r="K75" s="16" t="n">
        <x:v>45476.01162024306</x:v>
      </x:c>
      <x:c r="L75" s="20" t="n">
        <x:v>123431.4</x:v>
      </x:c>
      <x:c r="M75" s="20" t="n">
        <x:v>1086.2</x:v>
      </x:c>
      <x:c r="N75" s="20" t="n">
        <x:v>0</x:v>
      </x:c>
      <x:c r="O75" s="20" t="n">
        <x:v>124517.6</x:v>
      </x:c>
      <x:c r="P75" s="20" t="n">
        <x:v>0</x:v>
      </x:c>
      <x:c r="Q75" s="10" t="str">
        <x:v>Recebido</x:v>
      </x:c>
      <x:c r="R75" s="10" t="str">
        <x:v>Débito em Conta</x:v>
      </x:c>
      <x:c r="S75" s="10" t="str">
        <x:v>2024-05</x:v>
      </x:c>
      <x:c r="T75" s="10" t="n">
        <x:v>0</x:v>
      </x:c>
      <x:c r="U75" s="10" t="str">
        <x:v>Liquidado</x:v>
      </x:c>
      <x:c r="V75" s="10" t="str">
        <x:v>Alto</x:v>
      </x:c>
      <x:c r="W75" s="10" t="str">
        <x:v>Serviços</x:v>
      </x:c>
      <x:c r="X75" s="10" t="str">
        <x:v>UND003</x:v>
      </x:c>
    </x:row>
    <x:row r="76" ht="18" customHeight="1">
      <x:c r="A76" s="10" t="str">
        <x:v>REC00075</x:v>
      </x:c>
      <x:c r="B76" s="10" t="str">
        <x:v>EMP003</x:v>
      </x:c>
      <x:c r="C76" s="10" t="str">
        <x:v>CLI076</x:v>
      </x:c>
      <x:c r="D76" s="10" t="str">
        <x:v>CC002</x:v>
      </x:c>
      <x:c r="E76" s="10" t="str">
        <x:v>CAT004</x:v>
      </x:c>
      <x:c r="F76" s="10" t="str">
        <x:v>CTA005</x:v>
      </x:c>
      <x:c r="G76" s="10" t="str">
        <x:v>FAT-200075</x:v>
      </x:c>
      <x:c r="H76" s="10" t="str">
        <x:v>Frete faturado</x:v>
      </x:c>
      <x:c r="I76" s="16" t="n">
        <x:v>45659.60124539352</x:v>
      </x:c>
      <x:c r="J76" s="16" t="n">
        <x:v>45674.60124539352</x:v>
      </x:c>
      <x:c r="K76" s="16"/>
      <x:c r="L76" s="20" t="n">
        <x:v>46702.32</x:v>
      </x:c>
      <x:c r="M76" s="20" t="n">
        <x:v>0</x:v>
      </x:c>
      <x:c r="N76" s="20" t="n">
        <x:v>0</x:v>
      </x:c>
      <x:c r="O76" s="20" t="n">
        <x:v>0</x:v>
      </x:c>
      <x:c r="P76" s="20" t="n">
        <x:v>46702.32</x:v>
      </x:c>
      <x:c r="Q76" s="10" t="str">
        <x:v>Vencido</x:v>
      </x:c>
      <x:c r="R76" s="10" t="str">
        <x:v>Débito em Conta</x:v>
      </x:c>
      <x:c r="S76" s="10" t="str">
        <x:v>2025-01</x:v>
      </x:c>
      <x:c r="T76" s="10" t="n">
        <x:v>347</x:v>
      </x:c>
      <x:c r="U76" s="10" t="str">
        <x:v>&gt; 120 dias</x:v>
      </x:c>
      <x:c r="V76" s="10" t="str">
        <x:v>Baixo</x:v>
      </x:c>
      <x:c r="W76" s="10" t="str">
        <x:v>Tecnologia</x:v>
      </x:c>
      <x:c r="X76" s="10" t="str">
        <x:v>UND004</x:v>
      </x:c>
    </x:row>
    <x:row r="77" ht="18" customHeight="1">
      <x:c r="A77" s="10" t="str">
        <x:v>REC00076</x:v>
      </x:c>
      <x:c r="B77" s="10" t="str">
        <x:v>EMP003</x:v>
      </x:c>
      <x:c r="C77" s="10" t="str">
        <x:v>CLI049</x:v>
      </x:c>
      <x:c r="D77" s="10" t="str">
        <x:v>CC006</x:v>
      </x:c>
      <x:c r="E77" s="10" t="str">
        <x:v>CAT004</x:v>
      </x:c>
      <x:c r="F77" s="10" t="str">
        <x:v>CTA006</x:v>
      </x:c>
      <x:c r="G77" s="10" t="str">
        <x:v>FAT-200076</x:v>
      </x:c>
      <x:c r="H77" s="10" t="str">
        <x:v>Prestação de serviços</x:v>
      </x:c>
      <x:c r="I77" s="16" t="n">
        <x:v>45488.789223287036</x:v>
      </x:c>
      <x:c r="J77" s="16" t="n">
        <x:v>45509.789223287036</x:v>
      </x:c>
      <x:c r="K77" s="16" t="n">
        <x:v>45517.789223287036</x:v>
      </x:c>
      <x:c r="L77" s="20" t="n">
        <x:v>15697.38</x:v>
      </x:c>
      <x:c r="M77" s="20" t="n">
        <x:v>100.46</x:v>
      </x:c>
      <x:c r="N77" s="20" t="n">
        <x:v>0</x:v>
      </x:c>
      <x:c r="O77" s="20" t="n">
        <x:v>15797.84</x:v>
      </x:c>
      <x:c r="P77" s="20" t="n">
        <x:v>0</x:v>
      </x:c>
      <x:c r="Q77" s="10" t="str">
        <x:v>Recebido</x:v>
      </x:c>
      <x:c r="R77" s="10" t="str">
        <x:v>Boleto</x:v>
      </x:c>
      <x:c r="S77" s="10" t="str">
        <x:v>2024-07</x:v>
      </x:c>
      <x:c r="T77" s="10" t="n">
        <x:v>0</x:v>
      </x:c>
      <x:c r="U77" s="10" t="str">
        <x:v>Liquidado</x:v>
      </x:c>
      <x:c r="V77" s="10" t="str">
        <x:v>Médio</x:v>
      </x:c>
      <x:c r="W77" s="10" t="str">
        <x:v>Serviços</x:v>
      </x:c>
      <x:c r="X77" s="10" t="str">
        <x:v>UND004</x:v>
      </x:c>
    </x:row>
    <x:row r="78" ht="18" customHeight="1">
      <x:c r="A78" s="10" t="str">
        <x:v>REC00077</x:v>
      </x:c>
      <x:c r="B78" s="10" t="str">
        <x:v>EMP002</x:v>
      </x:c>
      <x:c r="C78" s="10" t="str">
        <x:v>CLI001</x:v>
      </x:c>
      <x:c r="D78" s="10" t="str">
        <x:v>CC006</x:v>
      </x:c>
      <x:c r="E78" s="10" t="str">
        <x:v>CAT003</x:v>
      </x:c>
      <x:c r="F78" s="10" t="str">
        <x:v>CTA004</x:v>
      </x:c>
      <x:c r="G78" s="10" t="str">
        <x:v>FAT-200077</x:v>
      </x:c>
      <x:c r="H78" s="10" t="str">
        <x:v>Contrato mensal</x:v>
      </x:c>
      <x:c r="I78" s="16" t="n">
        <x:v>45429.67980440972</x:v>
      </x:c>
      <x:c r="J78" s="16" t="n">
        <x:v>45459.67980440972</x:v>
      </x:c>
      <x:c r="K78" s="16" t="n">
        <x:v>45462.67980440972</x:v>
      </x:c>
      <x:c r="L78" s="20" t="n">
        <x:v>108451.57</x:v>
      </x:c>
      <x:c r="M78" s="20" t="n">
        <x:v>260.28</x:v>
      </x:c>
      <x:c r="N78" s="20" t="n">
        <x:v>0</x:v>
      </x:c>
      <x:c r="O78" s="20" t="n">
        <x:v>108711.85</x:v>
      </x:c>
      <x:c r="P78" s="20" t="n">
        <x:v>0</x:v>
      </x:c>
      <x:c r="Q78" s="10" t="str">
        <x:v>Recebido</x:v>
      </x:c>
      <x:c r="R78" s="10" t="str">
        <x:v>Boleto</x:v>
      </x:c>
      <x:c r="S78" s="10" t="str">
        <x:v>2024-05</x:v>
      </x:c>
      <x:c r="T78" s="10" t="n">
        <x:v>0</x:v>
      </x:c>
      <x:c r="U78" s="10" t="str">
        <x:v>Liquidado</x:v>
      </x:c>
      <x:c r="V78" s="10" t="str">
        <x:v>Baixo</x:v>
      </x:c>
      <x:c r="W78" s="10" t="str">
        <x:v>Serviços</x:v>
      </x:c>
      <x:c r="X78" s="10" t="str">
        <x:v>UND003</x:v>
      </x:c>
    </x:row>
    <x:row r="79" ht="18" customHeight="1">
      <x:c r="A79" s="10" t="str">
        <x:v>REC00078</x:v>
      </x:c>
      <x:c r="B79" s="10" t="str">
        <x:v>EMP002</x:v>
      </x:c>
      <x:c r="C79" s="10" t="str">
        <x:v>CLI048</x:v>
      </x:c>
      <x:c r="D79" s="10" t="str">
        <x:v>CC004</x:v>
      </x:c>
      <x:c r="E79" s="10" t="str">
        <x:v>CAT003</x:v>
      </x:c>
      <x:c r="F79" s="10" t="str">
        <x:v>CTA004</x:v>
      </x:c>
      <x:c r="G79" s="10" t="str">
        <x:v>FAT-200078</x:v>
      </x:c>
      <x:c r="H79" s="10" t="str">
        <x:v>Frete faturado</x:v>
      </x:c>
      <x:c r="I79" s="16" t="n">
        <x:v>45459.580731712966</x:v>
      </x:c>
      <x:c r="J79" s="16" t="n">
        <x:v>45494.580731712966</x:v>
      </x:c>
      <x:c r="K79" s="16" t="n">
        <x:v>45488.580731712966</x:v>
      </x:c>
      <x:c r="L79" s="20" t="n">
        <x:v>1788.11</x:v>
      </x:c>
      <x:c r="M79" s="20" t="n">
        <x:v>0</x:v>
      </x:c>
      <x:c r="N79" s="20" t="n">
        <x:v>0</x:v>
      </x:c>
      <x:c r="O79" s="20" t="n">
        <x:v>1788.11</x:v>
      </x:c>
      <x:c r="P79" s="20" t="n">
        <x:v>0</x:v>
      </x:c>
      <x:c r="Q79" s="10" t="str">
        <x:v>Recebido</x:v>
      </x:c>
      <x:c r="R79" s="10" t="str">
        <x:v>Débito em Conta</x:v>
      </x:c>
      <x:c r="S79" s="10" t="str">
        <x:v>2024-06</x:v>
      </x:c>
      <x:c r="T79" s="10" t="n">
        <x:v>0</x:v>
      </x:c>
      <x:c r="U79" s="10" t="str">
        <x:v>Liquidado</x:v>
      </x:c>
      <x:c r="V79" s="10" t="str">
        <x:v>Baixo</x:v>
      </x:c>
      <x:c r="W79" s="10" t="str">
        <x:v>Tecnologia</x:v>
      </x:c>
      <x:c r="X79" s="10" t="str">
        <x:v>UND003</x:v>
      </x:c>
    </x:row>
    <x:row r="80" ht="18" customHeight="1">
      <x:c r="A80" s="10" t="str">
        <x:v>REC00079</x:v>
      </x:c>
      <x:c r="B80" s="10" t="str">
        <x:v>EMP002</x:v>
      </x:c>
      <x:c r="C80" s="10" t="str">
        <x:v>CLI063</x:v>
      </x:c>
      <x:c r="D80" s="10" t="str">
        <x:v>CC006</x:v>
      </x:c>
      <x:c r="E80" s="10" t="str">
        <x:v>CAT004</x:v>
      </x:c>
      <x:c r="F80" s="10" t="str">
        <x:v>CTA003</x:v>
      </x:c>
      <x:c r="G80" s="10" t="str">
        <x:v>FAT-200079</x:v>
      </x:c>
      <x:c r="H80" s="10" t="str">
        <x:v>Prestação de serviços</x:v>
      </x:c>
      <x:c r="I80" s="16" t="n">
        <x:v>45678.17551247685</x:v>
      </x:c>
      <x:c r="J80" s="16" t="n">
        <x:v>45693.17551247685</x:v>
      </x:c>
      <x:c r="K80" s="16" t="n">
        <x:v>45692.17551247685</x:v>
      </x:c>
      <x:c r="L80" s="20" t="n">
        <x:v>59816.32</x:v>
      </x:c>
      <x:c r="M80" s="20" t="n">
        <x:v>0</x:v>
      </x:c>
      <x:c r="N80" s="20" t="n">
        <x:v>1196.33</x:v>
      </x:c>
      <x:c r="O80" s="20" t="n">
        <x:v>58619.99</x:v>
      </x:c>
      <x:c r="P80" s="20" t="n">
        <x:v>0</x:v>
      </x:c>
      <x:c r="Q80" s="10" t="str">
        <x:v>Recebido</x:v>
      </x:c>
      <x:c r="R80" s="10" t="str">
        <x:v>TED</x:v>
      </x:c>
      <x:c r="S80" s="10" t="str">
        <x:v>2025-01</x:v>
      </x:c>
      <x:c r="T80" s="10" t="n">
        <x:v>0</x:v>
      </x:c>
      <x:c r="U80" s="10" t="str">
        <x:v>Liquidado</x:v>
      </x:c>
      <x:c r="V80" s="10" t="str">
        <x:v>Baixo</x:v>
      </x:c>
      <x:c r="W80" s="10" t="str">
        <x:v>Serviços</x:v>
      </x:c>
      <x:c r="X80" s="10" t="str">
        <x:v>UND003</x:v>
      </x:c>
    </x:row>
    <x:row r="81" ht="18" customHeight="1">
      <x:c r="A81" s="10" t="str">
        <x:v>REC00080</x:v>
      </x:c>
      <x:c r="B81" s="10" t="str">
        <x:v>EMP002</x:v>
      </x:c>
      <x:c r="C81" s="10" t="str">
        <x:v>CLI006</x:v>
      </x:c>
      <x:c r="D81" s="10" t="str">
        <x:v>CC007</x:v>
      </x:c>
      <x:c r="E81" s="10" t="str">
        <x:v>CAT003</x:v>
      </x:c>
      <x:c r="F81" s="10" t="str">
        <x:v>CTA004</x:v>
      </x:c>
      <x:c r="G81" s="10" t="str">
        <x:v>FAT-200080</x:v>
      </x:c>
      <x:c r="H81" s="10" t="str">
        <x:v>Prestação de serviços</x:v>
      </x:c>
      <x:c r="I81" s="16" t="n">
        <x:v>45717.3770615625</x:v>
      </x:c>
      <x:c r="J81" s="16" t="n">
        <x:v>45732.3770615625</x:v>
      </x:c>
      <x:c r="K81" s="16" t="n">
        <x:v>45729.3770615625</x:v>
      </x:c>
      <x:c r="L81" s="20" t="n">
        <x:v>11692.42</x:v>
      </x:c>
      <x:c r="M81" s="20" t="n">
        <x:v>0</x:v>
      </x:c>
      <x:c r="N81" s="20" t="n">
        <x:v>0</x:v>
      </x:c>
      <x:c r="O81" s="20" t="n">
        <x:v>11692.42</x:v>
      </x:c>
      <x:c r="P81" s="20" t="n">
        <x:v>0</x:v>
      </x:c>
      <x:c r="Q81" s="10" t="str">
        <x:v>Recebido</x:v>
      </x:c>
      <x:c r="R81" s="10" t="str">
        <x:v>PIX</x:v>
      </x:c>
      <x:c r="S81" s="10" t="str">
        <x:v>2025-03</x:v>
      </x:c>
      <x:c r="T81" s="10" t="n">
        <x:v>0</x:v>
      </x:c>
      <x:c r="U81" s="10" t="str">
        <x:v>Liquidado</x:v>
      </x:c>
      <x:c r="V81" s="10" t="str">
        <x:v>Baixo</x:v>
      </x:c>
      <x:c r="W81" s="10" t="str">
        <x:v>Varejo</x:v>
      </x:c>
      <x:c r="X81" s="10" t="str">
        <x:v>UND003</x:v>
      </x:c>
    </x:row>
    <x:row r="82" ht="18" customHeight="1">
      <x:c r="A82" s="10" t="str">
        <x:v>REC00081</x:v>
      </x:c>
      <x:c r="B82" s="10" t="str">
        <x:v>EMP002</x:v>
      </x:c>
      <x:c r="C82" s="10" t="str">
        <x:v>CLI070</x:v>
      </x:c>
      <x:c r="D82" s="10" t="str">
        <x:v>CC002</x:v>
      </x:c>
      <x:c r="E82" s="10" t="str">
        <x:v>CAT004</x:v>
      </x:c>
      <x:c r="F82" s="10" t="str">
        <x:v>CTA003</x:v>
      </x:c>
      <x:c r="G82" s="10" t="str">
        <x:v>FAT-200081</x:v>
      </x:c>
      <x:c r="H82" s="10" t="str">
        <x:v>Frete faturado</x:v>
      </x:c>
      <x:c r="I82" s="16" t="n">
        <x:v>45308.80502099537</x:v>
      </x:c>
      <x:c r="J82" s="16" t="n">
        <x:v>45343.80502099537</x:v>
      </x:c>
      <x:c r="K82" s="16" t="n">
        <x:v>45338.80502099537</x:v>
      </x:c>
      <x:c r="L82" s="20" t="n">
        <x:v>122873.96</x:v>
      </x:c>
      <x:c r="M82" s="20" t="n">
        <x:v>0</x:v>
      </x:c>
      <x:c r="N82" s="20" t="n">
        <x:v>1228.74</x:v>
      </x:c>
      <x:c r="O82" s="20" t="n">
        <x:v>121645.22</x:v>
      </x:c>
      <x:c r="P82" s="20" t="n">
        <x:v>0</x:v>
      </x:c>
      <x:c r="Q82" s="10" t="str">
        <x:v>Recebido</x:v>
      </x:c>
      <x:c r="R82" s="10" t="str">
        <x:v>TED</x:v>
      </x:c>
      <x:c r="S82" s="10" t="str">
        <x:v>2024-01</x:v>
      </x:c>
      <x:c r="T82" s="10" t="n">
        <x:v>0</x:v>
      </x:c>
      <x:c r="U82" s="10" t="str">
        <x:v>Liquidado</x:v>
      </x:c>
      <x:c r="V82" s="10" t="str">
        <x:v>Baixo</x:v>
      </x:c>
      <x:c r="W82" s="10" t="str">
        <x:v>Saúde</x:v>
      </x:c>
      <x:c r="X82" s="10" t="str">
        <x:v>UND003</x:v>
      </x:c>
    </x:row>
    <x:row r="83" ht="18" customHeight="1">
      <x:c r="A83" s="10" t="str">
        <x:v>REC00082</x:v>
      </x:c>
      <x:c r="B83" s="10" t="str">
        <x:v>EMP001</x:v>
      </x:c>
      <x:c r="C83" s="10" t="str">
        <x:v>CLI005</x:v>
      </x:c>
      <x:c r="D83" s="10" t="str">
        <x:v>CC008</x:v>
      </x:c>
      <x:c r="E83" s="10" t="str">
        <x:v>CAT001</x:v>
      </x:c>
      <x:c r="F83" s="10" t="str">
        <x:v>CTA001</x:v>
      </x:c>
      <x:c r="G83" s="10" t="str">
        <x:v>FAT-200082</x:v>
      </x:c>
      <x:c r="H83" s="10" t="str">
        <x:v>Frete faturado</x:v>
      </x:c>
      <x:c r="I83" s="16" t="n">
        <x:v>45342.13489116898</x:v>
      </x:c>
      <x:c r="J83" s="16" t="n">
        <x:v>45402.13489116898</x:v>
      </x:c>
      <x:c r="K83" s="16" t="n">
        <x:v>45397.13489116898</x:v>
      </x:c>
      <x:c r="L83" s="20" t="n">
        <x:v>2463.02</x:v>
      </x:c>
      <x:c r="M83" s="20" t="n">
        <x:v>0</x:v>
      </x:c>
      <x:c r="N83" s="20" t="n">
        <x:v>0</x:v>
      </x:c>
      <x:c r="O83" s="20" t="n">
        <x:v>2463.02</x:v>
      </x:c>
      <x:c r="P83" s="20" t="n">
        <x:v>0</x:v>
      </x:c>
      <x:c r="Q83" s="10" t="str">
        <x:v>Recebido</x:v>
      </x:c>
      <x:c r="R83" s="10" t="str">
        <x:v>Boleto</x:v>
      </x:c>
      <x:c r="S83" s="10" t="str">
        <x:v>2024-02</x:v>
      </x:c>
      <x:c r="T83" s="10" t="n">
        <x:v>0</x:v>
      </x:c>
      <x:c r="U83" s="10" t="str">
        <x:v>Liquidado</x:v>
      </x:c>
      <x:c r="V83" s="10" t="str">
        <x:v>Baixo</x:v>
      </x:c>
      <x:c r="W83" s="10" t="str">
        <x:v>Atacado</x:v>
      </x:c>
      <x:c r="X83" s="10" t="str">
        <x:v>UND001</x:v>
      </x:c>
    </x:row>
    <x:row r="84" ht="18" customHeight="1">
      <x:c r="A84" s="10" t="str">
        <x:v>REC00083</x:v>
      </x:c>
      <x:c r="B84" s="10" t="str">
        <x:v>EMP002</x:v>
      </x:c>
      <x:c r="C84" s="10" t="str">
        <x:v>CLI063</x:v>
      </x:c>
      <x:c r="D84" s="10" t="str">
        <x:v>CC005</x:v>
      </x:c>
      <x:c r="E84" s="10" t="str">
        <x:v>CAT004</x:v>
      </x:c>
      <x:c r="F84" s="10" t="str">
        <x:v>CTA003</x:v>
      </x:c>
      <x:c r="G84" s="10" t="str">
        <x:v>FAT-200083</x:v>
      </x:c>
      <x:c r="H84" s="10" t="str">
        <x:v>Prestação de serviços</x:v>
      </x:c>
      <x:c r="I84" s="16" t="n">
        <x:v>45753.37922094907</x:v>
      </x:c>
      <x:c r="J84" s="16" t="n">
        <x:v>45788.37922094907</x:v>
      </x:c>
      <x:c r="K84" s="16"/>
      <x:c r="L84" s="20" t="n">
        <x:v>56328.9</x:v>
      </x:c>
      <x:c r="M84" s="20" t="n">
        <x:v>0</x:v>
      </x:c>
      <x:c r="N84" s="20" t="n">
        <x:v>0</x:v>
      </x:c>
      <x:c r="O84" s="20" t="n">
        <x:v>0</x:v>
      </x:c>
      <x:c r="P84" s="20" t="n">
        <x:v>56328.9</x:v>
      </x:c>
      <x:c r="Q84" s="10" t="str">
        <x:v>Vencido</x:v>
      </x:c>
      <x:c r="R84" s="10" t="str">
        <x:v>Débito em Conta</x:v>
      </x:c>
      <x:c r="S84" s="10" t="str">
        <x:v>2025-04</x:v>
      </x:c>
      <x:c r="T84" s="10" t="n">
        <x:v>233</x:v>
      </x:c>
      <x:c r="U84" s="10" t="str">
        <x:v>&gt; 120 dias</x:v>
      </x:c>
      <x:c r="V84" s="10" t="str">
        <x:v>Baixo</x:v>
      </x:c>
      <x:c r="W84" s="10" t="str">
        <x:v>Serviços</x:v>
      </x:c>
      <x:c r="X84" s="10" t="str">
        <x:v>UND003</x:v>
      </x:c>
    </x:row>
    <x:row r="85" ht="18" customHeight="1">
      <x:c r="A85" s="10" t="str">
        <x:v>REC00084</x:v>
      </x:c>
      <x:c r="B85" s="10" t="str">
        <x:v>EMP001</x:v>
      </x:c>
      <x:c r="C85" s="10" t="str">
        <x:v>CLI046</x:v>
      </x:c>
      <x:c r="D85" s="10" t="str">
        <x:v>CC007</x:v>
      </x:c>
      <x:c r="E85" s="10" t="str">
        <x:v>CAT004</x:v>
      </x:c>
      <x:c r="F85" s="10" t="str">
        <x:v>CTA001</x:v>
      </x:c>
      <x:c r="G85" s="10" t="str">
        <x:v>FAT-200084</x:v>
      </x:c>
      <x:c r="H85" s="10" t="str">
        <x:v>Projeto especial</x:v>
      </x:c>
      <x:c r="I85" s="16" t="n">
        <x:v>45848.248843333335</x:v>
      </x:c>
      <x:c r="J85" s="16" t="n">
        <x:v>45876.248843333335</x:v>
      </x:c>
      <x:c r="K85" s="16" t="n">
        <x:v>45894.248843333335</x:v>
      </x:c>
      <x:c r="L85" s="20" t="n">
        <x:v>101022.55</x:v>
      </x:c>
      <x:c r="M85" s="20" t="n">
        <x:v>1454.72</x:v>
      </x:c>
      <x:c r="N85" s="20" t="n">
        <x:v>0</x:v>
      </x:c>
      <x:c r="O85" s="20" t="n">
        <x:v>102477.27</x:v>
      </x:c>
      <x:c r="P85" s="20" t="n">
        <x:v>0</x:v>
      </x:c>
      <x:c r="Q85" s="10" t="str">
        <x:v>Recebido</x:v>
      </x:c>
      <x:c r="R85" s="10" t="str">
        <x:v>Débito em Conta</x:v>
      </x:c>
      <x:c r="S85" s="10" t="str">
        <x:v>2025-07</x:v>
      </x:c>
      <x:c r="T85" s="10" t="n">
        <x:v>0</x:v>
      </x:c>
      <x:c r="U85" s="10" t="str">
        <x:v>Liquidado</x:v>
      </x:c>
      <x:c r="V85" s="10" t="str">
        <x:v>Alto</x:v>
      </x:c>
      <x:c r="W85" s="10" t="str">
        <x:v>Varejo</x:v>
      </x:c>
      <x:c r="X85" s="10" t="str">
        <x:v>UND002</x:v>
      </x:c>
    </x:row>
    <x:row r="86" ht="18" customHeight="1">
      <x:c r="A86" s="10" t="str">
        <x:v>REC00085</x:v>
      </x:c>
      <x:c r="B86" s="10" t="str">
        <x:v>EMP001</x:v>
      </x:c>
      <x:c r="C86" s="10" t="str">
        <x:v>CLI008</x:v>
      </x:c>
      <x:c r="D86" s="10" t="str">
        <x:v>CC001</x:v>
      </x:c>
      <x:c r="E86" s="10" t="str">
        <x:v>CAT003</x:v>
      </x:c>
      <x:c r="F86" s="10" t="str">
        <x:v>CTA002</x:v>
      </x:c>
      <x:c r="G86" s="10" t="str">
        <x:v>FAT-200085</x:v>
      </x:c>
      <x:c r="H86" s="10" t="str">
        <x:v>Frete faturado</x:v>
      </x:c>
      <x:c r="I86" s="16" t="n">
        <x:v>45336.5494866088</x:v>
      </x:c>
      <x:c r="J86" s="16" t="n">
        <x:v>45371.5494866088</x:v>
      </x:c>
      <x:c r="K86" s="16" t="n">
        <x:v>45375.5494866088</x:v>
      </x:c>
      <x:c r="L86" s="20" t="n">
        <x:v>53370.92</x:v>
      </x:c>
      <x:c r="M86" s="20" t="n">
        <x:v>170.79</x:v>
      </x:c>
      <x:c r="N86" s="20" t="n">
        <x:v>0</x:v>
      </x:c>
      <x:c r="O86" s="20" t="n">
        <x:v>53541.71</x:v>
      </x:c>
      <x:c r="P86" s="20" t="n">
        <x:v>0</x:v>
      </x:c>
      <x:c r="Q86" s="10" t="str">
        <x:v>Recebido</x:v>
      </x:c>
      <x:c r="R86" s="10" t="str">
        <x:v>PIX</x:v>
      </x:c>
      <x:c r="S86" s="10" t="str">
        <x:v>2024-02</x:v>
      </x:c>
      <x:c r="T86" s="10" t="n">
        <x:v>0</x:v>
      </x:c>
      <x:c r="U86" s="10" t="str">
        <x:v>Liquidado</x:v>
      </x:c>
      <x:c r="V86" s="10" t="str">
        <x:v>Médio</x:v>
      </x:c>
      <x:c r="W86" s="10" t="str">
        <x:v>Saúde</x:v>
      </x:c>
      <x:c r="X86" s="10" t="str">
        <x:v>UND001</x:v>
      </x:c>
    </x:row>
    <x:row r="87" ht="18" customHeight="1">
      <x:c r="A87" s="10" t="str">
        <x:v>REC00086</x:v>
      </x:c>
      <x:c r="B87" s="10" t="str">
        <x:v>EMP003</x:v>
      </x:c>
      <x:c r="C87" s="10" t="str">
        <x:v>CLI064</x:v>
      </x:c>
      <x:c r="D87" s="10" t="str">
        <x:v>CC004</x:v>
      </x:c>
      <x:c r="E87" s="10" t="str">
        <x:v>CAT001</x:v>
      </x:c>
      <x:c r="F87" s="10" t="str">
        <x:v>CTA006</x:v>
      </x:c>
      <x:c r="G87" s="10" t="str">
        <x:v>FAT-200086</x:v>
      </x:c>
      <x:c r="H87" s="10" t="str">
        <x:v>Venda de produtos</x:v>
      </x:c>
      <x:c r="I87" s="16" t="n">
        <x:v>45314.50151913195</x:v>
      </x:c>
      <x:c r="J87" s="16" t="n">
        <x:v>45342.50151913195</x:v>
      </x:c>
      <x:c r="K87" s="16" t="n">
        <x:v>45339.50151913195</x:v>
      </x:c>
      <x:c r="L87" s="20" t="n">
        <x:v>11410.23</x:v>
      </x:c>
      <x:c r="M87" s="20" t="n">
        <x:v>0</x:v>
      </x:c>
      <x:c r="N87" s="20" t="n">
        <x:v>0</x:v>
      </x:c>
      <x:c r="O87" s="20" t="n">
        <x:v>11410.23</x:v>
      </x:c>
      <x:c r="P87" s="20" t="n">
        <x:v>0</x:v>
      </x:c>
      <x:c r="Q87" s="10" t="str">
        <x:v>Recebido</x:v>
      </x:c>
      <x:c r="R87" s="10" t="str">
        <x:v>PIX</x:v>
      </x:c>
      <x:c r="S87" s="10" t="str">
        <x:v>2024-01</x:v>
      </x:c>
      <x:c r="T87" s="10" t="n">
        <x:v>0</x:v>
      </x:c>
      <x:c r="U87" s="10" t="str">
        <x:v>Liquidado</x:v>
      </x:c>
      <x:c r="V87" s="10" t="str">
        <x:v>Médio</x:v>
      </x:c>
      <x:c r="W87" s="10" t="str">
        <x:v>Atacado</x:v>
      </x:c>
      <x:c r="X87" s="10" t="str">
        <x:v>UND004</x:v>
      </x:c>
    </x:row>
    <x:row r="88" ht="18" customHeight="1">
      <x:c r="A88" s="10" t="str">
        <x:v>REC00087</x:v>
      </x:c>
      <x:c r="B88" s="10" t="str">
        <x:v>EMP002</x:v>
      </x:c>
      <x:c r="C88" s="10" t="str">
        <x:v>CLI015</x:v>
      </x:c>
      <x:c r="D88" s="10" t="str">
        <x:v>CC008</x:v>
      </x:c>
      <x:c r="E88" s="10" t="str">
        <x:v>CAT003</x:v>
      </x:c>
      <x:c r="F88" s="10" t="str">
        <x:v>CTA003</x:v>
      </x:c>
      <x:c r="G88" s="10" t="str">
        <x:v>FAT-200087</x:v>
      </x:c>
      <x:c r="H88" s="10" t="str">
        <x:v>Prestação de serviços</x:v>
      </x:c>
      <x:c r="I88" s="16" t="n">
        <x:v>45372.396971041664</x:v>
      </x:c>
      <x:c r="J88" s="16" t="n">
        <x:v>45393.396971041664</x:v>
      </x:c>
      <x:c r="K88" s="16" t="n">
        <x:v>45396.396971041664</x:v>
      </x:c>
      <x:c r="L88" s="20" t="n">
        <x:v>2326.89</x:v>
      </x:c>
      <x:c r="M88" s="20" t="n">
        <x:v>5.58</x:v>
      </x:c>
      <x:c r="N88" s="20" t="n">
        <x:v>0</x:v>
      </x:c>
      <x:c r="O88" s="20" t="n">
        <x:v>2332.47</x:v>
      </x:c>
      <x:c r="P88" s="20" t="n">
        <x:v>0</x:v>
      </x:c>
      <x:c r="Q88" s="10" t="str">
        <x:v>Recebido</x:v>
      </x:c>
      <x:c r="R88" s="10" t="str">
        <x:v>Débito em Conta</x:v>
      </x:c>
      <x:c r="S88" s="10" t="str">
        <x:v>2024-03</x:v>
      </x:c>
      <x:c r="T88" s="10" t="n">
        <x:v>0</x:v>
      </x:c>
      <x:c r="U88" s="10" t="str">
        <x:v>Liquidado</x:v>
      </x:c>
      <x:c r="V88" s="10" t="str">
        <x:v>Baixo</x:v>
      </x:c>
      <x:c r="W88" s="10" t="str">
        <x:v>Atacado</x:v>
      </x:c>
      <x:c r="X88" s="10" t="str">
        <x:v>UND003</x:v>
      </x:c>
    </x:row>
    <x:row r="89" ht="18" customHeight="1">
      <x:c r="A89" s="10" t="str">
        <x:v>REC00088</x:v>
      </x:c>
      <x:c r="B89" s="10" t="str">
        <x:v>EMP002</x:v>
      </x:c>
      <x:c r="C89" s="10" t="str">
        <x:v>CLI055</x:v>
      </x:c>
      <x:c r="D89" s="10" t="str">
        <x:v>CC005</x:v>
      </x:c>
      <x:c r="E89" s="10" t="str">
        <x:v>CAT003</x:v>
      </x:c>
      <x:c r="F89" s="10" t="str">
        <x:v>CTA004</x:v>
      </x:c>
      <x:c r="G89" s="10" t="str">
        <x:v>FAT-200088</x:v>
      </x:c>
      <x:c r="H89" s="10" t="str">
        <x:v>Frete faturado</x:v>
      </x:c>
      <x:c r="I89" s="16" t="n">
        <x:v>45910.45111792824</x:v>
      </x:c>
      <x:c r="J89" s="16" t="n">
        <x:v>45955.45111792824</x:v>
      </x:c>
      <x:c r="K89" s="16" t="n">
        <x:v>45958.45111792824</x:v>
      </x:c>
      <x:c r="L89" s="20" t="n">
        <x:v>119869.59</x:v>
      </x:c>
      <x:c r="M89" s="20" t="n">
        <x:v>287.69</x:v>
      </x:c>
      <x:c r="N89" s="20" t="n">
        <x:v>0</x:v>
      </x:c>
      <x:c r="O89" s="20" t="n">
        <x:v>120157.28</x:v>
      </x:c>
      <x:c r="P89" s="20" t="n">
        <x:v>0</x:v>
      </x:c>
      <x:c r="Q89" s="10" t="str">
        <x:v>Recebido</x:v>
      </x:c>
      <x:c r="R89" s="10" t="str">
        <x:v>Cartão</x:v>
      </x:c>
      <x:c r="S89" s="10" t="str">
        <x:v>2025-09</x:v>
      </x:c>
      <x:c r="T89" s="10" t="n">
        <x:v>0</x:v>
      </x:c>
      <x:c r="U89" s="10" t="str">
        <x:v>Liquidado</x:v>
      </x:c>
      <x:c r="V89" s="10" t="str">
        <x:v>Baixo</x:v>
      </x:c>
      <x:c r="W89" s="10" t="str">
        <x:v>Serviços</x:v>
      </x:c>
      <x:c r="X89" s="10" t="str">
        <x:v>UND003</x:v>
      </x:c>
    </x:row>
    <x:row r="90" ht="18" customHeight="1">
      <x:c r="A90" s="10" t="str">
        <x:v>REC00089</x:v>
      </x:c>
      <x:c r="B90" s="10" t="str">
        <x:v>EMP002</x:v>
      </x:c>
      <x:c r="C90" s="10" t="str">
        <x:v>CLI042</x:v>
      </x:c>
      <x:c r="D90" s="10" t="str">
        <x:v>CC001</x:v>
      </x:c>
      <x:c r="E90" s="10" t="str">
        <x:v>CAT004</x:v>
      </x:c>
      <x:c r="F90" s="10" t="str">
        <x:v>CTA004</x:v>
      </x:c>
      <x:c r="G90" s="10" t="str">
        <x:v>FAT-200089</x:v>
      </x:c>
      <x:c r="H90" s="10" t="str">
        <x:v>Venda de produtos</x:v>
      </x:c>
      <x:c r="I90" s="16" t="n">
        <x:v>45387.02548202546</x:v>
      </x:c>
      <x:c r="J90" s="16" t="n">
        <x:v>45422.02548202546</x:v>
      </x:c>
      <x:c r="K90" s="16" t="n">
        <x:v>45423.02548202546</x:v>
      </x:c>
      <x:c r="L90" s="20" t="n">
        <x:v>23344.58</x:v>
      </x:c>
      <x:c r="M90" s="20" t="n">
        <x:v>18.68</x:v>
      </x:c>
      <x:c r="N90" s="20" t="n">
        <x:v>0</x:v>
      </x:c>
      <x:c r="O90" s="20" t="n">
        <x:v>23363.26</x:v>
      </x:c>
      <x:c r="P90" s="20" t="n">
        <x:v>0</x:v>
      </x:c>
      <x:c r="Q90" s="10" t="str">
        <x:v>Recebido</x:v>
      </x:c>
      <x:c r="R90" s="10" t="str">
        <x:v>Boleto</x:v>
      </x:c>
      <x:c r="S90" s="10" t="str">
        <x:v>2024-04</x:v>
      </x:c>
      <x:c r="T90" s="10" t="n">
        <x:v>0</x:v>
      </x:c>
      <x:c r="U90" s="10" t="str">
        <x:v>Liquidado</x:v>
      </x:c>
      <x:c r="V90" s="10" t="str">
        <x:v>Baixo</x:v>
      </x:c>
      <x:c r="W90" s="10" t="str">
        <x:v>Varejo</x:v>
      </x:c>
      <x:c r="X90" s="10" t="str">
        <x:v>UND003</x:v>
      </x:c>
    </x:row>
    <x:row r="91" ht="18" customHeight="1">
      <x:c r="A91" s="10" t="str">
        <x:v>REC00090</x:v>
      </x:c>
      <x:c r="B91" s="10" t="str">
        <x:v>EMP001</x:v>
      </x:c>
      <x:c r="C91" s="10" t="str">
        <x:v>CLI039</x:v>
      </x:c>
      <x:c r="D91" s="10" t="str">
        <x:v>CC002</x:v>
      </x:c>
      <x:c r="E91" s="10" t="str">
        <x:v>CAT003</x:v>
      </x:c>
      <x:c r="F91" s="10" t="str">
        <x:v>CTA002</x:v>
      </x:c>
      <x:c r="G91" s="10" t="str">
        <x:v>FAT-200090</x:v>
      </x:c>
      <x:c r="H91" s="10" t="str">
        <x:v>Frete faturado</x:v>
      </x:c>
      <x:c r="I91" s="16" t="n">
        <x:v>45989.45962202546</x:v>
      </x:c>
      <x:c r="J91" s="16" t="n">
        <x:v>46049.45962202546</x:v>
      </x:c>
      <x:c r="K91" s="16"/>
      <x:c r="L91" s="20" t="n">
        <x:v>111178.24</x:v>
      </x:c>
      <x:c r="M91" s="20" t="n">
        <x:v>0</x:v>
      </x:c>
      <x:c r="N91" s="20" t="n">
        <x:v>0</x:v>
      </x:c>
      <x:c r="O91" s="20" t="n">
        <x:v>0</x:v>
      </x:c>
      <x:c r="P91" s="20" t="n">
        <x:v>111178.24</x:v>
      </x:c>
      <x:c r="Q91" s="10" t="str">
        <x:v>A vencer</x:v>
      </x:c>
      <x:c r="R91" s="10" t="str">
        <x:v>Débito em Conta</x:v>
      </x:c>
      <x:c r="S91" s="10" t="str">
        <x:v>2025-11</x:v>
      </x:c>
      <x:c r="T91" s="10" t="n">
        <x:v>0</x:v>
      </x:c>
      <x:c r="U91" s="10" t="str">
        <x:v>A vencer</x:v>
      </x:c>
      <x:c r="V91" s="10" t="str">
        <x:v>Alto</x:v>
      </x:c>
      <x:c r="W91" s="10" t="str">
        <x:v>Saúde</x:v>
      </x:c>
      <x:c r="X91" s="10" t="str">
        <x:v>UND002</x:v>
      </x:c>
    </x:row>
    <x:row r="92" ht="18" customHeight="1">
      <x:c r="A92" s="10" t="str">
        <x:v>REC00091</x:v>
      </x:c>
      <x:c r="B92" s="10" t="str">
        <x:v>EMP001</x:v>
      </x:c>
      <x:c r="C92" s="10" t="str">
        <x:v>CLI056</x:v>
      </x:c>
      <x:c r="D92" s="10" t="str">
        <x:v>CC008</x:v>
      </x:c>
      <x:c r="E92" s="10" t="str">
        <x:v>CAT002</x:v>
      </x:c>
      <x:c r="F92" s="10" t="str">
        <x:v>CTA002</x:v>
      </x:c>
      <x:c r="G92" s="10" t="str">
        <x:v>FAT-200091</x:v>
      </x:c>
      <x:c r="H92" s="10" t="str">
        <x:v>Contrato mensal</x:v>
      </x:c>
      <x:c r="I92" s="16" t="n">
        <x:v>45708.298893645835</x:v>
      </x:c>
      <x:c r="J92" s="16" t="n">
        <x:v>45768.298893645835</x:v>
      </x:c>
      <x:c r="K92" s="16" t="n">
        <x:v>45766.298893645835</x:v>
      </x:c>
      <x:c r="L92" s="20" t="n">
        <x:v>139594.17</x:v>
      </x:c>
      <x:c r="M92" s="20" t="n">
        <x:v>0</x:v>
      </x:c>
      <x:c r="N92" s="20" t="n">
        <x:v>1395.94</x:v>
      </x:c>
      <x:c r="O92" s="20" t="n">
        <x:v>138198.23</x:v>
      </x:c>
      <x:c r="P92" s="20" t="n">
        <x:v>0</x:v>
      </x:c>
      <x:c r="Q92" s="10" t="str">
        <x:v>Recebido</x:v>
      </x:c>
      <x:c r="R92" s="10" t="str">
        <x:v>PIX</x:v>
      </x:c>
      <x:c r="S92" s="10" t="str">
        <x:v>2025-02</x:v>
      </x:c>
      <x:c r="T92" s="10" t="n">
        <x:v>0</x:v>
      </x:c>
      <x:c r="U92" s="10" t="str">
        <x:v>Liquidado</x:v>
      </x:c>
      <x:c r="V92" s="10" t="str">
        <x:v>Baixo</x:v>
      </x:c>
      <x:c r="W92" s="10" t="str">
        <x:v>Tecnologia</x:v>
      </x:c>
      <x:c r="X92" s="10" t="str">
        <x:v>UND001</x:v>
      </x:c>
    </x:row>
    <x:row r="93" ht="18" customHeight="1">
      <x:c r="A93" s="10" t="str">
        <x:v>REC00092</x:v>
      </x:c>
      <x:c r="B93" s="10" t="str">
        <x:v>EMP003</x:v>
      </x:c>
      <x:c r="C93" s="10" t="str">
        <x:v>CLI080</x:v>
      </x:c>
      <x:c r="D93" s="10" t="str">
        <x:v>CC008</x:v>
      </x:c>
      <x:c r="E93" s="10" t="str">
        <x:v>CAT001</x:v>
      </x:c>
      <x:c r="F93" s="10" t="str">
        <x:v>CTA005</x:v>
      </x:c>
      <x:c r="G93" s="10" t="str">
        <x:v>FAT-200092</x:v>
      </x:c>
      <x:c r="H93" s="10" t="str">
        <x:v>Prestação de serviços</x:v>
      </x:c>
      <x:c r="I93" s="16" t="n">
        <x:v>45852.89749527778</x:v>
      </x:c>
      <x:c r="J93" s="16" t="n">
        <x:v>45882.89749527778</x:v>
      </x:c>
      <x:c r="K93" s="16" t="n">
        <x:v>45887.89749527778</x:v>
      </x:c>
      <x:c r="L93" s="20" t="n">
        <x:v>30576.46</x:v>
      </x:c>
      <x:c r="M93" s="20" t="n">
        <x:v>122.31</x:v>
      </x:c>
      <x:c r="N93" s="20" t="n">
        <x:v>0</x:v>
      </x:c>
      <x:c r="O93" s="20" t="n">
        <x:v>30698.77</x:v>
      </x:c>
      <x:c r="P93" s="20" t="n">
        <x:v>0</x:v>
      </x:c>
      <x:c r="Q93" s="10" t="str">
        <x:v>Recebido</x:v>
      </x:c>
      <x:c r="R93" s="10" t="str">
        <x:v>Débito em Conta</x:v>
      </x:c>
      <x:c r="S93" s="10" t="str">
        <x:v>2025-07</x:v>
      </x:c>
      <x:c r="T93" s="10" t="n">
        <x:v>0</x:v>
      </x:c>
      <x:c r="U93" s="10" t="str">
        <x:v>Liquidado</x:v>
      </x:c>
      <x:c r="V93" s="10" t="str">
        <x:v>Médio</x:v>
      </x:c>
      <x:c r="W93" s="10" t="str">
        <x:v>Atacado</x:v>
      </x:c>
      <x:c r="X93" s="10" t="str">
        <x:v>UND004</x:v>
      </x:c>
    </x:row>
    <x:row r="94" ht="18" customHeight="1">
      <x:c r="A94" s="10" t="str">
        <x:v>REC00093</x:v>
      </x:c>
      <x:c r="B94" s="10" t="str">
        <x:v>EMP002</x:v>
      </x:c>
      <x:c r="C94" s="10" t="str">
        <x:v>CLI019</x:v>
      </x:c>
      <x:c r="D94" s="10" t="str">
        <x:v>CC008</x:v>
      </x:c>
      <x:c r="E94" s="10" t="str">
        <x:v>CAT003</x:v>
      </x:c>
      <x:c r="F94" s="10" t="str">
        <x:v>CTA004</x:v>
      </x:c>
      <x:c r="G94" s="10" t="str">
        <x:v>FAT-200093</x:v>
      </x:c>
      <x:c r="H94" s="10" t="str">
        <x:v>Projeto especial</x:v>
      </x:c>
      <x:c r="I94" s="16" t="n">
        <x:v>45577.996620625</x:v>
      </x:c>
      <x:c r="J94" s="16" t="n">
        <x:v>45592.996620625</x:v>
      </x:c>
      <x:c r="K94" s="16" t="n">
        <x:v>45605.996620625</x:v>
      </x:c>
      <x:c r="L94" s="20" t="n">
        <x:v>52250</x:v>
      </x:c>
      <x:c r="M94" s="20" t="n">
        <x:v>543.4</x:v>
      </x:c>
      <x:c r="N94" s="20" t="n">
        <x:v>0</x:v>
      </x:c>
      <x:c r="O94" s="20" t="n">
        <x:v>52793.4</x:v>
      </x:c>
      <x:c r="P94" s="20" t="n">
        <x:v>0</x:v>
      </x:c>
      <x:c r="Q94" s="10" t="str">
        <x:v>Recebido</x:v>
      </x:c>
      <x:c r="R94" s="10" t="str">
        <x:v>Boleto</x:v>
      </x:c>
      <x:c r="S94" s="10" t="str">
        <x:v>2024-10</x:v>
      </x:c>
      <x:c r="T94" s="10" t="n">
        <x:v>0</x:v>
      </x:c>
      <x:c r="U94" s="10" t="str">
        <x:v>Liquidado</x:v>
      </x:c>
      <x:c r="V94" s="10" t="str">
        <x:v>Alto</x:v>
      </x:c>
      <x:c r="W94" s="10" t="str">
        <x:v>Saúde</x:v>
      </x:c>
      <x:c r="X94" s="10" t="str">
        <x:v>UND003</x:v>
      </x:c>
    </x:row>
    <x:row r="95" ht="18" customHeight="1">
      <x:c r="A95" s="10" t="str">
        <x:v>REC00094</x:v>
      </x:c>
      <x:c r="B95" s="10" t="str">
        <x:v>EMP003</x:v>
      </x:c>
      <x:c r="C95" s="10" t="str">
        <x:v>CLI073</x:v>
      </x:c>
      <x:c r="D95" s="10" t="str">
        <x:v>CC004</x:v>
      </x:c>
      <x:c r="E95" s="10" t="str">
        <x:v>CAT001</x:v>
      </x:c>
      <x:c r="F95" s="10" t="str">
        <x:v>CTA005</x:v>
      </x:c>
      <x:c r="G95" s="10" t="str">
        <x:v>FAT-200094</x:v>
      </x:c>
      <x:c r="H95" s="10" t="str">
        <x:v>Contrato mensal</x:v>
      </x:c>
      <x:c r="I95" s="16" t="n">
        <x:v>45470.04701504629</x:v>
      </x:c>
      <x:c r="J95" s="16" t="n">
        <x:v>45485.04701504629</x:v>
      </x:c>
      <x:c r="K95" s="16" t="n">
        <x:v>45482.04701504629</x:v>
      </x:c>
      <x:c r="L95" s="20" t="n">
        <x:v>128176.83</x:v>
      </x:c>
      <x:c r="M95" s="20" t="n">
        <x:v>0</x:v>
      </x:c>
      <x:c r="N95" s="20" t="n">
        <x:v>0</x:v>
      </x:c>
      <x:c r="O95" s="20" t="n">
        <x:v>128176.83</x:v>
      </x:c>
      <x:c r="P95" s="20" t="n">
        <x:v>0</x:v>
      </x:c>
      <x:c r="Q95" s="10" t="str">
        <x:v>Recebido</x:v>
      </x:c>
      <x:c r="R95" s="10" t="str">
        <x:v>Débito em Conta</x:v>
      </x:c>
      <x:c r="S95" s="10" t="str">
        <x:v>2024-06</x:v>
      </x:c>
      <x:c r="T95" s="10" t="n">
        <x:v>0</x:v>
      </x:c>
      <x:c r="U95" s="10" t="str">
        <x:v>Liquidado</x:v>
      </x:c>
      <x:c r="V95" s="10" t="str">
        <x:v>Alto</x:v>
      </x:c>
      <x:c r="W95" s="10" t="str">
        <x:v>Tecnologia</x:v>
      </x:c>
      <x:c r="X95" s="10" t="str">
        <x:v>UND004</x:v>
      </x:c>
    </x:row>
    <x:row r="96" ht="18" customHeight="1">
      <x:c r="A96" s="10" t="str">
        <x:v>REC00095</x:v>
      </x:c>
      <x:c r="B96" s="10" t="str">
        <x:v>EMP003</x:v>
      </x:c>
      <x:c r="C96" s="10" t="str">
        <x:v>CLI050</x:v>
      </x:c>
      <x:c r="D96" s="10" t="str">
        <x:v>CC004</x:v>
      </x:c>
      <x:c r="E96" s="10" t="str">
        <x:v>CAT003</x:v>
      </x:c>
      <x:c r="F96" s="10" t="str">
        <x:v>CTA005</x:v>
      </x:c>
      <x:c r="G96" s="10" t="str">
        <x:v>FAT-200095</x:v>
      </x:c>
      <x:c r="H96" s="10" t="str">
        <x:v>Contrato mensal</x:v>
      </x:c>
      <x:c r="I96" s="16" t="n">
        <x:v>46000.13567505787</x:v>
      </x:c>
      <x:c r="J96" s="16" t="n">
        <x:v>46021.13567505787</x:v>
      </x:c>
      <x:c r="K96" s="16"/>
      <x:c r="L96" s="20" t="n">
        <x:v>12229.7</x:v>
      </x:c>
      <x:c r="M96" s="20" t="n">
        <x:v>0</x:v>
      </x:c>
      <x:c r="N96" s="20" t="n">
        <x:v>0</x:v>
      </x:c>
      <x:c r="O96" s="20" t="n">
        <x:v>0</x:v>
      </x:c>
      <x:c r="P96" s="20" t="n">
        <x:v>12229.7</x:v>
      </x:c>
      <x:c r="Q96" s="10" t="str">
        <x:v>Vencido</x:v>
      </x:c>
      <x:c r="R96" s="10" t="str">
        <x:v>Débito em Conta</x:v>
      </x:c>
      <x:c r="S96" s="10" t="str">
        <x:v>2025-12</x:v>
      </x:c>
      <x:c r="T96" s="10" t="n">
        <x:v>0</x:v>
      </x:c>
      <x:c r="U96" s="10" t="str">
        <x:v>A vencer</x:v>
      </x:c>
      <x:c r="V96" s="10" t="str">
        <x:v>Baixo</x:v>
      </x:c>
      <x:c r="W96" s="10" t="str">
        <x:v>Tecnologia</x:v>
      </x:c>
      <x:c r="X96" s="10" t="str">
        <x:v>UND004</x:v>
      </x:c>
    </x:row>
    <x:row r="97" ht="18" customHeight="1">
      <x:c r="A97" s="10" t="str">
        <x:v>REC00096</x:v>
      </x:c>
      <x:c r="B97" s="10" t="str">
        <x:v>EMP003</x:v>
      </x:c>
      <x:c r="C97" s="10" t="str">
        <x:v>CLI043</x:v>
      </x:c>
      <x:c r="D97" s="10" t="str">
        <x:v>CC004</x:v>
      </x:c>
      <x:c r="E97" s="10" t="str">
        <x:v>CAT002</x:v>
      </x:c>
      <x:c r="F97" s="10" t="str">
        <x:v>CTA006</x:v>
      </x:c>
      <x:c r="G97" s="10" t="str">
        <x:v>FAT-200096</x:v>
      </x:c>
      <x:c r="H97" s="10" t="str">
        <x:v>Venda de produtos</x:v>
      </x:c>
      <x:c r="I97" s="16" t="n">
        <x:v>45726.431064965276</x:v>
      </x:c>
      <x:c r="J97" s="16" t="n">
        <x:v>45761.431064965276</x:v>
      </x:c>
      <x:c r="K97" s="16" t="n">
        <x:v>45763.431064965276</x:v>
      </x:c>
      <x:c r="L97" s="20" t="n">
        <x:v>24904.8</x:v>
      </x:c>
      <x:c r="M97" s="20" t="n">
        <x:v>39.85</x:v>
      </x:c>
      <x:c r="N97" s="20" t="n">
        <x:v>0</x:v>
      </x:c>
      <x:c r="O97" s="20" t="n">
        <x:v>24944.65</x:v>
      </x:c>
      <x:c r="P97" s="20" t="n">
        <x:v>0</x:v>
      </x:c>
      <x:c r="Q97" s="10" t="str">
        <x:v>Recebido</x:v>
      </x:c>
      <x:c r="R97" s="10" t="str">
        <x:v>Cartão</x:v>
      </x:c>
      <x:c r="S97" s="10" t="str">
        <x:v>2025-03</x:v>
      </x:c>
      <x:c r="T97" s="10" t="n">
        <x:v>0</x:v>
      </x:c>
      <x:c r="U97" s="10" t="str">
        <x:v>Liquidado</x:v>
      </x:c>
      <x:c r="V97" s="10" t="str">
        <x:v>Baixo</x:v>
      </x:c>
      <x:c r="W97" s="10" t="str">
        <x:v>Atacado</x:v>
      </x:c>
      <x:c r="X97" s="10" t="str">
        <x:v>UND004</x:v>
      </x:c>
    </x:row>
    <x:row r="98" ht="18" customHeight="1">
      <x:c r="A98" s="10" t="str">
        <x:v>REC00097</x:v>
      </x:c>
      <x:c r="B98" s="10" t="str">
        <x:v>EMP002</x:v>
      </x:c>
      <x:c r="C98" s="10" t="str">
        <x:v>CLI038</x:v>
      </x:c>
      <x:c r="D98" s="10" t="str">
        <x:v>CC008</x:v>
      </x:c>
      <x:c r="E98" s="10" t="str">
        <x:v>CAT002</x:v>
      </x:c>
      <x:c r="F98" s="10" t="str">
        <x:v>CTA003</x:v>
      </x:c>
      <x:c r="G98" s="10" t="str">
        <x:v>FAT-200097</x:v>
      </x:c>
      <x:c r="H98" s="10" t="str">
        <x:v>Contrato mensal</x:v>
      </x:c>
      <x:c r="I98" s="16" t="n">
        <x:v>45830.77565640046</x:v>
      </x:c>
      <x:c r="J98" s="16" t="n">
        <x:v>45860.77565640046</x:v>
      </x:c>
      <x:c r="K98" s="16"/>
      <x:c r="L98" s="20" t="n">
        <x:v>2074.66</x:v>
      </x:c>
      <x:c r="M98" s="20" t="n">
        <x:v>0</x:v>
      </x:c>
      <x:c r="N98" s="20" t="n">
        <x:v>0</x:v>
      </x:c>
      <x:c r="O98" s="20" t="n">
        <x:v>0</x:v>
      </x:c>
      <x:c r="P98" s="20" t="n">
        <x:v>2074.66</x:v>
      </x:c>
      <x:c r="Q98" s="10" t="str">
        <x:v>Vencido</x:v>
      </x:c>
      <x:c r="R98" s="10" t="str">
        <x:v>Débito em Conta</x:v>
      </x:c>
      <x:c r="S98" s="10" t="str">
        <x:v>2025-06</x:v>
      </x:c>
      <x:c r="T98" s="10" t="n">
        <x:v>161</x:v>
      </x:c>
      <x:c r="U98" s="10" t="str">
        <x:v>&gt; 120 dias</x:v>
      </x:c>
      <x:c r="V98" s="10" t="str">
        <x:v>Baixo</x:v>
      </x:c>
      <x:c r="W98" s="10" t="str">
        <x:v>Varejo</x:v>
      </x:c>
      <x:c r="X98" s="10" t="str">
        <x:v>UND003</x:v>
      </x:c>
    </x:row>
    <x:row r="99" ht="18" customHeight="1">
      <x:c r="A99" s="10" t="str">
        <x:v>REC00098</x:v>
      </x:c>
      <x:c r="B99" s="10" t="str">
        <x:v>EMP001</x:v>
      </x:c>
      <x:c r="C99" s="10" t="str">
        <x:v>CLI027</x:v>
      </x:c>
      <x:c r="D99" s="10" t="str">
        <x:v>CC008</x:v>
      </x:c>
      <x:c r="E99" s="10" t="str">
        <x:v>CAT003</x:v>
      </x:c>
      <x:c r="F99" s="10" t="str">
        <x:v>CTA001</x:v>
      </x:c>
      <x:c r="G99" s="10" t="str">
        <x:v>FAT-200098</x:v>
      </x:c>
      <x:c r="H99" s="10" t="str">
        <x:v>Prestação de serviços</x:v>
      </x:c>
      <x:c r="I99" s="16" t="n">
        <x:v>45362.20365025463</x:v>
      </x:c>
      <x:c r="J99" s="16" t="n">
        <x:v>45422.20365025463</x:v>
      </x:c>
      <x:c r="K99" s="16" t="n">
        <x:v>45428.20365025463</x:v>
      </x:c>
      <x:c r="L99" s="20" t="n">
        <x:v>107764.4</x:v>
      </x:c>
      <x:c r="M99" s="20" t="n">
        <x:v>517.27</x:v>
      </x:c>
      <x:c r="N99" s="20" t="n">
        <x:v>0</x:v>
      </x:c>
      <x:c r="O99" s="20" t="n">
        <x:v>108281.67</x:v>
      </x:c>
      <x:c r="P99" s="20" t="n">
        <x:v>0</x:v>
      </x:c>
      <x:c r="Q99" s="10" t="str">
        <x:v>Recebido</x:v>
      </x:c>
      <x:c r="R99" s="10" t="str">
        <x:v>Débito em Conta</x:v>
      </x:c>
      <x:c r="S99" s="10" t="str">
        <x:v>2024-03</x:v>
      </x:c>
      <x:c r="T99" s="10" t="n">
        <x:v>0</x:v>
      </x:c>
      <x:c r="U99" s="10" t="str">
        <x:v>Liquidado</x:v>
      </x:c>
      <x:c r="V99" s="10" t="str">
        <x:v>Alto</x:v>
      </x:c>
      <x:c r="W99" s="10" t="str">
        <x:v>Serviços</x:v>
      </x:c>
      <x:c r="X99" s="10" t="str">
        <x:v>UND001</x:v>
      </x:c>
    </x:row>
    <x:row r="100" ht="18" customHeight="1">
      <x:c r="A100" s="10" t="str">
        <x:v>REC00099</x:v>
      </x:c>
      <x:c r="B100" s="10" t="str">
        <x:v>EMP001</x:v>
      </x:c>
      <x:c r="C100" s="10" t="str">
        <x:v>CLI052</x:v>
      </x:c>
      <x:c r="D100" s="10" t="str">
        <x:v>CC001</x:v>
      </x:c>
      <x:c r="E100" s="10" t="str">
        <x:v>CAT004</x:v>
      </x:c>
      <x:c r="F100" s="10" t="str">
        <x:v>CTA002</x:v>
      </x:c>
      <x:c r="G100" s="10" t="str">
        <x:v>FAT-200099</x:v>
      </x:c>
      <x:c r="H100" s="10" t="str">
        <x:v>Contrato mensal</x:v>
      </x:c>
      <x:c r="I100" s="16" t="n">
        <x:v>45374.29524965278</x:v>
      </x:c>
      <x:c r="J100" s="16" t="n">
        <x:v>45402.29524965278</x:v>
      </x:c>
      <x:c r="K100" s="16" t="n">
        <x:v>45405.29524965278</x:v>
      </x:c>
      <x:c r="L100" s="20" t="n">
        <x:v>45864.01</x:v>
      </x:c>
      <x:c r="M100" s="20" t="n">
        <x:v>110.07</x:v>
      </x:c>
      <x:c r="N100" s="20" t="n">
        <x:v>0</x:v>
      </x:c>
      <x:c r="O100" s="20" t="n">
        <x:v>45974.08</x:v>
      </x:c>
      <x:c r="P100" s="20" t="n">
        <x:v>0</x:v>
      </x:c>
      <x:c r="Q100" s="10" t="str">
        <x:v>Recebido</x:v>
      </x:c>
      <x:c r="R100" s="10" t="str">
        <x:v>Débito em Conta</x:v>
      </x:c>
      <x:c r="S100" s="10" t="str">
        <x:v>2024-03</x:v>
      </x:c>
      <x:c r="T100" s="10" t="n">
        <x:v>0</x:v>
      </x:c>
      <x:c r="U100" s="10" t="str">
        <x:v>Liquidado</x:v>
      </x:c>
      <x:c r="V100" s="10" t="str">
        <x:v>Baixo</x:v>
      </x:c>
      <x:c r="W100" s="10" t="str">
        <x:v>Varejo</x:v>
      </x:c>
      <x:c r="X100" s="10" t="str">
        <x:v>UND001</x:v>
      </x:c>
    </x:row>
    <x:row r="101" ht="18" customHeight="1">
      <x:c r="A101" s="10" t="str">
        <x:v>REC00100</x:v>
      </x:c>
      <x:c r="B101" s="10" t="str">
        <x:v>EMP003</x:v>
      </x:c>
      <x:c r="C101" s="10" t="str">
        <x:v>CLI028</x:v>
      </x:c>
      <x:c r="D101" s="10" t="str">
        <x:v>CC008</x:v>
      </x:c>
      <x:c r="E101" s="10" t="str">
        <x:v>CAT003</x:v>
      </x:c>
      <x:c r="F101" s="10" t="str">
        <x:v>CTA006</x:v>
      </x:c>
      <x:c r="G101" s="10" t="str">
        <x:v>FAT-200100</x:v>
      </x:c>
      <x:c r="H101" s="10" t="str">
        <x:v>Prestação de serviços</x:v>
      </x:c>
      <x:c r="I101" s="16" t="n">
        <x:v>45539.398318796295</x:v>
      </x:c>
      <x:c r="J101" s="16" t="n">
        <x:v>45554.398318796295</x:v>
      </x:c>
      <x:c r="K101" s="16" t="n">
        <x:v>45548.398318796295</x:v>
      </x:c>
      <x:c r="L101" s="20" t="n">
        <x:v>93398.13</x:v>
      </x:c>
      <x:c r="M101" s="20" t="n">
        <x:v>0</x:v>
      </x:c>
      <x:c r="N101" s="20" t="n">
        <x:v>0</x:v>
      </x:c>
      <x:c r="O101" s="20" t="n">
        <x:v>93398.13</x:v>
      </x:c>
      <x:c r="P101" s="20" t="n">
        <x:v>0</x:v>
      </x:c>
      <x:c r="Q101" s="10" t="str">
        <x:v>Recebido</x:v>
      </x:c>
      <x:c r="R101" s="10" t="str">
        <x:v>PIX</x:v>
      </x:c>
      <x:c r="S101" s="10" t="str">
        <x:v>2024-09</x:v>
      </x:c>
      <x:c r="T101" s="10" t="n">
        <x:v>0</x:v>
      </x:c>
      <x:c r="U101" s="10" t="str">
        <x:v>Liquidado</x:v>
      </x:c>
      <x:c r="V101" s="10" t="str">
        <x:v>Baixo</x:v>
      </x:c>
      <x:c r="W101" s="10" t="str">
        <x:v>Serviços</x:v>
      </x:c>
      <x:c r="X101" s="10" t="str">
        <x:v>UND004</x:v>
      </x:c>
    </x:row>
    <x:row r="102" ht="18" customHeight="1">
      <x:c r="A102" s="10" t="str">
        <x:v>REC00101</x:v>
      </x:c>
      <x:c r="B102" s="10" t="str">
        <x:v>EMP002</x:v>
      </x:c>
      <x:c r="C102" s="10" t="str">
        <x:v>CLI041</x:v>
      </x:c>
      <x:c r="D102" s="10" t="str">
        <x:v>CC004</x:v>
      </x:c>
      <x:c r="E102" s="10" t="str">
        <x:v>CAT004</x:v>
      </x:c>
      <x:c r="F102" s="10" t="str">
        <x:v>CTA004</x:v>
      </x:c>
      <x:c r="G102" s="10" t="str">
        <x:v>FAT-200101</x:v>
      </x:c>
      <x:c r="H102" s="10" t="str">
        <x:v>Prestação de serviços</x:v>
      </x:c>
      <x:c r="I102" s="16" t="n">
        <x:v>45859.046952303244</x:v>
      </x:c>
      <x:c r="J102" s="16" t="n">
        <x:v>45919.046952303244</x:v>
      </x:c>
      <x:c r="K102" s="16" t="n">
        <x:v>45914.046952303244</x:v>
      </x:c>
      <x:c r="L102" s="20" t="n">
        <x:v>57114.17</x:v>
      </x:c>
      <x:c r="M102" s="20" t="n">
        <x:v>0</x:v>
      </x:c>
      <x:c r="N102" s="20" t="n">
        <x:v>0</x:v>
      </x:c>
      <x:c r="O102" s="20" t="n">
        <x:v>57114.17</x:v>
      </x:c>
      <x:c r="P102" s="20" t="n">
        <x:v>0</x:v>
      </x:c>
      <x:c r="Q102" s="10" t="str">
        <x:v>Recebido</x:v>
      </x:c>
      <x:c r="R102" s="10" t="str">
        <x:v>Boleto</x:v>
      </x:c>
      <x:c r="S102" s="10" t="str">
        <x:v>2025-07</x:v>
      </x:c>
      <x:c r="T102" s="10" t="n">
        <x:v>0</x:v>
      </x:c>
      <x:c r="U102" s="10" t="str">
        <x:v>Liquidado</x:v>
      </x:c>
      <x:c r="V102" s="10" t="str">
        <x:v>Alto</x:v>
      </x:c>
      <x:c r="W102" s="10" t="str">
        <x:v>Indústria</x:v>
      </x:c>
      <x:c r="X102" s="10" t="str">
        <x:v>UND003</x:v>
      </x:c>
    </x:row>
    <x:row r="103" ht="18" customHeight="1">
      <x:c r="A103" s="10" t="str">
        <x:v>REC00102</x:v>
      </x:c>
      <x:c r="B103" s="10" t="str">
        <x:v>EMP002</x:v>
      </x:c>
      <x:c r="C103" s="10" t="str">
        <x:v>CLI006</x:v>
      </x:c>
      <x:c r="D103" s="10" t="str">
        <x:v>CC001</x:v>
      </x:c>
      <x:c r="E103" s="10" t="str">
        <x:v>CAT002</x:v>
      </x:c>
      <x:c r="F103" s="10" t="str">
        <x:v>CTA004</x:v>
      </x:c>
      <x:c r="G103" s="10" t="str">
        <x:v>FAT-200102</x:v>
      </x:c>
      <x:c r="H103" s="10" t="str">
        <x:v>Prestação de serviços</x:v>
      </x:c>
      <x:c r="I103" s="16" t="n">
        <x:v>45667.54994767361</x:v>
      </x:c>
      <x:c r="J103" s="16" t="n">
        <x:v>45682.54994767361</x:v>
      </x:c>
      <x:c r="K103" s="16" t="n">
        <x:v>45681.54994767361</x:v>
      </x:c>
      <x:c r="L103" s="20" t="n">
        <x:v>143016.34</x:v>
      </x:c>
      <x:c r="M103" s="20" t="n">
        <x:v>0</x:v>
      </x:c>
      <x:c r="N103" s="20" t="n">
        <x:v>2860.33</x:v>
      </x:c>
      <x:c r="O103" s="20" t="n">
        <x:v>140156.01</x:v>
      </x:c>
      <x:c r="P103" s="20" t="n">
        <x:v>0</x:v>
      </x:c>
      <x:c r="Q103" s="10" t="str">
        <x:v>Recebido</x:v>
      </x:c>
      <x:c r="R103" s="10" t="str">
        <x:v>Boleto</x:v>
      </x:c>
      <x:c r="S103" s="10" t="str">
        <x:v>2025-01</x:v>
      </x:c>
      <x:c r="T103" s="10" t="n">
        <x:v>0</x:v>
      </x:c>
      <x:c r="U103" s="10" t="str">
        <x:v>Liquidado</x:v>
      </x:c>
      <x:c r="V103" s="10" t="str">
        <x:v>Baixo</x:v>
      </x:c>
      <x:c r="W103" s="10" t="str">
        <x:v>Varejo</x:v>
      </x:c>
      <x:c r="X103" s="10" t="str">
        <x:v>UND003</x:v>
      </x:c>
    </x:row>
    <x:row r="104" ht="18" customHeight="1">
      <x:c r="A104" s="10" t="str">
        <x:v>REC00103</x:v>
      </x:c>
      <x:c r="B104" s="10" t="str">
        <x:v>EMP002</x:v>
      </x:c>
      <x:c r="C104" s="10" t="str">
        <x:v>CLI069</x:v>
      </x:c>
      <x:c r="D104" s="10" t="str">
        <x:v>CC001</x:v>
      </x:c>
      <x:c r="E104" s="10" t="str">
        <x:v>CAT002</x:v>
      </x:c>
      <x:c r="F104" s="10" t="str">
        <x:v>CTA004</x:v>
      </x:c>
      <x:c r="G104" s="10" t="str">
        <x:v>FAT-200103</x:v>
      </x:c>
      <x:c r="H104" s="10" t="str">
        <x:v>Frete faturado</x:v>
      </x:c>
      <x:c r="I104" s="16" t="n">
        <x:v>45818.67203248842</x:v>
      </x:c>
      <x:c r="J104" s="16" t="n">
        <x:v>45863.67203248842</x:v>
      </x:c>
      <x:c r="K104" s="16" t="n">
        <x:v>45873.67203248842</x:v>
      </x:c>
      <x:c r="L104" s="20" t="n">
        <x:v>96014.54</x:v>
      </x:c>
      <x:c r="M104" s="20" t="n">
        <x:v>768.12</x:v>
      </x:c>
      <x:c r="N104" s="20" t="n">
        <x:v>0</x:v>
      </x:c>
      <x:c r="O104" s="20" t="n">
        <x:v>96782.66</x:v>
      </x:c>
      <x:c r="P104" s="20" t="n">
        <x:v>0</x:v>
      </x:c>
      <x:c r="Q104" s="10" t="str">
        <x:v>Recebido</x:v>
      </x:c>
      <x:c r="R104" s="10" t="str">
        <x:v>Boleto</x:v>
      </x:c>
      <x:c r="S104" s="10" t="str">
        <x:v>2025-06</x:v>
      </x:c>
      <x:c r="T104" s="10" t="n">
        <x:v>0</x:v>
      </x:c>
      <x:c r="U104" s="10" t="str">
        <x:v>Liquidado</x:v>
      </x:c>
      <x:c r="V104" s="10" t="str">
        <x:v>Alto</x:v>
      </x:c>
      <x:c r="W104" s="10" t="str">
        <x:v>Tecnologia</x:v>
      </x:c>
      <x:c r="X104" s="10" t="str">
        <x:v>UND003</x:v>
      </x:c>
    </x:row>
    <x:row r="105" ht="18" customHeight="1">
      <x:c r="A105" s="10" t="str">
        <x:v>REC00104</x:v>
      </x:c>
      <x:c r="B105" s="10" t="str">
        <x:v>EMP003</x:v>
      </x:c>
      <x:c r="C105" s="10" t="str">
        <x:v>CLI074</x:v>
      </x:c>
      <x:c r="D105" s="10" t="str">
        <x:v>CC003</x:v>
      </x:c>
      <x:c r="E105" s="10" t="str">
        <x:v>CAT001</x:v>
      </x:c>
      <x:c r="F105" s="10" t="str">
        <x:v>CTA005</x:v>
      </x:c>
      <x:c r="G105" s="10" t="str">
        <x:v>FAT-200104</x:v>
      </x:c>
      <x:c r="H105" s="10" t="str">
        <x:v>Prestação de serviços</x:v>
      </x:c>
      <x:c r="I105" s="16" t="n">
        <x:v>45766.35946318287</x:v>
      </x:c>
      <x:c r="J105" s="16" t="n">
        <x:v>45781.35946318287</x:v>
      </x:c>
      <x:c r="K105" s="16" t="n">
        <x:v>45787.35946318287</x:v>
      </x:c>
      <x:c r="L105" s="20" t="n">
        <x:v>46228.48</x:v>
      </x:c>
      <x:c r="M105" s="20" t="n">
        <x:v>221.9</x:v>
      </x:c>
      <x:c r="N105" s="20" t="n">
        <x:v>0</x:v>
      </x:c>
      <x:c r="O105" s="20" t="n">
        <x:v>46450.38</x:v>
      </x:c>
      <x:c r="P105" s="20" t="n">
        <x:v>0</x:v>
      </x:c>
      <x:c r="Q105" s="10" t="str">
        <x:v>Recebido</x:v>
      </x:c>
      <x:c r="R105" s="10" t="str">
        <x:v>Cartão</x:v>
      </x:c>
      <x:c r="S105" s="10" t="str">
        <x:v>2025-04</x:v>
      </x:c>
      <x:c r="T105" s="10" t="n">
        <x:v>0</x:v>
      </x:c>
      <x:c r="U105" s="10" t="str">
        <x:v>Liquidado</x:v>
      </x:c>
      <x:c r="V105" s="10" t="str">
        <x:v>Médio</x:v>
      </x:c>
      <x:c r="W105" s="10" t="str">
        <x:v>Tecnologia</x:v>
      </x:c>
      <x:c r="X105" s="10" t="str">
        <x:v>UND004</x:v>
      </x:c>
    </x:row>
    <x:row r="106" ht="18" customHeight="1">
      <x:c r="A106" s="10" t="str">
        <x:v>REC00105</x:v>
      </x:c>
      <x:c r="B106" s="10" t="str">
        <x:v>EMP003</x:v>
      </x:c>
      <x:c r="C106" s="10" t="str">
        <x:v>CLI036</x:v>
      </x:c>
      <x:c r="D106" s="10" t="str">
        <x:v>CC006</x:v>
      </x:c>
      <x:c r="E106" s="10" t="str">
        <x:v>CAT003</x:v>
      </x:c>
      <x:c r="F106" s="10" t="str">
        <x:v>CTA005</x:v>
      </x:c>
      <x:c r="G106" s="10" t="str">
        <x:v>FAT-200105</x:v>
      </x:c>
      <x:c r="H106" s="10" t="str">
        <x:v>Venda de produtos</x:v>
      </x:c>
      <x:c r="I106" s="16" t="n">
        <x:v>45796.3313753125</x:v>
      </x:c>
      <x:c r="J106" s="16" t="n">
        <x:v>45841.3313753125</x:v>
      </x:c>
      <x:c r="K106" s="16" t="n">
        <x:v>45837.3313753125</x:v>
      </x:c>
      <x:c r="L106" s="20" t="n">
        <x:v>45437.58</x:v>
      </x:c>
      <x:c r="M106" s="20" t="n">
        <x:v>0</x:v>
      </x:c>
      <x:c r="N106" s="20" t="n">
        <x:v>0</x:v>
      </x:c>
      <x:c r="O106" s="20" t="n">
        <x:v>45437.58</x:v>
      </x:c>
      <x:c r="P106" s="20" t="n">
        <x:v>0</x:v>
      </x:c>
      <x:c r="Q106" s="10" t="str">
        <x:v>Recebido</x:v>
      </x:c>
      <x:c r="R106" s="10" t="str">
        <x:v>PIX</x:v>
      </x:c>
      <x:c r="S106" s="10" t="str">
        <x:v>2025-05</x:v>
      </x:c>
      <x:c r="T106" s="10" t="n">
        <x:v>0</x:v>
      </x:c>
      <x:c r="U106" s="10" t="str">
        <x:v>Liquidado</x:v>
      </x:c>
      <x:c r="V106" s="10" t="str">
        <x:v>Baixo</x:v>
      </x:c>
      <x:c r="W106" s="10" t="str">
        <x:v>Atacado</x:v>
      </x:c>
      <x:c r="X106" s="10" t="str">
        <x:v>UND004</x:v>
      </x:c>
    </x:row>
    <x:row r="107" ht="18" customHeight="1">
      <x:c r="A107" s="10" t="str">
        <x:v>REC00106</x:v>
      </x:c>
      <x:c r="B107" s="10" t="str">
        <x:v>EMP001</x:v>
      </x:c>
      <x:c r="C107" s="10" t="str">
        <x:v>CLI023</x:v>
      </x:c>
      <x:c r="D107" s="10" t="str">
        <x:v>CC002</x:v>
      </x:c>
      <x:c r="E107" s="10" t="str">
        <x:v>CAT004</x:v>
      </x:c>
      <x:c r="F107" s="10" t="str">
        <x:v>CTA002</x:v>
      </x:c>
      <x:c r="G107" s="10" t="str">
        <x:v>FAT-200106</x:v>
      </x:c>
      <x:c r="H107" s="10" t="str">
        <x:v>Frete faturado</x:v>
      </x:c>
      <x:c r="I107" s="16" t="n">
        <x:v>45857.967847974534</x:v>
      </x:c>
      <x:c r="J107" s="16" t="n">
        <x:v>45885.967847974534</x:v>
      </x:c>
      <x:c r="K107" s="16" t="n">
        <x:v>45882.967847974534</x:v>
      </x:c>
      <x:c r="L107" s="20" t="n">
        <x:v>136310.57</x:v>
      </x:c>
      <x:c r="M107" s="20" t="n">
        <x:v>0</x:v>
      </x:c>
      <x:c r="N107" s="20" t="n">
        <x:v>0</x:v>
      </x:c>
      <x:c r="O107" s="20" t="n">
        <x:v>136310.57</x:v>
      </x:c>
      <x:c r="P107" s="20" t="n">
        <x:v>0</x:v>
      </x:c>
      <x:c r="Q107" s="10" t="str">
        <x:v>Recebido</x:v>
      </x:c>
      <x:c r="R107" s="10" t="str">
        <x:v>Cartão</x:v>
      </x:c>
      <x:c r="S107" s="10" t="str">
        <x:v>2025-07</x:v>
      </x:c>
      <x:c r="T107" s="10" t="n">
        <x:v>0</x:v>
      </x:c>
      <x:c r="U107" s="10" t="str">
        <x:v>Liquidado</x:v>
      </x:c>
      <x:c r="V107" s="10" t="str">
        <x:v>Médio</x:v>
      </x:c>
      <x:c r="W107" s="10" t="str">
        <x:v>Atacado</x:v>
      </x:c>
      <x:c r="X107" s="10" t="str">
        <x:v>UND001</x:v>
      </x:c>
    </x:row>
    <x:row r="108" ht="18" customHeight="1">
      <x:c r="A108" s="10" t="str">
        <x:v>REC00107</x:v>
      </x:c>
      <x:c r="B108" s="10" t="str">
        <x:v>EMP003</x:v>
      </x:c>
      <x:c r="C108" s="10" t="str">
        <x:v>CLI048</x:v>
      </x:c>
      <x:c r="D108" s="10" t="str">
        <x:v>CC004</x:v>
      </x:c>
      <x:c r="E108" s="10" t="str">
        <x:v>CAT004</x:v>
      </x:c>
      <x:c r="F108" s="10" t="str">
        <x:v>CTA006</x:v>
      </x:c>
      <x:c r="G108" s="10" t="str">
        <x:v>FAT-200107</x:v>
      </x:c>
      <x:c r="H108" s="10" t="str">
        <x:v>Prestação de serviços</x:v>
      </x:c>
      <x:c r="I108" s="16" t="n">
        <x:v>45659.27977291666</x:v>
      </x:c>
      <x:c r="J108" s="16" t="n">
        <x:v>45689.27977291666</x:v>
      </x:c>
      <x:c r="K108" s="16"/>
      <x:c r="L108" s="20" t="n">
        <x:v>112797.12</x:v>
      </x:c>
      <x:c r="M108" s="20" t="n">
        <x:v>0</x:v>
      </x:c>
      <x:c r="N108" s="20" t="n">
        <x:v>0</x:v>
      </x:c>
      <x:c r="O108" s="20" t="n">
        <x:v>0</x:v>
      </x:c>
      <x:c r="P108" s="20" t="n">
        <x:v>112797.12</x:v>
      </x:c>
      <x:c r="Q108" s="10" t="str">
        <x:v>Vencido</x:v>
      </x:c>
      <x:c r="R108" s="10" t="str">
        <x:v>TED</x:v>
      </x:c>
      <x:c r="S108" s="10" t="str">
        <x:v>2025-01</x:v>
      </x:c>
      <x:c r="T108" s="10" t="n">
        <x:v>332</x:v>
      </x:c>
      <x:c r="U108" s="10" t="str">
        <x:v>&gt; 120 dias</x:v>
      </x:c>
      <x:c r="V108" s="10" t="str">
        <x:v>Baixo</x:v>
      </x:c>
      <x:c r="W108" s="10" t="str">
        <x:v>Tecnologia</x:v>
      </x:c>
      <x:c r="X108" s="10" t="str">
        <x:v>UND004</x:v>
      </x:c>
    </x:row>
    <x:row r="109" ht="18" customHeight="1">
      <x:c r="A109" s="10" t="str">
        <x:v>REC00108</x:v>
      </x:c>
      <x:c r="B109" s="10" t="str">
        <x:v>EMP001</x:v>
      </x:c>
      <x:c r="C109" s="10" t="str">
        <x:v>CLI014</x:v>
      </x:c>
      <x:c r="D109" s="10" t="str">
        <x:v>CC001</x:v>
      </x:c>
      <x:c r="E109" s="10" t="str">
        <x:v>CAT002</x:v>
      </x:c>
      <x:c r="F109" s="10" t="str">
        <x:v>CTA002</x:v>
      </x:c>
      <x:c r="G109" s="10" t="str">
        <x:v>FAT-200108</x:v>
      </x:c>
      <x:c r="H109" s="10" t="str">
        <x:v>Venda de produtos</x:v>
      </x:c>
      <x:c r="I109" s="16" t="n">
        <x:v>45676.93748190972</x:v>
      </x:c>
      <x:c r="J109" s="16" t="n">
        <x:v>45697.93748190972</x:v>
      </x:c>
      <x:c r="K109" s="16" t="n">
        <x:v>45699.93748190972</x:v>
      </x:c>
      <x:c r="L109" s="20" t="n">
        <x:v>142555.71</x:v>
      </x:c>
      <x:c r="M109" s="20" t="n">
        <x:v>228.09</x:v>
      </x:c>
      <x:c r="N109" s="20" t="n">
        <x:v>0</x:v>
      </x:c>
      <x:c r="O109" s="20" t="n">
        <x:v>142783.8</x:v>
      </x:c>
      <x:c r="P109" s="20" t="n">
        <x:v>0</x:v>
      </x:c>
      <x:c r="Q109" s="10" t="str">
        <x:v>Recebido</x:v>
      </x:c>
      <x:c r="R109" s="10" t="str">
        <x:v>Débito em Conta</x:v>
      </x:c>
      <x:c r="S109" s="10" t="str">
        <x:v>2025-01</x:v>
      </x:c>
      <x:c r="T109" s="10" t="n">
        <x:v>0</x:v>
      </x:c>
      <x:c r="U109" s="10" t="str">
        <x:v>Liquidado</x:v>
      </x:c>
      <x:c r="V109" s="10" t="str">
        <x:v>Médio</x:v>
      </x:c>
      <x:c r="W109" s="10" t="str">
        <x:v>Saúde</x:v>
      </x:c>
      <x:c r="X109" s="10" t="str">
        <x:v>UND001</x:v>
      </x:c>
    </x:row>
    <x:row r="110" ht="18" customHeight="1">
      <x:c r="A110" s="10" t="str">
        <x:v>REC00109</x:v>
      </x:c>
      <x:c r="B110" s="10" t="str">
        <x:v>EMP002</x:v>
      </x:c>
      <x:c r="C110" s="10" t="str">
        <x:v>CLI016</x:v>
      </x:c>
      <x:c r="D110" s="10" t="str">
        <x:v>CC002</x:v>
      </x:c>
      <x:c r="E110" s="10" t="str">
        <x:v>CAT004</x:v>
      </x:c>
      <x:c r="F110" s="10" t="str">
        <x:v>CTA004</x:v>
      </x:c>
      <x:c r="G110" s="10" t="str">
        <x:v>FAT-200109</x:v>
      </x:c>
      <x:c r="H110" s="10" t="str">
        <x:v>Projeto especial</x:v>
      </x:c>
      <x:c r="I110" s="16" t="n">
        <x:v>45632.63225350694</x:v>
      </x:c>
      <x:c r="J110" s="16" t="n">
        <x:v>45667.63225350694</x:v>
      </x:c>
      <x:c r="K110" s="16"/>
      <x:c r="L110" s="20" t="n">
        <x:v>90760.04</x:v>
      </x:c>
      <x:c r="M110" s="20" t="n">
        <x:v>0</x:v>
      </x:c>
      <x:c r="N110" s="20" t="n">
        <x:v>0</x:v>
      </x:c>
      <x:c r="O110" s="20" t="n">
        <x:v>0</x:v>
      </x:c>
      <x:c r="P110" s="20" t="n">
        <x:v>90760.04</x:v>
      </x:c>
      <x:c r="Q110" s="10" t="str">
        <x:v>Vencido</x:v>
      </x:c>
      <x:c r="R110" s="10" t="str">
        <x:v>PIX</x:v>
      </x:c>
      <x:c r="S110" s="10" t="str">
        <x:v>2024-12</x:v>
      </x:c>
      <x:c r="T110" s="10" t="n">
        <x:v>354</x:v>
      </x:c>
      <x:c r="U110" s="10" t="str">
        <x:v>&gt; 120 dias</x:v>
      </x:c>
      <x:c r="V110" s="10" t="str">
        <x:v>Baixo</x:v>
      </x:c>
      <x:c r="W110" s="10" t="str">
        <x:v>Serviços</x:v>
      </x:c>
      <x:c r="X110" s="10" t="str">
        <x:v>UND003</x:v>
      </x:c>
    </x:row>
    <x:row r="111" ht="18" customHeight="1">
      <x:c r="A111" s="10" t="str">
        <x:v>REC00110</x:v>
      </x:c>
      <x:c r="B111" s="10" t="str">
        <x:v>EMP003</x:v>
      </x:c>
      <x:c r="C111" s="10" t="str">
        <x:v>CLI041</x:v>
      </x:c>
      <x:c r="D111" s="10" t="str">
        <x:v>CC003</x:v>
      </x:c>
      <x:c r="E111" s="10" t="str">
        <x:v>CAT003</x:v>
      </x:c>
      <x:c r="F111" s="10" t="str">
        <x:v>CTA005</x:v>
      </x:c>
      <x:c r="G111" s="10" t="str">
        <x:v>FAT-200110</x:v>
      </x:c>
      <x:c r="H111" s="10" t="str">
        <x:v>Prestação de serviços</x:v>
      </x:c>
      <x:c r="I111" s="16" t="n">
        <x:v>45363.90143559028</x:v>
      </x:c>
      <x:c r="J111" s="16" t="n">
        <x:v>45393.90143559028</x:v>
      </x:c>
      <x:c r="K111" s="16" t="n">
        <x:v>45406.90143559028</x:v>
      </x:c>
      <x:c r="L111" s="20" t="n">
        <x:v>7021.84</x:v>
      </x:c>
      <x:c r="M111" s="20" t="n">
        <x:v>73.03</x:v>
      </x:c>
      <x:c r="N111" s="20" t="n">
        <x:v>0</x:v>
      </x:c>
      <x:c r="O111" s="20" t="n">
        <x:v>7094.87</x:v>
      </x:c>
      <x:c r="P111" s="20" t="n">
        <x:v>0</x:v>
      </x:c>
      <x:c r="Q111" s="10" t="str">
        <x:v>Recebido</x:v>
      </x:c>
      <x:c r="R111" s="10" t="str">
        <x:v>Cartão</x:v>
      </x:c>
      <x:c r="S111" s="10" t="str">
        <x:v>2024-03</x:v>
      </x:c>
      <x:c r="T111" s="10" t="n">
        <x:v>0</x:v>
      </x:c>
      <x:c r="U111" s="10" t="str">
        <x:v>Liquidado</x:v>
      </x:c>
      <x:c r="V111" s="10" t="str">
        <x:v>Alto</x:v>
      </x:c>
      <x:c r="W111" s="10" t="str">
        <x:v>Indústria</x:v>
      </x:c>
      <x:c r="X111" s="10" t="str">
        <x:v>UND004</x:v>
      </x:c>
    </x:row>
    <x:row r="112" ht="18" customHeight="1">
      <x:c r="A112" s="10" t="str">
        <x:v>REC00111</x:v>
      </x:c>
      <x:c r="B112" s="10" t="str">
        <x:v>EMP001</x:v>
      </x:c>
      <x:c r="C112" s="10" t="str">
        <x:v>CLI031</x:v>
      </x:c>
      <x:c r="D112" s="10" t="str">
        <x:v>CC008</x:v>
      </x:c>
      <x:c r="E112" s="10" t="str">
        <x:v>CAT002</x:v>
      </x:c>
      <x:c r="F112" s="10" t="str">
        <x:v>CTA001</x:v>
      </x:c>
      <x:c r="G112" s="10" t="str">
        <x:v>FAT-200111</x:v>
      </x:c>
      <x:c r="H112" s="10" t="str">
        <x:v>Prestação de serviços</x:v>
      </x:c>
      <x:c r="I112" s="16" t="n">
        <x:v>45650.41319759259</x:v>
      </x:c>
      <x:c r="J112" s="16" t="n">
        <x:v>45695.41319759259</x:v>
      </x:c>
      <x:c r="K112" s="16" t="n">
        <x:v>45692.41319759259</x:v>
      </x:c>
      <x:c r="L112" s="20" t="n">
        <x:v>50064.86</x:v>
      </x:c>
      <x:c r="M112" s="20" t="n">
        <x:v>0</x:v>
      </x:c>
      <x:c r="N112" s="20" t="n">
        <x:v>0</x:v>
      </x:c>
      <x:c r="O112" s="20" t="n">
        <x:v>50064.86</x:v>
      </x:c>
      <x:c r="P112" s="20" t="n">
        <x:v>0</x:v>
      </x:c>
      <x:c r="Q112" s="10" t="str">
        <x:v>Recebido</x:v>
      </x:c>
      <x:c r="R112" s="10" t="str">
        <x:v>Cartão</x:v>
      </x:c>
      <x:c r="S112" s="10" t="str">
        <x:v>2024-12</x:v>
      </x:c>
      <x:c r="T112" s="10" t="n">
        <x:v>0</x:v>
      </x:c>
      <x:c r="U112" s="10" t="str">
        <x:v>Liquidado</x:v>
      </x:c>
      <x:c r="V112" s="10" t="str">
        <x:v>Baixo</x:v>
      </x:c>
      <x:c r="W112" s="10" t="str">
        <x:v>Serviços</x:v>
      </x:c>
      <x:c r="X112" s="10" t="str">
        <x:v>UND002</x:v>
      </x:c>
    </x:row>
    <x:row r="113" ht="18" customHeight="1">
      <x:c r="A113" s="10" t="str">
        <x:v>REC00112</x:v>
      </x:c>
      <x:c r="B113" s="10" t="str">
        <x:v>EMP001</x:v>
      </x:c>
      <x:c r="C113" s="10" t="str">
        <x:v>CLI044</x:v>
      </x:c>
      <x:c r="D113" s="10" t="str">
        <x:v>CC003</x:v>
      </x:c>
      <x:c r="E113" s="10" t="str">
        <x:v>CAT003</x:v>
      </x:c>
      <x:c r="F113" s="10" t="str">
        <x:v>CTA001</x:v>
      </x:c>
      <x:c r="G113" s="10" t="str">
        <x:v>FAT-200112</x:v>
      </x:c>
      <x:c r="H113" s="10" t="str">
        <x:v>Contrato mensal</x:v>
      </x:c>
      <x:c r="I113" s="16" t="n">
        <x:v>45855.62862962963</x:v>
      </x:c>
      <x:c r="J113" s="16" t="n">
        <x:v>45915.62862962963</x:v>
      </x:c>
      <x:c r="K113" s="16"/>
      <x:c r="L113" s="20" t="n">
        <x:v>124423.29</x:v>
      </x:c>
      <x:c r="M113" s="20" t="n">
        <x:v>0</x:v>
      </x:c>
      <x:c r="N113" s="20" t="n">
        <x:v>0</x:v>
      </x:c>
      <x:c r="O113" s="20" t="n">
        <x:v>0</x:v>
      </x:c>
      <x:c r="P113" s="20" t="n">
        <x:v>124423.29</x:v>
      </x:c>
      <x:c r="Q113" s="10" t="str">
        <x:v>Vencido</x:v>
      </x:c>
      <x:c r="R113" s="10" t="str">
        <x:v>PIX</x:v>
      </x:c>
      <x:c r="S113" s="10" t="str">
        <x:v>2025-07</x:v>
      </x:c>
      <x:c r="T113" s="10" t="n">
        <x:v>106</x:v>
      </x:c>
      <x:c r="U113" s="10" t="str">
        <x:v>91 a 120 dias</x:v>
      </x:c>
      <x:c r="V113" s="10" t="str">
        <x:v>Alto</x:v>
      </x:c>
      <x:c r="W113" s="10" t="str">
        <x:v>Varejo</x:v>
      </x:c>
      <x:c r="X113" s="10" t="str">
        <x:v>UND001</x:v>
      </x:c>
    </x:row>
    <x:row r="114" ht="18" customHeight="1">
      <x:c r="A114" s="10" t="str">
        <x:v>REC00113</x:v>
      </x:c>
      <x:c r="B114" s="10" t="str">
        <x:v>EMP003</x:v>
      </x:c>
      <x:c r="C114" s="10" t="str">
        <x:v>CLI071</x:v>
      </x:c>
      <x:c r="D114" s="10" t="str">
        <x:v>CC004</x:v>
      </x:c>
      <x:c r="E114" s="10" t="str">
        <x:v>CAT003</x:v>
      </x:c>
      <x:c r="F114" s="10" t="str">
        <x:v>CTA005</x:v>
      </x:c>
      <x:c r="G114" s="10" t="str">
        <x:v>FAT-200113</x:v>
      </x:c>
      <x:c r="H114" s="10" t="str">
        <x:v>Contrato mensal</x:v>
      </x:c>
      <x:c r="I114" s="16" t="n">
        <x:v>45394.06036289352</x:v>
      </x:c>
      <x:c r="J114" s="16" t="n">
        <x:v>45439.06036289352</x:v>
      </x:c>
      <x:c r="K114" s="16" t="n">
        <x:v>45434.06036289352</x:v>
      </x:c>
      <x:c r="L114" s="20" t="n">
        <x:v>60676.21</x:v>
      </x:c>
      <x:c r="M114" s="20" t="n">
        <x:v>0</x:v>
      </x:c>
      <x:c r="N114" s="20" t="n">
        <x:v>0</x:v>
      </x:c>
      <x:c r="O114" s="20" t="n">
        <x:v>60676.21</x:v>
      </x:c>
      <x:c r="P114" s="20" t="n">
        <x:v>0</x:v>
      </x:c>
      <x:c r="Q114" s="10" t="str">
        <x:v>Recebido</x:v>
      </x:c>
      <x:c r="R114" s="10" t="str">
        <x:v>Boleto</x:v>
      </x:c>
      <x:c r="S114" s="10" t="str">
        <x:v>2024-04</x:v>
      </x:c>
      <x:c r="T114" s="10" t="n">
        <x:v>0</x:v>
      </x:c>
      <x:c r="U114" s="10" t="str">
        <x:v>Liquidado</x:v>
      </x:c>
      <x:c r="V114" s="10" t="str">
        <x:v>Baixo</x:v>
      </x:c>
      <x:c r="W114" s="10" t="str">
        <x:v>Tecnologia</x:v>
      </x:c>
      <x:c r="X114" s="10" t="str">
        <x:v>UND004</x:v>
      </x:c>
    </x:row>
    <x:row r="115" ht="18" customHeight="1">
      <x:c r="A115" s="10" t="str">
        <x:v>REC00114</x:v>
      </x:c>
      <x:c r="B115" s="10" t="str">
        <x:v>EMP003</x:v>
      </x:c>
      <x:c r="C115" s="10" t="str">
        <x:v>CLI001</x:v>
      </x:c>
      <x:c r="D115" s="10" t="str">
        <x:v>CC004</x:v>
      </x:c>
      <x:c r="E115" s="10" t="str">
        <x:v>CAT003</x:v>
      </x:c>
      <x:c r="F115" s="10" t="str">
        <x:v>CTA005</x:v>
      </x:c>
      <x:c r="G115" s="10" t="str">
        <x:v>FAT-200114</x:v>
      </x:c>
      <x:c r="H115" s="10" t="str">
        <x:v>Contrato mensal</x:v>
      </x:c>
      <x:c r="I115" s="16" t="n">
        <x:v>45873.01951096065</x:v>
      </x:c>
      <x:c r="J115" s="16" t="n">
        <x:v>45918.01951096065</x:v>
      </x:c>
      <x:c r="K115" s="16" t="n">
        <x:v>45912.01951096065</x:v>
      </x:c>
      <x:c r="L115" s="20" t="n">
        <x:v>5812.39</x:v>
      </x:c>
      <x:c r="M115" s="20" t="n">
        <x:v>0</x:v>
      </x:c>
      <x:c r="N115" s="20" t="n">
        <x:v>0</x:v>
      </x:c>
      <x:c r="O115" s="20" t="n">
        <x:v>5812.39</x:v>
      </x:c>
      <x:c r="P115" s="20" t="n">
        <x:v>0</x:v>
      </x:c>
      <x:c r="Q115" s="10" t="str">
        <x:v>Recebido</x:v>
      </x:c>
      <x:c r="R115" s="10" t="str">
        <x:v>Cartão</x:v>
      </x:c>
      <x:c r="S115" s="10" t="str">
        <x:v>2025-08</x:v>
      </x:c>
      <x:c r="T115" s="10" t="n">
        <x:v>0</x:v>
      </x:c>
      <x:c r="U115" s="10" t="str">
        <x:v>Liquidado</x:v>
      </x:c>
      <x:c r="V115" s="10" t="str">
        <x:v>Baixo</x:v>
      </x:c>
      <x:c r="W115" s="10" t="str">
        <x:v>Serviços</x:v>
      </x:c>
      <x:c r="X115" s="10" t="str">
        <x:v>UND004</x:v>
      </x:c>
    </x:row>
    <x:row r="116" ht="18" customHeight="1">
      <x:c r="A116" s="10" t="str">
        <x:v>REC00115</x:v>
      </x:c>
      <x:c r="B116" s="10" t="str">
        <x:v>EMP001</x:v>
      </x:c>
      <x:c r="C116" s="10" t="str">
        <x:v>CLI022</x:v>
      </x:c>
      <x:c r="D116" s="10" t="str">
        <x:v>CC005</x:v>
      </x:c>
      <x:c r="E116" s="10" t="str">
        <x:v>CAT001</x:v>
      </x:c>
      <x:c r="F116" s="10" t="str">
        <x:v>CTA001</x:v>
      </x:c>
      <x:c r="G116" s="10" t="str">
        <x:v>FAT-200115</x:v>
      </x:c>
      <x:c r="H116" s="10" t="str">
        <x:v>Venda de produtos</x:v>
      </x:c>
      <x:c r="I116" s="16" t="n">
        <x:v>45568.22913891204</x:v>
      </x:c>
      <x:c r="J116" s="16" t="n">
        <x:v>45589.22913891204</x:v>
      </x:c>
      <x:c r="K116" s="16" t="n">
        <x:v>45604.22913891204</x:v>
      </x:c>
      <x:c r="L116" s="20" t="n">
        <x:v>50450.47</x:v>
      </x:c>
      <x:c r="M116" s="20" t="n">
        <x:v>605.41</x:v>
      </x:c>
      <x:c r="N116" s="20" t="n">
        <x:v>0</x:v>
      </x:c>
      <x:c r="O116" s="20" t="n">
        <x:v>51055.88</x:v>
      </x:c>
      <x:c r="P116" s="20" t="n">
        <x:v>0</x:v>
      </x:c>
      <x:c r="Q116" s="10" t="str">
        <x:v>Recebido</x:v>
      </x:c>
      <x:c r="R116" s="10" t="str">
        <x:v>Débito em Conta</x:v>
      </x:c>
      <x:c r="S116" s="10" t="str">
        <x:v>2024-10</x:v>
      </x:c>
      <x:c r="T116" s="10" t="n">
        <x:v>0</x:v>
      </x:c>
      <x:c r="U116" s="10" t="str">
        <x:v>Liquidado</x:v>
      </x:c>
      <x:c r="V116" s="10" t="str">
        <x:v>Alto</x:v>
      </x:c>
      <x:c r="W116" s="10" t="str">
        <x:v>Tecnologia</x:v>
      </x:c>
      <x:c r="X116" s="10" t="str">
        <x:v>UND002</x:v>
      </x:c>
    </x:row>
    <x:row r="117" ht="18" customHeight="1">
      <x:c r="A117" s="10" t="str">
        <x:v>REC00116</x:v>
      </x:c>
      <x:c r="B117" s="10" t="str">
        <x:v>EMP001</x:v>
      </x:c>
      <x:c r="C117" s="10" t="str">
        <x:v>CLI053</x:v>
      </x:c>
      <x:c r="D117" s="10" t="str">
        <x:v>CC004</x:v>
      </x:c>
      <x:c r="E117" s="10" t="str">
        <x:v>CAT004</x:v>
      </x:c>
      <x:c r="F117" s="10" t="str">
        <x:v>CTA002</x:v>
      </x:c>
      <x:c r="G117" s="10" t="str">
        <x:v>FAT-200116</x:v>
      </x:c>
      <x:c r="H117" s="10" t="str">
        <x:v>Prestação de serviços</x:v>
      </x:c>
      <x:c r="I117" s="16" t="n">
        <x:v>45473.928056655095</x:v>
      </x:c>
      <x:c r="J117" s="16" t="n">
        <x:v>45501.928056655095</x:v>
      </x:c>
      <x:c r="K117" s="16"/>
      <x:c r="L117" s="20" t="n">
        <x:v>17373.69</x:v>
      </x:c>
      <x:c r="M117" s="20" t="n">
        <x:v>0</x:v>
      </x:c>
      <x:c r="N117" s="20" t="n">
        <x:v>0</x:v>
      </x:c>
      <x:c r="O117" s="20" t="n">
        <x:v>0</x:v>
      </x:c>
      <x:c r="P117" s="20" t="n">
        <x:v>17373.69</x:v>
      </x:c>
      <x:c r="Q117" s="10" t="str">
        <x:v>Vencido</x:v>
      </x:c>
      <x:c r="R117" s="10" t="str">
        <x:v>PIX</x:v>
      </x:c>
      <x:c r="S117" s="10" t="str">
        <x:v>2024-06</x:v>
      </x:c>
      <x:c r="T117" s="10" t="n">
        <x:v>520</x:v>
      </x:c>
      <x:c r="U117" s="10" t="str">
        <x:v>&gt; 120 dias</x:v>
      </x:c>
      <x:c r="V117" s="10" t="str">
        <x:v>Baixo</x:v>
      </x:c>
      <x:c r="W117" s="10" t="str">
        <x:v>Saúde</x:v>
      </x:c>
      <x:c r="X117" s="10" t="str">
        <x:v>UND001</x:v>
      </x:c>
    </x:row>
    <x:row r="118" ht="18" customHeight="1">
      <x:c r="A118" s="10" t="str">
        <x:v>REC00117</x:v>
      </x:c>
      <x:c r="B118" s="10" t="str">
        <x:v>EMP003</x:v>
      </x:c>
      <x:c r="C118" s="10" t="str">
        <x:v>CLI077</x:v>
      </x:c>
      <x:c r="D118" s="10" t="str">
        <x:v>CC001</x:v>
      </x:c>
      <x:c r="E118" s="10" t="str">
        <x:v>CAT004</x:v>
      </x:c>
      <x:c r="F118" s="10" t="str">
        <x:v>CTA005</x:v>
      </x:c>
      <x:c r="G118" s="10" t="str">
        <x:v>FAT-200117</x:v>
      </x:c>
      <x:c r="H118" s="10" t="str">
        <x:v>Projeto especial</x:v>
      </x:c>
      <x:c r="I118" s="16" t="n">
        <x:v>45875.20312932871</x:v>
      </x:c>
      <x:c r="J118" s="16" t="n">
        <x:v>45903.20312932871</x:v>
      </x:c>
      <x:c r="K118" s="16" t="n">
        <x:v>45901.20312932871</x:v>
      </x:c>
      <x:c r="L118" s="20" t="n">
        <x:v>13755.17</x:v>
      </x:c>
      <x:c r="M118" s="20" t="n">
        <x:v>0</x:v>
      </x:c>
      <x:c r="N118" s="20" t="n">
        <x:v>0</x:v>
      </x:c>
      <x:c r="O118" s="20" t="n">
        <x:v>13755.17</x:v>
      </x:c>
      <x:c r="P118" s="20" t="n">
        <x:v>0</x:v>
      </x:c>
      <x:c r="Q118" s="10" t="str">
        <x:v>Recebido</x:v>
      </x:c>
      <x:c r="R118" s="10" t="str">
        <x:v>PIX</x:v>
      </x:c>
      <x:c r="S118" s="10" t="str">
        <x:v>2025-08</x:v>
      </x:c>
      <x:c r="T118" s="10" t="n">
        <x:v>0</x:v>
      </x:c>
      <x:c r="U118" s="10" t="str">
        <x:v>Liquidado</x:v>
      </x:c>
      <x:c r="V118" s="10" t="str">
        <x:v>Médio</x:v>
      </x:c>
      <x:c r="W118" s="10" t="str">
        <x:v>Serviços</x:v>
      </x:c>
      <x:c r="X118" s="10" t="str">
        <x:v>UND004</x:v>
      </x:c>
    </x:row>
    <x:row r="119" ht="18" customHeight="1">
      <x:c r="A119" s="10" t="str">
        <x:v>REC00118</x:v>
      </x:c>
      <x:c r="B119" s="10" t="str">
        <x:v>EMP002</x:v>
      </x:c>
      <x:c r="C119" s="10" t="str">
        <x:v>CLI027</x:v>
      </x:c>
      <x:c r="D119" s="10" t="str">
        <x:v>CC007</x:v>
      </x:c>
      <x:c r="E119" s="10" t="str">
        <x:v>CAT001</x:v>
      </x:c>
      <x:c r="F119" s="10" t="str">
        <x:v>CTA004</x:v>
      </x:c>
      <x:c r="G119" s="10" t="str">
        <x:v>FAT-200118</x:v>
      </x:c>
      <x:c r="H119" s="10" t="str">
        <x:v>Frete faturado</x:v>
      </x:c>
      <x:c r="I119" s="16" t="n">
        <x:v>45421.312514074074</x:v>
      </x:c>
      <x:c r="J119" s="16" t="n">
        <x:v>45456.312514074074</x:v>
      </x:c>
      <x:c r="K119" s="16" t="n">
        <x:v>45463.312514074074</x:v>
      </x:c>
      <x:c r="L119" s="20" t="n">
        <x:v>17802.85</x:v>
      </x:c>
      <x:c r="M119" s="20" t="n">
        <x:v>99.7</x:v>
      </x:c>
      <x:c r="N119" s="20" t="n">
        <x:v>0</x:v>
      </x:c>
      <x:c r="O119" s="20" t="n">
        <x:v>17902.55</x:v>
      </x:c>
      <x:c r="P119" s="20" t="n">
        <x:v>0</x:v>
      </x:c>
      <x:c r="Q119" s="10" t="str">
        <x:v>Recebido</x:v>
      </x:c>
      <x:c r="R119" s="10" t="str">
        <x:v>PIX</x:v>
      </x:c>
      <x:c r="S119" s="10" t="str">
        <x:v>2024-05</x:v>
      </x:c>
      <x:c r="T119" s="10" t="n">
        <x:v>0</x:v>
      </x:c>
      <x:c r="U119" s="10" t="str">
        <x:v>Liquidado</x:v>
      </x:c>
      <x:c r="V119" s="10" t="str">
        <x:v>Alto</x:v>
      </x:c>
      <x:c r="W119" s="10" t="str">
        <x:v>Serviços</x:v>
      </x:c>
      <x:c r="X119" s="10" t="str">
        <x:v>UND003</x:v>
      </x:c>
    </x:row>
    <x:row r="120" ht="18" customHeight="1">
      <x:c r="A120" s="10" t="str">
        <x:v>REC00119</x:v>
      </x:c>
      <x:c r="B120" s="10" t="str">
        <x:v>EMP002</x:v>
      </x:c>
      <x:c r="C120" s="10" t="str">
        <x:v>CLI074</x:v>
      </x:c>
      <x:c r="D120" s="10" t="str">
        <x:v>CC008</x:v>
      </x:c>
      <x:c r="E120" s="10" t="str">
        <x:v>CAT003</x:v>
      </x:c>
      <x:c r="F120" s="10" t="str">
        <x:v>CTA004</x:v>
      </x:c>
      <x:c r="G120" s="10" t="str">
        <x:v>FAT-200119</x:v>
      </x:c>
      <x:c r="H120" s="10" t="str">
        <x:v>Frete faturado</x:v>
      </x:c>
      <x:c r="I120" s="16" t="n">
        <x:v>45607.179619490744</x:v>
      </x:c>
      <x:c r="J120" s="16" t="n">
        <x:v>45652.179619490744</x:v>
      </x:c>
      <x:c r="K120" s="16" t="n">
        <x:v>45655.179619490744</x:v>
      </x:c>
      <x:c r="L120" s="20" t="n">
        <x:v>30092.9</x:v>
      </x:c>
      <x:c r="M120" s="20" t="n">
        <x:v>72.22</x:v>
      </x:c>
      <x:c r="N120" s="20" t="n">
        <x:v>0</x:v>
      </x:c>
      <x:c r="O120" s="20" t="n">
        <x:v>30165.12</x:v>
      </x:c>
      <x:c r="P120" s="20" t="n">
        <x:v>0</x:v>
      </x:c>
      <x:c r="Q120" s="10" t="str">
        <x:v>Recebido</x:v>
      </x:c>
      <x:c r="R120" s="10" t="str">
        <x:v>PIX</x:v>
      </x:c>
      <x:c r="S120" s="10" t="str">
        <x:v>2024-11</x:v>
      </x:c>
      <x:c r="T120" s="10" t="n">
        <x:v>0</x:v>
      </x:c>
      <x:c r="U120" s="10" t="str">
        <x:v>Liquidado</x:v>
      </x:c>
      <x:c r="V120" s="10" t="str">
        <x:v>Médio</x:v>
      </x:c>
      <x:c r="W120" s="10" t="str">
        <x:v>Tecnologia</x:v>
      </x:c>
      <x:c r="X120" s="10" t="str">
        <x:v>UND003</x:v>
      </x:c>
    </x:row>
    <x:row r="121" ht="18" customHeight="1">
      <x:c r="A121" s="10" t="str">
        <x:v>REC00120</x:v>
      </x:c>
      <x:c r="B121" s="10" t="str">
        <x:v>EMP001</x:v>
      </x:c>
      <x:c r="C121" s="10" t="str">
        <x:v>CLI028</x:v>
      </x:c>
      <x:c r="D121" s="10" t="str">
        <x:v>CC005</x:v>
      </x:c>
      <x:c r="E121" s="10" t="str">
        <x:v>CAT001</x:v>
      </x:c>
      <x:c r="F121" s="10" t="str">
        <x:v>CTA002</x:v>
      </x:c>
      <x:c r="G121" s="10" t="str">
        <x:v>FAT-200120</x:v>
      </x:c>
      <x:c r="H121" s="10" t="str">
        <x:v>Contrato mensal</x:v>
      </x:c>
      <x:c r="I121" s="16" t="n">
        <x:v>45757.87484012731</x:v>
      </x:c>
      <x:c r="J121" s="16" t="n">
        <x:v>45792.87484012731</x:v>
      </x:c>
      <x:c r="K121" s="16" t="n">
        <x:v>45798.87484012731</x:v>
      </x:c>
      <x:c r="L121" s="20" t="n">
        <x:v>28209.77</x:v>
      </x:c>
      <x:c r="M121" s="20" t="n">
        <x:v>135.41</x:v>
      </x:c>
      <x:c r="N121" s="20" t="n">
        <x:v>0</x:v>
      </x:c>
      <x:c r="O121" s="20" t="n">
        <x:v>28345.18</x:v>
      </x:c>
      <x:c r="P121" s="20" t="n">
        <x:v>0</x:v>
      </x:c>
      <x:c r="Q121" s="10" t="str">
        <x:v>Recebido</x:v>
      </x:c>
      <x:c r="R121" s="10" t="str">
        <x:v>Cartão</x:v>
      </x:c>
      <x:c r="S121" s="10" t="str">
        <x:v>2025-04</x:v>
      </x:c>
      <x:c r="T121" s="10" t="n">
        <x:v>0</x:v>
      </x:c>
      <x:c r="U121" s="10" t="str">
        <x:v>Liquidado</x:v>
      </x:c>
      <x:c r="V121" s="10" t="str">
        <x:v>Baixo</x:v>
      </x:c>
      <x:c r="W121" s="10" t="str">
        <x:v>Serviços</x:v>
      </x:c>
      <x:c r="X121" s="10" t="str">
        <x:v>UND002</x:v>
      </x:c>
    </x:row>
    <x:row r="122" ht="18" customHeight="1">
      <x:c r="A122" s="10" t="str">
        <x:v>REC00121</x:v>
      </x:c>
      <x:c r="B122" s="10" t="str">
        <x:v>EMP002</x:v>
      </x:c>
      <x:c r="C122" s="10" t="str">
        <x:v>CLI041</x:v>
      </x:c>
      <x:c r="D122" s="10" t="str">
        <x:v>CC007</x:v>
      </x:c>
      <x:c r="E122" s="10" t="str">
        <x:v>CAT001</x:v>
      </x:c>
      <x:c r="F122" s="10" t="str">
        <x:v>CTA004</x:v>
      </x:c>
      <x:c r="G122" s="10" t="str">
        <x:v>FAT-200121</x:v>
      </x:c>
      <x:c r="H122" s="10" t="str">
        <x:v>Prestação de serviços</x:v>
      </x:c>
      <x:c r="I122" s="16" t="n">
        <x:v>45296.59330472222</x:v>
      </x:c>
      <x:c r="J122" s="16" t="n">
        <x:v>45331.59330472222</x:v>
      </x:c>
      <x:c r="K122" s="16" t="n">
        <x:v>45347.59330472222</x:v>
      </x:c>
      <x:c r="L122" s="20" t="n">
        <x:v>18333.38</x:v>
      </x:c>
      <x:c r="M122" s="20" t="n">
        <x:v>234.67</x:v>
      </x:c>
      <x:c r="N122" s="20" t="n">
        <x:v>0</x:v>
      </x:c>
      <x:c r="O122" s="20" t="n">
        <x:v>18568.05</x:v>
      </x:c>
      <x:c r="P122" s="20" t="n">
        <x:v>0</x:v>
      </x:c>
      <x:c r="Q122" s="10" t="str">
        <x:v>Recebido</x:v>
      </x:c>
      <x:c r="R122" s="10" t="str">
        <x:v>Boleto</x:v>
      </x:c>
      <x:c r="S122" s="10" t="str">
        <x:v>2024-01</x:v>
      </x:c>
      <x:c r="T122" s="10" t="n">
        <x:v>0</x:v>
      </x:c>
      <x:c r="U122" s="10" t="str">
        <x:v>Liquidado</x:v>
      </x:c>
      <x:c r="V122" s="10" t="str">
        <x:v>Alto</x:v>
      </x:c>
      <x:c r="W122" s="10" t="str">
        <x:v>Indústria</x:v>
      </x:c>
      <x:c r="X122" s="10" t="str">
        <x:v>UND003</x:v>
      </x:c>
    </x:row>
    <x:row r="123" ht="18" customHeight="1">
      <x:c r="A123" s="10" t="str">
        <x:v>REC00122</x:v>
      </x:c>
      <x:c r="B123" s="10" t="str">
        <x:v>EMP001</x:v>
      </x:c>
      <x:c r="C123" s="10" t="str">
        <x:v>CLI010</x:v>
      </x:c>
      <x:c r="D123" s="10" t="str">
        <x:v>CC003</x:v>
      </x:c>
      <x:c r="E123" s="10" t="str">
        <x:v>CAT003</x:v>
      </x:c>
      <x:c r="F123" s="10" t="str">
        <x:v>CTA002</x:v>
      </x:c>
      <x:c r="G123" s="10" t="str">
        <x:v>FAT-200122</x:v>
      </x:c>
      <x:c r="H123" s="10" t="str">
        <x:v>Venda de produtos</x:v>
      </x:c>
      <x:c r="I123" s="16" t="n">
        <x:v>45623.69952502315</x:v>
      </x:c>
      <x:c r="J123" s="16" t="n">
        <x:v>45658.69952502315</x:v>
      </x:c>
      <x:c r="K123" s="16" t="n">
        <x:v>45653.69952502315</x:v>
      </x:c>
      <x:c r="L123" s="20" t="n">
        <x:v>134876.04</x:v>
      </x:c>
      <x:c r="M123" s="20" t="n">
        <x:v>0</x:v>
      </x:c>
      <x:c r="N123" s="20" t="n">
        <x:v>0</x:v>
      </x:c>
      <x:c r="O123" s="20" t="n">
        <x:v>134876.04</x:v>
      </x:c>
      <x:c r="P123" s="20" t="n">
        <x:v>0</x:v>
      </x:c>
      <x:c r="Q123" s="10" t="str">
        <x:v>Recebido</x:v>
      </x:c>
      <x:c r="R123" s="10" t="str">
        <x:v>Cartão</x:v>
      </x:c>
      <x:c r="S123" s="10" t="str">
        <x:v>2024-11</x:v>
      </x:c>
      <x:c r="T123" s="10" t="n">
        <x:v>0</x:v>
      </x:c>
      <x:c r="U123" s="10" t="str">
        <x:v>Liquidado</x:v>
      </x:c>
      <x:c r="V123" s="10" t="str">
        <x:v>Baixo</x:v>
      </x:c>
      <x:c r="W123" s="10" t="str">
        <x:v>Indústria</x:v>
      </x:c>
      <x:c r="X123" s="10" t="str">
        <x:v>UND001</x:v>
      </x:c>
    </x:row>
    <x:row r="124" ht="18" customHeight="1">
      <x:c r="A124" s="10" t="str">
        <x:v>REC00123</x:v>
      </x:c>
      <x:c r="B124" s="10" t="str">
        <x:v>EMP001</x:v>
      </x:c>
      <x:c r="C124" s="10" t="str">
        <x:v>CLI036</x:v>
      </x:c>
      <x:c r="D124" s="10" t="str">
        <x:v>CC003</x:v>
      </x:c>
      <x:c r="E124" s="10" t="str">
        <x:v>CAT003</x:v>
      </x:c>
      <x:c r="F124" s="10" t="str">
        <x:v>CTA001</x:v>
      </x:c>
      <x:c r="G124" s="10" t="str">
        <x:v>FAT-200123</x:v>
      </x:c>
      <x:c r="H124" s="10" t="str">
        <x:v>Venda de produtos</x:v>
      </x:c>
      <x:c r="I124" s="16" t="n">
        <x:v>45598.108907939815</x:v>
      </x:c>
      <x:c r="J124" s="16" t="n">
        <x:v>45658.108907939815</x:v>
      </x:c>
      <x:c r="K124" s="16" t="n">
        <x:v>45654.108907939815</x:v>
      </x:c>
      <x:c r="L124" s="20" t="n">
        <x:v>60404.33</x:v>
      </x:c>
      <x:c r="M124" s="20" t="n">
        <x:v>0</x:v>
      </x:c>
      <x:c r="N124" s="20" t="n">
        <x:v>302.02</x:v>
      </x:c>
      <x:c r="O124" s="20" t="n">
        <x:v>60102.31</x:v>
      </x:c>
      <x:c r="P124" s="20" t="n">
        <x:v>0</x:v>
      </x:c>
      <x:c r="Q124" s="10" t="str">
        <x:v>Recebido</x:v>
      </x:c>
      <x:c r="R124" s="10" t="str">
        <x:v>Débito em Conta</x:v>
      </x:c>
      <x:c r="S124" s="10" t="str">
        <x:v>2024-11</x:v>
      </x:c>
      <x:c r="T124" s="10" t="n">
        <x:v>0</x:v>
      </x:c>
      <x:c r="U124" s="10" t="str">
        <x:v>Liquidado</x:v>
      </x:c>
      <x:c r="V124" s="10" t="str">
        <x:v>Baixo</x:v>
      </x:c>
      <x:c r="W124" s="10" t="str">
        <x:v>Atacado</x:v>
      </x:c>
      <x:c r="X124" s="10" t="str">
        <x:v>UND001</x:v>
      </x:c>
    </x:row>
    <x:row r="125" ht="18" customHeight="1">
      <x:c r="A125" s="10" t="str">
        <x:v>REC00124</x:v>
      </x:c>
      <x:c r="B125" s="10" t="str">
        <x:v>EMP001</x:v>
      </x:c>
      <x:c r="C125" s="10" t="str">
        <x:v>CLI071</x:v>
      </x:c>
      <x:c r="D125" s="10" t="str">
        <x:v>CC007</x:v>
      </x:c>
      <x:c r="E125" s="10" t="str">
        <x:v>CAT003</x:v>
      </x:c>
      <x:c r="F125" s="10" t="str">
        <x:v>CTA001</x:v>
      </x:c>
      <x:c r="G125" s="10" t="str">
        <x:v>FAT-200124</x:v>
      </x:c>
      <x:c r="H125" s="10" t="str">
        <x:v>Projeto especial</x:v>
      </x:c>
      <x:c r="I125" s="16" t="n">
        <x:v>45557.07754278935</x:v>
      </x:c>
      <x:c r="J125" s="16" t="n">
        <x:v>45572.07754278935</x:v>
      </x:c>
      <x:c r="K125" s="16"/>
      <x:c r="L125" s="20" t="n">
        <x:v>28388.33</x:v>
      </x:c>
      <x:c r="M125" s="20" t="n">
        <x:v>0</x:v>
      </x:c>
      <x:c r="N125" s="20" t="n">
        <x:v>0</x:v>
      </x:c>
      <x:c r="O125" s="20" t="n">
        <x:v>0</x:v>
      </x:c>
      <x:c r="P125" s="20" t="n">
        <x:v>0</x:v>
      </x:c>
      <x:c r="Q125" s="10" t="str">
        <x:v>Cancelado</x:v>
      </x:c>
      <x:c r="R125" s="10" t="str">
        <x:v>Boleto</x:v>
      </x:c>
      <x:c r="S125" s="10" t="str">
        <x:v>2024-09</x:v>
      </x:c>
      <x:c r="T125" s="10" t="n">
        <x:v>0</x:v>
      </x:c>
      <x:c r="U125" s="10" t="str">
        <x:v>Cancelado</x:v>
      </x:c>
      <x:c r="V125" s="10" t="str">
        <x:v>Baixo</x:v>
      </x:c>
      <x:c r="W125" s="10" t="str">
        <x:v>Tecnologia</x:v>
      </x:c>
      <x:c r="X125" s="10" t="str">
        <x:v>UND001</x:v>
      </x:c>
    </x:row>
    <x:row r="126" ht="18" customHeight="1">
      <x:c r="A126" s="10" t="str">
        <x:v>REC00125</x:v>
      </x:c>
      <x:c r="B126" s="10" t="str">
        <x:v>EMP002</x:v>
      </x:c>
      <x:c r="C126" s="10" t="str">
        <x:v>CLI068</x:v>
      </x:c>
      <x:c r="D126" s="10" t="str">
        <x:v>CC007</x:v>
      </x:c>
      <x:c r="E126" s="10" t="str">
        <x:v>CAT001</x:v>
      </x:c>
      <x:c r="F126" s="10" t="str">
        <x:v>CTA003</x:v>
      </x:c>
      <x:c r="G126" s="10" t="str">
        <x:v>FAT-200125</x:v>
      </x:c>
      <x:c r="H126" s="10" t="str">
        <x:v>Contrato mensal</x:v>
      </x:c>
      <x:c r="I126" s="16" t="n">
        <x:v>45687.75910966435</x:v>
      </x:c>
      <x:c r="J126" s="16" t="n">
        <x:v>45708.75910966435</x:v>
      </x:c>
      <x:c r="K126" s="16" t="n">
        <x:v>45712.75910966435</x:v>
      </x:c>
      <x:c r="L126" s="20" t="n">
        <x:v>111128.77</x:v>
      </x:c>
      <x:c r="M126" s="20" t="n">
        <x:v>355.61</x:v>
      </x:c>
      <x:c r="N126" s="20" t="n">
        <x:v>0</x:v>
      </x:c>
      <x:c r="O126" s="20" t="n">
        <x:v>111484.38</x:v>
      </x:c>
      <x:c r="P126" s="20" t="n">
        <x:v>0</x:v>
      </x:c>
      <x:c r="Q126" s="10" t="str">
        <x:v>Recebido</x:v>
      </x:c>
      <x:c r="R126" s="10" t="str">
        <x:v>TED</x:v>
      </x:c>
      <x:c r="S126" s="10" t="str">
        <x:v>2025-01</x:v>
      </x:c>
      <x:c r="T126" s="10" t="n">
        <x:v>0</x:v>
      </x:c>
      <x:c r="U126" s="10" t="str">
        <x:v>Liquidado</x:v>
      </x:c>
      <x:c r="V126" s="10" t="str">
        <x:v>Médio</x:v>
      </x:c>
      <x:c r="W126" s="10" t="str">
        <x:v>Varejo</x:v>
      </x:c>
      <x:c r="X126" s="10" t="str">
        <x:v>UND003</x:v>
      </x:c>
    </x:row>
    <x:row r="127" ht="18" customHeight="1">
      <x:c r="A127" s="10" t="str">
        <x:v>REC00126</x:v>
      </x:c>
      <x:c r="B127" s="10" t="str">
        <x:v>EMP003</x:v>
      </x:c>
      <x:c r="C127" s="10" t="str">
        <x:v>CLI027</x:v>
      </x:c>
      <x:c r="D127" s="10" t="str">
        <x:v>CC001</x:v>
      </x:c>
      <x:c r="E127" s="10" t="str">
        <x:v>CAT003</x:v>
      </x:c>
      <x:c r="F127" s="10" t="str">
        <x:v>CTA006</x:v>
      </x:c>
      <x:c r="G127" s="10" t="str">
        <x:v>FAT-200126</x:v>
      </x:c>
      <x:c r="H127" s="10" t="str">
        <x:v>Contrato mensal</x:v>
      </x:c>
      <x:c r="I127" s="16" t="n">
        <x:v>45728.956267685186</x:v>
      </x:c>
      <x:c r="J127" s="16" t="n">
        <x:v>45756.956267685186</x:v>
      </x:c>
      <x:c r="K127" s="16" t="n">
        <x:v>45757.956267685186</x:v>
      </x:c>
      <x:c r="L127" s="20" t="n">
        <x:v>23499.29</x:v>
      </x:c>
      <x:c r="M127" s="20" t="n">
        <x:v>18.8</x:v>
      </x:c>
      <x:c r="N127" s="20" t="n">
        <x:v>0</x:v>
      </x:c>
      <x:c r="O127" s="20" t="n">
        <x:v>23518.09</x:v>
      </x:c>
      <x:c r="P127" s="20" t="n">
        <x:v>0</x:v>
      </x:c>
      <x:c r="Q127" s="10" t="str">
        <x:v>Recebido</x:v>
      </x:c>
      <x:c r="R127" s="10" t="str">
        <x:v>Cartão</x:v>
      </x:c>
      <x:c r="S127" s="10" t="str">
        <x:v>2025-03</x:v>
      </x:c>
      <x:c r="T127" s="10" t="n">
        <x:v>0</x:v>
      </x:c>
      <x:c r="U127" s="10" t="str">
        <x:v>Liquidado</x:v>
      </x:c>
      <x:c r="V127" s="10" t="str">
        <x:v>Alto</x:v>
      </x:c>
      <x:c r="W127" s="10" t="str">
        <x:v>Serviços</x:v>
      </x:c>
      <x:c r="X127" s="10" t="str">
        <x:v>UND004</x:v>
      </x:c>
    </x:row>
    <x:row r="128" ht="18" customHeight="1">
      <x:c r="A128" s="10" t="str">
        <x:v>REC00127</x:v>
      </x:c>
      <x:c r="B128" s="10" t="str">
        <x:v>EMP002</x:v>
      </x:c>
      <x:c r="C128" s="10" t="str">
        <x:v>CLI067</x:v>
      </x:c>
      <x:c r="D128" s="10" t="str">
        <x:v>CC008</x:v>
      </x:c>
      <x:c r="E128" s="10" t="str">
        <x:v>CAT002</x:v>
      </x:c>
      <x:c r="F128" s="10" t="str">
        <x:v>CTA004</x:v>
      </x:c>
      <x:c r="G128" s="10" t="str">
        <x:v>FAT-200127</x:v>
      </x:c>
      <x:c r="H128" s="10" t="str">
        <x:v>Frete faturado</x:v>
      </x:c>
      <x:c r="I128" s="16" t="n">
        <x:v>45592.3722425463</x:v>
      </x:c>
      <x:c r="J128" s="16" t="n">
        <x:v>45637.3722425463</x:v>
      </x:c>
      <x:c r="K128" s="16" t="n">
        <x:v>45636.3722425463</x:v>
      </x:c>
      <x:c r="L128" s="20" t="n">
        <x:v>4836.14</x:v>
      </x:c>
      <x:c r="M128" s="20" t="n">
        <x:v>0</x:v>
      </x:c>
      <x:c r="N128" s="20" t="n">
        <x:v>0</x:v>
      </x:c>
      <x:c r="O128" s="20" t="n">
        <x:v>4836.14</x:v>
      </x:c>
      <x:c r="P128" s="20" t="n">
        <x:v>0</x:v>
      </x:c>
      <x:c r="Q128" s="10" t="str">
        <x:v>Recebido</x:v>
      </x:c>
      <x:c r="R128" s="10" t="str">
        <x:v>Débito em Conta</x:v>
      </x:c>
      <x:c r="S128" s="10" t="str">
        <x:v>2024-10</x:v>
      </x:c>
      <x:c r="T128" s="10" t="n">
        <x:v>0</x:v>
      </x:c>
      <x:c r="U128" s="10" t="str">
        <x:v>Liquidado</x:v>
      </x:c>
      <x:c r="V128" s="10" t="str">
        <x:v>Alto</x:v>
      </x:c>
      <x:c r="W128" s="10" t="str">
        <x:v>Varejo</x:v>
      </x:c>
      <x:c r="X128" s="10" t="str">
        <x:v>UND003</x:v>
      </x:c>
    </x:row>
    <x:row r="129" ht="18" customHeight="1">
      <x:c r="A129" s="10" t="str">
        <x:v>REC00128</x:v>
      </x:c>
      <x:c r="B129" s="10" t="str">
        <x:v>EMP003</x:v>
      </x:c>
      <x:c r="C129" s="10" t="str">
        <x:v>CLI006</x:v>
      </x:c>
      <x:c r="D129" s="10" t="str">
        <x:v>CC003</x:v>
      </x:c>
      <x:c r="E129" s="10" t="str">
        <x:v>CAT002</x:v>
      </x:c>
      <x:c r="F129" s="10" t="str">
        <x:v>CTA005</x:v>
      </x:c>
      <x:c r="G129" s="10" t="str">
        <x:v>FAT-200128</x:v>
      </x:c>
      <x:c r="H129" s="10" t="str">
        <x:v>Frete faturado</x:v>
      </x:c>
      <x:c r="I129" s="16" t="n">
        <x:v>45843.603221770834</x:v>
      </x:c>
      <x:c r="J129" s="16" t="n">
        <x:v>45878.603221770834</x:v>
      </x:c>
      <x:c r="K129" s="16" t="n">
        <x:v>45873.603221770834</x:v>
      </x:c>
      <x:c r="L129" s="20" t="n">
        <x:v>58979.66</x:v>
      </x:c>
      <x:c r="M129" s="20" t="n">
        <x:v>0</x:v>
      </x:c>
      <x:c r="N129" s="20" t="n">
        <x:v>0</x:v>
      </x:c>
      <x:c r="O129" s="20" t="n">
        <x:v>58979.66</x:v>
      </x:c>
      <x:c r="P129" s="20" t="n">
        <x:v>0</x:v>
      </x:c>
      <x:c r="Q129" s="10" t="str">
        <x:v>Recebido</x:v>
      </x:c>
      <x:c r="R129" s="10" t="str">
        <x:v>Boleto</x:v>
      </x:c>
      <x:c r="S129" s="10" t="str">
        <x:v>2025-07</x:v>
      </x:c>
      <x:c r="T129" s="10" t="n">
        <x:v>0</x:v>
      </x:c>
      <x:c r="U129" s="10" t="str">
        <x:v>Liquidado</x:v>
      </x:c>
      <x:c r="V129" s="10" t="str">
        <x:v>Baixo</x:v>
      </x:c>
      <x:c r="W129" s="10" t="str">
        <x:v>Varejo</x:v>
      </x:c>
      <x:c r="X129" s="10" t="str">
        <x:v>UND004</x:v>
      </x:c>
    </x:row>
    <x:row r="130" ht="18" customHeight="1">
      <x:c r="A130" s="10" t="str">
        <x:v>REC00129</x:v>
      </x:c>
      <x:c r="B130" s="10" t="str">
        <x:v>EMP001</x:v>
      </x:c>
      <x:c r="C130" s="10" t="str">
        <x:v>CLI014</x:v>
      </x:c>
      <x:c r="D130" s="10" t="str">
        <x:v>CC002</x:v>
      </x:c>
      <x:c r="E130" s="10" t="str">
        <x:v>CAT004</x:v>
      </x:c>
      <x:c r="F130" s="10" t="str">
        <x:v>CTA001</x:v>
      </x:c>
      <x:c r="G130" s="10" t="str">
        <x:v>FAT-200129</x:v>
      </x:c>
      <x:c r="H130" s="10" t="str">
        <x:v>Frete faturado</x:v>
      </x:c>
      <x:c r="I130" s="16" t="n">
        <x:v>45850.99533936343</x:v>
      </x:c>
      <x:c r="J130" s="16" t="n">
        <x:v>45865.99533936343</x:v>
      </x:c>
      <x:c r="K130" s="16" t="n">
        <x:v>45863.99533936343</x:v>
      </x:c>
      <x:c r="L130" s="20" t="n">
        <x:v>113898.42</x:v>
      </x:c>
      <x:c r="M130" s="20" t="n">
        <x:v>0</x:v>
      </x:c>
      <x:c r="N130" s="20" t="n">
        <x:v>0</x:v>
      </x:c>
      <x:c r="O130" s="20" t="n">
        <x:v>113898.42</x:v>
      </x:c>
      <x:c r="P130" s="20" t="n">
        <x:v>0</x:v>
      </x:c>
      <x:c r="Q130" s="10" t="str">
        <x:v>Recebido</x:v>
      </x:c>
      <x:c r="R130" s="10" t="str">
        <x:v>Débito em Conta</x:v>
      </x:c>
      <x:c r="S130" s="10" t="str">
        <x:v>2025-07</x:v>
      </x:c>
      <x:c r="T130" s="10" t="n">
        <x:v>0</x:v>
      </x:c>
      <x:c r="U130" s="10" t="str">
        <x:v>Liquidado</x:v>
      </x:c>
      <x:c r="V130" s="10" t="str">
        <x:v>Médio</x:v>
      </x:c>
      <x:c r="W130" s="10" t="str">
        <x:v>Saúde</x:v>
      </x:c>
      <x:c r="X130" s="10" t="str">
        <x:v>UND001</x:v>
      </x:c>
    </x:row>
    <x:row r="131" ht="18" customHeight="1">
      <x:c r="A131" s="10" t="str">
        <x:v>REC00130</x:v>
      </x:c>
      <x:c r="B131" s="10" t="str">
        <x:v>EMP003</x:v>
      </x:c>
      <x:c r="C131" s="10" t="str">
        <x:v>CLI007</x:v>
      </x:c>
      <x:c r="D131" s="10" t="str">
        <x:v>CC008</x:v>
      </x:c>
      <x:c r="E131" s="10" t="str">
        <x:v>CAT003</x:v>
      </x:c>
      <x:c r="F131" s="10" t="str">
        <x:v>CTA006</x:v>
      </x:c>
      <x:c r="G131" s="10" t="str">
        <x:v>FAT-200130</x:v>
      </x:c>
      <x:c r="H131" s="10" t="str">
        <x:v>Prestação de serviços</x:v>
      </x:c>
      <x:c r="I131" s="16" t="n">
        <x:v>45745.51682645833</x:v>
      </x:c>
      <x:c r="J131" s="16" t="n">
        <x:v>45766.51682645833</x:v>
      </x:c>
      <x:c r="K131" s="16" t="n">
        <x:v>45761.51682645833</x:v>
      </x:c>
      <x:c r="L131" s="20" t="n">
        <x:v>27156.58</x:v>
      </x:c>
      <x:c r="M131" s="20" t="n">
        <x:v>0</x:v>
      </x:c>
      <x:c r="N131" s="20" t="n">
        <x:v>0</x:v>
      </x:c>
      <x:c r="O131" s="20" t="n">
        <x:v>27156.58</x:v>
      </x:c>
      <x:c r="P131" s="20" t="n">
        <x:v>0</x:v>
      </x:c>
      <x:c r="Q131" s="10" t="str">
        <x:v>Recebido</x:v>
      </x:c>
      <x:c r="R131" s="10" t="str">
        <x:v>PIX</x:v>
      </x:c>
      <x:c r="S131" s="10" t="str">
        <x:v>2025-03</x:v>
      </x:c>
      <x:c r="T131" s="10" t="n">
        <x:v>0</x:v>
      </x:c>
      <x:c r="U131" s="10" t="str">
        <x:v>Liquidado</x:v>
      </x:c>
      <x:c r="V131" s="10" t="str">
        <x:v>Baixo</x:v>
      </x:c>
      <x:c r="W131" s="10" t="str">
        <x:v>Atacado</x:v>
      </x:c>
      <x:c r="X131" s="10" t="str">
        <x:v>UND004</x:v>
      </x:c>
    </x:row>
    <x:row r="132" ht="18" customHeight="1">
      <x:c r="A132" s="10" t="str">
        <x:v>REC00131</x:v>
      </x:c>
      <x:c r="B132" s="10" t="str">
        <x:v>EMP002</x:v>
      </x:c>
      <x:c r="C132" s="10" t="str">
        <x:v>CLI054</x:v>
      </x:c>
      <x:c r="D132" s="10" t="str">
        <x:v>CC004</x:v>
      </x:c>
      <x:c r="E132" s="10" t="str">
        <x:v>CAT001</x:v>
      </x:c>
      <x:c r="F132" s="10" t="str">
        <x:v>CTA003</x:v>
      </x:c>
      <x:c r="G132" s="10" t="str">
        <x:v>FAT-200131</x:v>
      </x:c>
      <x:c r="H132" s="10" t="str">
        <x:v>Frete faturado</x:v>
      </x:c>
      <x:c r="I132" s="16" t="n">
        <x:v>45619.52809505787</x:v>
      </x:c>
      <x:c r="J132" s="16" t="n">
        <x:v>45649.52809505787</x:v>
      </x:c>
      <x:c r="K132" s="16" t="n">
        <x:v>45661.52809505787</x:v>
      </x:c>
      <x:c r="L132" s="20" t="n">
        <x:v>122900.26</x:v>
      </x:c>
      <x:c r="M132" s="20" t="n">
        <x:v>1179.84</x:v>
      </x:c>
      <x:c r="N132" s="20" t="n">
        <x:v>0</x:v>
      </x:c>
      <x:c r="O132" s="20" t="n">
        <x:v>124080.1</x:v>
      </x:c>
      <x:c r="P132" s="20" t="n">
        <x:v>0</x:v>
      </x:c>
      <x:c r="Q132" s="10" t="str">
        <x:v>Recebido</x:v>
      </x:c>
      <x:c r="R132" s="10" t="str">
        <x:v>Débito em Conta</x:v>
      </x:c>
      <x:c r="S132" s="10" t="str">
        <x:v>2024-11</x:v>
      </x:c>
      <x:c r="T132" s="10" t="n">
        <x:v>0</x:v>
      </x:c>
      <x:c r="U132" s="10" t="str">
        <x:v>Liquidado</x:v>
      </x:c>
      <x:c r="V132" s="10" t="str">
        <x:v>Médio</x:v>
      </x:c>
      <x:c r="W132" s="10" t="str">
        <x:v>Indústria</x:v>
      </x:c>
      <x:c r="X132" s="10" t="str">
        <x:v>UND003</x:v>
      </x:c>
    </x:row>
    <x:row r="133" ht="18" customHeight="1">
      <x:c r="A133" s="10" t="str">
        <x:v>REC00132</x:v>
      </x:c>
      <x:c r="B133" s="10" t="str">
        <x:v>EMP001</x:v>
      </x:c>
      <x:c r="C133" s="10" t="str">
        <x:v>CLI016</x:v>
      </x:c>
      <x:c r="D133" s="10" t="str">
        <x:v>CC008</x:v>
      </x:c>
      <x:c r="E133" s="10" t="str">
        <x:v>CAT003</x:v>
      </x:c>
      <x:c r="F133" s="10" t="str">
        <x:v>CTA001</x:v>
      </x:c>
      <x:c r="G133" s="10" t="str">
        <x:v>FAT-200132</x:v>
      </x:c>
      <x:c r="H133" s="10" t="str">
        <x:v>Projeto especial</x:v>
      </x:c>
      <x:c r="I133" s="16" t="n">
        <x:v>45862.78412541666</x:v>
      </x:c>
      <x:c r="J133" s="16" t="n">
        <x:v>45883.78412541666</x:v>
      </x:c>
      <x:c r="K133" s="16" t="n">
        <x:v>45885.78412541666</x:v>
      </x:c>
      <x:c r="L133" s="20" t="n">
        <x:v>89303.83</x:v>
      </x:c>
      <x:c r="M133" s="20" t="n">
        <x:v>142.89</x:v>
      </x:c>
      <x:c r="N133" s="20" t="n">
        <x:v>0</x:v>
      </x:c>
      <x:c r="O133" s="20" t="n">
        <x:v>89446.72</x:v>
      </x:c>
      <x:c r="P133" s="20" t="n">
        <x:v>0</x:v>
      </x:c>
      <x:c r="Q133" s="10" t="str">
        <x:v>Recebido</x:v>
      </x:c>
      <x:c r="R133" s="10" t="str">
        <x:v>Cartão</x:v>
      </x:c>
      <x:c r="S133" s="10" t="str">
        <x:v>2025-07</x:v>
      </x:c>
      <x:c r="T133" s="10" t="n">
        <x:v>0</x:v>
      </x:c>
      <x:c r="U133" s="10" t="str">
        <x:v>Liquidado</x:v>
      </x:c>
      <x:c r="V133" s="10" t="str">
        <x:v>Baixo</x:v>
      </x:c>
      <x:c r="W133" s="10" t="str">
        <x:v>Serviços</x:v>
      </x:c>
      <x:c r="X133" s="10" t="str">
        <x:v>UND001</x:v>
      </x:c>
    </x:row>
    <x:row r="134" ht="18" customHeight="1">
      <x:c r="A134" s="10" t="str">
        <x:v>REC00133</x:v>
      </x:c>
      <x:c r="B134" s="10" t="str">
        <x:v>EMP002</x:v>
      </x:c>
      <x:c r="C134" s="10" t="str">
        <x:v>CLI080</x:v>
      </x:c>
      <x:c r="D134" s="10" t="str">
        <x:v>CC008</x:v>
      </x:c>
      <x:c r="E134" s="10" t="str">
        <x:v>CAT002</x:v>
      </x:c>
      <x:c r="F134" s="10" t="str">
        <x:v>CTA003</x:v>
      </x:c>
      <x:c r="G134" s="10" t="str">
        <x:v>FAT-200133</x:v>
      </x:c>
      <x:c r="H134" s="10" t="str">
        <x:v>Prestação de serviços</x:v>
      </x:c>
      <x:c r="I134" s="16" t="n">
        <x:v>45375.96212119213</x:v>
      </x:c>
      <x:c r="J134" s="16" t="n">
        <x:v>45410.96212119213</x:v>
      </x:c>
      <x:c r="K134" s="16" t="n">
        <x:v>45412.96212119213</x:v>
      </x:c>
      <x:c r="L134" s="20" t="n">
        <x:v>26060.65</x:v>
      </x:c>
      <x:c r="M134" s="20" t="n">
        <x:v>41.7</x:v>
      </x:c>
      <x:c r="N134" s="20" t="n">
        <x:v>0</x:v>
      </x:c>
      <x:c r="O134" s="20" t="n">
        <x:v>26102.35</x:v>
      </x:c>
      <x:c r="P134" s="20" t="n">
        <x:v>0</x:v>
      </x:c>
      <x:c r="Q134" s="10" t="str">
        <x:v>Recebido</x:v>
      </x:c>
      <x:c r="R134" s="10" t="str">
        <x:v>Boleto</x:v>
      </x:c>
      <x:c r="S134" s="10" t="str">
        <x:v>2024-03</x:v>
      </x:c>
      <x:c r="T134" s="10" t="n">
        <x:v>0</x:v>
      </x:c>
      <x:c r="U134" s="10" t="str">
        <x:v>Liquidado</x:v>
      </x:c>
      <x:c r="V134" s="10" t="str">
        <x:v>Médio</x:v>
      </x:c>
      <x:c r="W134" s="10" t="str">
        <x:v>Atacado</x:v>
      </x:c>
      <x:c r="X134" s="10" t="str">
        <x:v>UND003</x:v>
      </x:c>
    </x:row>
    <x:row r="135" ht="18" customHeight="1">
      <x:c r="A135" s="10" t="str">
        <x:v>REC00134</x:v>
      </x:c>
      <x:c r="B135" s="10" t="str">
        <x:v>EMP002</x:v>
      </x:c>
      <x:c r="C135" s="10" t="str">
        <x:v>CLI065</x:v>
      </x:c>
      <x:c r="D135" s="10" t="str">
        <x:v>CC008</x:v>
      </x:c>
      <x:c r="E135" s="10" t="str">
        <x:v>CAT003</x:v>
      </x:c>
      <x:c r="F135" s="10" t="str">
        <x:v>CTA003</x:v>
      </x:c>
      <x:c r="G135" s="10" t="str">
        <x:v>FAT-200134</x:v>
      </x:c>
      <x:c r="H135" s="10" t="str">
        <x:v>Contrato mensal</x:v>
      </x:c>
      <x:c r="I135" s="16" t="n">
        <x:v>45444.04234334491</x:v>
      </x:c>
      <x:c r="J135" s="16" t="n">
        <x:v>45472.04234334491</x:v>
      </x:c>
      <x:c r="K135" s="16" t="n">
        <x:v>45475.04234334491</x:v>
      </x:c>
      <x:c r="L135" s="20" t="n">
        <x:v>98101.8</x:v>
      </x:c>
      <x:c r="M135" s="20" t="n">
        <x:v>235.44</x:v>
      </x:c>
      <x:c r="N135" s="20" t="n">
        <x:v>0</x:v>
      </x:c>
      <x:c r="O135" s="20" t="n">
        <x:v>98337.24</x:v>
      </x:c>
      <x:c r="P135" s="20" t="n">
        <x:v>0</x:v>
      </x:c>
      <x:c r="Q135" s="10" t="str">
        <x:v>Recebido</x:v>
      </x:c>
      <x:c r="R135" s="10" t="str">
        <x:v>PIX</x:v>
      </x:c>
      <x:c r="S135" s="10" t="str">
        <x:v>2024-06</x:v>
      </x:c>
      <x:c r="T135" s="10" t="n">
        <x:v>0</x:v>
      </x:c>
      <x:c r="U135" s="10" t="str">
        <x:v>Liquidado</x:v>
      </x:c>
      <x:c r="V135" s="10" t="str">
        <x:v>Médio</x:v>
      </x:c>
      <x:c r="W135" s="10" t="str">
        <x:v>Serviços</x:v>
      </x:c>
      <x:c r="X135" s="10" t="str">
        <x:v>UND003</x:v>
      </x:c>
    </x:row>
    <x:row r="136" ht="18" customHeight="1">
      <x:c r="A136" s="10" t="str">
        <x:v>REC00135</x:v>
      </x:c>
      <x:c r="B136" s="10" t="str">
        <x:v>EMP002</x:v>
      </x:c>
      <x:c r="C136" s="10" t="str">
        <x:v>CLI044</x:v>
      </x:c>
      <x:c r="D136" s="10" t="str">
        <x:v>CC005</x:v>
      </x:c>
      <x:c r="E136" s="10" t="str">
        <x:v>CAT001</x:v>
      </x:c>
      <x:c r="F136" s="10" t="str">
        <x:v>CTA004</x:v>
      </x:c>
      <x:c r="G136" s="10" t="str">
        <x:v>FAT-200135</x:v>
      </x:c>
      <x:c r="H136" s="10" t="str">
        <x:v>Prestação de serviços</x:v>
      </x:c>
      <x:c r="I136" s="16" t="n">
        <x:v>45899.63557107639</x:v>
      </x:c>
      <x:c r="J136" s="16" t="n">
        <x:v>45914.63557107639</x:v>
      </x:c>
      <x:c r="K136" s="16" t="n">
        <x:v>45924.63557107639</x:v>
      </x:c>
      <x:c r="L136" s="20" t="n">
        <x:v>3621.52</x:v>
      </x:c>
      <x:c r="M136" s="20" t="n">
        <x:v>28.97</x:v>
      </x:c>
      <x:c r="N136" s="20" t="n">
        <x:v>0</x:v>
      </x:c>
      <x:c r="O136" s="20" t="n">
        <x:v>3650.49</x:v>
      </x:c>
      <x:c r="P136" s="20" t="n">
        <x:v>0</x:v>
      </x:c>
      <x:c r="Q136" s="10" t="str">
        <x:v>Recebido</x:v>
      </x:c>
      <x:c r="R136" s="10" t="str">
        <x:v>Débito em Conta</x:v>
      </x:c>
      <x:c r="S136" s="10" t="str">
        <x:v>2025-08</x:v>
      </x:c>
      <x:c r="T136" s="10" t="n">
        <x:v>0</x:v>
      </x:c>
      <x:c r="U136" s="10" t="str">
        <x:v>Liquidado</x:v>
      </x:c>
      <x:c r="V136" s="10" t="str">
        <x:v>Alto</x:v>
      </x:c>
      <x:c r="W136" s="10" t="str">
        <x:v>Varejo</x:v>
      </x:c>
      <x:c r="X136" s="10" t="str">
        <x:v>UND003</x:v>
      </x:c>
    </x:row>
    <x:row r="137" ht="18" customHeight="1">
      <x:c r="A137" s="10" t="str">
        <x:v>REC00136</x:v>
      </x:c>
      <x:c r="B137" s="10" t="str">
        <x:v>EMP001</x:v>
      </x:c>
      <x:c r="C137" s="10" t="str">
        <x:v>CLI055</x:v>
      </x:c>
      <x:c r="D137" s="10" t="str">
        <x:v>CC003</x:v>
      </x:c>
      <x:c r="E137" s="10" t="str">
        <x:v>CAT002</x:v>
      </x:c>
      <x:c r="F137" s="10" t="str">
        <x:v>CTA001</x:v>
      </x:c>
      <x:c r="G137" s="10" t="str">
        <x:v>FAT-200136</x:v>
      </x:c>
      <x:c r="H137" s="10" t="str">
        <x:v>Prestação de serviços</x:v>
      </x:c>
      <x:c r="I137" s="16" t="n">
        <x:v>45580.09033555556</x:v>
      </x:c>
      <x:c r="J137" s="16" t="n">
        <x:v>45610.09033555556</x:v>
      </x:c>
      <x:c r="K137" s="16" t="n">
        <x:v>45607.09033555556</x:v>
      </x:c>
      <x:c r="L137" s="20" t="n">
        <x:v>144620.61</x:v>
      </x:c>
      <x:c r="M137" s="20" t="n">
        <x:v>0</x:v>
      </x:c>
      <x:c r="N137" s="20" t="n">
        <x:v>0</x:v>
      </x:c>
      <x:c r="O137" s="20" t="n">
        <x:v>144620.61</x:v>
      </x:c>
      <x:c r="P137" s="20" t="n">
        <x:v>0</x:v>
      </x:c>
      <x:c r="Q137" s="10" t="str">
        <x:v>Recebido</x:v>
      </x:c>
      <x:c r="R137" s="10" t="str">
        <x:v>Cartão</x:v>
      </x:c>
      <x:c r="S137" s="10" t="str">
        <x:v>2024-10</x:v>
      </x:c>
      <x:c r="T137" s="10" t="n">
        <x:v>0</x:v>
      </x:c>
      <x:c r="U137" s="10" t="str">
        <x:v>Liquidado</x:v>
      </x:c>
      <x:c r="V137" s="10" t="str">
        <x:v>Baixo</x:v>
      </x:c>
      <x:c r="W137" s="10" t="str">
        <x:v>Serviços</x:v>
      </x:c>
      <x:c r="X137" s="10" t="str">
        <x:v>UND002</x:v>
      </x:c>
    </x:row>
    <x:row r="138" ht="18" customHeight="1">
      <x:c r="A138" s="10" t="str">
        <x:v>REC00137</x:v>
      </x:c>
      <x:c r="B138" s="10" t="str">
        <x:v>EMP003</x:v>
      </x:c>
      <x:c r="C138" s="10" t="str">
        <x:v>CLI066</x:v>
      </x:c>
      <x:c r="D138" s="10" t="str">
        <x:v>CC002</x:v>
      </x:c>
      <x:c r="E138" s="10" t="str">
        <x:v>CAT003</x:v>
      </x:c>
      <x:c r="F138" s="10" t="str">
        <x:v>CTA005</x:v>
      </x:c>
      <x:c r="G138" s="10" t="str">
        <x:v>FAT-200137</x:v>
      </x:c>
      <x:c r="H138" s="10" t="str">
        <x:v>Projeto especial</x:v>
      </x:c>
      <x:c r="I138" s="16" t="n">
        <x:v>45699.61393287037</x:v>
      </x:c>
      <x:c r="J138" s="16" t="n">
        <x:v>45759.61393287037</x:v>
      </x:c>
      <x:c r="K138" s="16" t="n">
        <x:v>45754.61393287037</x:v>
      </x:c>
      <x:c r="L138" s="20" t="n">
        <x:v>4206.54</x:v>
      </x:c>
      <x:c r="M138" s="20" t="n">
        <x:v>0</x:v>
      </x:c>
      <x:c r="N138" s="20" t="n">
        <x:v>0</x:v>
      </x:c>
      <x:c r="O138" s="20" t="n">
        <x:v>4206.54</x:v>
      </x:c>
      <x:c r="P138" s="20" t="n">
        <x:v>0</x:v>
      </x:c>
      <x:c r="Q138" s="10" t="str">
        <x:v>Recebido</x:v>
      </x:c>
      <x:c r="R138" s="10" t="str">
        <x:v>PIX</x:v>
      </x:c>
      <x:c r="S138" s="10" t="str">
        <x:v>2025-02</x:v>
      </x:c>
      <x:c r="T138" s="10" t="n">
        <x:v>0</x:v>
      </x:c>
      <x:c r="U138" s="10" t="str">
        <x:v>Liquidado</x:v>
      </x:c>
      <x:c r="V138" s="10" t="str">
        <x:v>Baixo</x:v>
      </x:c>
      <x:c r="W138" s="10" t="str">
        <x:v>Varejo</x:v>
      </x:c>
      <x:c r="X138" s="10" t="str">
        <x:v>UND004</x:v>
      </x:c>
    </x:row>
    <x:row r="139" ht="18" customHeight="1">
      <x:c r="A139" s="10" t="str">
        <x:v>REC00138</x:v>
      </x:c>
      <x:c r="B139" s="10" t="str">
        <x:v>EMP002</x:v>
      </x:c>
      <x:c r="C139" s="10" t="str">
        <x:v>CLI011</x:v>
      </x:c>
      <x:c r="D139" s="10" t="str">
        <x:v>CC002</x:v>
      </x:c>
      <x:c r="E139" s="10" t="str">
        <x:v>CAT001</x:v>
      </x:c>
      <x:c r="F139" s="10" t="str">
        <x:v>CTA003</x:v>
      </x:c>
      <x:c r="G139" s="10" t="str">
        <x:v>FAT-200138</x:v>
      </x:c>
      <x:c r="H139" s="10" t="str">
        <x:v>Frete faturado</x:v>
      </x:c>
      <x:c r="I139" s="16" t="n">
        <x:v>45657.80749045139</x:v>
      </x:c>
      <x:c r="J139" s="16" t="n">
        <x:v>45678.80749045139</x:v>
      </x:c>
      <x:c r="K139" s="16" t="n">
        <x:v>45682.80749045139</x:v>
      </x:c>
      <x:c r="L139" s="20" t="n">
        <x:v>69038.33</x:v>
      </x:c>
      <x:c r="M139" s="20" t="n">
        <x:v>220.92</x:v>
      </x:c>
      <x:c r="N139" s="20" t="n">
        <x:v>0</x:v>
      </x:c>
      <x:c r="O139" s="20" t="n">
        <x:v>69259.25</x:v>
      </x:c>
      <x:c r="P139" s="20" t="n">
        <x:v>0</x:v>
      </x:c>
      <x:c r="Q139" s="10" t="str">
        <x:v>Recebido</x:v>
      </x:c>
      <x:c r="R139" s="10" t="str">
        <x:v>TED</x:v>
      </x:c>
      <x:c r="S139" s="10" t="str">
        <x:v>2024-12</x:v>
      </x:c>
      <x:c r="T139" s="10" t="n">
        <x:v>0</x:v>
      </x:c>
      <x:c r="U139" s="10" t="str">
        <x:v>Liquidado</x:v>
      </x:c>
      <x:c r="V139" s="10" t="str">
        <x:v>Alto</x:v>
      </x:c>
      <x:c r="W139" s="10" t="str">
        <x:v>Serviços</x:v>
      </x:c>
      <x:c r="X139" s="10" t="str">
        <x:v>UND003</x:v>
      </x:c>
    </x:row>
    <x:row r="140" ht="18" customHeight="1">
      <x:c r="A140" s="10" t="str">
        <x:v>REC00139</x:v>
      </x:c>
      <x:c r="B140" s="10" t="str">
        <x:v>EMP001</x:v>
      </x:c>
      <x:c r="C140" s="10" t="str">
        <x:v>CLI052</x:v>
      </x:c>
      <x:c r="D140" s="10" t="str">
        <x:v>CC008</x:v>
      </x:c>
      <x:c r="E140" s="10" t="str">
        <x:v>CAT001</x:v>
      </x:c>
      <x:c r="F140" s="10" t="str">
        <x:v>CTA002</x:v>
      </x:c>
      <x:c r="G140" s="10" t="str">
        <x:v>FAT-200139</x:v>
      </x:c>
      <x:c r="H140" s="10" t="str">
        <x:v>Contrato mensal</x:v>
      </x:c>
      <x:c r="I140" s="16" t="n">
        <x:v>45626.06504209491</x:v>
      </x:c>
      <x:c r="J140" s="16" t="n">
        <x:v>45641.06504209491</x:v>
      </x:c>
      <x:c r="K140" s="16" t="n">
        <x:v>45645.06504209491</x:v>
      </x:c>
      <x:c r="L140" s="20" t="n">
        <x:v>69277.73</x:v>
      </x:c>
      <x:c r="M140" s="20" t="n">
        <x:v>221.69</x:v>
      </x:c>
      <x:c r="N140" s="20" t="n">
        <x:v>0</x:v>
      </x:c>
      <x:c r="O140" s="20" t="n">
        <x:v>69499.42</x:v>
      </x:c>
      <x:c r="P140" s="20" t="n">
        <x:v>0</x:v>
      </x:c>
      <x:c r="Q140" s="10" t="str">
        <x:v>Recebido</x:v>
      </x:c>
      <x:c r="R140" s="10" t="str">
        <x:v>PIX</x:v>
      </x:c>
      <x:c r="S140" s="10" t="str">
        <x:v>2024-11</x:v>
      </x:c>
      <x:c r="T140" s="10" t="n">
        <x:v>0</x:v>
      </x:c>
      <x:c r="U140" s="10" t="str">
        <x:v>Liquidado</x:v>
      </x:c>
      <x:c r="V140" s="10" t="str">
        <x:v>Baixo</x:v>
      </x:c>
      <x:c r="W140" s="10" t="str">
        <x:v>Varejo</x:v>
      </x:c>
      <x:c r="X140" s="10" t="str">
        <x:v>UND002</x:v>
      </x:c>
    </x:row>
    <x:row r="141" ht="18" customHeight="1">
      <x:c r="A141" s="10" t="str">
        <x:v>REC00140</x:v>
      </x:c>
      <x:c r="B141" s="10" t="str">
        <x:v>EMP001</x:v>
      </x:c>
      <x:c r="C141" s="10" t="str">
        <x:v>CLI036</x:v>
      </x:c>
      <x:c r="D141" s="10" t="str">
        <x:v>CC002</x:v>
      </x:c>
      <x:c r="E141" s="10" t="str">
        <x:v>CAT004</x:v>
      </x:c>
      <x:c r="F141" s="10" t="str">
        <x:v>CTA002</x:v>
      </x:c>
      <x:c r="G141" s="10" t="str">
        <x:v>FAT-200140</x:v>
      </x:c>
      <x:c r="H141" s="10" t="str">
        <x:v>Projeto especial</x:v>
      </x:c>
      <x:c r="I141" s="16" t="n">
        <x:v>45561.8369146412</x:v>
      </x:c>
      <x:c r="J141" s="16" t="n">
        <x:v>45589.8369146412</x:v>
      </x:c>
      <x:c r="K141" s="16" t="n">
        <x:v>45586.8369146412</x:v>
      </x:c>
      <x:c r="L141" s="20" t="n">
        <x:v>35434.77</x:v>
      </x:c>
      <x:c r="M141" s="20" t="n">
        <x:v>0</x:v>
      </x:c>
      <x:c r="N141" s="20" t="n">
        <x:v>0</x:v>
      </x:c>
      <x:c r="O141" s="20" t="n">
        <x:v>35434.77</x:v>
      </x:c>
      <x:c r="P141" s="20" t="n">
        <x:v>0</x:v>
      </x:c>
      <x:c r="Q141" s="10" t="str">
        <x:v>Recebido</x:v>
      </x:c>
      <x:c r="R141" s="10" t="str">
        <x:v>PIX</x:v>
      </x:c>
      <x:c r="S141" s="10" t="str">
        <x:v>2024-09</x:v>
      </x:c>
      <x:c r="T141" s="10" t="n">
        <x:v>0</x:v>
      </x:c>
      <x:c r="U141" s="10" t="str">
        <x:v>Liquidado</x:v>
      </x:c>
      <x:c r="V141" s="10" t="str">
        <x:v>Baixo</x:v>
      </x:c>
      <x:c r="W141" s="10" t="str">
        <x:v>Atacado</x:v>
      </x:c>
      <x:c r="X141" s="10" t="str">
        <x:v>UND002</x:v>
      </x:c>
    </x:row>
    <x:row r="142" ht="18" customHeight="1">
      <x:c r="A142" s="10" t="str">
        <x:v>REC00141</x:v>
      </x:c>
      <x:c r="B142" s="10" t="str">
        <x:v>EMP001</x:v>
      </x:c>
      <x:c r="C142" s="10" t="str">
        <x:v>CLI074</x:v>
      </x:c>
      <x:c r="D142" s="10" t="str">
        <x:v>CC001</x:v>
      </x:c>
      <x:c r="E142" s="10" t="str">
        <x:v>CAT001</x:v>
      </x:c>
      <x:c r="F142" s="10" t="str">
        <x:v>CTA002</x:v>
      </x:c>
      <x:c r="G142" s="10" t="str">
        <x:v>FAT-200141</x:v>
      </x:c>
      <x:c r="H142" s="10" t="str">
        <x:v>Venda de produtos</x:v>
      </x:c>
      <x:c r="I142" s="16" t="n">
        <x:v>45689.75119635417</x:v>
      </x:c>
      <x:c r="J142" s="16" t="n">
        <x:v>45704.75119635417</x:v>
      </x:c>
      <x:c r="K142" s="16" t="n">
        <x:v>45717.75119635417</x:v>
      </x:c>
      <x:c r="L142" s="20" t="n">
        <x:v>61389.78</x:v>
      </x:c>
      <x:c r="M142" s="20" t="n">
        <x:v>638.45</x:v>
      </x:c>
      <x:c r="N142" s="20" t="n">
        <x:v>0</x:v>
      </x:c>
      <x:c r="O142" s="20" t="n">
        <x:v>62028.23</x:v>
      </x:c>
      <x:c r="P142" s="20" t="n">
        <x:v>0</x:v>
      </x:c>
      <x:c r="Q142" s="10" t="str">
        <x:v>Recebido</x:v>
      </x:c>
      <x:c r="R142" s="10" t="str">
        <x:v>Cartão</x:v>
      </x:c>
      <x:c r="S142" s="10" t="str">
        <x:v>2025-02</x:v>
      </x:c>
      <x:c r="T142" s="10" t="n">
        <x:v>0</x:v>
      </x:c>
      <x:c r="U142" s="10" t="str">
        <x:v>Liquidado</x:v>
      </x:c>
      <x:c r="V142" s="10" t="str">
        <x:v>Médio</x:v>
      </x:c>
      <x:c r="W142" s="10" t="str">
        <x:v>Tecnologia</x:v>
      </x:c>
      <x:c r="X142" s="10" t="str">
        <x:v>UND002</x:v>
      </x:c>
    </x:row>
    <x:row r="143" ht="18" customHeight="1">
      <x:c r="A143" s="10" t="str">
        <x:v>REC00142</x:v>
      </x:c>
      <x:c r="B143" s="10" t="str">
        <x:v>EMP002</x:v>
      </x:c>
      <x:c r="C143" s="10" t="str">
        <x:v>CLI069</x:v>
      </x:c>
      <x:c r="D143" s="10" t="str">
        <x:v>CC005</x:v>
      </x:c>
      <x:c r="E143" s="10" t="str">
        <x:v>CAT004</x:v>
      </x:c>
      <x:c r="F143" s="10" t="str">
        <x:v>CTA003</x:v>
      </x:c>
      <x:c r="G143" s="10" t="str">
        <x:v>FAT-200142</x:v>
      </x:c>
      <x:c r="H143" s="10" t="str">
        <x:v>Frete faturado</x:v>
      </x:c>
      <x:c r="I143" s="16" t="n">
        <x:v>45420.09678943287</x:v>
      </x:c>
      <x:c r="J143" s="16" t="n">
        <x:v>45450.09678943287</x:v>
      </x:c>
      <x:c r="K143" s="16"/>
      <x:c r="L143" s="20" t="n">
        <x:v>25621.75</x:v>
      </x:c>
      <x:c r="M143" s="20" t="n">
        <x:v>0</x:v>
      </x:c>
      <x:c r="N143" s="20" t="n">
        <x:v>0</x:v>
      </x:c>
      <x:c r="O143" s="20" t="n">
        <x:v>0</x:v>
      </x:c>
      <x:c r="P143" s="20" t="n">
        <x:v>25621.75</x:v>
      </x:c>
      <x:c r="Q143" s="10" t="str">
        <x:v>Vencido</x:v>
      </x:c>
      <x:c r="R143" s="10" t="str">
        <x:v>Cartão</x:v>
      </x:c>
      <x:c r="S143" s="10" t="str">
        <x:v>2024-05</x:v>
      </x:c>
      <x:c r="T143" s="10" t="n">
        <x:v>571</x:v>
      </x:c>
      <x:c r="U143" s="10" t="str">
        <x:v>&gt; 120 dias</x:v>
      </x:c>
      <x:c r="V143" s="10" t="str">
        <x:v>Alto</x:v>
      </x:c>
      <x:c r="W143" s="10" t="str">
        <x:v>Tecnologia</x:v>
      </x:c>
      <x:c r="X143" s="10" t="str">
        <x:v>UND003</x:v>
      </x:c>
    </x:row>
    <x:row r="144" ht="18" customHeight="1">
      <x:c r="A144" s="10" t="str">
        <x:v>REC00143</x:v>
      </x:c>
      <x:c r="B144" s="10" t="str">
        <x:v>EMP001</x:v>
      </x:c>
      <x:c r="C144" s="10" t="str">
        <x:v>CLI075</x:v>
      </x:c>
      <x:c r="D144" s="10" t="str">
        <x:v>CC003</x:v>
      </x:c>
      <x:c r="E144" s="10" t="str">
        <x:v>CAT004</x:v>
      </x:c>
      <x:c r="F144" s="10" t="str">
        <x:v>CTA001</x:v>
      </x:c>
      <x:c r="G144" s="10" t="str">
        <x:v>FAT-200143</x:v>
      </x:c>
      <x:c r="H144" s="10" t="str">
        <x:v>Prestação de serviços</x:v>
      </x:c>
      <x:c r="I144" s="16" t="n">
        <x:v>45653.842711446756</x:v>
      </x:c>
      <x:c r="J144" s="16" t="n">
        <x:v>45681.842711446756</x:v>
      </x:c>
      <x:c r="K144" s="16" t="n">
        <x:v>45695.842711446756</x:v>
      </x:c>
      <x:c r="L144" s="20" t="n">
        <x:v>39744.27</x:v>
      </x:c>
      <x:c r="M144" s="20" t="n">
        <x:v>445.14</x:v>
      </x:c>
      <x:c r="N144" s="20" t="n">
        <x:v>0</x:v>
      </x:c>
      <x:c r="O144" s="20" t="n">
        <x:v>40189.41</x:v>
      </x:c>
      <x:c r="P144" s="20" t="n">
        <x:v>0</x:v>
      </x:c>
      <x:c r="Q144" s="10" t="str">
        <x:v>Recebido</x:v>
      </x:c>
      <x:c r="R144" s="10" t="str">
        <x:v>TED</x:v>
      </x:c>
      <x:c r="S144" s="10" t="str">
        <x:v>2024-12</x:v>
      </x:c>
      <x:c r="T144" s="10" t="n">
        <x:v>0</x:v>
      </x:c>
      <x:c r="U144" s="10" t="str">
        <x:v>Liquidado</x:v>
      </x:c>
      <x:c r="V144" s="10" t="str">
        <x:v>Médio</x:v>
      </x:c>
      <x:c r="W144" s="10" t="str">
        <x:v>Varejo</x:v>
      </x:c>
      <x:c r="X144" s="10" t="str">
        <x:v>UND001</x:v>
      </x:c>
    </x:row>
    <x:row r="145" ht="18" customHeight="1">
      <x:c r="A145" s="10" t="str">
        <x:v>REC00144</x:v>
      </x:c>
      <x:c r="B145" s="10" t="str">
        <x:v>EMP002</x:v>
      </x:c>
      <x:c r="C145" s="10" t="str">
        <x:v>CLI040</x:v>
      </x:c>
      <x:c r="D145" s="10" t="str">
        <x:v>CC001</x:v>
      </x:c>
      <x:c r="E145" s="10" t="str">
        <x:v>CAT004</x:v>
      </x:c>
      <x:c r="F145" s="10" t="str">
        <x:v>CTA003</x:v>
      </x:c>
      <x:c r="G145" s="10" t="str">
        <x:v>FAT-200144</x:v>
      </x:c>
      <x:c r="H145" s="10" t="str">
        <x:v>Venda de produtos</x:v>
      </x:c>
      <x:c r="I145" s="16" t="n">
        <x:v>45567.15907513889</x:v>
      </x:c>
      <x:c r="J145" s="16" t="n">
        <x:v>45612.15907513889</x:v>
      </x:c>
      <x:c r="K145" s="16" t="n">
        <x:v>45611.15907513889</x:v>
      </x:c>
      <x:c r="L145" s="20" t="n">
        <x:v>136951.17</x:v>
      </x:c>
      <x:c r="M145" s="20" t="n">
        <x:v>0</x:v>
      </x:c>
      <x:c r="N145" s="20" t="n">
        <x:v>0</x:v>
      </x:c>
      <x:c r="O145" s="20" t="n">
        <x:v>136951.17</x:v>
      </x:c>
      <x:c r="P145" s="20" t="n">
        <x:v>0</x:v>
      </x:c>
      <x:c r="Q145" s="10" t="str">
        <x:v>Recebido</x:v>
      </x:c>
      <x:c r="R145" s="10" t="str">
        <x:v>PIX</x:v>
      </x:c>
      <x:c r="S145" s="10" t="str">
        <x:v>2024-10</x:v>
      </x:c>
      <x:c r="T145" s="10" t="n">
        <x:v>0</x:v>
      </x:c>
      <x:c r="U145" s="10" t="str">
        <x:v>Liquidado</x:v>
      </x:c>
      <x:c r="V145" s="10" t="str">
        <x:v>Baixo</x:v>
      </x:c>
      <x:c r="W145" s="10" t="str">
        <x:v>Saúde</x:v>
      </x:c>
      <x:c r="X145" s="10" t="str">
        <x:v>UND003</x:v>
      </x:c>
    </x:row>
    <x:row r="146" ht="18" customHeight="1">
      <x:c r="A146" s="10" t="str">
        <x:v>REC00145</x:v>
      </x:c>
      <x:c r="B146" s="10" t="str">
        <x:v>EMP003</x:v>
      </x:c>
      <x:c r="C146" s="10" t="str">
        <x:v>CLI054</x:v>
      </x:c>
      <x:c r="D146" s="10" t="str">
        <x:v>CC008</x:v>
      </x:c>
      <x:c r="E146" s="10" t="str">
        <x:v>CAT003</x:v>
      </x:c>
      <x:c r="F146" s="10" t="str">
        <x:v>CTA006</x:v>
      </x:c>
      <x:c r="G146" s="10" t="str">
        <x:v>FAT-200145</x:v>
      </x:c>
      <x:c r="H146" s="10" t="str">
        <x:v>Contrato mensal</x:v>
      </x:c>
      <x:c r="I146" s="16" t="n">
        <x:v>45859.19680748843</x:v>
      </x:c>
      <x:c r="J146" s="16" t="n">
        <x:v>45919.19680748843</x:v>
      </x:c>
      <x:c r="K146" s="16" t="n">
        <x:v>45916.19680748843</x:v>
      </x:c>
      <x:c r="L146" s="20" t="n">
        <x:v>142062.46</x:v>
      </x:c>
      <x:c r="M146" s="20" t="n">
        <x:v>0</x:v>
      </x:c>
      <x:c r="N146" s="20" t="n">
        <x:v>0</x:v>
      </x:c>
      <x:c r="O146" s="20" t="n">
        <x:v>142062.46</x:v>
      </x:c>
      <x:c r="P146" s="20" t="n">
        <x:v>0</x:v>
      </x:c>
      <x:c r="Q146" s="10" t="str">
        <x:v>Recebido</x:v>
      </x:c>
      <x:c r="R146" s="10" t="str">
        <x:v>TED</x:v>
      </x:c>
      <x:c r="S146" s="10" t="str">
        <x:v>2025-07</x:v>
      </x:c>
      <x:c r="T146" s="10" t="n">
        <x:v>0</x:v>
      </x:c>
      <x:c r="U146" s="10" t="str">
        <x:v>Liquidado</x:v>
      </x:c>
      <x:c r="V146" s="10" t="str">
        <x:v>Médio</x:v>
      </x:c>
      <x:c r="W146" s="10" t="str">
        <x:v>Indústria</x:v>
      </x:c>
      <x:c r="X146" s="10" t="str">
        <x:v>UND004</x:v>
      </x:c>
    </x:row>
    <x:row r="147" ht="18" customHeight="1">
      <x:c r="A147" s="10" t="str">
        <x:v>REC00146</x:v>
      </x:c>
      <x:c r="B147" s="10" t="str">
        <x:v>EMP003</x:v>
      </x:c>
      <x:c r="C147" s="10" t="str">
        <x:v>CLI076</x:v>
      </x:c>
      <x:c r="D147" s="10" t="str">
        <x:v>CC008</x:v>
      </x:c>
      <x:c r="E147" s="10" t="str">
        <x:v>CAT003</x:v>
      </x:c>
      <x:c r="F147" s="10" t="str">
        <x:v>CTA005</x:v>
      </x:c>
      <x:c r="G147" s="10" t="str">
        <x:v>FAT-200146</x:v>
      </x:c>
      <x:c r="H147" s="10" t="str">
        <x:v>Projeto especial</x:v>
      </x:c>
      <x:c r="I147" s="16" t="n">
        <x:v>45309.91608667824</x:v>
      </x:c>
      <x:c r="J147" s="16" t="n">
        <x:v>45324.91608667824</x:v>
      </x:c>
      <x:c r="K147" s="16" t="n">
        <x:v>45330.91608667824</x:v>
      </x:c>
      <x:c r="L147" s="20" t="n">
        <x:v>43409.36</x:v>
      </x:c>
      <x:c r="M147" s="20" t="n">
        <x:v>208.36</x:v>
      </x:c>
      <x:c r="N147" s="20" t="n">
        <x:v>0</x:v>
      </x:c>
      <x:c r="O147" s="20" t="n">
        <x:v>43617.72</x:v>
      </x:c>
      <x:c r="P147" s="20" t="n">
        <x:v>0</x:v>
      </x:c>
      <x:c r="Q147" s="10" t="str">
        <x:v>Recebido</x:v>
      </x:c>
      <x:c r="R147" s="10" t="str">
        <x:v>Boleto</x:v>
      </x:c>
      <x:c r="S147" s="10" t="str">
        <x:v>2024-01</x:v>
      </x:c>
      <x:c r="T147" s="10" t="n">
        <x:v>0</x:v>
      </x:c>
      <x:c r="U147" s="10" t="str">
        <x:v>Liquidado</x:v>
      </x:c>
      <x:c r="V147" s="10" t="str">
        <x:v>Baixo</x:v>
      </x:c>
      <x:c r="W147" s="10" t="str">
        <x:v>Tecnologia</x:v>
      </x:c>
      <x:c r="X147" s="10" t="str">
        <x:v>UND004</x:v>
      </x:c>
    </x:row>
    <x:row r="148" ht="18" customHeight="1">
      <x:c r="A148" s="10" t="str">
        <x:v>REC00147</x:v>
      </x:c>
      <x:c r="B148" s="10" t="str">
        <x:v>EMP002</x:v>
      </x:c>
      <x:c r="C148" s="10" t="str">
        <x:v>CLI003</x:v>
      </x:c>
      <x:c r="D148" s="10" t="str">
        <x:v>CC008</x:v>
      </x:c>
      <x:c r="E148" s="10" t="str">
        <x:v>CAT004</x:v>
      </x:c>
      <x:c r="F148" s="10" t="str">
        <x:v>CTA004</x:v>
      </x:c>
      <x:c r="G148" s="10" t="str">
        <x:v>FAT-200147</x:v>
      </x:c>
      <x:c r="H148" s="10" t="str">
        <x:v>Venda de produtos</x:v>
      </x:c>
      <x:c r="I148" s="16" t="n">
        <x:v>45482.757311898145</x:v>
      </x:c>
      <x:c r="J148" s="16" t="n">
        <x:v>45527.757311898145</x:v>
      </x:c>
      <x:c r="K148" s="16" t="n">
        <x:v>45540.757311898145</x:v>
      </x:c>
      <x:c r="L148" s="20" t="n">
        <x:v>69305.52</x:v>
      </x:c>
      <x:c r="M148" s="20" t="n">
        <x:v>720.78</x:v>
      </x:c>
      <x:c r="N148" s="20" t="n">
        <x:v>0</x:v>
      </x:c>
      <x:c r="O148" s="20" t="n">
        <x:v>70026.3</x:v>
      </x:c>
      <x:c r="P148" s="20" t="n">
        <x:v>0</x:v>
      </x:c>
      <x:c r="Q148" s="10" t="str">
        <x:v>Recebido</x:v>
      </x:c>
      <x:c r="R148" s="10" t="str">
        <x:v>Cartão</x:v>
      </x:c>
      <x:c r="S148" s="10" t="str">
        <x:v>2024-07</x:v>
      </x:c>
      <x:c r="T148" s="10" t="n">
        <x:v>0</x:v>
      </x:c>
      <x:c r="U148" s="10" t="str">
        <x:v>Liquidado</x:v>
      </x:c>
      <x:c r="V148" s="10" t="str">
        <x:v>Médio</x:v>
      </x:c>
      <x:c r="W148" s="10" t="str">
        <x:v>Saúde</x:v>
      </x:c>
      <x:c r="X148" s="10" t="str">
        <x:v>UND003</x:v>
      </x:c>
    </x:row>
    <x:row r="149" ht="18" customHeight="1">
      <x:c r="A149" s="10" t="str">
        <x:v>REC00148</x:v>
      </x:c>
      <x:c r="B149" s="10" t="str">
        <x:v>EMP001</x:v>
      </x:c>
      <x:c r="C149" s="10" t="str">
        <x:v>CLI059</x:v>
      </x:c>
      <x:c r="D149" s="10" t="str">
        <x:v>CC002</x:v>
      </x:c>
      <x:c r="E149" s="10" t="str">
        <x:v>CAT002</x:v>
      </x:c>
      <x:c r="F149" s="10" t="str">
        <x:v>CTA001</x:v>
      </x:c>
      <x:c r="G149" s="10" t="str">
        <x:v>FAT-200148</x:v>
      </x:c>
      <x:c r="H149" s="10" t="str">
        <x:v>Frete faturado</x:v>
      </x:c>
      <x:c r="I149" s="16" t="n">
        <x:v>45735.8461359375</x:v>
      </x:c>
      <x:c r="J149" s="16" t="n">
        <x:v>45795.8461359375</x:v>
      </x:c>
      <x:c r="K149" s="16" t="n">
        <x:v>45794.8461359375</x:v>
      </x:c>
      <x:c r="L149" s="20" t="n">
        <x:v>33195.39</x:v>
      </x:c>
      <x:c r="M149" s="20" t="n">
        <x:v>0</x:v>
      </x:c>
      <x:c r="N149" s="20" t="n">
        <x:v>0</x:v>
      </x:c>
      <x:c r="O149" s="20" t="n">
        <x:v>33195.39</x:v>
      </x:c>
      <x:c r="P149" s="20" t="n">
        <x:v>0</x:v>
      </x:c>
      <x:c r="Q149" s="10" t="str">
        <x:v>Recebido</x:v>
      </x:c>
      <x:c r="R149" s="10" t="str">
        <x:v>Boleto</x:v>
      </x:c>
      <x:c r="S149" s="10" t="str">
        <x:v>2025-03</x:v>
      </x:c>
      <x:c r="T149" s="10" t="n">
        <x:v>0</x:v>
      </x:c>
      <x:c r="U149" s="10" t="str">
        <x:v>Liquidado</x:v>
      </x:c>
      <x:c r="V149" s="10" t="str">
        <x:v>Baixo</x:v>
      </x:c>
      <x:c r="W149" s="10" t="str">
        <x:v>Indústria</x:v>
      </x:c>
      <x:c r="X149" s="10" t="str">
        <x:v>UND002</x:v>
      </x:c>
    </x:row>
    <x:row r="150" ht="18" customHeight="1">
      <x:c r="A150" s="10" t="str">
        <x:v>REC00149</x:v>
      </x:c>
      <x:c r="B150" s="10" t="str">
        <x:v>EMP003</x:v>
      </x:c>
      <x:c r="C150" s="10" t="str">
        <x:v>CLI060</x:v>
      </x:c>
      <x:c r="D150" s="10" t="str">
        <x:v>CC002</x:v>
      </x:c>
      <x:c r="E150" s="10" t="str">
        <x:v>CAT003</x:v>
      </x:c>
      <x:c r="F150" s="10" t="str">
        <x:v>CTA006</x:v>
      </x:c>
      <x:c r="G150" s="10" t="str">
        <x:v>FAT-200149</x:v>
      </x:c>
      <x:c r="H150" s="10" t="str">
        <x:v>Prestação de serviços</x:v>
      </x:c>
      <x:c r="I150" s="16" t="n">
        <x:v>45903.22383163194</x:v>
      </x:c>
      <x:c r="J150" s="16" t="n">
        <x:v>45918.22383163194</x:v>
      </x:c>
      <x:c r="K150" s="16" t="n">
        <x:v>45918.22383163194</x:v>
      </x:c>
      <x:c r="L150" s="20" t="n">
        <x:v>139560.5</x:v>
      </x:c>
      <x:c r="M150" s="20" t="n">
        <x:v>0</x:v>
      </x:c>
      <x:c r="N150" s="20" t="n">
        <x:v>0</x:v>
      </x:c>
      <x:c r="O150" s="20" t="n">
        <x:v>139560.5</x:v>
      </x:c>
      <x:c r="P150" s="20" t="n">
        <x:v>0</x:v>
      </x:c>
      <x:c r="Q150" s="10" t="str">
        <x:v>Recebido</x:v>
      </x:c>
      <x:c r="R150" s="10" t="str">
        <x:v>PIX</x:v>
      </x:c>
      <x:c r="S150" s="10" t="str">
        <x:v>2025-09</x:v>
      </x:c>
      <x:c r="T150" s="10" t="n">
        <x:v>0</x:v>
      </x:c>
      <x:c r="U150" s="10" t="str">
        <x:v>Liquidado</x:v>
      </x:c>
      <x:c r="V150" s="10" t="str">
        <x:v>Baixo</x:v>
      </x:c>
      <x:c r="W150" s="10" t="str">
        <x:v>Atacado</x:v>
      </x:c>
      <x:c r="X150" s="10" t="str">
        <x:v>UND004</x:v>
      </x:c>
    </x:row>
    <x:row r="151" ht="18" customHeight="1">
      <x:c r="A151" s="10" t="str">
        <x:v>REC00150</x:v>
      </x:c>
      <x:c r="B151" s="10" t="str">
        <x:v>EMP001</x:v>
      </x:c>
      <x:c r="C151" s="10" t="str">
        <x:v>CLI008</x:v>
      </x:c>
      <x:c r="D151" s="10" t="str">
        <x:v>CC001</x:v>
      </x:c>
      <x:c r="E151" s="10" t="str">
        <x:v>CAT001</x:v>
      </x:c>
      <x:c r="F151" s="10" t="str">
        <x:v>CTA001</x:v>
      </x:c>
      <x:c r="G151" s="10" t="str">
        <x:v>FAT-200150</x:v>
      </x:c>
      <x:c r="H151" s="10" t="str">
        <x:v>Projeto especial</x:v>
      </x:c>
      <x:c r="I151" s="16" t="n">
        <x:v>45414.39435858796</x:v>
      </x:c>
      <x:c r="J151" s="16" t="n">
        <x:v>45459.39435858796</x:v>
      </x:c>
      <x:c r="K151" s="16" t="n">
        <x:v>45473.39435858796</x:v>
      </x:c>
      <x:c r="L151" s="20" t="n">
        <x:v>102445.13</x:v>
      </x:c>
      <x:c r="M151" s="20" t="n">
        <x:v>1147.39</x:v>
      </x:c>
      <x:c r="N151" s="20" t="n">
        <x:v>0</x:v>
      </x:c>
      <x:c r="O151" s="20" t="n">
        <x:v>103592.52</x:v>
      </x:c>
      <x:c r="P151" s="20" t="n">
        <x:v>0</x:v>
      </x:c>
      <x:c r="Q151" s="10" t="str">
        <x:v>Recebido</x:v>
      </x:c>
      <x:c r="R151" s="10" t="str">
        <x:v>Débito em Conta</x:v>
      </x:c>
      <x:c r="S151" s="10" t="str">
        <x:v>2024-05</x:v>
      </x:c>
      <x:c r="T151" s="10" t="n">
        <x:v>0</x:v>
      </x:c>
      <x:c r="U151" s="10" t="str">
        <x:v>Liquidado</x:v>
      </x:c>
      <x:c r="V151" s="10" t="str">
        <x:v>Médio</x:v>
      </x:c>
      <x:c r="W151" s="10" t="str">
        <x:v>Saúde</x:v>
      </x:c>
      <x:c r="X151" s="10" t="str">
        <x:v>UND002</x:v>
      </x:c>
    </x:row>
    <x:row r="152" ht="18" customHeight="1">
      <x:c r="A152" s="10" t="str">
        <x:v>REC00151</x:v>
      </x:c>
      <x:c r="B152" s="10" t="str">
        <x:v>EMP002</x:v>
      </x:c>
      <x:c r="C152" s="10" t="str">
        <x:v>CLI080</x:v>
      </x:c>
      <x:c r="D152" s="10" t="str">
        <x:v>CC002</x:v>
      </x:c>
      <x:c r="E152" s="10" t="str">
        <x:v>CAT004</x:v>
      </x:c>
      <x:c r="F152" s="10" t="str">
        <x:v>CTA004</x:v>
      </x:c>
      <x:c r="G152" s="10" t="str">
        <x:v>FAT-200151</x:v>
      </x:c>
      <x:c r="H152" s="10" t="str">
        <x:v>Venda de produtos</x:v>
      </x:c>
      <x:c r="I152" s="16" t="n">
        <x:v>45431.44130561343</x:v>
      </x:c>
      <x:c r="J152" s="16" t="n">
        <x:v>45491.44130561343</x:v>
      </x:c>
      <x:c r="K152" s="16" t="n">
        <x:v>45494.44130561343</x:v>
      </x:c>
      <x:c r="L152" s="20" t="n">
        <x:v>66692.32</x:v>
      </x:c>
      <x:c r="M152" s="20" t="n">
        <x:v>160.06</x:v>
      </x:c>
      <x:c r="N152" s="20" t="n">
        <x:v>0</x:v>
      </x:c>
      <x:c r="O152" s="20" t="n">
        <x:v>66852.38</x:v>
      </x:c>
      <x:c r="P152" s="20" t="n">
        <x:v>0</x:v>
      </x:c>
      <x:c r="Q152" s="10" t="str">
        <x:v>Recebido</x:v>
      </x:c>
      <x:c r="R152" s="10" t="str">
        <x:v>Débito em Conta</x:v>
      </x:c>
      <x:c r="S152" s="10" t="str">
        <x:v>2024-05</x:v>
      </x:c>
      <x:c r="T152" s="10" t="n">
        <x:v>0</x:v>
      </x:c>
      <x:c r="U152" s="10" t="str">
        <x:v>Liquidado</x:v>
      </x:c>
      <x:c r="V152" s="10" t="str">
        <x:v>Médio</x:v>
      </x:c>
      <x:c r="W152" s="10" t="str">
        <x:v>Atacado</x:v>
      </x:c>
      <x:c r="X152" s="10" t="str">
        <x:v>UND003</x:v>
      </x:c>
    </x:row>
    <x:row r="153" ht="18" customHeight="1">
      <x:c r="A153" s="10" t="str">
        <x:v>REC00152</x:v>
      </x:c>
      <x:c r="B153" s="10" t="str">
        <x:v>EMP001</x:v>
      </x:c>
      <x:c r="C153" s="10" t="str">
        <x:v>CLI049</x:v>
      </x:c>
      <x:c r="D153" s="10" t="str">
        <x:v>CC004</x:v>
      </x:c>
      <x:c r="E153" s="10" t="str">
        <x:v>CAT003</x:v>
      </x:c>
      <x:c r="F153" s="10" t="str">
        <x:v>CTA002</x:v>
      </x:c>
      <x:c r="G153" s="10" t="str">
        <x:v>FAT-200152</x:v>
      </x:c>
      <x:c r="H153" s="10" t="str">
        <x:v>Prestação de serviços</x:v>
      </x:c>
      <x:c r="I153" s="16" t="n">
        <x:v>45460.65679071759</x:v>
      </x:c>
      <x:c r="J153" s="16" t="n">
        <x:v>45488.65679071759</x:v>
      </x:c>
      <x:c r="K153" s="16"/>
      <x:c r="L153" s="20" t="n">
        <x:v>124032.38</x:v>
      </x:c>
      <x:c r="M153" s="20" t="n">
        <x:v>0</x:v>
      </x:c>
      <x:c r="N153" s="20" t="n">
        <x:v>0</x:v>
      </x:c>
      <x:c r="O153" s="20" t="n">
        <x:v>0</x:v>
      </x:c>
      <x:c r="P153" s="20" t="n">
        <x:v>124032.38</x:v>
      </x:c>
      <x:c r="Q153" s="10" t="str">
        <x:v>Vencido</x:v>
      </x:c>
      <x:c r="R153" s="10" t="str">
        <x:v>PIX</x:v>
      </x:c>
      <x:c r="S153" s="10" t="str">
        <x:v>2024-06</x:v>
      </x:c>
      <x:c r="T153" s="10" t="n">
        <x:v>533</x:v>
      </x:c>
      <x:c r="U153" s="10" t="str">
        <x:v>&gt; 120 dias</x:v>
      </x:c>
      <x:c r="V153" s="10" t="str">
        <x:v>Médio</x:v>
      </x:c>
      <x:c r="W153" s="10" t="str">
        <x:v>Serviços</x:v>
      </x:c>
      <x:c r="X153" s="10" t="str">
        <x:v>UND002</x:v>
      </x:c>
    </x:row>
    <x:row r="154" ht="18" customHeight="1">
      <x:c r="A154" s="10" t="str">
        <x:v>REC00153</x:v>
      </x:c>
      <x:c r="B154" s="10" t="str">
        <x:v>EMP001</x:v>
      </x:c>
      <x:c r="C154" s="10" t="str">
        <x:v>CLI049</x:v>
      </x:c>
      <x:c r="D154" s="10" t="str">
        <x:v>CC004</x:v>
      </x:c>
      <x:c r="E154" s="10" t="str">
        <x:v>CAT003</x:v>
      </x:c>
      <x:c r="F154" s="10" t="str">
        <x:v>CTA002</x:v>
      </x:c>
      <x:c r="G154" s="10" t="str">
        <x:v>FAT-200153</x:v>
      </x:c>
      <x:c r="H154" s="10" t="str">
        <x:v>Contrato mensal</x:v>
      </x:c>
      <x:c r="I154" s="16" t="n">
        <x:v>45510.9844450463</x:v>
      </x:c>
      <x:c r="J154" s="16" t="n">
        <x:v>45538.9844450463</x:v>
      </x:c>
      <x:c r="K154" s="16" t="n">
        <x:v>45536.9844450463</x:v>
      </x:c>
      <x:c r="L154" s="20" t="n">
        <x:v>38444.94</x:v>
      </x:c>
      <x:c r="M154" s="20" t="n">
        <x:v>0</x:v>
      </x:c>
      <x:c r="N154" s="20" t="n">
        <x:v>768.9</x:v>
      </x:c>
      <x:c r="O154" s="20" t="n">
        <x:v>37676.04</x:v>
      </x:c>
      <x:c r="P154" s="20" t="n">
        <x:v>0</x:v>
      </x:c>
      <x:c r="Q154" s="10" t="str">
        <x:v>Recebido</x:v>
      </x:c>
      <x:c r="R154" s="10" t="str">
        <x:v>Cartão</x:v>
      </x:c>
      <x:c r="S154" s="10" t="str">
        <x:v>2024-08</x:v>
      </x:c>
      <x:c r="T154" s="10" t="n">
        <x:v>0</x:v>
      </x:c>
      <x:c r="U154" s="10" t="str">
        <x:v>Liquidado</x:v>
      </x:c>
      <x:c r="V154" s="10" t="str">
        <x:v>Médio</x:v>
      </x:c>
      <x:c r="W154" s="10" t="str">
        <x:v>Serviços</x:v>
      </x:c>
      <x:c r="X154" s="10" t="str">
        <x:v>UND002</x:v>
      </x:c>
    </x:row>
    <x:row r="155" ht="18" customHeight="1">
      <x:c r="A155" s="10" t="str">
        <x:v>REC00154</x:v>
      </x:c>
      <x:c r="B155" s="10" t="str">
        <x:v>EMP003</x:v>
      </x:c>
      <x:c r="C155" s="10" t="str">
        <x:v>CLI010</x:v>
      </x:c>
      <x:c r="D155" s="10" t="str">
        <x:v>CC007</x:v>
      </x:c>
      <x:c r="E155" s="10" t="str">
        <x:v>CAT004</x:v>
      </x:c>
      <x:c r="F155" s="10" t="str">
        <x:v>CTA005</x:v>
      </x:c>
      <x:c r="G155" s="10" t="str">
        <x:v>FAT-200154</x:v>
      </x:c>
      <x:c r="H155" s="10" t="str">
        <x:v>Frete faturado</x:v>
      </x:c>
      <x:c r="I155" s="16" t="n">
        <x:v>45774.452020046294</x:v>
      </x:c>
      <x:c r="J155" s="16" t="n">
        <x:v>45795.452020046294</x:v>
      </x:c>
      <x:c r="K155" s="16" t="n">
        <x:v>45798.452020046294</x:v>
      </x:c>
      <x:c r="L155" s="20" t="n">
        <x:v>143706.82</x:v>
      </x:c>
      <x:c r="M155" s="20" t="n">
        <x:v>344.9</x:v>
      </x:c>
      <x:c r="N155" s="20" t="n">
        <x:v>0</x:v>
      </x:c>
      <x:c r="O155" s="20" t="n">
        <x:v>144051.72</x:v>
      </x:c>
      <x:c r="P155" s="20" t="n">
        <x:v>0</x:v>
      </x:c>
      <x:c r="Q155" s="10" t="str">
        <x:v>Recebido</x:v>
      </x:c>
      <x:c r="R155" s="10" t="str">
        <x:v>TED</x:v>
      </x:c>
      <x:c r="S155" s="10" t="str">
        <x:v>2025-04</x:v>
      </x:c>
      <x:c r="T155" s="10" t="n">
        <x:v>0</x:v>
      </x:c>
      <x:c r="U155" s="10" t="str">
        <x:v>Liquidado</x:v>
      </x:c>
      <x:c r="V155" s="10" t="str">
        <x:v>Baixo</x:v>
      </x:c>
      <x:c r="W155" s="10" t="str">
        <x:v>Indústria</x:v>
      </x:c>
      <x:c r="X155" s="10" t="str">
        <x:v>UND004</x:v>
      </x:c>
    </x:row>
    <x:row r="156" ht="18" customHeight="1">
      <x:c r="A156" s="10" t="str">
        <x:v>REC00155</x:v>
      </x:c>
      <x:c r="B156" s="10" t="str">
        <x:v>EMP001</x:v>
      </x:c>
      <x:c r="C156" s="10" t="str">
        <x:v>CLI033</x:v>
      </x:c>
      <x:c r="D156" s="10" t="str">
        <x:v>CC005</x:v>
      </x:c>
      <x:c r="E156" s="10" t="str">
        <x:v>CAT004</x:v>
      </x:c>
      <x:c r="F156" s="10" t="str">
        <x:v>CTA002</x:v>
      </x:c>
      <x:c r="G156" s="10" t="str">
        <x:v>FAT-200155</x:v>
      </x:c>
      <x:c r="H156" s="10" t="str">
        <x:v>Prestação de serviços</x:v>
      </x:c>
      <x:c r="I156" s="16" t="n">
        <x:v>45420.286824270835</x:v>
      </x:c>
      <x:c r="J156" s="16" t="n">
        <x:v>45455.286824270835</x:v>
      </x:c>
      <x:c r="K156" s="16" t="n">
        <x:v>45455.286824270835</x:v>
      </x:c>
      <x:c r="L156" s="20" t="n">
        <x:v>17669.97</x:v>
      </x:c>
      <x:c r="M156" s="20" t="n">
        <x:v>0</x:v>
      </x:c>
      <x:c r="N156" s="20" t="n">
        <x:v>0</x:v>
      </x:c>
      <x:c r="O156" s="20" t="n">
        <x:v>17669.97</x:v>
      </x:c>
      <x:c r="P156" s="20" t="n">
        <x:v>0</x:v>
      </x:c>
      <x:c r="Q156" s="10" t="str">
        <x:v>Recebido</x:v>
      </x:c>
      <x:c r="R156" s="10" t="str">
        <x:v>PIX</x:v>
      </x:c>
      <x:c r="S156" s="10" t="str">
        <x:v>2024-05</x:v>
      </x:c>
      <x:c r="T156" s="10" t="n">
        <x:v>0</x:v>
      </x:c>
      <x:c r="U156" s="10" t="str">
        <x:v>Liquidado</x:v>
      </x:c>
      <x:c r="V156" s="10" t="str">
        <x:v>Médio</x:v>
      </x:c>
      <x:c r="W156" s="10" t="str">
        <x:v>Varejo</x:v>
      </x:c>
      <x:c r="X156" s="10" t="str">
        <x:v>UND001</x:v>
      </x:c>
    </x:row>
    <x:row r="157" ht="18" customHeight="1">
      <x:c r="A157" s="10" t="str">
        <x:v>REC00156</x:v>
      </x:c>
      <x:c r="B157" s="10" t="str">
        <x:v>EMP001</x:v>
      </x:c>
      <x:c r="C157" s="10" t="str">
        <x:v>CLI071</x:v>
      </x:c>
      <x:c r="D157" s="10" t="str">
        <x:v>CC007</x:v>
      </x:c>
      <x:c r="E157" s="10" t="str">
        <x:v>CAT002</x:v>
      </x:c>
      <x:c r="F157" s="10" t="str">
        <x:v>CTA001</x:v>
      </x:c>
      <x:c r="G157" s="10" t="str">
        <x:v>FAT-200156</x:v>
      </x:c>
      <x:c r="H157" s="10" t="str">
        <x:v>Projeto especial</x:v>
      </x:c>
      <x:c r="I157" s="16" t="n">
        <x:v>45746.079488020834</x:v>
      </x:c>
      <x:c r="J157" s="16" t="n">
        <x:v>45774.079488020834</x:v>
      </x:c>
      <x:c r="K157" s="16" t="n">
        <x:v>45774.079488020834</x:v>
      </x:c>
      <x:c r="L157" s="20" t="n">
        <x:v>1667.43</x:v>
      </x:c>
      <x:c r="M157" s="20" t="n">
        <x:v>0</x:v>
      </x:c>
      <x:c r="N157" s="20" t="n">
        <x:v>0</x:v>
      </x:c>
      <x:c r="O157" s="20" t="n">
        <x:v>1667.43</x:v>
      </x:c>
      <x:c r="P157" s="20" t="n">
        <x:v>0</x:v>
      </x:c>
      <x:c r="Q157" s="10" t="str">
        <x:v>Recebido</x:v>
      </x:c>
      <x:c r="R157" s="10" t="str">
        <x:v>TED</x:v>
      </x:c>
      <x:c r="S157" s="10" t="str">
        <x:v>2025-03</x:v>
      </x:c>
      <x:c r="T157" s="10" t="n">
        <x:v>0</x:v>
      </x:c>
      <x:c r="U157" s="10" t="str">
        <x:v>Liquidado</x:v>
      </x:c>
      <x:c r="V157" s="10" t="str">
        <x:v>Baixo</x:v>
      </x:c>
      <x:c r="W157" s="10" t="str">
        <x:v>Tecnologia</x:v>
      </x:c>
      <x:c r="X157" s="10" t="str">
        <x:v>UND001</x:v>
      </x:c>
    </x:row>
    <x:row r="158" ht="18" customHeight="1">
      <x:c r="A158" s="10" t="str">
        <x:v>REC00157</x:v>
      </x:c>
      <x:c r="B158" s="10" t="str">
        <x:v>EMP003</x:v>
      </x:c>
      <x:c r="C158" s="10" t="str">
        <x:v>CLI066</x:v>
      </x:c>
      <x:c r="D158" s="10" t="str">
        <x:v>CC003</x:v>
      </x:c>
      <x:c r="E158" s="10" t="str">
        <x:v>CAT001</x:v>
      </x:c>
      <x:c r="F158" s="10" t="str">
        <x:v>CTA006</x:v>
      </x:c>
      <x:c r="G158" s="10" t="str">
        <x:v>FAT-200157</x:v>
      </x:c>
      <x:c r="H158" s="10" t="str">
        <x:v>Prestação de serviços</x:v>
      </x:c>
      <x:c r="I158" s="16" t="n">
        <x:v>45553.56447091435</x:v>
      </x:c>
      <x:c r="J158" s="16" t="n">
        <x:v>45568.56447091435</x:v>
      </x:c>
      <x:c r="K158" s="16" t="n">
        <x:v>45562.56447091435</x:v>
      </x:c>
      <x:c r="L158" s="20" t="n">
        <x:v>1782.39</x:v>
      </x:c>
      <x:c r="M158" s="20" t="n">
        <x:v>0</x:v>
      </x:c>
      <x:c r="N158" s="20" t="n">
        <x:v>8.91</x:v>
      </x:c>
      <x:c r="O158" s="20" t="n">
        <x:v>1773.48</x:v>
      </x:c>
      <x:c r="P158" s="20" t="n">
        <x:v>0</x:v>
      </x:c>
      <x:c r="Q158" s="10" t="str">
        <x:v>Recebido</x:v>
      </x:c>
      <x:c r="R158" s="10" t="str">
        <x:v>Cartão</x:v>
      </x:c>
      <x:c r="S158" s="10" t="str">
        <x:v>2024-09</x:v>
      </x:c>
      <x:c r="T158" s="10" t="n">
        <x:v>0</x:v>
      </x:c>
      <x:c r="U158" s="10" t="str">
        <x:v>Liquidado</x:v>
      </x:c>
      <x:c r="V158" s="10" t="str">
        <x:v>Baixo</x:v>
      </x:c>
      <x:c r="W158" s="10" t="str">
        <x:v>Varejo</x:v>
      </x:c>
      <x:c r="X158" s="10" t="str">
        <x:v>UND004</x:v>
      </x:c>
    </x:row>
    <x:row r="159" ht="18" customHeight="1">
      <x:c r="A159" s="10" t="str">
        <x:v>REC00158</x:v>
      </x:c>
      <x:c r="B159" s="10" t="str">
        <x:v>EMP001</x:v>
      </x:c>
      <x:c r="C159" s="10" t="str">
        <x:v>CLI048</x:v>
      </x:c>
      <x:c r="D159" s="10" t="str">
        <x:v>CC006</x:v>
      </x:c>
      <x:c r="E159" s="10" t="str">
        <x:v>CAT001</x:v>
      </x:c>
      <x:c r="F159" s="10" t="str">
        <x:v>CTA002</x:v>
      </x:c>
      <x:c r="G159" s="10" t="str">
        <x:v>FAT-200158</x:v>
      </x:c>
      <x:c r="H159" s="10" t="str">
        <x:v>Projeto especial</x:v>
      </x:c>
      <x:c r="I159" s="16" t="n">
        <x:v>45630.51549640046</x:v>
      </x:c>
      <x:c r="J159" s="16" t="n">
        <x:v>45675.51549640046</x:v>
      </x:c>
      <x:c r="K159" s="16" t="n">
        <x:v>45679.51549640046</x:v>
      </x:c>
      <x:c r="L159" s="20" t="n">
        <x:v>106103.93</x:v>
      </x:c>
      <x:c r="M159" s="20" t="n">
        <x:v>339.53</x:v>
      </x:c>
      <x:c r="N159" s="20" t="n">
        <x:v>0</x:v>
      </x:c>
      <x:c r="O159" s="20" t="n">
        <x:v>106443.46</x:v>
      </x:c>
      <x:c r="P159" s="20" t="n">
        <x:v>0</x:v>
      </x:c>
      <x:c r="Q159" s="10" t="str">
        <x:v>Recebido</x:v>
      </x:c>
      <x:c r="R159" s="10" t="str">
        <x:v>Boleto</x:v>
      </x:c>
      <x:c r="S159" s="10" t="str">
        <x:v>2024-12</x:v>
      </x:c>
      <x:c r="T159" s="10" t="n">
        <x:v>0</x:v>
      </x:c>
      <x:c r="U159" s="10" t="str">
        <x:v>Liquidado</x:v>
      </x:c>
      <x:c r="V159" s="10" t="str">
        <x:v>Baixo</x:v>
      </x:c>
      <x:c r="W159" s="10" t="str">
        <x:v>Tecnologia</x:v>
      </x:c>
      <x:c r="X159" s="10" t="str">
        <x:v>UND002</x:v>
      </x:c>
    </x:row>
    <x:row r="160" ht="18" customHeight="1">
      <x:c r="A160" s="10" t="str">
        <x:v>REC00159</x:v>
      </x:c>
      <x:c r="B160" s="10" t="str">
        <x:v>EMP001</x:v>
      </x:c>
      <x:c r="C160" s="10" t="str">
        <x:v>CLI034</x:v>
      </x:c>
      <x:c r="D160" s="10" t="str">
        <x:v>CC003</x:v>
      </x:c>
      <x:c r="E160" s="10" t="str">
        <x:v>CAT001</x:v>
      </x:c>
      <x:c r="F160" s="10" t="str">
        <x:v>CTA001</x:v>
      </x:c>
      <x:c r="G160" s="10" t="str">
        <x:v>FAT-200159</x:v>
      </x:c>
      <x:c r="H160" s="10" t="str">
        <x:v>Venda de produtos</x:v>
      </x:c>
      <x:c r="I160" s="16" t="n">
        <x:v>46007.73971699074</x:v>
      </x:c>
      <x:c r="J160" s="16" t="n">
        <x:v>46037.73971699074</x:v>
      </x:c>
      <x:c r="K160" s="16"/>
      <x:c r="L160" s="20" t="n">
        <x:v>1755.78</x:v>
      </x:c>
      <x:c r="M160" s="20" t="n">
        <x:v>0</x:v>
      </x:c>
      <x:c r="N160" s="20" t="n">
        <x:v>0</x:v>
      </x:c>
      <x:c r="O160" s="20" t="n">
        <x:v>0</x:v>
      </x:c>
      <x:c r="P160" s="20" t="n">
        <x:v>1755.78</x:v>
      </x:c>
      <x:c r="Q160" s="10" t="str">
        <x:v>A vencer</x:v>
      </x:c>
      <x:c r="R160" s="10" t="str">
        <x:v>Débito em Conta</x:v>
      </x:c>
      <x:c r="S160" s="10" t="str">
        <x:v>2025-12</x:v>
      </x:c>
      <x:c r="T160" s="10" t="n">
        <x:v>0</x:v>
      </x:c>
      <x:c r="U160" s="10" t="str">
        <x:v>A vencer</x:v>
      </x:c>
      <x:c r="V160" s="10" t="str">
        <x:v>Médio</x:v>
      </x:c>
      <x:c r="W160" s="10" t="str">
        <x:v>Indústria</x:v>
      </x:c>
      <x:c r="X160" s="10" t="str">
        <x:v>UND002</x:v>
      </x:c>
    </x:row>
    <x:row r="161" ht="18" customHeight="1">
      <x:c r="A161" s="10" t="str">
        <x:v>REC00160</x:v>
      </x:c>
      <x:c r="B161" s="10" t="str">
        <x:v>EMP001</x:v>
      </x:c>
      <x:c r="C161" s="10" t="str">
        <x:v>CLI046</x:v>
      </x:c>
      <x:c r="D161" s="10" t="str">
        <x:v>CC001</x:v>
      </x:c>
      <x:c r="E161" s="10" t="str">
        <x:v>CAT004</x:v>
      </x:c>
      <x:c r="F161" s="10" t="str">
        <x:v>CTA001</x:v>
      </x:c>
      <x:c r="G161" s="10" t="str">
        <x:v>FAT-200160</x:v>
      </x:c>
      <x:c r="H161" s="10" t="str">
        <x:v>Venda de produtos</x:v>
      </x:c>
      <x:c r="I161" s="16" t="n">
        <x:v>45876.89507298611</x:v>
      </x:c>
      <x:c r="J161" s="16" t="n">
        <x:v>45911.89507298611</x:v>
      </x:c>
      <x:c r="K161" s="16" t="n">
        <x:v>45905.89507298611</x:v>
      </x:c>
      <x:c r="L161" s="20" t="n">
        <x:v>117872.11</x:v>
      </x:c>
      <x:c r="M161" s="20" t="n">
        <x:v>0</x:v>
      </x:c>
      <x:c r="N161" s="20" t="n">
        <x:v>0</x:v>
      </x:c>
      <x:c r="O161" s="20" t="n">
        <x:v>117872.11</x:v>
      </x:c>
      <x:c r="P161" s="20" t="n">
        <x:v>0</x:v>
      </x:c>
      <x:c r="Q161" s="10" t="str">
        <x:v>Recebido</x:v>
      </x:c>
      <x:c r="R161" s="10" t="str">
        <x:v>Débito em Conta</x:v>
      </x:c>
      <x:c r="S161" s="10" t="str">
        <x:v>2025-08</x:v>
      </x:c>
      <x:c r="T161" s="10" t="n">
        <x:v>0</x:v>
      </x:c>
      <x:c r="U161" s="10" t="str">
        <x:v>Liquidado</x:v>
      </x:c>
      <x:c r="V161" s="10" t="str">
        <x:v>Alto</x:v>
      </x:c>
      <x:c r="W161" s="10" t="str">
        <x:v>Varejo</x:v>
      </x:c>
      <x:c r="X161" s="10" t="str">
        <x:v>UND002</x:v>
      </x:c>
    </x:row>
    <x:row r="162" ht="18" customHeight="1">
      <x:c r="A162" s="10" t="str">
        <x:v>REC00161</x:v>
      </x:c>
      <x:c r="B162" s="10" t="str">
        <x:v>EMP002</x:v>
      </x:c>
      <x:c r="C162" s="10" t="str">
        <x:v>CLI015</x:v>
      </x:c>
      <x:c r="D162" s="10" t="str">
        <x:v>CC006</x:v>
      </x:c>
      <x:c r="E162" s="10" t="str">
        <x:v>CAT002</x:v>
      </x:c>
      <x:c r="F162" s="10" t="str">
        <x:v>CTA003</x:v>
      </x:c>
      <x:c r="G162" s="10" t="str">
        <x:v>FAT-200161</x:v>
      </x:c>
      <x:c r="H162" s="10" t="str">
        <x:v>Projeto especial</x:v>
      </x:c>
      <x:c r="I162" s="16" t="n">
        <x:v>45576.38497478009</x:v>
      </x:c>
      <x:c r="J162" s="16" t="n">
        <x:v>45591.38497478009</x:v>
      </x:c>
      <x:c r="K162" s="16" t="n">
        <x:v>45596.38497478009</x:v>
      </x:c>
      <x:c r="L162" s="20" t="n">
        <x:v>122617.31</x:v>
      </x:c>
      <x:c r="M162" s="20" t="n">
        <x:v>490.47</x:v>
      </x:c>
      <x:c r="N162" s="20" t="n">
        <x:v>0</x:v>
      </x:c>
      <x:c r="O162" s="20" t="n">
        <x:v>123107.78</x:v>
      </x:c>
      <x:c r="P162" s="20" t="n">
        <x:v>0</x:v>
      </x:c>
      <x:c r="Q162" s="10" t="str">
        <x:v>Recebido</x:v>
      </x:c>
      <x:c r="R162" s="10" t="str">
        <x:v>TED</x:v>
      </x:c>
      <x:c r="S162" s="10" t="str">
        <x:v>2024-10</x:v>
      </x:c>
      <x:c r="T162" s="10" t="n">
        <x:v>0</x:v>
      </x:c>
      <x:c r="U162" s="10" t="str">
        <x:v>Liquidado</x:v>
      </x:c>
      <x:c r="V162" s="10" t="str">
        <x:v>Baixo</x:v>
      </x:c>
      <x:c r="W162" s="10" t="str">
        <x:v>Atacado</x:v>
      </x:c>
      <x:c r="X162" s="10" t="str">
        <x:v>UND003</x:v>
      </x:c>
    </x:row>
    <x:row r="163" ht="18" customHeight="1">
      <x:c r="A163" s="10" t="str">
        <x:v>REC00162</x:v>
      </x:c>
      <x:c r="B163" s="10" t="str">
        <x:v>EMP003</x:v>
      </x:c>
      <x:c r="C163" s="10" t="str">
        <x:v>CLI035</x:v>
      </x:c>
      <x:c r="D163" s="10" t="str">
        <x:v>CC006</x:v>
      </x:c>
      <x:c r="E163" s="10" t="str">
        <x:v>CAT002</x:v>
      </x:c>
      <x:c r="F163" s="10" t="str">
        <x:v>CTA005</x:v>
      </x:c>
      <x:c r="G163" s="10" t="str">
        <x:v>FAT-200162</x:v>
      </x:c>
      <x:c r="H163" s="10" t="str">
        <x:v>Frete faturado</x:v>
      </x:c>
      <x:c r="I163" s="16" t="n">
        <x:v>45800.81699841435</x:v>
      </x:c>
      <x:c r="J163" s="16" t="n">
        <x:v>45828.81699841435</x:v>
      </x:c>
      <x:c r="K163" s="16"/>
      <x:c r="L163" s="20" t="n">
        <x:v>22850.43</x:v>
      </x:c>
      <x:c r="M163" s="20" t="n">
        <x:v>0</x:v>
      </x:c>
      <x:c r="N163" s="20" t="n">
        <x:v>0</x:v>
      </x:c>
      <x:c r="O163" s="20" t="n">
        <x:v>0</x:v>
      </x:c>
      <x:c r="P163" s="20" t="n">
        <x:v>22850.43</x:v>
      </x:c>
      <x:c r="Q163" s="10" t="str">
        <x:v>Vencido</x:v>
      </x:c>
      <x:c r="R163" s="10" t="str">
        <x:v>Débito em Conta</x:v>
      </x:c>
      <x:c r="S163" s="10" t="str">
        <x:v>2025-05</x:v>
      </x:c>
      <x:c r="T163" s="10" t="n">
        <x:v>193</x:v>
      </x:c>
      <x:c r="U163" s="10" t="str">
        <x:v>&gt; 120 dias</x:v>
      </x:c>
      <x:c r="V163" s="10" t="str">
        <x:v>Médio</x:v>
      </x:c>
      <x:c r="W163" s="10" t="str">
        <x:v>Varejo</x:v>
      </x:c>
      <x:c r="X163" s="10" t="str">
        <x:v>UND004</x:v>
      </x:c>
    </x:row>
    <x:row r="164" ht="18" customHeight="1">
      <x:c r="A164" s="10" t="str">
        <x:v>REC00163</x:v>
      </x:c>
      <x:c r="B164" s="10" t="str">
        <x:v>EMP001</x:v>
      </x:c>
      <x:c r="C164" s="10" t="str">
        <x:v>CLI004</x:v>
      </x:c>
      <x:c r="D164" s="10" t="str">
        <x:v>CC007</x:v>
      </x:c>
      <x:c r="E164" s="10" t="str">
        <x:v>CAT002</x:v>
      </x:c>
      <x:c r="F164" s="10" t="str">
        <x:v>CTA001</x:v>
      </x:c>
      <x:c r="G164" s="10" t="str">
        <x:v>FAT-200163</x:v>
      </x:c>
      <x:c r="H164" s="10" t="str">
        <x:v>Venda de produtos</x:v>
      </x:c>
      <x:c r="I164" s="16" t="n">
        <x:v>45677.40216305556</x:v>
      </x:c>
      <x:c r="J164" s="16" t="n">
        <x:v>45737.40216305556</x:v>
      </x:c>
      <x:c r="K164" s="16" t="n">
        <x:v>45747.40216305556</x:v>
      </x:c>
      <x:c r="L164" s="20" t="n">
        <x:v>20941.37</x:v>
      </x:c>
      <x:c r="M164" s="20" t="n">
        <x:v>167.53</x:v>
      </x:c>
      <x:c r="N164" s="20" t="n">
        <x:v>0</x:v>
      </x:c>
      <x:c r="O164" s="20" t="n">
        <x:v>21108.9</x:v>
      </x:c>
      <x:c r="P164" s="20" t="n">
        <x:v>0</x:v>
      </x:c>
      <x:c r="Q164" s="10" t="str">
        <x:v>Recebido</x:v>
      </x:c>
      <x:c r="R164" s="10" t="str">
        <x:v>PIX</x:v>
      </x:c>
      <x:c r="S164" s="10" t="str">
        <x:v>2025-01</x:v>
      </x:c>
      <x:c r="T164" s="10" t="n">
        <x:v>0</x:v>
      </x:c>
      <x:c r="U164" s="10" t="str">
        <x:v>Liquidado</x:v>
      </x:c>
      <x:c r="V164" s="10" t="str">
        <x:v>Alto</x:v>
      </x:c>
      <x:c r="W164" s="10" t="str">
        <x:v>Varejo</x:v>
      </x:c>
      <x:c r="X164" s="10" t="str">
        <x:v>UND001</x:v>
      </x:c>
    </x:row>
    <x:row r="165" ht="18" customHeight="1">
      <x:c r="A165" s="10" t="str">
        <x:v>REC00164</x:v>
      </x:c>
      <x:c r="B165" s="10" t="str">
        <x:v>EMP002</x:v>
      </x:c>
      <x:c r="C165" s="10" t="str">
        <x:v>CLI033</x:v>
      </x:c>
      <x:c r="D165" s="10" t="str">
        <x:v>CC002</x:v>
      </x:c>
      <x:c r="E165" s="10" t="str">
        <x:v>CAT003</x:v>
      </x:c>
      <x:c r="F165" s="10" t="str">
        <x:v>CTA003</x:v>
      </x:c>
      <x:c r="G165" s="10" t="str">
        <x:v>FAT-200164</x:v>
      </x:c>
      <x:c r="H165" s="10" t="str">
        <x:v>Contrato mensal</x:v>
      </x:c>
      <x:c r="I165" s="16" t="n">
        <x:v>45531.14604678241</x:v>
      </x:c>
      <x:c r="J165" s="16" t="n">
        <x:v>45552.14604678241</x:v>
      </x:c>
      <x:c r="K165" s="16"/>
      <x:c r="L165" s="20" t="n">
        <x:v>5136.51</x:v>
      </x:c>
      <x:c r="M165" s="20" t="n">
        <x:v>0</x:v>
      </x:c>
      <x:c r="N165" s="20" t="n">
        <x:v>0</x:v>
      </x:c>
      <x:c r="O165" s="20" t="n">
        <x:v>0</x:v>
      </x:c>
      <x:c r="P165" s="20" t="n">
        <x:v>5136.51</x:v>
      </x:c>
      <x:c r="Q165" s="10" t="str">
        <x:v>Vencido</x:v>
      </x:c>
      <x:c r="R165" s="10" t="str">
        <x:v>PIX</x:v>
      </x:c>
      <x:c r="S165" s="10" t="str">
        <x:v>2024-08</x:v>
      </x:c>
      <x:c r="T165" s="10" t="n">
        <x:v>469</x:v>
      </x:c>
      <x:c r="U165" s="10" t="str">
        <x:v>&gt; 120 dias</x:v>
      </x:c>
      <x:c r="V165" s="10" t="str">
        <x:v>Médio</x:v>
      </x:c>
      <x:c r="W165" s="10" t="str">
        <x:v>Varejo</x:v>
      </x:c>
      <x:c r="X165" s="10" t="str">
        <x:v>UND003</x:v>
      </x:c>
    </x:row>
    <x:row r="166" ht="18" customHeight="1">
      <x:c r="A166" s="10" t="str">
        <x:v>REC00165</x:v>
      </x:c>
      <x:c r="B166" s="10" t="str">
        <x:v>EMP002</x:v>
      </x:c>
      <x:c r="C166" s="10" t="str">
        <x:v>CLI061</x:v>
      </x:c>
      <x:c r="D166" s="10" t="str">
        <x:v>CC001</x:v>
      </x:c>
      <x:c r="E166" s="10" t="str">
        <x:v>CAT004</x:v>
      </x:c>
      <x:c r="F166" s="10" t="str">
        <x:v>CTA004</x:v>
      </x:c>
      <x:c r="G166" s="10" t="str">
        <x:v>FAT-200165</x:v>
      </x:c>
      <x:c r="H166" s="10" t="str">
        <x:v>Venda de produtos</x:v>
      </x:c>
      <x:c r="I166" s="16" t="n">
        <x:v>45819.30645974537</x:v>
      </x:c>
      <x:c r="J166" s="16" t="n">
        <x:v>45854.30645974537</x:v>
      </x:c>
      <x:c r="K166" s="16" t="n">
        <x:v>45854.30645974537</x:v>
      </x:c>
      <x:c r="L166" s="20" t="n">
        <x:v>5002.59</x:v>
      </x:c>
      <x:c r="M166" s="20" t="n">
        <x:v>0</x:v>
      </x:c>
      <x:c r="N166" s="20" t="n">
        <x:v>0</x:v>
      </x:c>
      <x:c r="O166" s="20" t="n">
        <x:v>5002.59</x:v>
      </x:c>
      <x:c r="P166" s="20" t="n">
        <x:v>0</x:v>
      </x:c>
      <x:c r="Q166" s="10" t="str">
        <x:v>Recebido</x:v>
      </x:c>
      <x:c r="R166" s="10" t="str">
        <x:v>TED</x:v>
      </x:c>
      <x:c r="S166" s="10" t="str">
        <x:v>2025-06</x:v>
      </x:c>
      <x:c r="T166" s="10" t="n">
        <x:v>0</x:v>
      </x:c>
      <x:c r="U166" s="10" t="str">
        <x:v>Liquidado</x:v>
      </x:c>
      <x:c r="V166" s="10" t="str">
        <x:v>Baixo</x:v>
      </x:c>
      <x:c r="W166" s="10" t="str">
        <x:v>Serviços</x:v>
      </x:c>
      <x:c r="X166" s="10" t="str">
        <x:v>UND003</x:v>
      </x:c>
    </x:row>
    <x:row r="167" ht="18" customHeight="1">
      <x:c r="A167" s="10" t="str">
        <x:v>REC00166</x:v>
      </x:c>
      <x:c r="B167" s="10" t="str">
        <x:v>EMP003</x:v>
      </x:c>
      <x:c r="C167" s="10" t="str">
        <x:v>CLI044</x:v>
      </x:c>
      <x:c r="D167" s="10" t="str">
        <x:v>CC006</x:v>
      </x:c>
      <x:c r="E167" s="10" t="str">
        <x:v>CAT003</x:v>
      </x:c>
      <x:c r="F167" s="10" t="str">
        <x:v>CTA005</x:v>
      </x:c>
      <x:c r="G167" s="10" t="str">
        <x:v>FAT-200166</x:v>
      </x:c>
      <x:c r="H167" s="10" t="str">
        <x:v>Frete faturado</x:v>
      </x:c>
      <x:c r="I167" s="16" t="n">
        <x:v>45951.71009533565</x:v>
      </x:c>
      <x:c r="J167" s="16" t="n">
        <x:v>45972.71009533565</x:v>
      </x:c>
      <x:c r="K167" s="16" t="n">
        <x:v>45994.71009533565</x:v>
      </x:c>
      <x:c r="L167" s="20" t="n">
        <x:v>2874.63</x:v>
      </x:c>
      <x:c r="M167" s="20" t="n">
        <x:v>50.59</x:v>
      </x:c>
      <x:c r="N167" s="20" t="n">
        <x:v>0</x:v>
      </x:c>
      <x:c r="O167" s="20" t="n">
        <x:v>2925.22</x:v>
      </x:c>
      <x:c r="P167" s="20" t="n">
        <x:v>0</x:v>
      </x:c>
      <x:c r="Q167" s="10" t="str">
        <x:v>Recebido</x:v>
      </x:c>
      <x:c r="R167" s="10" t="str">
        <x:v>Boleto</x:v>
      </x:c>
      <x:c r="S167" s="10" t="str">
        <x:v>2025-10</x:v>
      </x:c>
      <x:c r="T167" s="10" t="n">
        <x:v>0</x:v>
      </x:c>
      <x:c r="U167" s="10" t="str">
        <x:v>Liquidado</x:v>
      </x:c>
      <x:c r="V167" s="10" t="str">
        <x:v>Alto</x:v>
      </x:c>
      <x:c r="W167" s="10" t="str">
        <x:v>Varejo</x:v>
      </x:c>
      <x:c r="X167" s="10" t="str">
        <x:v>UND004</x:v>
      </x:c>
    </x:row>
    <x:row r="168" ht="18" customHeight="1">
      <x:c r="A168" s="10" t="str">
        <x:v>REC00167</x:v>
      </x:c>
      <x:c r="B168" s="10" t="str">
        <x:v>EMP002</x:v>
      </x:c>
      <x:c r="C168" s="10" t="str">
        <x:v>CLI012</x:v>
      </x:c>
      <x:c r="D168" s="10" t="str">
        <x:v>CC007</x:v>
      </x:c>
      <x:c r="E168" s="10" t="str">
        <x:v>CAT001</x:v>
      </x:c>
      <x:c r="F168" s="10" t="str">
        <x:v>CTA004</x:v>
      </x:c>
      <x:c r="G168" s="10" t="str">
        <x:v>FAT-200167</x:v>
      </x:c>
      <x:c r="H168" s="10" t="str">
        <x:v>Projeto especial</x:v>
      </x:c>
      <x:c r="I168" s="16" t="n">
        <x:v>45840.74732513889</x:v>
      </x:c>
      <x:c r="J168" s="16" t="n">
        <x:v>45900.74732513889</x:v>
      </x:c>
      <x:c r="K168" s="16" t="n">
        <x:v>45899.74732513889</x:v>
      </x:c>
      <x:c r="L168" s="20" t="n">
        <x:v>82313.66</x:v>
      </x:c>
      <x:c r="M168" s="20" t="n">
        <x:v>0</x:v>
      </x:c>
      <x:c r="N168" s="20" t="n">
        <x:v>0</x:v>
      </x:c>
      <x:c r="O168" s="20" t="n">
        <x:v>82313.66</x:v>
      </x:c>
      <x:c r="P168" s="20" t="n">
        <x:v>0</x:v>
      </x:c>
      <x:c r="Q168" s="10" t="str">
        <x:v>Recebido</x:v>
      </x:c>
      <x:c r="R168" s="10" t="str">
        <x:v>Boleto</x:v>
      </x:c>
      <x:c r="S168" s="10" t="str">
        <x:v>2025-07</x:v>
      </x:c>
      <x:c r="T168" s="10" t="n">
        <x:v>0</x:v>
      </x:c>
      <x:c r="U168" s="10" t="str">
        <x:v>Liquidado</x:v>
      </x:c>
      <x:c r="V168" s="10" t="str">
        <x:v>Baixo</x:v>
      </x:c>
      <x:c r="W168" s="10" t="str">
        <x:v>Tecnologia</x:v>
      </x:c>
      <x:c r="X168" s="10" t="str">
        <x:v>UND003</x:v>
      </x:c>
    </x:row>
    <x:row r="169" ht="18" customHeight="1">
      <x:c r="A169" s="10" t="str">
        <x:v>REC00168</x:v>
      </x:c>
      <x:c r="B169" s="10" t="str">
        <x:v>EMP002</x:v>
      </x:c>
      <x:c r="C169" s="10" t="str">
        <x:v>CLI053</x:v>
      </x:c>
      <x:c r="D169" s="10" t="str">
        <x:v>CC008</x:v>
      </x:c>
      <x:c r="E169" s="10" t="str">
        <x:v>CAT003</x:v>
      </x:c>
      <x:c r="F169" s="10" t="str">
        <x:v>CTA003</x:v>
      </x:c>
      <x:c r="G169" s="10" t="str">
        <x:v>FAT-200168</x:v>
      </x:c>
      <x:c r="H169" s="10" t="str">
        <x:v>Contrato mensal</x:v>
      </x:c>
      <x:c r="I169" s="16" t="n">
        <x:v>45793.8280074537</x:v>
      </x:c>
      <x:c r="J169" s="16" t="n">
        <x:v>45808.8280074537</x:v>
      </x:c>
      <x:c r="K169" s="16"/>
      <x:c r="L169" s="20" t="n">
        <x:v>112608.64</x:v>
      </x:c>
      <x:c r="M169" s="20" t="n">
        <x:v>0</x:v>
      </x:c>
      <x:c r="N169" s="20" t="n">
        <x:v>0</x:v>
      </x:c>
      <x:c r="O169" s="20" t="n">
        <x:v>0</x:v>
      </x:c>
      <x:c r="P169" s="20" t="n">
        <x:v>112608.64</x:v>
      </x:c>
      <x:c r="Q169" s="10" t="str">
        <x:v>Vencido</x:v>
      </x:c>
      <x:c r="R169" s="10" t="str">
        <x:v>TED</x:v>
      </x:c>
      <x:c r="S169" s="10" t="str">
        <x:v>2025-05</x:v>
      </x:c>
      <x:c r="T169" s="10" t="n">
        <x:v>213</x:v>
      </x:c>
      <x:c r="U169" s="10" t="str">
        <x:v>&gt; 120 dias</x:v>
      </x:c>
      <x:c r="V169" s="10" t="str">
        <x:v>Baixo</x:v>
      </x:c>
      <x:c r="W169" s="10" t="str">
        <x:v>Saúde</x:v>
      </x:c>
      <x:c r="X169" s="10" t="str">
        <x:v>UND003</x:v>
      </x:c>
    </x:row>
    <x:row r="170" ht="18" customHeight="1">
      <x:c r="A170" s="10" t="str">
        <x:v>REC00169</x:v>
      </x:c>
      <x:c r="B170" s="10" t="str">
        <x:v>EMP003</x:v>
      </x:c>
      <x:c r="C170" s="10" t="str">
        <x:v>CLI005</x:v>
      </x:c>
      <x:c r="D170" s="10" t="str">
        <x:v>CC006</x:v>
      </x:c>
      <x:c r="E170" s="10" t="str">
        <x:v>CAT004</x:v>
      </x:c>
      <x:c r="F170" s="10" t="str">
        <x:v>CTA006</x:v>
      </x:c>
      <x:c r="G170" s="10" t="str">
        <x:v>FAT-200169</x:v>
      </x:c>
      <x:c r="H170" s="10" t="str">
        <x:v>Frete faturado</x:v>
      </x:c>
      <x:c r="I170" s="16" t="n">
        <x:v>45754.7441768287</x:v>
      </x:c>
      <x:c r="J170" s="16" t="n">
        <x:v>45769.7441768287</x:v>
      </x:c>
      <x:c r="K170" s="16" t="n">
        <x:v>45772.7441768287</x:v>
      </x:c>
      <x:c r="L170" s="20" t="n">
        <x:v>44397.85</x:v>
      </x:c>
      <x:c r="M170" s="20" t="n">
        <x:v>106.55</x:v>
      </x:c>
      <x:c r="N170" s="20" t="n">
        <x:v>0</x:v>
      </x:c>
      <x:c r="O170" s="20" t="n">
        <x:v>44504.4</x:v>
      </x:c>
      <x:c r="P170" s="20" t="n">
        <x:v>0</x:v>
      </x:c>
      <x:c r="Q170" s="10" t="str">
        <x:v>Recebido</x:v>
      </x:c>
      <x:c r="R170" s="10" t="str">
        <x:v>Boleto</x:v>
      </x:c>
      <x:c r="S170" s="10" t="str">
        <x:v>2025-04</x:v>
      </x:c>
      <x:c r="T170" s="10" t="n">
        <x:v>0</x:v>
      </x:c>
      <x:c r="U170" s="10" t="str">
        <x:v>Liquidado</x:v>
      </x:c>
      <x:c r="V170" s="10" t="str">
        <x:v>Baixo</x:v>
      </x:c>
      <x:c r="W170" s="10" t="str">
        <x:v>Atacado</x:v>
      </x:c>
      <x:c r="X170" s="10" t="str">
        <x:v>UND004</x:v>
      </x:c>
    </x:row>
    <x:row r="171" ht="18" customHeight="1">
      <x:c r="A171" s="10" t="str">
        <x:v>REC00170</x:v>
      </x:c>
      <x:c r="B171" s="10" t="str">
        <x:v>EMP001</x:v>
      </x:c>
      <x:c r="C171" s="10" t="str">
        <x:v>CLI006</x:v>
      </x:c>
      <x:c r="D171" s="10" t="str">
        <x:v>CC005</x:v>
      </x:c>
      <x:c r="E171" s="10" t="str">
        <x:v>CAT002</x:v>
      </x:c>
      <x:c r="F171" s="10" t="str">
        <x:v>CTA001</x:v>
      </x:c>
      <x:c r="G171" s="10" t="str">
        <x:v>FAT-200170</x:v>
      </x:c>
      <x:c r="H171" s="10" t="str">
        <x:v>Frete faturado</x:v>
      </x:c>
      <x:c r="I171" s="16" t="n">
        <x:v>45679.3057802662</x:v>
      </x:c>
      <x:c r="J171" s="16" t="n">
        <x:v>45714.3057802662</x:v>
      </x:c>
      <x:c r="K171" s="16" t="n">
        <x:v>45709.3057802662</x:v>
      </x:c>
      <x:c r="L171" s="20" t="n">
        <x:v>58039.39</x:v>
      </x:c>
      <x:c r="M171" s="20" t="n">
        <x:v>0</x:v>
      </x:c>
      <x:c r="N171" s="20" t="n">
        <x:v>580.39</x:v>
      </x:c>
      <x:c r="O171" s="20" t="n">
        <x:v>57459</x:v>
      </x:c>
      <x:c r="P171" s="20" t="n">
        <x:v>0</x:v>
      </x:c>
      <x:c r="Q171" s="10" t="str">
        <x:v>Recebido</x:v>
      </x:c>
      <x:c r="R171" s="10" t="str">
        <x:v>Boleto</x:v>
      </x:c>
      <x:c r="S171" s="10" t="str">
        <x:v>2025-01</x:v>
      </x:c>
      <x:c r="T171" s="10" t="n">
        <x:v>0</x:v>
      </x:c>
      <x:c r="U171" s="10" t="str">
        <x:v>Liquidado</x:v>
      </x:c>
      <x:c r="V171" s="10" t="str">
        <x:v>Baixo</x:v>
      </x:c>
      <x:c r="W171" s="10" t="str">
        <x:v>Varejo</x:v>
      </x:c>
      <x:c r="X171" s="10" t="str">
        <x:v>UND001</x:v>
      </x:c>
    </x:row>
    <x:row r="172" ht="18" customHeight="1">
      <x:c r="A172" s="10" t="str">
        <x:v>REC00171</x:v>
      </x:c>
      <x:c r="B172" s="10" t="str">
        <x:v>EMP001</x:v>
      </x:c>
      <x:c r="C172" s="10" t="str">
        <x:v>CLI019</x:v>
      </x:c>
      <x:c r="D172" s="10" t="str">
        <x:v>CC005</x:v>
      </x:c>
      <x:c r="E172" s="10" t="str">
        <x:v>CAT004</x:v>
      </x:c>
      <x:c r="F172" s="10" t="str">
        <x:v>CTA002</x:v>
      </x:c>
      <x:c r="G172" s="10" t="str">
        <x:v>FAT-200171</x:v>
      </x:c>
      <x:c r="H172" s="10" t="str">
        <x:v>Contrato mensal</x:v>
      </x:c>
      <x:c r="I172" s="16" t="n">
        <x:v>45481.91303027778</x:v>
      </x:c>
      <x:c r="J172" s="16" t="n">
        <x:v>45511.91303027778</x:v>
      </x:c>
      <x:c r="K172" s="16" t="n">
        <x:v>45516.91303027778</x:v>
      </x:c>
      <x:c r="L172" s="20" t="n">
        <x:v>1126.05</x:v>
      </x:c>
      <x:c r="M172" s="20" t="n">
        <x:v>4.5</x:v>
      </x:c>
      <x:c r="N172" s="20" t="n">
        <x:v>0</x:v>
      </x:c>
      <x:c r="O172" s="20" t="n">
        <x:v>1130.55</x:v>
      </x:c>
      <x:c r="P172" s="20" t="n">
        <x:v>0</x:v>
      </x:c>
      <x:c r="Q172" s="10" t="str">
        <x:v>Recebido</x:v>
      </x:c>
      <x:c r="R172" s="10" t="str">
        <x:v>Cartão</x:v>
      </x:c>
      <x:c r="S172" s="10" t="str">
        <x:v>2024-07</x:v>
      </x:c>
      <x:c r="T172" s="10" t="n">
        <x:v>0</x:v>
      </x:c>
      <x:c r="U172" s="10" t="str">
        <x:v>Liquidado</x:v>
      </x:c>
      <x:c r="V172" s="10" t="str">
        <x:v>Alto</x:v>
      </x:c>
      <x:c r="W172" s="10" t="str">
        <x:v>Saúde</x:v>
      </x:c>
      <x:c r="X172" s="10" t="str">
        <x:v>UND001</x:v>
      </x:c>
    </x:row>
    <x:row r="173" ht="18" customHeight="1">
      <x:c r="A173" s="10" t="str">
        <x:v>REC00172</x:v>
      </x:c>
      <x:c r="B173" s="10" t="str">
        <x:v>EMP001</x:v>
      </x:c>
      <x:c r="C173" s="10" t="str">
        <x:v>CLI024</x:v>
      </x:c>
      <x:c r="D173" s="10" t="str">
        <x:v>CC006</x:v>
      </x:c>
      <x:c r="E173" s="10" t="str">
        <x:v>CAT004</x:v>
      </x:c>
      <x:c r="F173" s="10" t="str">
        <x:v>CTA001</x:v>
      </x:c>
      <x:c r="G173" s="10" t="str">
        <x:v>FAT-200172</x:v>
      </x:c>
      <x:c r="H173" s="10" t="str">
        <x:v>Frete faturado</x:v>
      </x:c>
      <x:c r="I173" s="16" t="n">
        <x:v>45975.85239363426</x:v>
      </x:c>
      <x:c r="J173" s="16" t="n">
        <x:v>46035.85239363426</x:v>
      </x:c>
      <x:c r="K173" s="16"/>
      <x:c r="L173" s="20" t="n">
        <x:v>18754.32</x:v>
      </x:c>
      <x:c r="M173" s="20" t="n">
        <x:v>0</x:v>
      </x:c>
      <x:c r="N173" s="20" t="n">
        <x:v>0</x:v>
      </x:c>
      <x:c r="O173" s="20" t="n">
        <x:v>0</x:v>
      </x:c>
      <x:c r="P173" s="20" t="n">
        <x:v>18754.32</x:v>
      </x:c>
      <x:c r="Q173" s="10" t="str">
        <x:v>A vencer</x:v>
      </x:c>
      <x:c r="R173" s="10" t="str">
        <x:v>Boleto</x:v>
      </x:c>
      <x:c r="S173" s="10" t="str">
        <x:v>2025-11</x:v>
      </x:c>
      <x:c r="T173" s="10" t="n">
        <x:v>0</x:v>
      </x:c>
      <x:c r="U173" s="10" t="str">
        <x:v>A vencer</x:v>
      </x:c>
      <x:c r="V173" s="10" t="str">
        <x:v>Baixo</x:v>
      </x:c>
      <x:c r="W173" s="10" t="str">
        <x:v>Saúde</x:v>
      </x:c>
      <x:c r="X173" s="10" t="str">
        <x:v>UND001</x:v>
      </x:c>
    </x:row>
    <x:row r="174" ht="18" customHeight="1">
      <x:c r="A174" s="10" t="str">
        <x:v>REC00173</x:v>
      </x:c>
      <x:c r="B174" s="10" t="str">
        <x:v>EMP002</x:v>
      </x:c>
      <x:c r="C174" s="10" t="str">
        <x:v>CLI034</x:v>
      </x:c>
      <x:c r="D174" s="10" t="str">
        <x:v>CC001</x:v>
      </x:c>
      <x:c r="E174" s="10" t="str">
        <x:v>CAT004</x:v>
      </x:c>
      <x:c r="F174" s="10" t="str">
        <x:v>CTA003</x:v>
      </x:c>
      <x:c r="G174" s="10" t="str">
        <x:v>FAT-200173</x:v>
      </x:c>
      <x:c r="H174" s="10" t="str">
        <x:v>Venda de produtos</x:v>
      </x:c>
      <x:c r="I174" s="16" t="n">
        <x:v>45408.26144475694</x:v>
      </x:c>
      <x:c r="J174" s="16" t="n">
        <x:v>45443.26144475694</x:v>
      </x:c>
      <x:c r="K174" s="16" t="n">
        <x:v>45453.26144475694</x:v>
      </x:c>
      <x:c r="L174" s="20" t="n">
        <x:v>5245.61</x:v>
      </x:c>
      <x:c r="M174" s="20" t="n">
        <x:v>41.96</x:v>
      </x:c>
      <x:c r="N174" s="20" t="n">
        <x:v>0</x:v>
      </x:c>
      <x:c r="O174" s="20" t="n">
        <x:v>5287.57</x:v>
      </x:c>
      <x:c r="P174" s="20" t="n">
        <x:v>0</x:v>
      </x:c>
      <x:c r="Q174" s="10" t="str">
        <x:v>Recebido</x:v>
      </x:c>
      <x:c r="R174" s="10" t="str">
        <x:v>PIX</x:v>
      </x:c>
      <x:c r="S174" s="10" t="str">
        <x:v>2024-04</x:v>
      </x:c>
      <x:c r="T174" s="10" t="n">
        <x:v>0</x:v>
      </x:c>
      <x:c r="U174" s="10" t="str">
        <x:v>Liquidado</x:v>
      </x:c>
      <x:c r="V174" s="10" t="str">
        <x:v>Médio</x:v>
      </x:c>
      <x:c r="W174" s="10" t="str">
        <x:v>Indústria</x:v>
      </x:c>
      <x:c r="X174" s="10" t="str">
        <x:v>UND003</x:v>
      </x:c>
    </x:row>
    <x:row r="175" ht="18" customHeight="1">
      <x:c r="A175" s="10" t="str">
        <x:v>REC00174</x:v>
      </x:c>
      <x:c r="B175" s="10" t="str">
        <x:v>EMP002</x:v>
      </x:c>
      <x:c r="C175" s="10" t="str">
        <x:v>CLI041</x:v>
      </x:c>
      <x:c r="D175" s="10" t="str">
        <x:v>CC005</x:v>
      </x:c>
      <x:c r="E175" s="10" t="str">
        <x:v>CAT004</x:v>
      </x:c>
      <x:c r="F175" s="10" t="str">
        <x:v>CTA004</x:v>
      </x:c>
      <x:c r="G175" s="10" t="str">
        <x:v>FAT-200174</x:v>
      </x:c>
      <x:c r="H175" s="10" t="str">
        <x:v>Frete faturado</x:v>
      </x:c>
      <x:c r="I175" s="16" t="n">
        <x:v>45987.884029409724</x:v>
      </x:c>
      <x:c r="J175" s="16" t="n">
        <x:v>46015.884029409724</x:v>
      </x:c>
      <x:c r="K175" s="16" t="n">
        <x:v>46020.884029409724</x:v>
      </x:c>
      <x:c r="L175" s="20" t="n">
        <x:v>138886.59</x:v>
      </x:c>
      <x:c r="M175" s="20" t="n">
        <x:v>555.55</x:v>
      </x:c>
      <x:c r="N175" s="20" t="n">
        <x:v>0</x:v>
      </x:c>
      <x:c r="O175" s="20" t="n">
        <x:v>139442.14</x:v>
      </x:c>
      <x:c r="P175" s="20" t="n">
        <x:v>0</x:v>
      </x:c>
      <x:c r="Q175" s="10" t="str">
        <x:v>Recebido</x:v>
      </x:c>
      <x:c r="R175" s="10" t="str">
        <x:v>Boleto</x:v>
      </x:c>
      <x:c r="S175" s="10" t="str">
        <x:v>2025-11</x:v>
      </x:c>
      <x:c r="T175" s="10" t="n">
        <x:v>0</x:v>
      </x:c>
      <x:c r="U175" s="10" t="str">
        <x:v>Liquidado</x:v>
      </x:c>
      <x:c r="V175" s="10" t="str">
        <x:v>Alto</x:v>
      </x:c>
      <x:c r="W175" s="10" t="str">
        <x:v>Indústria</x:v>
      </x:c>
      <x:c r="X175" s="10" t="str">
        <x:v>UND003</x:v>
      </x:c>
    </x:row>
    <x:row r="176" ht="18" customHeight="1">
      <x:c r="A176" s="10" t="str">
        <x:v>REC00175</x:v>
      </x:c>
      <x:c r="B176" s="10" t="str">
        <x:v>EMP001</x:v>
      </x:c>
      <x:c r="C176" s="10" t="str">
        <x:v>CLI005</x:v>
      </x:c>
      <x:c r="D176" s="10" t="str">
        <x:v>CC008</x:v>
      </x:c>
      <x:c r="E176" s="10" t="str">
        <x:v>CAT002</x:v>
      </x:c>
      <x:c r="F176" s="10" t="str">
        <x:v>CTA001</x:v>
      </x:c>
      <x:c r="G176" s="10" t="str">
        <x:v>FAT-200175</x:v>
      </x:c>
      <x:c r="H176" s="10" t="str">
        <x:v>Venda de produtos</x:v>
      </x:c>
      <x:c r="I176" s="16" t="n">
        <x:v>45696.631785335645</x:v>
      </x:c>
      <x:c r="J176" s="16" t="n">
        <x:v>45741.631785335645</x:v>
      </x:c>
      <x:c r="K176" s="16" t="n">
        <x:v>45744.631785335645</x:v>
      </x:c>
      <x:c r="L176" s="20" t="n">
        <x:v>22049.93</x:v>
      </x:c>
      <x:c r="M176" s="20" t="n">
        <x:v>52.92</x:v>
      </x:c>
      <x:c r="N176" s="20" t="n">
        <x:v>0</x:v>
      </x:c>
      <x:c r="O176" s="20" t="n">
        <x:v>22102.85</x:v>
      </x:c>
      <x:c r="P176" s="20" t="n">
        <x:v>0</x:v>
      </x:c>
      <x:c r="Q176" s="10" t="str">
        <x:v>Recebido</x:v>
      </x:c>
      <x:c r="R176" s="10" t="str">
        <x:v>Cartão</x:v>
      </x:c>
      <x:c r="S176" s="10" t="str">
        <x:v>2025-02</x:v>
      </x:c>
      <x:c r="T176" s="10" t="n">
        <x:v>0</x:v>
      </x:c>
      <x:c r="U176" s="10" t="str">
        <x:v>Liquidado</x:v>
      </x:c>
      <x:c r="V176" s="10" t="str">
        <x:v>Baixo</x:v>
      </x:c>
      <x:c r="W176" s="10" t="str">
        <x:v>Atacado</x:v>
      </x:c>
      <x:c r="X176" s="10" t="str">
        <x:v>UND002</x:v>
      </x:c>
    </x:row>
    <x:row r="177" ht="18" customHeight="1">
      <x:c r="A177" s="10" t="str">
        <x:v>REC00176</x:v>
      </x:c>
      <x:c r="B177" s="10" t="str">
        <x:v>EMP002</x:v>
      </x:c>
      <x:c r="C177" s="10" t="str">
        <x:v>CLI026</x:v>
      </x:c>
      <x:c r="D177" s="10" t="str">
        <x:v>CC005</x:v>
      </x:c>
      <x:c r="E177" s="10" t="str">
        <x:v>CAT001</x:v>
      </x:c>
      <x:c r="F177" s="10" t="str">
        <x:v>CTA004</x:v>
      </x:c>
      <x:c r="G177" s="10" t="str">
        <x:v>FAT-200176</x:v>
      </x:c>
      <x:c r="H177" s="10" t="str">
        <x:v>Prestação de serviços</x:v>
      </x:c>
      <x:c r="I177" s="16" t="n">
        <x:v>45421.66834363426</x:v>
      </x:c>
      <x:c r="J177" s="16" t="n">
        <x:v>45466.66834363426</x:v>
      </x:c>
      <x:c r="K177" s="16" t="n">
        <x:v>45462.66834363426</x:v>
      </x:c>
      <x:c r="L177" s="20" t="n">
        <x:v>92427.98</x:v>
      </x:c>
      <x:c r="M177" s="20" t="n">
        <x:v>0</x:v>
      </x:c>
      <x:c r="N177" s="20" t="n">
        <x:v>924.28</x:v>
      </x:c>
      <x:c r="O177" s="20" t="n">
        <x:v>91503.7</x:v>
      </x:c>
      <x:c r="P177" s="20" t="n">
        <x:v>0</x:v>
      </x:c>
      <x:c r="Q177" s="10" t="str">
        <x:v>Recebido</x:v>
      </x:c>
      <x:c r="R177" s="10" t="str">
        <x:v>Boleto</x:v>
      </x:c>
      <x:c r="S177" s="10" t="str">
        <x:v>2024-05</x:v>
      </x:c>
      <x:c r="T177" s="10" t="n">
        <x:v>0</x:v>
      </x:c>
      <x:c r="U177" s="10" t="str">
        <x:v>Liquidado</x:v>
      </x:c>
      <x:c r="V177" s="10" t="str">
        <x:v>Médio</x:v>
      </x:c>
      <x:c r="W177" s="10" t="str">
        <x:v>Atacado</x:v>
      </x:c>
      <x:c r="X177" s="10" t="str">
        <x:v>UND003</x:v>
      </x:c>
    </x:row>
    <x:row r="178" ht="18" customHeight="1">
      <x:c r="A178" s="10" t="str">
        <x:v>REC00177</x:v>
      </x:c>
      <x:c r="B178" s="10" t="str">
        <x:v>EMP003</x:v>
      </x:c>
      <x:c r="C178" s="10" t="str">
        <x:v>CLI031</x:v>
      </x:c>
      <x:c r="D178" s="10" t="str">
        <x:v>CC003</x:v>
      </x:c>
      <x:c r="E178" s="10" t="str">
        <x:v>CAT003</x:v>
      </x:c>
      <x:c r="F178" s="10" t="str">
        <x:v>CTA005</x:v>
      </x:c>
      <x:c r="G178" s="10" t="str">
        <x:v>FAT-200177</x:v>
      </x:c>
      <x:c r="H178" s="10" t="str">
        <x:v>Frete faturado</x:v>
      </x:c>
      <x:c r="I178" s="16" t="n">
        <x:v>45339.61796423611</x:v>
      </x:c>
      <x:c r="J178" s="16" t="n">
        <x:v>45360.61796423611</x:v>
      </x:c>
      <x:c r="K178" s="16" t="n">
        <x:v>45359.61796423611</x:v>
      </x:c>
      <x:c r="L178" s="20" t="n">
        <x:v>50727.96</x:v>
      </x:c>
      <x:c r="M178" s="20" t="n">
        <x:v>0</x:v>
      </x:c>
      <x:c r="N178" s="20" t="n">
        <x:v>1014.56</x:v>
      </x:c>
      <x:c r="O178" s="20" t="n">
        <x:v>49713.4</x:v>
      </x:c>
      <x:c r="P178" s="20" t="n">
        <x:v>0</x:v>
      </x:c>
      <x:c r="Q178" s="10" t="str">
        <x:v>Recebido</x:v>
      </x:c>
      <x:c r="R178" s="10" t="str">
        <x:v>Débito em Conta</x:v>
      </x:c>
      <x:c r="S178" s="10" t="str">
        <x:v>2024-02</x:v>
      </x:c>
      <x:c r="T178" s="10" t="n">
        <x:v>0</x:v>
      </x:c>
      <x:c r="U178" s="10" t="str">
        <x:v>Liquidado</x:v>
      </x:c>
      <x:c r="V178" s="10" t="str">
        <x:v>Baixo</x:v>
      </x:c>
      <x:c r="W178" s="10" t="str">
        <x:v>Serviços</x:v>
      </x:c>
      <x:c r="X178" s="10" t="str">
        <x:v>UND004</x:v>
      </x:c>
    </x:row>
    <x:row r="179" ht="18" customHeight="1">
      <x:c r="A179" s="10" t="str">
        <x:v>REC00178</x:v>
      </x:c>
      <x:c r="B179" s="10" t="str">
        <x:v>EMP001</x:v>
      </x:c>
      <x:c r="C179" s="10" t="str">
        <x:v>CLI016</x:v>
      </x:c>
      <x:c r="D179" s="10" t="str">
        <x:v>CC006</x:v>
      </x:c>
      <x:c r="E179" s="10" t="str">
        <x:v>CAT002</x:v>
      </x:c>
      <x:c r="F179" s="10" t="str">
        <x:v>CTA001</x:v>
      </x:c>
      <x:c r="G179" s="10" t="str">
        <x:v>FAT-200178</x:v>
      </x:c>
      <x:c r="H179" s="10" t="str">
        <x:v>Venda de produtos</x:v>
      </x:c>
      <x:c r="I179" s="16" t="n">
        <x:v>45414.30912636574</x:v>
      </x:c>
      <x:c r="J179" s="16" t="n">
        <x:v>45474.30912636574</x:v>
      </x:c>
      <x:c r="K179" s="16" t="n">
        <x:v>45472.30912636574</x:v>
      </x:c>
      <x:c r="L179" s="20" t="n">
        <x:v>71443.59</x:v>
      </x:c>
      <x:c r="M179" s="20" t="n">
        <x:v>0</x:v>
      </x:c>
      <x:c r="N179" s="20" t="n">
        <x:v>0</x:v>
      </x:c>
      <x:c r="O179" s="20" t="n">
        <x:v>71443.59</x:v>
      </x:c>
      <x:c r="P179" s="20" t="n">
        <x:v>0</x:v>
      </x:c>
      <x:c r="Q179" s="10" t="str">
        <x:v>Recebido</x:v>
      </x:c>
      <x:c r="R179" s="10" t="str">
        <x:v>PIX</x:v>
      </x:c>
      <x:c r="S179" s="10" t="str">
        <x:v>2024-05</x:v>
      </x:c>
      <x:c r="T179" s="10" t="n">
        <x:v>0</x:v>
      </x:c>
      <x:c r="U179" s="10" t="str">
        <x:v>Liquidado</x:v>
      </x:c>
      <x:c r="V179" s="10" t="str">
        <x:v>Baixo</x:v>
      </x:c>
      <x:c r="W179" s="10" t="str">
        <x:v>Serviços</x:v>
      </x:c>
      <x:c r="X179" s="10" t="str">
        <x:v>UND002</x:v>
      </x:c>
    </x:row>
    <x:row r="180" ht="18" customHeight="1">
      <x:c r="A180" s="10" t="str">
        <x:v>REC00179</x:v>
      </x:c>
      <x:c r="B180" s="10" t="str">
        <x:v>EMP001</x:v>
      </x:c>
      <x:c r="C180" s="10" t="str">
        <x:v>CLI074</x:v>
      </x:c>
      <x:c r="D180" s="10" t="str">
        <x:v>CC008</x:v>
      </x:c>
      <x:c r="E180" s="10" t="str">
        <x:v>CAT001</x:v>
      </x:c>
      <x:c r="F180" s="10" t="str">
        <x:v>CTA002</x:v>
      </x:c>
      <x:c r="G180" s="10" t="str">
        <x:v>FAT-200179</x:v>
      </x:c>
      <x:c r="H180" s="10" t="str">
        <x:v>Contrato mensal</x:v>
      </x:c>
      <x:c r="I180" s="16" t="n">
        <x:v>45343.60216126157</x:v>
      </x:c>
      <x:c r="J180" s="16" t="n">
        <x:v>45403.60216126157</x:v>
      </x:c>
      <x:c r="K180" s="16" t="n">
        <x:v>45404.60216126157</x:v>
      </x:c>
      <x:c r="L180" s="20" t="n">
        <x:v>14030.93</x:v>
      </x:c>
      <x:c r="M180" s="20" t="n">
        <x:v>11.22</x:v>
      </x:c>
      <x:c r="N180" s="20" t="n">
        <x:v>0</x:v>
      </x:c>
      <x:c r="O180" s="20" t="n">
        <x:v>14042.15</x:v>
      </x:c>
      <x:c r="P180" s="20" t="n">
        <x:v>0</x:v>
      </x:c>
      <x:c r="Q180" s="10" t="str">
        <x:v>Recebido</x:v>
      </x:c>
      <x:c r="R180" s="10" t="str">
        <x:v>TED</x:v>
      </x:c>
      <x:c r="S180" s="10" t="str">
        <x:v>2024-02</x:v>
      </x:c>
      <x:c r="T180" s="10" t="n">
        <x:v>0</x:v>
      </x:c>
      <x:c r="U180" s="10" t="str">
        <x:v>Liquidado</x:v>
      </x:c>
      <x:c r="V180" s="10" t="str">
        <x:v>Médio</x:v>
      </x:c>
      <x:c r="W180" s="10" t="str">
        <x:v>Tecnologia</x:v>
      </x:c>
      <x:c r="X180" s="10" t="str">
        <x:v>UND002</x:v>
      </x:c>
    </x:row>
    <x:row r="181" ht="18" customHeight="1">
      <x:c r="A181" s="10" t="str">
        <x:v>REC00180</x:v>
      </x:c>
      <x:c r="B181" s="10" t="str">
        <x:v>EMP001</x:v>
      </x:c>
      <x:c r="C181" s="10" t="str">
        <x:v>CLI050</x:v>
      </x:c>
      <x:c r="D181" s="10" t="str">
        <x:v>CC007</x:v>
      </x:c>
      <x:c r="E181" s="10" t="str">
        <x:v>CAT001</x:v>
      </x:c>
      <x:c r="F181" s="10" t="str">
        <x:v>CTA001</x:v>
      </x:c>
      <x:c r="G181" s="10" t="str">
        <x:v>FAT-200180</x:v>
      </x:c>
      <x:c r="H181" s="10" t="str">
        <x:v>Contrato mensal</x:v>
      </x:c>
      <x:c r="I181" s="16" t="n">
        <x:v>45881.25316826389</x:v>
      </x:c>
      <x:c r="J181" s="16" t="n">
        <x:v>45896.25316826389</x:v>
      </x:c>
      <x:c r="K181" s="16" t="n">
        <x:v>45898.25316826389</x:v>
      </x:c>
      <x:c r="L181" s="20" t="n">
        <x:v>3981.35</x:v>
      </x:c>
      <x:c r="M181" s="20" t="n">
        <x:v>6.37</x:v>
      </x:c>
      <x:c r="N181" s="20" t="n">
        <x:v>0</x:v>
      </x:c>
      <x:c r="O181" s="20" t="n">
        <x:v>3987.72</x:v>
      </x:c>
      <x:c r="P181" s="20" t="n">
        <x:v>0</x:v>
      </x:c>
      <x:c r="Q181" s="10" t="str">
        <x:v>Recebido</x:v>
      </x:c>
      <x:c r="R181" s="10" t="str">
        <x:v>Débito em Conta</x:v>
      </x:c>
      <x:c r="S181" s="10" t="str">
        <x:v>2025-08</x:v>
      </x:c>
      <x:c r="T181" s="10" t="n">
        <x:v>0</x:v>
      </x:c>
      <x:c r="U181" s="10" t="str">
        <x:v>Liquidado</x:v>
      </x:c>
      <x:c r="V181" s="10" t="str">
        <x:v>Baixo</x:v>
      </x:c>
      <x:c r="W181" s="10" t="str">
        <x:v>Tecnologia</x:v>
      </x:c>
      <x:c r="X181" s="10" t="str">
        <x:v>UND002</x:v>
      </x:c>
    </x:row>
    <x:row r="182" ht="18" customHeight="1">
      <x:c r="A182" s="10" t="str">
        <x:v>REC00181</x:v>
      </x:c>
      <x:c r="B182" s="10" t="str">
        <x:v>EMP001</x:v>
      </x:c>
      <x:c r="C182" s="10" t="str">
        <x:v>CLI031</x:v>
      </x:c>
      <x:c r="D182" s="10" t="str">
        <x:v>CC008</x:v>
      </x:c>
      <x:c r="E182" s="10" t="str">
        <x:v>CAT002</x:v>
      </x:c>
      <x:c r="F182" s="10" t="str">
        <x:v>CTA002</x:v>
      </x:c>
      <x:c r="G182" s="10" t="str">
        <x:v>FAT-200181</x:v>
      </x:c>
      <x:c r="H182" s="10" t="str">
        <x:v>Projeto especial</x:v>
      </x:c>
      <x:c r="I182" s="16" t="n">
        <x:v>45572.25149739583</x:v>
      </x:c>
      <x:c r="J182" s="16" t="n">
        <x:v>45602.25149739583</x:v>
      </x:c>
      <x:c r="K182" s="16" t="n">
        <x:v>45598.25149739583</x:v>
      </x:c>
      <x:c r="L182" s="20" t="n">
        <x:v>41701</x:v>
      </x:c>
      <x:c r="M182" s="20" t="n">
        <x:v>0</x:v>
      </x:c>
      <x:c r="N182" s="20" t="n">
        <x:v>0</x:v>
      </x:c>
      <x:c r="O182" s="20" t="n">
        <x:v>41701</x:v>
      </x:c>
      <x:c r="P182" s="20" t="n">
        <x:v>0</x:v>
      </x:c>
      <x:c r="Q182" s="10" t="str">
        <x:v>Recebido</x:v>
      </x:c>
      <x:c r="R182" s="10" t="str">
        <x:v>Cartão</x:v>
      </x:c>
      <x:c r="S182" s="10" t="str">
        <x:v>2024-10</x:v>
      </x:c>
      <x:c r="T182" s="10" t="n">
        <x:v>0</x:v>
      </x:c>
      <x:c r="U182" s="10" t="str">
        <x:v>Liquidado</x:v>
      </x:c>
      <x:c r="V182" s="10" t="str">
        <x:v>Baixo</x:v>
      </x:c>
      <x:c r="W182" s="10" t="str">
        <x:v>Serviços</x:v>
      </x:c>
      <x:c r="X182" s="10" t="str">
        <x:v>UND001</x:v>
      </x:c>
    </x:row>
    <x:row r="183" ht="18" customHeight="1">
      <x:c r="A183" s="10" t="str">
        <x:v>REC00182</x:v>
      </x:c>
      <x:c r="B183" s="10" t="str">
        <x:v>EMP001</x:v>
      </x:c>
      <x:c r="C183" s="10" t="str">
        <x:v>CLI068</x:v>
      </x:c>
      <x:c r="D183" s="10" t="str">
        <x:v>CC005</x:v>
      </x:c>
      <x:c r="E183" s="10" t="str">
        <x:v>CAT002</x:v>
      </x:c>
      <x:c r="F183" s="10" t="str">
        <x:v>CTA002</x:v>
      </x:c>
      <x:c r="G183" s="10" t="str">
        <x:v>FAT-200182</x:v>
      </x:c>
      <x:c r="H183" s="10" t="str">
        <x:v>Frete faturado</x:v>
      </x:c>
      <x:c r="I183" s="16" t="n">
        <x:v>45457.05745950231</x:v>
      </x:c>
      <x:c r="J183" s="16" t="n">
        <x:v>45487.05745950231</x:v>
      </x:c>
      <x:c r="K183" s="16" t="n">
        <x:v>45499.05745950231</x:v>
      </x:c>
      <x:c r="L183" s="20" t="n">
        <x:v>64634.77</x:v>
      </x:c>
      <x:c r="M183" s="20" t="n">
        <x:v>620.49</x:v>
      </x:c>
      <x:c r="N183" s="20" t="n">
        <x:v>0</x:v>
      </x:c>
      <x:c r="O183" s="20" t="n">
        <x:v>65255.26</x:v>
      </x:c>
      <x:c r="P183" s="20" t="n">
        <x:v>0</x:v>
      </x:c>
      <x:c r="Q183" s="10" t="str">
        <x:v>Recebido</x:v>
      </x:c>
      <x:c r="R183" s="10" t="str">
        <x:v>Cartão</x:v>
      </x:c>
      <x:c r="S183" s="10" t="str">
        <x:v>2024-06</x:v>
      </x:c>
      <x:c r="T183" s="10" t="n">
        <x:v>0</x:v>
      </x:c>
      <x:c r="U183" s="10" t="str">
        <x:v>Liquidado</x:v>
      </x:c>
      <x:c r="V183" s="10" t="str">
        <x:v>Médio</x:v>
      </x:c>
      <x:c r="W183" s="10" t="str">
        <x:v>Varejo</x:v>
      </x:c>
      <x:c r="X183" s="10" t="str">
        <x:v>UND001</x:v>
      </x:c>
    </x:row>
    <x:row r="184" ht="18" customHeight="1">
      <x:c r="A184" s="10" t="str">
        <x:v>REC00183</x:v>
      </x:c>
      <x:c r="B184" s="10" t="str">
        <x:v>EMP002</x:v>
      </x:c>
      <x:c r="C184" s="10" t="str">
        <x:v>CLI019</x:v>
      </x:c>
      <x:c r="D184" s="10" t="str">
        <x:v>CC002</x:v>
      </x:c>
      <x:c r="E184" s="10" t="str">
        <x:v>CAT003</x:v>
      </x:c>
      <x:c r="F184" s="10" t="str">
        <x:v>CTA003</x:v>
      </x:c>
      <x:c r="G184" s="10" t="str">
        <x:v>FAT-200183</x:v>
      </x:c>
      <x:c r="H184" s="10" t="str">
        <x:v>Prestação de serviços</x:v>
      </x:c>
      <x:c r="I184" s="16" t="n">
        <x:v>45542.15699809028</x:v>
      </x:c>
      <x:c r="J184" s="16" t="n">
        <x:v>45570.15699809028</x:v>
      </x:c>
      <x:c r="K184" s="16" t="n">
        <x:v>45572.15699809028</x:v>
      </x:c>
      <x:c r="L184" s="20" t="n">
        <x:v>118656.51</x:v>
      </x:c>
      <x:c r="M184" s="20" t="n">
        <x:v>189.85</x:v>
      </x:c>
      <x:c r="N184" s="20" t="n">
        <x:v>0</x:v>
      </x:c>
      <x:c r="O184" s="20" t="n">
        <x:v>118846.36</x:v>
      </x:c>
      <x:c r="P184" s="20" t="n">
        <x:v>0</x:v>
      </x:c>
      <x:c r="Q184" s="10" t="str">
        <x:v>Recebido</x:v>
      </x:c>
      <x:c r="R184" s="10" t="str">
        <x:v>TED</x:v>
      </x:c>
      <x:c r="S184" s="10" t="str">
        <x:v>2024-09</x:v>
      </x:c>
      <x:c r="T184" s="10" t="n">
        <x:v>0</x:v>
      </x:c>
      <x:c r="U184" s="10" t="str">
        <x:v>Liquidado</x:v>
      </x:c>
      <x:c r="V184" s="10" t="str">
        <x:v>Alto</x:v>
      </x:c>
      <x:c r="W184" s="10" t="str">
        <x:v>Saúde</x:v>
      </x:c>
      <x:c r="X184" s="10" t="str">
        <x:v>UND003</x:v>
      </x:c>
    </x:row>
    <x:row r="185" ht="18" customHeight="1">
      <x:c r="A185" s="10" t="str">
        <x:v>REC00184</x:v>
      </x:c>
      <x:c r="B185" s="10" t="str">
        <x:v>EMP002</x:v>
      </x:c>
      <x:c r="C185" s="10" t="str">
        <x:v>CLI011</x:v>
      </x:c>
      <x:c r="D185" s="10" t="str">
        <x:v>CC004</x:v>
      </x:c>
      <x:c r="E185" s="10" t="str">
        <x:v>CAT003</x:v>
      </x:c>
      <x:c r="F185" s="10" t="str">
        <x:v>CTA004</x:v>
      </x:c>
      <x:c r="G185" s="10" t="str">
        <x:v>FAT-200184</x:v>
      </x:c>
      <x:c r="H185" s="10" t="str">
        <x:v>Venda de produtos</x:v>
      </x:c>
      <x:c r="I185" s="16" t="n">
        <x:v>45397.18132699074</x:v>
      </x:c>
      <x:c r="J185" s="16" t="n">
        <x:v>45432.18132699074</x:v>
      </x:c>
      <x:c r="K185" s="16" t="n">
        <x:v>45435.18132699074</x:v>
      </x:c>
      <x:c r="L185" s="20" t="n">
        <x:v>51208.31</x:v>
      </x:c>
      <x:c r="M185" s="20" t="n">
        <x:v>122.9</x:v>
      </x:c>
      <x:c r="N185" s="20" t="n">
        <x:v>0</x:v>
      </x:c>
      <x:c r="O185" s="20" t="n">
        <x:v>51331.21</x:v>
      </x:c>
      <x:c r="P185" s="20" t="n">
        <x:v>0</x:v>
      </x:c>
      <x:c r="Q185" s="10" t="str">
        <x:v>Recebido</x:v>
      </x:c>
      <x:c r="R185" s="10" t="str">
        <x:v>Débito em Conta</x:v>
      </x:c>
      <x:c r="S185" s="10" t="str">
        <x:v>2024-04</x:v>
      </x:c>
      <x:c r="T185" s="10" t="n">
        <x:v>0</x:v>
      </x:c>
      <x:c r="U185" s="10" t="str">
        <x:v>Liquidado</x:v>
      </x:c>
      <x:c r="V185" s="10" t="str">
        <x:v>Alto</x:v>
      </x:c>
      <x:c r="W185" s="10" t="str">
        <x:v>Serviços</x:v>
      </x:c>
      <x:c r="X185" s="10" t="str">
        <x:v>UND003</x:v>
      </x:c>
    </x:row>
    <x:row r="186" ht="18" customHeight="1">
      <x:c r="A186" s="10" t="str">
        <x:v>REC00185</x:v>
      </x:c>
      <x:c r="B186" s="10" t="str">
        <x:v>EMP001</x:v>
      </x:c>
      <x:c r="C186" s="10" t="str">
        <x:v>CLI064</x:v>
      </x:c>
      <x:c r="D186" s="10" t="str">
        <x:v>CC007</x:v>
      </x:c>
      <x:c r="E186" s="10" t="str">
        <x:v>CAT001</x:v>
      </x:c>
      <x:c r="F186" s="10" t="str">
        <x:v>CTA002</x:v>
      </x:c>
      <x:c r="G186" s="10" t="str">
        <x:v>FAT-200185</x:v>
      </x:c>
      <x:c r="H186" s="10" t="str">
        <x:v>Venda de produtos</x:v>
      </x:c>
      <x:c r="I186" s="16" t="n">
        <x:v>45928.778500243054</x:v>
      </x:c>
      <x:c r="J186" s="16" t="n">
        <x:v>45963.778500243054</x:v>
      </x:c>
      <x:c r="K186" s="16"/>
      <x:c r="L186" s="20" t="n">
        <x:v>20250.88</x:v>
      </x:c>
      <x:c r="M186" s="20" t="n">
        <x:v>0</x:v>
      </x:c>
      <x:c r="N186" s="20" t="n">
        <x:v>0</x:v>
      </x:c>
      <x:c r="O186" s="20" t="n">
        <x:v>0</x:v>
      </x:c>
      <x:c r="P186" s="20" t="n">
        <x:v>20250.88</x:v>
      </x:c>
      <x:c r="Q186" s="10" t="str">
        <x:v>Vencido</x:v>
      </x:c>
      <x:c r="R186" s="10" t="str">
        <x:v>TED</x:v>
      </x:c>
      <x:c r="S186" s="10" t="str">
        <x:v>2025-09</x:v>
      </x:c>
      <x:c r="T186" s="10" t="n">
        <x:v>58</x:v>
      </x:c>
      <x:c r="U186" s="10" t="str">
        <x:v>31 a 60 dias</x:v>
      </x:c>
      <x:c r="V186" s="10" t="str">
        <x:v>Médio</x:v>
      </x:c>
      <x:c r="W186" s="10" t="str">
        <x:v>Atacado</x:v>
      </x:c>
      <x:c r="X186" s="10" t="str">
        <x:v>UND001</x:v>
      </x:c>
    </x:row>
    <x:row r="187" ht="18" customHeight="1">
      <x:c r="A187" s="10" t="str">
        <x:v>REC00186</x:v>
      </x:c>
      <x:c r="B187" s="10" t="str">
        <x:v>EMP001</x:v>
      </x:c>
      <x:c r="C187" s="10" t="str">
        <x:v>CLI015</x:v>
      </x:c>
      <x:c r="D187" s="10" t="str">
        <x:v>CC002</x:v>
      </x:c>
      <x:c r="E187" s="10" t="str">
        <x:v>CAT001</x:v>
      </x:c>
      <x:c r="F187" s="10" t="str">
        <x:v>CTA002</x:v>
      </x:c>
      <x:c r="G187" s="10" t="str">
        <x:v>FAT-200186</x:v>
      </x:c>
      <x:c r="H187" s="10" t="str">
        <x:v>Prestação de serviços</x:v>
      </x:c>
      <x:c r="I187" s="16" t="n">
        <x:v>45885.01667715278</x:v>
      </x:c>
      <x:c r="J187" s="16" t="n">
        <x:v>45930.01667715278</x:v>
      </x:c>
      <x:c r="K187" s="16" t="n">
        <x:v>45932.01667715278</x:v>
      </x:c>
      <x:c r="L187" s="20" t="n">
        <x:v>76255.05</x:v>
      </x:c>
      <x:c r="M187" s="20" t="n">
        <x:v>122.01</x:v>
      </x:c>
      <x:c r="N187" s="20" t="n">
        <x:v>0</x:v>
      </x:c>
      <x:c r="O187" s="20" t="n">
        <x:v>76377.06</x:v>
      </x:c>
      <x:c r="P187" s="20" t="n">
        <x:v>0</x:v>
      </x:c>
      <x:c r="Q187" s="10" t="str">
        <x:v>Recebido</x:v>
      </x:c>
      <x:c r="R187" s="10" t="str">
        <x:v>Débito em Conta</x:v>
      </x:c>
      <x:c r="S187" s="10" t="str">
        <x:v>2025-08</x:v>
      </x:c>
      <x:c r="T187" s="10" t="n">
        <x:v>0</x:v>
      </x:c>
      <x:c r="U187" s="10" t="str">
        <x:v>Liquidado</x:v>
      </x:c>
      <x:c r="V187" s="10" t="str">
        <x:v>Baixo</x:v>
      </x:c>
      <x:c r="W187" s="10" t="str">
        <x:v>Atacado</x:v>
      </x:c>
      <x:c r="X187" s="10" t="str">
        <x:v>UND001</x:v>
      </x:c>
    </x:row>
    <x:row r="188" ht="18" customHeight="1">
      <x:c r="A188" s="10" t="str">
        <x:v>REC00187</x:v>
      </x:c>
      <x:c r="B188" s="10" t="str">
        <x:v>EMP001</x:v>
      </x:c>
      <x:c r="C188" s="10" t="str">
        <x:v>CLI031</x:v>
      </x:c>
      <x:c r="D188" s="10" t="str">
        <x:v>CC008</x:v>
      </x:c>
      <x:c r="E188" s="10" t="str">
        <x:v>CAT004</x:v>
      </x:c>
      <x:c r="F188" s="10" t="str">
        <x:v>CTA002</x:v>
      </x:c>
      <x:c r="G188" s="10" t="str">
        <x:v>FAT-200187</x:v>
      </x:c>
      <x:c r="H188" s="10" t="str">
        <x:v>Frete faturado</x:v>
      </x:c>
      <x:c r="I188" s="16" t="n">
        <x:v>45429.28834170139</x:v>
      </x:c>
      <x:c r="J188" s="16" t="n">
        <x:v>45489.28834170139</x:v>
      </x:c>
      <x:c r="K188" s="16" t="n">
        <x:v>45490.28834170139</x:v>
      </x:c>
      <x:c r="L188" s="20" t="n">
        <x:v>30442.29</x:v>
      </x:c>
      <x:c r="M188" s="20" t="n">
        <x:v>24.35</x:v>
      </x:c>
      <x:c r="N188" s="20" t="n">
        <x:v>0</x:v>
      </x:c>
      <x:c r="O188" s="20" t="n">
        <x:v>30466.64</x:v>
      </x:c>
      <x:c r="P188" s="20" t="n">
        <x:v>0</x:v>
      </x:c>
      <x:c r="Q188" s="10" t="str">
        <x:v>Recebido</x:v>
      </x:c>
      <x:c r="R188" s="10" t="str">
        <x:v>Boleto</x:v>
      </x:c>
      <x:c r="S188" s="10" t="str">
        <x:v>2024-05</x:v>
      </x:c>
      <x:c r="T188" s="10" t="n">
        <x:v>0</x:v>
      </x:c>
      <x:c r="U188" s="10" t="str">
        <x:v>Liquidado</x:v>
      </x:c>
      <x:c r="V188" s="10" t="str">
        <x:v>Baixo</x:v>
      </x:c>
      <x:c r="W188" s="10" t="str">
        <x:v>Serviços</x:v>
      </x:c>
      <x:c r="X188" s="10" t="str">
        <x:v>UND001</x:v>
      </x:c>
    </x:row>
    <x:row r="189" ht="18" customHeight="1">
      <x:c r="A189" s="10" t="str">
        <x:v>REC00188</x:v>
      </x:c>
      <x:c r="B189" s="10" t="str">
        <x:v>EMP003</x:v>
      </x:c>
      <x:c r="C189" s="10" t="str">
        <x:v>CLI061</x:v>
      </x:c>
      <x:c r="D189" s="10" t="str">
        <x:v>CC002</x:v>
      </x:c>
      <x:c r="E189" s="10" t="str">
        <x:v>CAT001</x:v>
      </x:c>
      <x:c r="F189" s="10" t="str">
        <x:v>CTA006</x:v>
      </x:c>
      <x:c r="G189" s="10" t="str">
        <x:v>FAT-200188</x:v>
      </x:c>
      <x:c r="H189" s="10" t="str">
        <x:v>Frete faturado</x:v>
      </x:c>
      <x:c r="I189" s="16" t="n">
        <x:v>45566.82354420139</x:v>
      </x:c>
      <x:c r="J189" s="16" t="n">
        <x:v>45601.82354420139</x:v>
      </x:c>
      <x:c r="K189" s="16" t="n">
        <x:v>45607.82354420139</x:v>
      </x:c>
      <x:c r="L189" s="20" t="n">
        <x:v>852.2</x:v>
      </x:c>
      <x:c r="M189" s="20" t="n">
        <x:v>4.09</x:v>
      </x:c>
      <x:c r="N189" s="20" t="n">
        <x:v>0</x:v>
      </x:c>
      <x:c r="O189" s="20" t="n">
        <x:v>856.29</x:v>
      </x:c>
      <x:c r="P189" s="20" t="n">
        <x:v>0</x:v>
      </x:c>
      <x:c r="Q189" s="10" t="str">
        <x:v>Recebido</x:v>
      </x:c>
      <x:c r="R189" s="10" t="str">
        <x:v>Cartão</x:v>
      </x:c>
      <x:c r="S189" s="10" t="str">
        <x:v>2024-10</x:v>
      </x:c>
      <x:c r="T189" s="10" t="n">
        <x:v>0</x:v>
      </x:c>
      <x:c r="U189" s="10" t="str">
        <x:v>Liquidado</x:v>
      </x:c>
      <x:c r="V189" s="10" t="str">
        <x:v>Baixo</x:v>
      </x:c>
      <x:c r="W189" s="10" t="str">
        <x:v>Serviços</x:v>
      </x:c>
      <x:c r="X189" s="10" t="str">
        <x:v>UND004</x:v>
      </x:c>
    </x:row>
    <x:row r="190" ht="18" customHeight="1">
      <x:c r="A190" s="10" t="str">
        <x:v>REC00189</x:v>
      </x:c>
      <x:c r="B190" s="10" t="str">
        <x:v>EMP001</x:v>
      </x:c>
      <x:c r="C190" s="10" t="str">
        <x:v>CLI008</x:v>
      </x:c>
      <x:c r="D190" s="10" t="str">
        <x:v>CC003</x:v>
      </x:c>
      <x:c r="E190" s="10" t="str">
        <x:v>CAT001</x:v>
      </x:c>
      <x:c r="F190" s="10" t="str">
        <x:v>CTA002</x:v>
      </x:c>
      <x:c r="G190" s="10" t="str">
        <x:v>FAT-200189</x:v>
      </x:c>
      <x:c r="H190" s="10" t="str">
        <x:v>Prestação de serviços</x:v>
      </x:c>
      <x:c r="I190" s="16" t="n">
        <x:v>45454.556946516204</x:v>
      </x:c>
      <x:c r="J190" s="16" t="n">
        <x:v>45475.556946516204</x:v>
      </x:c>
      <x:c r="K190" s="16" t="n">
        <x:v>45485.556946516204</x:v>
      </x:c>
      <x:c r="L190" s="20" t="n">
        <x:v>112271.5</x:v>
      </x:c>
      <x:c r="M190" s="20" t="n">
        <x:v>898.17</x:v>
      </x:c>
      <x:c r="N190" s="20" t="n">
        <x:v>0</x:v>
      </x:c>
      <x:c r="O190" s="20" t="n">
        <x:v>113169.67</x:v>
      </x:c>
      <x:c r="P190" s="20" t="n">
        <x:v>0</x:v>
      </x:c>
      <x:c r="Q190" s="10" t="str">
        <x:v>Recebido</x:v>
      </x:c>
      <x:c r="R190" s="10" t="str">
        <x:v>Cartão</x:v>
      </x:c>
      <x:c r="S190" s="10" t="str">
        <x:v>2024-06</x:v>
      </x:c>
      <x:c r="T190" s="10" t="n">
        <x:v>0</x:v>
      </x:c>
      <x:c r="U190" s="10" t="str">
        <x:v>Liquidado</x:v>
      </x:c>
      <x:c r="V190" s="10" t="str">
        <x:v>Médio</x:v>
      </x:c>
      <x:c r="W190" s="10" t="str">
        <x:v>Saúde</x:v>
      </x:c>
      <x:c r="X190" s="10" t="str">
        <x:v>UND002</x:v>
      </x:c>
    </x:row>
    <x:row r="191" ht="18" customHeight="1">
      <x:c r="A191" s="10" t="str">
        <x:v>REC00190</x:v>
      </x:c>
      <x:c r="B191" s="10" t="str">
        <x:v>EMP001</x:v>
      </x:c>
      <x:c r="C191" s="10" t="str">
        <x:v>CLI027</x:v>
      </x:c>
      <x:c r="D191" s="10" t="str">
        <x:v>CC003</x:v>
      </x:c>
      <x:c r="E191" s="10" t="str">
        <x:v>CAT002</x:v>
      </x:c>
      <x:c r="F191" s="10" t="str">
        <x:v>CTA001</x:v>
      </x:c>
      <x:c r="G191" s="10" t="str">
        <x:v>FAT-200190</x:v>
      </x:c>
      <x:c r="H191" s="10" t="str">
        <x:v>Contrato mensal</x:v>
      </x:c>
      <x:c r="I191" s="16" t="n">
        <x:v>45809.23803350695</x:v>
      </x:c>
      <x:c r="J191" s="16" t="n">
        <x:v>45854.23803350695</x:v>
      </x:c>
      <x:c r="K191" s="16" t="n">
        <x:v>45851.23803350695</x:v>
      </x:c>
      <x:c r="L191" s="20" t="n">
        <x:v>47696.13</x:v>
      </x:c>
      <x:c r="M191" s="20" t="n">
        <x:v>0</x:v>
      </x:c>
      <x:c r="N191" s="20" t="n">
        <x:v>476.96</x:v>
      </x:c>
      <x:c r="O191" s="20" t="n">
        <x:v>47219.17</x:v>
      </x:c>
      <x:c r="P191" s="20" t="n">
        <x:v>0</x:v>
      </x:c>
      <x:c r="Q191" s="10" t="str">
        <x:v>Recebido</x:v>
      </x:c>
      <x:c r="R191" s="10" t="str">
        <x:v>PIX</x:v>
      </x:c>
      <x:c r="S191" s="10" t="str">
        <x:v>2025-06</x:v>
      </x:c>
      <x:c r="T191" s="10" t="n">
        <x:v>0</x:v>
      </x:c>
      <x:c r="U191" s="10" t="str">
        <x:v>Liquidado</x:v>
      </x:c>
      <x:c r="V191" s="10" t="str">
        <x:v>Alto</x:v>
      </x:c>
      <x:c r="W191" s="10" t="str">
        <x:v>Serviços</x:v>
      </x:c>
      <x:c r="X191" s="10" t="str">
        <x:v>UND001</x:v>
      </x:c>
    </x:row>
    <x:row r="192" ht="18" customHeight="1">
      <x:c r="A192" s="10" t="str">
        <x:v>REC00191</x:v>
      </x:c>
      <x:c r="B192" s="10" t="str">
        <x:v>EMP003</x:v>
      </x:c>
      <x:c r="C192" s="10" t="str">
        <x:v>CLI043</x:v>
      </x:c>
      <x:c r="D192" s="10" t="str">
        <x:v>CC001</x:v>
      </x:c>
      <x:c r="E192" s="10" t="str">
        <x:v>CAT002</x:v>
      </x:c>
      <x:c r="F192" s="10" t="str">
        <x:v>CTA005</x:v>
      </x:c>
      <x:c r="G192" s="10" t="str">
        <x:v>FAT-200191</x:v>
      </x:c>
      <x:c r="H192" s="10" t="str">
        <x:v>Prestação de serviços</x:v>
      </x:c>
      <x:c r="I192" s="16" t="n">
        <x:v>45982.42634460648</x:v>
      </x:c>
      <x:c r="J192" s="16" t="n">
        <x:v>46012.42634460648</x:v>
      </x:c>
      <x:c r="K192" s="16" t="n">
        <x:v>46007.42634460648</x:v>
      </x:c>
      <x:c r="L192" s="20" t="n">
        <x:v>24463.07</x:v>
      </x:c>
      <x:c r="M192" s="20" t="n">
        <x:v>0</x:v>
      </x:c>
      <x:c r="N192" s="20" t="n">
        <x:v>489.26</x:v>
      </x:c>
      <x:c r="O192" s="20" t="n">
        <x:v>23973.81</x:v>
      </x:c>
      <x:c r="P192" s="20" t="n">
        <x:v>0</x:v>
      </x:c>
      <x:c r="Q192" s="10" t="str">
        <x:v>Recebido</x:v>
      </x:c>
      <x:c r="R192" s="10" t="str">
        <x:v>PIX</x:v>
      </x:c>
      <x:c r="S192" s="10" t="str">
        <x:v>2025-11</x:v>
      </x:c>
      <x:c r="T192" s="10" t="n">
        <x:v>0</x:v>
      </x:c>
      <x:c r="U192" s="10" t="str">
        <x:v>Liquidado</x:v>
      </x:c>
      <x:c r="V192" s="10" t="str">
        <x:v>Baixo</x:v>
      </x:c>
      <x:c r="W192" s="10" t="str">
        <x:v>Atacado</x:v>
      </x:c>
      <x:c r="X192" s="10" t="str">
        <x:v>UND004</x:v>
      </x:c>
    </x:row>
    <x:row r="193" ht="18" customHeight="1">
      <x:c r="A193" s="10" t="str">
        <x:v>REC00192</x:v>
      </x:c>
      <x:c r="B193" s="10" t="str">
        <x:v>EMP003</x:v>
      </x:c>
      <x:c r="C193" s="10" t="str">
        <x:v>CLI052</x:v>
      </x:c>
      <x:c r="D193" s="10" t="str">
        <x:v>CC004</x:v>
      </x:c>
      <x:c r="E193" s="10" t="str">
        <x:v>CAT003</x:v>
      </x:c>
      <x:c r="F193" s="10" t="str">
        <x:v>CTA006</x:v>
      </x:c>
      <x:c r="G193" s="10" t="str">
        <x:v>FAT-200192</x:v>
      </x:c>
      <x:c r="H193" s="10" t="str">
        <x:v>Frete faturado</x:v>
      </x:c>
      <x:c r="I193" s="16" t="n">
        <x:v>45464.25182586806</x:v>
      </x:c>
      <x:c r="J193" s="16" t="n">
        <x:v>45492.25182586806</x:v>
      </x:c>
      <x:c r="K193" s="16" t="n">
        <x:v>45490.25182586806</x:v>
      </x:c>
      <x:c r="L193" s="20" t="n">
        <x:v>61207.94</x:v>
      </x:c>
      <x:c r="M193" s="20" t="n">
        <x:v>0</x:v>
      </x:c>
      <x:c r="N193" s="20" t="n">
        <x:v>0</x:v>
      </x:c>
      <x:c r="O193" s="20" t="n">
        <x:v>61207.94</x:v>
      </x:c>
      <x:c r="P193" s="20" t="n">
        <x:v>0</x:v>
      </x:c>
      <x:c r="Q193" s="10" t="str">
        <x:v>Recebido</x:v>
      </x:c>
      <x:c r="R193" s="10" t="str">
        <x:v>Débito em Conta</x:v>
      </x:c>
      <x:c r="S193" s="10" t="str">
        <x:v>2024-06</x:v>
      </x:c>
      <x:c r="T193" s="10" t="n">
        <x:v>0</x:v>
      </x:c>
      <x:c r="U193" s="10" t="str">
        <x:v>Liquidado</x:v>
      </x:c>
      <x:c r="V193" s="10" t="str">
        <x:v>Baixo</x:v>
      </x:c>
      <x:c r="W193" s="10" t="str">
        <x:v>Varejo</x:v>
      </x:c>
      <x:c r="X193" s="10" t="str">
        <x:v>UND004</x:v>
      </x:c>
    </x:row>
    <x:row r="194" ht="18" customHeight="1">
      <x:c r="A194" s="10" t="str">
        <x:v>REC00193</x:v>
      </x:c>
      <x:c r="B194" s="10" t="str">
        <x:v>EMP003</x:v>
      </x:c>
      <x:c r="C194" s="10" t="str">
        <x:v>CLI029</x:v>
      </x:c>
      <x:c r="D194" s="10" t="str">
        <x:v>CC001</x:v>
      </x:c>
      <x:c r="E194" s="10" t="str">
        <x:v>CAT001</x:v>
      </x:c>
      <x:c r="F194" s="10" t="str">
        <x:v>CTA005</x:v>
      </x:c>
      <x:c r="G194" s="10" t="str">
        <x:v>FAT-200193</x:v>
      </x:c>
      <x:c r="H194" s="10" t="str">
        <x:v>Venda de produtos</x:v>
      </x:c>
      <x:c r="I194" s="16" t="n">
        <x:v>45759.11535475694</x:v>
      </x:c>
      <x:c r="J194" s="16" t="n">
        <x:v>45804.11535475694</x:v>
      </x:c>
      <x:c r="K194" s="16" t="n">
        <x:v>45803.11535475694</x:v>
      </x:c>
      <x:c r="L194" s="20" t="n">
        <x:v>93480.7</x:v>
      </x:c>
      <x:c r="M194" s="20" t="n">
        <x:v>0</x:v>
      </x:c>
      <x:c r="N194" s="20" t="n">
        <x:v>0</x:v>
      </x:c>
      <x:c r="O194" s="20" t="n">
        <x:v>93480.7</x:v>
      </x:c>
      <x:c r="P194" s="20" t="n">
        <x:v>0</x:v>
      </x:c>
      <x:c r="Q194" s="10" t="str">
        <x:v>Recebido</x:v>
      </x:c>
      <x:c r="R194" s="10" t="str">
        <x:v>PIX</x:v>
      </x:c>
      <x:c r="S194" s="10" t="str">
        <x:v>2025-04</x:v>
      </x:c>
      <x:c r="T194" s="10" t="n">
        <x:v>0</x:v>
      </x:c>
      <x:c r="U194" s="10" t="str">
        <x:v>Liquidado</x:v>
      </x:c>
      <x:c r="V194" s="10" t="str">
        <x:v>Baixo</x:v>
      </x:c>
      <x:c r="W194" s="10" t="str">
        <x:v>Tecnologia</x:v>
      </x:c>
      <x:c r="X194" s="10" t="str">
        <x:v>UND004</x:v>
      </x:c>
    </x:row>
    <x:row r="195" ht="18" customHeight="1">
      <x:c r="A195" s="10" t="str">
        <x:v>REC00194</x:v>
      </x:c>
      <x:c r="B195" s="10" t="str">
        <x:v>EMP002</x:v>
      </x:c>
      <x:c r="C195" s="10" t="str">
        <x:v>CLI028</x:v>
      </x:c>
      <x:c r="D195" s="10" t="str">
        <x:v>CC007</x:v>
      </x:c>
      <x:c r="E195" s="10" t="str">
        <x:v>CAT003</x:v>
      </x:c>
      <x:c r="F195" s="10" t="str">
        <x:v>CTA004</x:v>
      </x:c>
      <x:c r="G195" s="10" t="str">
        <x:v>FAT-200194</x:v>
      </x:c>
      <x:c r="H195" s="10" t="str">
        <x:v>Frete faturado</x:v>
      </x:c>
      <x:c r="I195" s="16" t="n">
        <x:v>45808.73193351852</x:v>
      </x:c>
      <x:c r="J195" s="16" t="n">
        <x:v>45868.73193351852</x:v>
      </x:c>
      <x:c r="K195" s="16" t="n">
        <x:v>45863.73193351852</x:v>
      </x:c>
      <x:c r="L195" s="20" t="n">
        <x:v>80760.83</x:v>
      </x:c>
      <x:c r="M195" s="20" t="n">
        <x:v>0</x:v>
      </x:c>
      <x:c r="N195" s="20" t="n">
        <x:v>807.61</x:v>
      </x:c>
      <x:c r="O195" s="20" t="n">
        <x:v>79953.22</x:v>
      </x:c>
      <x:c r="P195" s="20" t="n">
        <x:v>0</x:v>
      </x:c>
      <x:c r="Q195" s="10" t="str">
        <x:v>Recebido</x:v>
      </x:c>
      <x:c r="R195" s="10" t="str">
        <x:v>Débito em Conta</x:v>
      </x:c>
      <x:c r="S195" s="10" t="str">
        <x:v>2025-05</x:v>
      </x:c>
      <x:c r="T195" s="10" t="n">
        <x:v>0</x:v>
      </x:c>
      <x:c r="U195" s="10" t="str">
        <x:v>Liquidado</x:v>
      </x:c>
      <x:c r="V195" s="10" t="str">
        <x:v>Baixo</x:v>
      </x:c>
      <x:c r="W195" s="10" t="str">
        <x:v>Serviços</x:v>
      </x:c>
      <x:c r="X195" s="10" t="str">
        <x:v>UND003</x:v>
      </x:c>
    </x:row>
    <x:row r="196" ht="18" customHeight="1">
      <x:c r="A196" s="10" t="str">
        <x:v>REC00195</x:v>
      </x:c>
      <x:c r="B196" s="10" t="str">
        <x:v>EMP002</x:v>
      </x:c>
      <x:c r="C196" s="10" t="str">
        <x:v>CLI058</x:v>
      </x:c>
      <x:c r="D196" s="10" t="str">
        <x:v>CC008</x:v>
      </x:c>
      <x:c r="E196" s="10" t="str">
        <x:v>CAT003</x:v>
      </x:c>
      <x:c r="F196" s="10" t="str">
        <x:v>CTA004</x:v>
      </x:c>
      <x:c r="G196" s="10" t="str">
        <x:v>FAT-200195</x:v>
      </x:c>
      <x:c r="H196" s="10" t="str">
        <x:v>Contrato mensal</x:v>
      </x:c>
      <x:c r="I196" s="16" t="n">
        <x:v>45643.990339317126</x:v>
      </x:c>
      <x:c r="J196" s="16" t="n">
        <x:v>45673.990339317126</x:v>
      </x:c>
      <x:c r="K196" s="16" t="n">
        <x:v>45669.990339317126</x:v>
      </x:c>
      <x:c r="L196" s="20" t="n">
        <x:v>66733.59</x:v>
      </x:c>
      <x:c r="M196" s="20" t="n">
        <x:v>0</x:v>
      </x:c>
      <x:c r="N196" s="20" t="n">
        <x:v>667.34</x:v>
      </x:c>
      <x:c r="O196" s="20" t="n">
        <x:v>66066.25</x:v>
      </x:c>
      <x:c r="P196" s="20" t="n">
        <x:v>0</x:v>
      </x:c>
      <x:c r="Q196" s="10" t="str">
        <x:v>Recebido</x:v>
      </x:c>
      <x:c r="R196" s="10" t="str">
        <x:v>PIX</x:v>
      </x:c>
      <x:c r="S196" s="10" t="str">
        <x:v>2024-12</x:v>
      </x:c>
      <x:c r="T196" s="10" t="n">
        <x:v>0</x:v>
      </x:c>
      <x:c r="U196" s="10" t="str">
        <x:v>Liquidado</x:v>
      </x:c>
      <x:c r="V196" s="10" t="str">
        <x:v>Baixo</x:v>
      </x:c>
      <x:c r="W196" s="10" t="str">
        <x:v>Atacado</x:v>
      </x:c>
      <x:c r="X196" s="10" t="str">
        <x:v>UND003</x:v>
      </x:c>
    </x:row>
    <x:row r="197" ht="18" customHeight="1">
      <x:c r="A197" s="10" t="str">
        <x:v>REC00196</x:v>
      </x:c>
      <x:c r="B197" s="10" t="str">
        <x:v>EMP002</x:v>
      </x:c>
      <x:c r="C197" s="10" t="str">
        <x:v>CLI008</x:v>
      </x:c>
      <x:c r="D197" s="10" t="str">
        <x:v>CC006</x:v>
      </x:c>
      <x:c r="E197" s="10" t="str">
        <x:v>CAT002</x:v>
      </x:c>
      <x:c r="F197" s="10" t="str">
        <x:v>CTA004</x:v>
      </x:c>
      <x:c r="G197" s="10" t="str">
        <x:v>FAT-200196</x:v>
      </x:c>
      <x:c r="H197" s="10" t="str">
        <x:v>Projeto especial</x:v>
      </x:c>
      <x:c r="I197" s="16" t="n">
        <x:v>45518.665437048614</x:v>
      </x:c>
      <x:c r="J197" s="16" t="n">
        <x:v>45546.665437048614</x:v>
      </x:c>
      <x:c r="K197" s="16" t="n">
        <x:v>45552.665437048614</x:v>
      </x:c>
      <x:c r="L197" s="20" t="n">
        <x:v>48085.69</x:v>
      </x:c>
      <x:c r="M197" s="20" t="n">
        <x:v>230.81</x:v>
      </x:c>
      <x:c r="N197" s="20" t="n">
        <x:v>0</x:v>
      </x:c>
      <x:c r="O197" s="20" t="n">
        <x:v>48316.5</x:v>
      </x:c>
      <x:c r="P197" s="20" t="n">
        <x:v>0</x:v>
      </x:c>
      <x:c r="Q197" s="10" t="str">
        <x:v>Recebido</x:v>
      </x:c>
      <x:c r="R197" s="10" t="str">
        <x:v>TED</x:v>
      </x:c>
      <x:c r="S197" s="10" t="str">
        <x:v>2024-08</x:v>
      </x:c>
      <x:c r="T197" s="10" t="n">
        <x:v>0</x:v>
      </x:c>
      <x:c r="U197" s="10" t="str">
        <x:v>Liquidado</x:v>
      </x:c>
      <x:c r="V197" s="10" t="str">
        <x:v>Médio</x:v>
      </x:c>
      <x:c r="W197" s="10" t="str">
        <x:v>Saúde</x:v>
      </x:c>
      <x:c r="X197" s="10" t="str">
        <x:v>UND003</x:v>
      </x:c>
    </x:row>
    <x:row r="198" ht="18" customHeight="1">
      <x:c r="A198" s="10" t="str">
        <x:v>REC00197</x:v>
      </x:c>
      <x:c r="B198" s="10" t="str">
        <x:v>EMP002</x:v>
      </x:c>
      <x:c r="C198" s="10" t="str">
        <x:v>CLI068</x:v>
      </x:c>
      <x:c r="D198" s="10" t="str">
        <x:v>CC007</x:v>
      </x:c>
      <x:c r="E198" s="10" t="str">
        <x:v>CAT001</x:v>
      </x:c>
      <x:c r="F198" s="10" t="str">
        <x:v>CTA004</x:v>
      </x:c>
      <x:c r="G198" s="10" t="str">
        <x:v>FAT-200197</x:v>
      </x:c>
      <x:c r="H198" s="10" t="str">
        <x:v>Prestação de serviços</x:v>
      </x:c>
      <x:c r="I198" s="16" t="n">
        <x:v>45675.3260097338</x:v>
      </x:c>
      <x:c r="J198" s="16" t="n">
        <x:v>45720.3260097338</x:v>
      </x:c>
      <x:c r="K198" s="16" t="n">
        <x:v>45731.3260097338</x:v>
      </x:c>
      <x:c r="L198" s="20" t="n">
        <x:v>41500.85</x:v>
      </x:c>
      <x:c r="M198" s="20" t="n">
        <x:v>365.21</x:v>
      </x:c>
      <x:c r="N198" s="20" t="n">
        <x:v>0</x:v>
      </x:c>
      <x:c r="O198" s="20" t="n">
        <x:v>41866.06</x:v>
      </x:c>
      <x:c r="P198" s="20" t="n">
        <x:v>0</x:v>
      </x:c>
      <x:c r="Q198" s="10" t="str">
        <x:v>Recebido</x:v>
      </x:c>
      <x:c r="R198" s="10" t="str">
        <x:v>Boleto</x:v>
      </x:c>
      <x:c r="S198" s="10" t="str">
        <x:v>2025-01</x:v>
      </x:c>
      <x:c r="T198" s="10" t="n">
        <x:v>0</x:v>
      </x:c>
      <x:c r="U198" s="10" t="str">
        <x:v>Liquidado</x:v>
      </x:c>
      <x:c r="V198" s="10" t="str">
        <x:v>Médio</x:v>
      </x:c>
      <x:c r="W198" s="10" t="str">
        <x:v>Varejo</x:v>
      </x:c>
      <x:c r="X198" s="10" t="str">
        <x:v>UND003</x:v>
      </x:c>
    </x:row>
    <x:row r="199" ht="18" customHeight="1">
      <x:c r="A199" s="10" t="str">
        <x:v>REC00198</x:v>
      </x:c>
      <x:c r="B199" s="10" t="str">
        <x:v>EMP001</x:v>
      </x:c>
      <x:c r="C199" s="10" t="str">
        <x:v>CLI067</x:v>
      </x:c>
      <x:c r="D199" s="10" t="str">
        <x:v>CC005</x:v>
      </x:c>
      <x:c r="E199" s="10" t="str">
        <x:v>CAT003</x:v>
      </x:c>
      <x:c r="F199" s="10" t="str">
        <x:v>CTA002</x:v>
      </x:c>
      <x:c r="G199" s="10" t="str">
        <x:v>FAT-200198</x:v>
      </x:c>
      <x:c r="H199" s="10" t="str">
        <x:v>Projeto especial</x:v>
      </x:c>
      <x:c r="I199" s="16" t="n">
        <x:v>45374.65394549769</x:v>
      </x:c>
      <x:c r="J199" s="16" t="n">
        <x:v>45434.65394549769</x:v>
      </x:c>
      <x:c r="K199" s="16" t="n">
        <x:v>45433.65394549769</x:v>
      </x:c>
      <x:c r="L199" s="20" t="n">
        <x:v>106176.15</x:v>
      </x:c>
      <x:c r="M199" s="20" t="n">
        <x:v>0</x:v>
      </x:c>
      <x:c r="N199" s="20" t="n">
        <x:v>2123.52</x:v>
      </x:c>
      <x:c r="O199" s="20" t="n">
        <x:v>104052.63</x:v>
      </x:c>
      <x:c r="P199" s="20" t="n">
        <x:v>0</x:v>
      </x:c>
      <x:c r="Q199" s="10" t="str">
        <x:v>Recebido</x:v>
      </x:c>
      <x:c r="R199" s="10" t="str">
        <x:v>TED</x:v>
      </x:c>
      <x:c r="S199" s="10" t="str">
        <x:v>2024-03</x:v>
      </x:c>
      <x:c r="T199" s="10" t="n">
        <x:v>0</x:v>
      </x:c>
      <x:c r="U199" s="10" t="str">
        <x:v>Liquidado</x:v>
      </x:c>
      <x:c r="V199" s="10" t="str">
        <x:v>Alto</x:v>
      </x:c>
      <x:c r="W199" s="10" t="str">
        <x:v>Varejo</x:v>
      </x:c>
      <x:c r="X199" s="10" t="str">
        <x:v>UND002</x:v>
      </x:c>
    </x:row>
    <x:row r="200" ht="18" customHeight="1">
      <x:c r="A200" s="10" t="str">
        <x:v>REC00199</x:v>
      </x:c>
      <x:c r="B200" s="10" t="str">
        <x:v>EMP002</x:v>
      </x:c>
      <x:c r="C200" s="10" t="str">
        <x:v>CLI068</x:v>
      </x:c>
      <x:c r="D200" s="10" t="str">
        <x:v>CC004</x:v>
      </x:c>
      <x:c r="E200" s="10" t="str">
        <x:v>CAT004</x:v>
      </x:c>
      <x:c r="F200" s="10" t="str">
        <x:v>CTA004</x:v>
      </x:c>
      <x:c r="G200" s="10" t="str">
        <x:v>FAT-200199</x:v>
      </x:c>
      <x:c r="H200" s="10" t="str">
        <x:v>Projeto especial</x:v>
      </x:c>
      <x:c r="I200" s="16" t="n">
        <x:v>45328.33452966435</x:v>
      </x:c>
      <x:c r="J200" s="16" t="n">
        <x:v>45373.33452966435</x:v>
      </x:c>
      <x:c r="K200" s="16" t="n">
        <x:v>45387.33452966435</x:v>
      </x:c>
      <x:c r="L200" s="20" t="n">
        <x:v>6202.38</x:v>
      </x:c>
      <x:c r="M200" s="20" t="n">
        <x:v>69.47</x:v>
      </x:c>
      <x:c r="N200" s="20" t="n">
        <x:v>0</x:v>
      </x:c>
      <x:c r="O200" s="20" t="n">
        <x:v>6271.85</x:v>
      </x:c>
      <x:c r="P200" s="20" t="n">
        <x:v>0</x:v>
      </x:c>
      <x:c r="Q200" s="10" t="str">
        <x:v>Recebido</x:v>
      </x:c>
      <x:c r="R200" s="10" t="str">
        <x:v>PIX</x:v>
      </x:c>
      <x:c r="S200" s="10" t="str">
        <x:v>2024-02</x:v>
      </x:c>
      <x:c r="T200" s="10" t="n">
        <x:v>0</x:v>
      </x:c>
      <x:c r="U200" s="10" t="str">
        <x:v>Liquidado</x:v>
      </x:c>
      <x:c r="V200" s="10" t="str">
        <x:v>Médio</x:v>
      </x:c>
      <x:c r="W200" s="10" t="str">
        <x:v>Varejo</x:v>
      </x:c>
      <x:c r="X200" s="10" t="str">
        <x:v>UND003</x:v>
      </x:c>
    </x:row>
    <x:row r="201" ht="18" customHeight="1">
      <x:c r="A201" s="10" t="str">
        <x:v>REC00200</x:v>
      </x:c>
      <x:c r="B201" s="10" t="str">
        <x:v>EMP003</x:v>
      </x:c>
      <x:c r="C201" s="10" t="str">
        <x:v>CLI046</x:v>
      </x:c>
      <x:c r="D201" s="10" t="str">
        <x:v>CC002</x:v>
      </x:c>
      <x:c r="E201" s="10" t="str">
        <x:v>CAT003</x:v>
      </x:c>
      <x:c r="F201" s="10" t="str">
        <x:v>CTA005</x:v>
      </x:c>
      <x:c r="G201" s="10" t="str">
        <x:v>FAT-200200</x:v>
      </x:c>
      <x:c r="H201" s="10" t="str">
        <x:v>Contrato mensal</x:v>
      </x:c>
      <x:c r="I201" s="16" t="n">
        <x:v>45611.88991899305</x:v>
      </x:c>
      <x:c r="J201" s="16" t="n">
        <x:v>45656.88991899305</x:v>
      </x:c>
      <x:c r="K201" s="16" t="n">
        <x:v>45651.88991899305</x:v>
      </x:c>
      <x:c r="L201" s="20" t="n">
        <x:v>55081.72</x:v>
      </x:c>
      <x:c r="M201" s="20" t="n">
        <x:v>0</x:v>
      </x:c>
      <x:c r="N201" s="20" t="n">
        <x:v>0</x:v>
      </x:c>
      <x:c r="O201" s="20" t="n">
        <x:v>55081.72</x:v>
      </x:c>
      <x:c r="P201" s="20" t="n">
        <x:v>0</x:v>
      </x:c>
      <x:c r="Q201" s="10" t="str">
        <x:v>Recebido</x:v>
      </x:c>
      <x:c r="R201" s="10" t="str">
        <x:v>TED</x:v>
      </x:c>
      <x:c r="S201" s="10" t="str">
        <x:v>2024-11</x:v>
      </x:c>
      <x:c r="T201" s="10" t="n">
        <x:v>0</x:v>
      </x:c>
      <x:c r="U201" s="10" t="str">
        <x:v>Liquidado</x:v>
      </x:c>
      <x:c r="V201" s="10" t="str">
        <x:v>Alto</x:v>
      </x:c>
      <x:c r="W201" s="10" t="str">
        <x:v>Varejo</x:v>
      </x:c>
      <x:c r="X201" s="10" t="str">
        <x:v>UND004</x:v>
      </x:c>
    </x:row>
    <x:row r="202" ht="18" customHeight="1">
      <x:c r="A202" s="10" t="str">
        <x:v>REC00201</x:v>
      </x:c>
      <x:c r="B202" s="10" t="str">
        <x:v>EMP003</x:v>
      </x:c>
      <x:c r="C202" s="10" t="str">
        <x:v>CLI009</x:v>
      </x:c>
      <x:c r="D202" s="10" t="str">
        <x:v>CC001</x:v>
      </x:c>
      <x:c r="E202" s="10" t="str">
        <x:v>CAT001</x:v>
      </x:c>
      <x:c r="F202" s="10" t="str">
        <x:v>CTA006</x:v>
      </x:c>
      <x:c r="G202" s="10" t="str">
        <x:v>FAT-200201</x:v>
      </x:c>
      <x:c r="H202" s="10" t="str">
        <x:v>Prestação de serviços</x:v>
      </x:c>
      <x:c r="I202" s="16" t="n">
        <x:v>45528.246459814814</x:v>
      </x:c>
      <x:c r="J202" s="16" t="n">
        <x:v>45556.246459814814</x:v>
      </x:c>
      <x:c r="K202" s="16" t="n">
        <x:v>45567.246459814814</x:v>
      </x:c>
      <x:c r="L202" s="20" t="n">
        <x:v>18306.34</x:v>
      </x:c>
      <x:c r="M202" s="20" t="n">
        <x:v>161.1</x:v>
      </x:c>
      <x:c r="N202" s="20" t="n">
        <x:v>0</x:v>
      </x:c>
      <x:c r="O202" s="20" t="n">
        <x:v>18467.44</x:v>
      </x:c>
      <x:c r="P202" s="20" t="n">
        <x:v>0</x:v>
      </x:c>
      <x:c r="Q202" s="10" t="str">
        <x:v>Recebido</x:v>
      </x:c>
      <x:c r="R202" s="10" t="str">
        <x:v>PIX</x:v>
      </x:c>
      <x:c r="S202" s="10" t="str">
        <x:v>2024-08</x:v>
      </x:c>
      <x:c r="T202" s="10" t="n">
        <x:v>0</x:v>
      </x:c>
      <x:c r="U202" s="10" t="str">
        <x:v>Liquidado</x:v>
      </x:c>
      <x:c r="V202" s="10" t="str">
        <x:v>Médio</x:v>
      </x:c>
      <x:c r="W202" s="10" t="str">
        <x:v>Saúde</x:v>
      </x:c>
      <x:c r="X202" s="10" t="str">
        <x:v>UND004</x:v>
      </x:c>
    </x:row>
    <x:row r="203" ht="18" customHeight="1">
      <x:c r="A203" s="10" t="str">
        <x:v>REC00202</x:v>
      </x:c>
      <x:c r="B203" s="10" t="str">
        <x:v>EMP001</x:v>
      </x:c>
      <x:c r="C203" s="10" t="str">
        <x:v>CLI052</x:v>
      </x:c>
      <x:c r="D203" s="10" t="str">
        <x:v>CC005</x:v>
      </x:c>
      <x:c r="E203" s="10" t="str">
        <x:v>CAT004</x:v>
      </x:c>
      <x:c r="F203" s="10" t="str">
        <x:v>CTA002</x:v>
      </x:c>
      <x:c r="G203" s="10" t="str">
        <x:v>FAT-200202</x:v>
      </x:c>
      <x:c r="H203" s="10" t="str">
        <x:v>Frete faturado</x:v>
      </x:c>
      <x:c r="I203" s="16" t="n">
        <x:v>45611.13117017361</x:v>
      </x:c>
      <x:c r="J203" s="16" t="n">
        <x:v>45671.13117017361</x:v>
      </x:c>
      <x:c r="K203" s="16" t="n">
        <x:v>45671.13117017361</x:v>
      </x:c>
      <x:c r="L203" s="20" t="n">
        <x:v>2242.82</x:v>
      </x:c>
      <x:c r="M203" s="20" t="n">
        <x:v>0</x:v>
      </x:c>
      <x:c r="N203" s="20" t="n">
        <x:v>0</x:v>
      </x:c>
      <x:c r="O203" s="20" t="n">
        <x:v>2242.82</x:v>
      </x:c>
      <x:c r="P203" s="20" t="n">
        <x:v>0</x:v>
      </x:c>
      <x:c r="Q203" s="10" t="str">
        <x:v>Recebido</x:v>
      </x:c>
      <x:c r="R203" s="10" t="str">
        <x:v>Débito em Conta</x:v>
      </x:c>
      <x:c r="S203" s="10" t="str">
        <x:v>2024-11</x:v>
      </x:c>
      <x:c r="T203" s="10" t="n">
        <x:v>0</x:v>
      </x:c>
      <x:c r="U203" s="10" t="str">
        <x:v>Liquidado</x:v>
      </x:c>
      <x:c r="V203" s="10" t="str">
        <x:v>Baixo</x:v>
      </x:c>
      <x:c r="W203" s="10" t="str">
        <x:v>Varejo</x:v>
      </x:c>
      <x:c r="X203" s="10" t="str">
        <x:v>UND002</x:v>
      </x:c>
    </x:row>
    <x:row r="204" ht="18" customHeight="1">
      <x:c r="A204" s="10" t="str">
        <x:v>REC00203</x:v>
      </x:c>
      <x:c r="B204" s="10" t="str">
        <x:v>EMP001</x:v>
      </x:c>
      <x:c r="C204" s="10" t="str">
        <x:v>CLI073</x:v>
      </x:c>
      <x:c r="D204" s="10" t="str">
        <x:v>CC005</x:v>
      </x:c>
      <x:c r="E204" s="10" t="str">
        <x:v>CAT001</x:v>
      </x:c>
      <x:c r="F204" s="10" t="str">
        <x:v>CTA001</x:v>
      </x:c>
      <x:c r="G204" s="10" t="str">
        <x:v>FAT-200203</x:v>
      </x:c>
      <x:c r="H204" s="10" t="str">
        <x:v>Frete faturado</x:v>
      </x:c>
      <x:c r="I204" s="16" t="n">
        <x:v>45326.841749756946</x:v>
      </x:c>
      <x:c r="J204" s="16" t="n">
        <x:v>45354.841749756946</x:v>
      </x:c>
      <x:c r="K204" s="16" t="n">
        <x:v>45355.841749756946</x:v>
      </x:c>
      <x:c r="L204" s="20" t="n">
        <x:v>902.83</x:v>
      </x:c>
      <x:c r="M204" s="20" t="n">
        <x:v>0.72</x:v>
      </x:c>
      <x:c r="N204" s="20" t="n">
        <x:v>0</x:v>
      </x:c>
      <x:c r="O204" s="20" t="n">
        <x:v>903.55</x:v>
      </x:c>
      <x:c r="P204" s="20" t="n">
        <x:v>0</x:v>
      </x:c>
      <x:c r="Q204" s="10" t="str">
        <x:v>Recebido</x:v>
      </x:c>
      <x:c r="R204" s="10" t="str">
        <x:v>PIX</x:v>
      </x:c>
      <x:c r="S204" s="10" t="str">
        <x:v>2024-02</x:v>
      </x:c>
      <x:c r="T204" s="10" t="n">
        <x:v>0</x:v>
      </x:c>
      <x:c r="U204" s="10" t="str">
        <x:v>Liquidado</x:v>
      </x:c>
      <x:c r="V204" s="10" t="str">
        <x:v>Alto</x:v>
      </x:c>
      <x:c r="W204" s="10" t="str">
        <x:v>Tecnologia</x:v>
      </x:c>
      <x:c r="X204" s="10" t="str">
        <x:v>UND002</x:v>
      </x:c>
    </x:row>
    <x:row r="205" ht="18" customHeight="1">
      <x:c r="A205" s="10" t="str">
        <x:v>REC00204</x:v>
      </x:c>
      <x:c r="B205" s="10" t="str">
        <x:v>EMP002</x:v>
      </x:c>
      <x:c r="C205" s="10" t="str">
        <x:v>CLI015</x:v>
      </x:c>
      <x:c r="D205" s="10" t="str">
        <x:v>CC004</x:v>
      </x:c>
      <x:c r="E205" s="10" t="str">
        <x:v>CAT002</x:v>
      </x:c>
      <x:c r="F205" s="10" t="str">
        <x:v>CTA004</x:v>
      </x:c>
      <x:c r="G205" s="10" t="str">
        <x:v>FAT-200204</x:v>
      </x:c>
      <x:c r="H205" s="10" t="str">
        <x:v>Contrato mensal</x:v>
      </x:c>
      <x:c r="I205" s="16" t="n">
        <x:v>45408.79689212963</x:v>
      </x:c>
      <x:c r="J205" s="16" t="n">
        <x:v>45423.79689212963</x:v>
      </x:c>
      <x:c r="K205" s="16" t="n">
        <x:v>45420.79689212963</x:v>
      </x:c>
      <x:c r="L205" s="20" t="n">
        <x:v>122629.23</x:v>
      </x:c>
      <x:c r="M205" s="20" t="n">
        <x:v>0</x:v>
      </x:c>
      <x:c r="N205" s="20" t="n">
        <x:v>0</x:v>
      </x:c>
      <x:c r="O205" s="20" t="n">
        <x:v>122629.23</x:v>
      </x:c>
      <x:c r="P205" s="20" t="n">
        <x:v>0</x:v>
      </x:c>
      <x:c r="Q205" s="10" t="str">
        <x:v>Recebido</x:v>
      </x:c>
      <x:c r="R205" s="10" t="str">
        <x:v>PIX</x:v>
      </x:c>
      <x:c r="S205" s="10" t="str">
        <x:v>2024-04</x:v>
      </x:c>
      <x:c r="T205" s="10" t="n">
        <x:v>0</x:v>
      </x:c>
      <x:c r="U205" s="10" t="str">
        <x:v>Liquidado</x:v>
      </x:c>
      <x:c r="V205" s="10" t="str">
        <x:v>Baixo</x:v>
      </x:c>
      <x:c r="W205" s="10" t="str">
        <x:v>Atacado</x:v>
      </x:c>
      <x:c r="X205" s="10" t="str">
        <x:v>UND003</x:v>
      </x:c>
    </x:row>
    <x:row r="206" ht="18" customHeight="1">
      <x:c r="A206" s="10" t="str">
        <x:v>REC00205</x:v>
      </x:c>
      <x:c r="B206" s="10" t="str">
        <x:v>EMP001</x:v>
      </x:c>
      <x:c r="C206" s="10" t="str">
        <x:v>CLI058</x:v>
      </x:c>
      <x:c r="D206" s="10" t="str">
        <x:v>CC001</x:v>
      </x:c>
      <x:c r="E206" s="10" t="str">
        <x:v>CAT002</x:v>
      </x:c>
      <x:c r="F206" s="10" t="str">
        <x:v>CTA001</x:v>
      </x:c>
      <x:c r="G206" s="10" t="str">
        <x:v>FAT-200205</x:v>
      </x:c>
      <x:c r="H206" s="10" t="str">
        <x:v>Projeto especial</x:v>
      </x:c>
      <x:c r="I206" s="16" t="n">
        <x:v>45325.07065109954</x:v>
      </x:c>
      <x:c r="J206" s="16" t="n">
        <x:v>45370.07065109954</x:v>
      </x:c>
      <x:c r="K206" s="16" t="n">
        <x:v>45374.07065109954</x:v>
      </x:c>
      <x:c r="L206" s="20" t="n">
        <x:v>66389.66</x:v>
      </x:c>
      <x:c r="M206" s="20" t="n">
        <x:v>212.45</x:v>
      </x:c>
      <x:c r="N206" s="20" t="n">
        <x:v>0</x:v>
      </x:c>
      <x:c r="O206" s="20" t="n">
        <x:v>66602.11</x:v>
      </x:c>
      <x:c r="P206" s="20" t="n">
        <x:v>0</x:v>
      </x:c>
      <x:c r="Q206" s="10" t="str">
        <x:v>Recebido</x:v>
      </x:c>
      <x:c r="R206" s="10" t="str">
        <x:v>Boleto</x:v>
      </x:c>
      <x:c r="S206" s="10" t="str">
        <x:v>2024-02</x:v>
      </x:c>
      <x:c r="T206" s="10" t="n">
        <x:v>0</x:v>
      </x:c>
      <x:c r="U206" s="10" t="str">
        <x:v>Liquidado</x:v>
      </x:c>
      <x:c r="V206" s="10" t="str">
        <x:v>Baixo</x:v>
      </x:c>
      <x:c r="W206" s="10" t="str">
        <x:v>Atacado</x:v>
      </x:c>
      <x:c r="X206" s="10" t="str">
        <x:v>UND002</x:v>
      </x:c>
    </x:row>
    <x:row r="207" ht="18" customHeight="1">
      <x:c r="A207" s="10" t="str">
        <x:v>REC00206</x:v>
      </x:c>
      <x:c r="B207" s="10" t="str">
        <x:v>EMP001</x:v>
      </x:c>
      <x:c r="C207" s="10" t="str">
        <x:v>CLI015</x:v>
      </x:c>
      <x:c r="D207" s="10" t="str">
        <x:v>CC008</x:v>
      </x:c>
      <x:c r="E207" s="10" t="str">
        <x:v>CAT004</x:v>
      </x:c>
      <x:c r="F207" s="10" t="str">
        <x:v>CTA001</x:v>
      </x:c>
      <x:c r="G207" s="10" t="str">
        <x:v>FAT-200206</x:v>
      </x:c>
      <x:c r="H207" s="10" t="str">
        <x:v>Projeto especial</x:v>
      </x:c>
      <x:c r="I207" s="16" t="n">
        <x:v>45961.70084932871</x:v>
      </x:c>
      <x:c r="J207" s="16" t="n">
        <x:v>45991.70084932871</x:v>
      </x:c>
      <x:c r="K207" s="16"/>
      <x:c r="L207" s="20" t="n">
        <x:v>5195.97</x:v>
      </x:c>
      <x:c r="M207" s="20" t="n">
        <x:v>0</x:v>
      </x:c>
      <x:c r="N207" s="20" t="n">
        <x:v>0</x:v>
      </x:c>
      <x:c r="O207" s="20" t="n">
        <x:v>0</x:v>
      </x:c>
      <x:c r="P207" s="20" t="n">
        <x:v>5195.97</x:v>
      </x:c>
      <x:c r="Q207" s="10" t="str">
        <x:v>Vencido</x:v>
      </x:c>
      <x:c r="R207" s="10" t="str">
        <x:v>Cartão</x:v>
      </x:c>
      <x:c r="S207" s="10" t="str">
        <x:v>2025-10</x:v>
      </x:c>
      <x:c r="T207" s="10" t="n">
        <x:v>30</x:v>
      </x:c>
      <x:c r="U207" s="10" t="str">
        <x:v>1 a 30 dias</x:v>
      </x:c>
      <x:c r="V207" s="10" t="str">
        <x:v>Baixo</x:v>
      </x:c>
      <x:c r="W207" s="10" t="str">
        <x:v>Atacado</x:v>
      </x:c>
      <x:c r="X207" s="10" t="str">
        <x:v>UND002</x:v>
      </x:c>
    </x:row>
    <x:row r="208" ht="18" customHeight="1">
      <x:c r="A208" s="10" t="str">
        <x:v>REC00207</x:v>
      </x:c>
      <x:c r="B208" s="10" t="str">
        <x:v>EMP001</x:v>
      </x:c>
      <x:c r="C208" s="10" t="str">
        <x:v>CLI061</x:v>
      </x:c>
      <x:c r="D208" s="10" t="str">
        <x:v>CC002</x:v>
      </x:c>
      <x:c r="E208" s="10" t="str">
        <x:v>CAT004</x:v>
      </x:c>
      <x:c r="F208" s="10" t="str">
        <x:v>CTA001</x:v>
      </x:c>
      <x:c r="G208" s="10" t="str">
        <x:v>FAT-200207</x:v>
      </x:c>
      <x:c r="H208" s="10" t="str">
        <x:v>Venda de produtos</x:v>
      </x:c>
      <x:c r="I208" s="16" t="n">
        <x:v>45370.768533055554</x:v>
      </x:c>
      <x:c r="J208" s="16" t="n">
        <x:v>45415.768533055554</x:v>
      </x:c>
      <x:c r="K208" s="16" t="n">
        <x:v>45421.768533055554</x:v>
      </x:c>
      <x:c r="L208" s="20" t="n">
        <x:v>4903.6</x:v>
      </x:c>
      <x:c r="M208" s="20" t="n">
        <x:v>23.54</x:v>
      </x:c>
      <x:c r="N208" s="20" t="n">
        <x:v>0</x:v>
      </x:c>
      <x:c r="O208" s="20" t="n">
        <x:v>4927.14</x:v>
      </x:c>
      <x:c r="P208" s="20" t="n">
        <x:v>0</x:v>
      </x:c>
      <x:c r="Q208" s="10" t="str">
        <x:v>Recebido</x:v>
      </x:c>
      <x:c r="R208" s="10" t="str">
        <x:v>Cartão</x:v>
      </x:c>
      <x:c r="S208" s="10" t="str">
        <x:v>2024-03</x:v>
      </x:c>
      <x:c r="T208" s="10" t="n">
        <x:v>0</x:v>
      </x:c>
      <x:c r="U208" s="10" t="str">
        <x:v>Liquidado</x:v>
      </x:c>
      <x:c r="V208" s="10" t="str">
        <x:v>Baixo</x:v>
      </x:c>
      <x:c r="W208" s="10" t="str">
        <x:v>Serviços</x:v>
      </x:c>
      <x:c r="X208" s="10" t="str">
        <x:v>UND002</x:v>
      </x:c>
    </x:row>
    <x:row r="209" ht="18" customHeight="1">
      <x:c r="A209" s="10" t="str">
        <x:v>REC00208</x:v>
      </x:c>
      <x:c r="B209" s="10" t="str">
        <x:v>EMP002</x:v>
      </x:c>
      <x:c r="C209" s="10" t="str">
        <x:v>CLI047</x:v>
      </x:c>
      <x:c r="D209" s="10" t="str">
        <x:v>CC007</x:v>
      </x:c>
      <x:c r="E209" s="10" t="str">
        <x:v>CAT002</x:v>
      </x:c>
      <x:c r="F209" s="10" t="str">
        <x:v>CTA003</x:v>
      </x:c>
      <x:c r="G209" s="10" t="str">
        <x:v>FAT-200208</x:v>
      </x:c>
      <x:c r="H209" s="10" t="str">
        <x:v>Prestação de serviços</x:v>
      </x:c>
      <x:c r="I209" s="16" t="n">
        <x:v>45338.377095717595</x:v>
      </x:c>
      <x:c r="J209" s="16" t="n">
        <x:v>45383.377095717595</x:v>
      </x:c>
      <x:c r="K209" s="16" t="n">
        <x:v>45382.377095717595</x:v>
      </x:c>
      <x:c r="L209" s="20" t="n">
        <x:v>128464.99</x:v>
      </x:c>
      <x:c r="M209" s="20" t="n">
        <x:v>0</x:v>
      </x:c>
      <x:c r="N209" s="20" t="n">
        <x:v>0</x:v>
      </x:c>
      <x:c r="O209" s="20" t="n">
        <x:v>128464.99</x:v>
      </x:c>
      <x:c r="P209" s="20" t="n">
        <x:v>0</x:v>
      </x:c>
      <x:c r="Q209" s="10" t="str">
        <x:v>Recebido</x:v>
      </x:c>
      <x:c r="R209" s="10" t="str">
        <x:v>Débito em Conta</x:v>
      </x:c>
      <x:c r="S209" s="10" t="str">
        <x:v>2024-02</x:v>
      </x:c>
      <x:c r="T209" s="10" t="n">
        <x:v>0</x:v>
      </x:c>
      <x:c r="U209" s="10" t="str">
        <x:v>Liquidado</x:v>
      </x:c>
      <x:c r="V209" s="10" t="str">
        <x:v>Baixo</x:v>
      </x:c>
      <x:c r="W209" s="10" t="str">
        <x:v>Serviços</x:v>
      </x:c>
      <x:c r="X209" s="10" t="str">
        <x:v>UND003</x:v>
      </x:c>
    </x:row>
    <x:row r="210" ht="18" customHeight="1">
      <x:c r="A210" s="10" t="str">
        <x:v>REC00209</x:v>
      </x:c>
      <x:c r="B210" s="10" t="str">
        <x:v>EMP003</x:v>
      </x:c>
      <x:c r="C210" s="10" t="str">
        <x:v>CLI022</x:v>
      </x:c>
      <x:c r="D210" s="10" t="str">
        <x:v>CC001</x:v>
      </x:c>
      <x:c r="E210" s="10" t="str">
        <x:v>CAT004</x:v>
      </x:c>
      <x:c r="F210" s="10" t="str">
        <x:v>CTA005</x:v>
      </x:c>
      <x:c r="G210" s="10" t="str">
        <x:v>FAT-200209</x:v>
      </x:c>
      <x:c r="H210" s="10" t="str">
        <x:v>Projeto especial</x:v>
      </x:c>
      <x:c r="I210" s="16" t="n">
        <x:v>45649.81345616898</x:v>
      </x:c>
      <x:c r="J210" s="16" t="n">
        <x:v>45677.81345616898</x:v>
      </x:c>
      <x:c r="K210" s="16" t="n">
        <x:v>45689.81345616898</x:v>
      </x:c>
      <x:c r="L210" s="20" t="n">
        <x:v>74447.59</x:v>
      </x:c>
      <x:c r="M210" s="20" t="n">
        <x:v>714.7</x:v>
      </x:c>
      <x:c r="N210" s="20" t="n">
        <x:v>0</x:v>
      </x:c>
      <x:c r="O210" s="20" t="n">
        <x:v>75162.29</x:v>
      </x:c>
      <x:c r="P210" s="20" t="n">
        <x:v>0</x:v>
      </x:c>
      <x:c r="Q210" s="10" t="str">
        <x:v>Recebido</x:v>
      </x:c>
      <x:c r="R210" s="10" t="str">
        <x:v>Boleto</x:v>
      </x:c>
      <x:c r="S210" s="10" t="str">
        <x:v>2024-12</x:v>
      </x:c>
      <x:c r="T210" s="10" t="n">
        <x:v>0</x:v>
      </x:c>
      <x:c r="U210" s="10" t="str">
        <x:v>Liquidado</x:v>
      </x:c>
      <x:c r="V210" s="10" t="str">
        <x:v>Alto</x:v>
      </x:c>
      <x:c r="W210" s="10" t="str">
        <x:v>Tecnologia</x:v>
      </x:c>
      <x:c r="X210" s="10" t="str">
        <x:v>UND004</x:v>
      </x:c>
    </x:row>
    <x:row r="211" ht="18" customHeight="1">
      <x:c r="A211" s="10" t="str">
        <x:v>REC00210</x:v>
      </x:c>
      <x:c r="B211" s="10" t="str">
        <x:v>EMP003</x:v>
      </x:c>
      <x:c r="C211" s="10" t="str">
        <x:v>CLI017</x:v>
      </x:c>
      <x:c r="D211" s="10" t="str">
        <x:v>CC008</x:v>
      </x:c>
      <x:c r="E211" s="10" t="str">
        <x:v>CAT003</x:v>
      </x:c>
      <x:c r="F211" s="10" t="str">
        <x:v>CTA005</x:v>
      </x:c>
      <x:c r="G211" s="10" t="str">
        <x:v>FAT-200210</x:v>
      </x:c>
      <x:c r="H211" s="10" t="str">
        <x:v>Contrato mensal</x:v>
      </x:c>
      <x:c r="I211" s="16" t="n">
        <x:v>45706.422115960646</x:v>
      </x:c>
      <x:c r="J211" s="16" t="n">
        <x:v>45721.422115960646</x:v>
      </x:c>
      <x:c r="K211" s="16" t="n">
        <x:v>45720.422115960646</x:v>
      </x:c>
      <x:c r="L211" s="20" t="n">
        <x:v>53085.16</x:v>
      </x:c>
      <x:c r="M211" s="20" t="n">
        <x:v>0</x:v>
      </x:c>
      <x:c r="N211" s="20" t="n">
        <x:v>0</x:v>
      </x:c>
      <x:c r="O211" s="20" t="n">
        <x:v>53085.16</x:v>
      </x:c>
      <x:c r="P211" s="20" t="n">
        <x:v>0</x:v>
      </x:c>
      <x:c r="Q211" s="10" t="str">
        <x:v>Recebido</x:v>
      </x:c>
      <x:c r="R211" s="10" t="str">
        <x:v>Débito em Conta</x:v>
      </x:c>
      <x:c r="S211" s="10" t="str">
        <x:v>2025-02</x:v>
      </x:c>
      <x:c r="T211" s="10" t="n">
        <x:v>0</x:v>
      </x:c>
      <x:c r="U211" s="10" t="str">
        <x:v>Liquidado</x:v>
      </x:c>
      <x:c r="V211" s="10" t="str">
        <x:v>Médio</x:v>
      </x:c>
      <x:c r="W211" s="10" t="str">
        <x:v>Atacado</x:v>
      </x:c>
      <x:c r="X211" s="10" t="str">
        <x:v>UND004</x:v>
      </x:c>
    </x:row>
    <x:row r="212" ht="18" customHeight="1">
      <x:c r="A212" s="10" t="str">
        <x:v>REC00211</x:v>
      </x:c>
      <x:c r="B212" s="10" t="str">
        <x:v>EMP001</x:v>
      </x:c>
      <x:c r="C212" s="10" t="str">
        <x:v>CLI046</x:v>
      </x:c>
      <x:c r="D212" s="10" t="str">
        <x:v>CC001</x:v>
      </x:c>
      <x:c r="E212" s="10" t="str">
        <x:v>CAT004</x:v>
      </x:c>
      <x:c r="F212" s="10" t="str">
        <x:v>CTA001</x:v>
      </x:c>
      <x:c r="G212" s="10" t="str">
        <x:v>FAT-200211</x:v>
      </x:c>
      <x:c r="H212" s="10" t="str">
        <x:v>Frete faturado</x:v>
      </x:c>
      <x:c r="I212" s="16" t="n">
        <x:v>45997.35277440972</x:v>
      </x:c>
      <x:c r="J212" s="16" t="n">
        <x:v>46042.35277440972</x:v>
      </x:c>
      <x:c r="K212" s="16"/>
      <x:c r="L212" s="20" t="n">
        <x:v>25575.04</x:v>
      </x:c>
      <x:c r="M212" s="20" t="n">
        <x:v>0</x:v>
      </x:c>
      <x:c r="N212" s="20" t="n">
        <x:v>0</x:v>
      </x:c>
      <x:c r="O212" s="20" t="n">
        <x:v>0</x:v>
      </x:c>
      <x:c r="P212" s="20" t="n">
        <x:v>25575.04</x:v>
      </x:c>
      <x:c r="Q212" s="10" t="str">
        <x:v>A vencer</x:v>
      </x:c>
      <x:c r="R212" s="10" t="str">
        <x:v>Cartão</x:v>
      </x:c>
      <x:c r="S212" s="10" t="str">
        <x:v>2025-12</x:v>
      </x:c>
      <x:c r="T212" s="10" t="n">
        <x:v>0</x:v>
      </x:c>
      <x:c r="U212" s="10" t="str">
        <x:v>A vencer</x:v>
      </x:c>
      <x:c r="V212" s="10" t="str">
        <x:v>Alto</x:v>
      </x:c>
      <x:c r="W212" s="10" t="str">
        <x:v>Varejo</x:v>
      </x:c>
      <x:c r="X212" s="10" t="str">
        <x:v>UND001</x:v>
      </x:c>
    </x:row>
    <x:row r="213" ht="18" customHeight="1">
      <x:c r="A213" s="10" t="str">
        <x:v>REC00212</x:v>
      </x:c>
      <x:c r="B213" s="10" t="str">
        <x:v>EMP001</x:v>
      </x:c>
      <x:c r="C213" s="10" t="str">
        <x:v>CLI059</x:v>
      </x:c>
      <x:c r="D213" s="10" t="str">
        <x:v>CC005</x:v>
      </x:c>
      <x:c r="E213" s="10" t="str">
        <x:v>CAT001</x:v>
      </x:c>
      <x:c r="F213" s="10" t="str">
        <x:v>CTA002</x:v>
      </x:c>
      <x:c r="G213" s="10" t="str">
        <x:v>FAT-200212</x:v>
      </x:c>
      <x:c r="H213" s="10" t="str">
        <x:v>Projeto especial</x:v>
      </x:c>
      <x:c r="I213" s="16" t="n">
        <x:v>45663.52191496528</x:v>
      </x:c>
      <x:c r="J213" s="16" t="n">
        <x:v>45708.52191496528</x:v>
      </x:c>
      <x:c r="K213" s="16" t="n">
        <x:v>45711.52191496528</x:v>
      </x:c>
      <x:c r="L213" s="20" t="n">
        <x:v>99294.89</x:v>
      </x:c>
      <x:c r="M213" s="20" t="n">
        <x:v>238.31</x:v>
      </x:c>
      <x:c r="N213" s="20" t="n">
        <x:v>0</x:v>
      </x:c>
      <x:c r="O213" s="20" t="n">
        <x:v>99533.2</x:v>
      </x:c>
      <x:c r="P213" s="20" t="n">
        <x:v>0</x:v>
      </x:c>
      <x:c r="Q213" s="10" t="str">
        <x:v>Recebido</x:v>
      </x:c>
      <x:c r="R213" s="10" t="str">
        <x:v>PIX</x:v>
      </x:c>
      <x:c r="S213" s="10" t="str">
        <x:v>2025-01</x:v>
      </x:c>
      <x:c r="T213" s="10" t="n">
        <x:v>0</x:v>
      </x:c>
      <x:c r="U213" s="10" t="str">
        <x:v>Liquidado</x:v>
      </x:c>
      <x:c r="V213" s="10" t="str">
        <x:v>Baixo</x:v>
      </x:c>
      <x:c r="W213" s="10" t="str">
        <x:v>Indústria</x:v>
      </x:c>
      <x:c r="X213" s="10" t="str">
        <x:v>UND002</x:v>
      </x:c>
    </x:row>
    <x:row r="214" ht="18" customHeight="1">
      <x:c r="A214" s="10" t="str">
        <x:v>REC00213</x:v>
      </x:c>
      <x:c r="B214" s="10" t="str">
        <x:v>EMP001</x:v>
      </x:c>
      <x:c r="C214" s="10" t="str">
        <x:v>CLI051</x:v>
      </x:c>
      <x:c r="D214" s="10" t="str">
        <x:v>CC001</x:v>
      </x:c>
      <x:c r="E214" s="10" t="str">
        <x:v>CAT004</x:v>
      </x:c>
      <x:c r="F214" s="10" t="str">
        <x:v>CTA002</x:v>
      </x:c>
      <x:c r="G214" s="10" t="str">
        <x:v>FAT-200213</x:v>
      </x:c>
      <x:c r="H214" s="10" t="str">
        <x:v>Frete faturado</x:v>
      </x:c>
      <x:c r="I214" s="16" t="n">
        <x:v>45787.77809140046</x:v>
      </x:c>
      <x:c r="J214" s="16" t="n">
        <x:v>45847.77809140046</x:v>
      </x:c>
      <x:c r="K214" s="16" t="n">
        <x:v>45849.77809140046</x:v>
      </x:c>
      <x:c r="L214" s="20" t="n">
        <x:v>21087.28</x:v>
      </x:c>
      <x:c r="M214" s="20" t="n">
        <x:v>33.74</x:v>
      </x:c>
      <x:c r="N214" s="20" t="n">
        <x:v>0</x:v>
      </x:c>
      <x:c r="O214" s="20" t="n">
        <x:v>21121.02</x:v>
      </x:c>
      <x:c r="P214" s="20" t="n">
        <x:v>0</x:v>
      </x:c>
      <x:c r="Q214" s="10" t="str">
        <x:v>Recebido</x:v>
      </x:c>
      <x:c r="R214" s="10" t="str">
        <x:v>Débito em Conta</x:v>
      </x:c>
      <x:c r="S214" s="10" t="str">
        <x:v>2025-05</x:v>
      </x:c>
      <x:c r="T214" s="10" t="n">
        <x:v>0</x:v>
      </x:c>
      <x:c r="U214" s="10" t="str">
        <x:v>Liquidado</x:v>
      </x:c>
      <x:c r="V214" s="10" t="str">
        <x:v>Médio</x:v>
      </x:c>
      <x:c r="W214" s="10" t="str">
        <x:v>Saúde</x:v>
      </x:c>
      <x:c r="X214" s="10" t="str">
        <x:v>UND002</x:v>
      </x:c>
    </x:row>
    <x:row r="215" ht="18" customHeight="1">
      <x:c r="A215" s="10" t="str">
        <x:v>REC00214</x:v>
      </x:c>
      <x:c r="B215" s="10" t="str">
        <x:v>EMP003</x:v>
      </x:c>
      <x:c r="C215" s="10" t="str">
        <x:v>CLI012</x:v>
      </x:c>
      <x:c r="D215" s="10" t="str">
        <x:v>CC003</x:v>
      </x:c>
      <x:c r="E215" s="10" t="str">
        <x:v>CAT004</x:v>
      </x:c>
      <x:c r="F215" s="10" t="str">
        <x:v>CTA006</x:v>
      </x:c>
      <x:c r="G215" s="10" t="str">
        <x:v>FAT-200214</x:v>
      </x:c>
      <x:c r="H215" s="10" t="str">
        <x:v>Prestação de serviços</x:v>
      </x:c>
      <x:c r="I215" s="16" t="n">
        <x:v>45970.47770258102</x:v>
      </x:c>
      <x:c r="J215" s="16" t="n">
        <x:v>45991.47770258102</x:v>
      </x:c>
      <x:c r="K215" s="16" t="n">
        <x:v>45996.47770258102</x:v>
      </x:c>
      <x:c r="L215" s="20" t="n">
        <x:v>96206.92</x:v>
      </x:c>
      <x:c r="M215" s="20" t="n">
        <x:v>384.83</x:v>
      </x:c>
      <x:c r="N215" s="20" t="n">
        <x:v>0</x:v>
      </x:c>
      <x:c r="O215" s="20" t="n">
        <x:v>96591.75</x:v>
      </x:c>
      <x:c r="P215" s="20" t="n">
        <x:v>0</x:v>
      </x:c>
      <x:c r="Q215" s="10" t="str">
        <x:v>Recebido</x:v>
      </x:c>
      <x:c r="R215" s="10" t="str">
        <x:v>TED</x:v>
      </x:c>
      <x:c r="S215" s="10" t="str">
        <x:v>2025-11</x:v>
      </x:c>
      <x:c r="T215" s="10" t="n">
        <x:v>0</x:v>
      </x:c>
      <x:c r="U215" s="10" t="str">
        <x:v>Liquidado</x:v>
      </x:c>
      <x:c r="V215" s="10" t="str">
        <x:v>Baixo</x:v>
      </x:c>
      <x:c r="W215" s="10" t="str">
        <x:v>Tecnologia</x:v>
      </x:c>
      <x:c r="X215" s="10" t="str">
        <x:v>UND004</x:v>
      </x:c>
    </x:row>
    <x:row r="216" ht="18" customHeight="1">
      <x:c r="A216" s="10" t="str">
        <x:v>REC00215</x:v>
      </x:c>
      <x:c r="B216" s="10" t="str">
        <x:v>EMP002</x:v>
      </x:c>
      <x:c r="C216" s="10" t="str">
        <x:v>CLI030</x:v>
      </x:c>
      <x:c r="D216" s="10" t="str">
        <x:v>CC003</x:v>
      </x:c>
      <x:c r="E216" s="10" t="str">
        <x:v>CAT002</x:v>
      </x:c>
      <x:c r="F216" s="10" t="str">
        <x:v>CTA004</x:v>
      </x:c>
      <x:c r="G216" s="10" t="str">
        <x:v>FAT-200215</x:v>
      </x:c>
      <x:c r="H216" s="10" t="str">
        <x:v>Contrato mensal</x:v>
      </x:c>
      <x:c r="I216" s="16" t="n">
        <x:v>45821.51732315972</x:v>
      </x:c>
      <x:c r="J216" s="16" t="n">
        <x:v>45856.51732315972</x:v>
      </x:c>
      <x:c r="K216" s="16"/>
      <x:c r="L216" s="20" t="n">
        <x:v>133823.59</x:v>
      </x:c>
      <x:c r="M216" s="20" t="n">
        <x:v>0</x:v>
      </x:c>
      <x:c r="N216" s="20" t="n">
        <x:v>0</x:v>
      </x:c>
      <x:c r="O216" s="20" t="n">
        <x:v>0</x:v>
      </x:c>
      <x:c r="P216" s="20" t="n">
        <x:v>133823.59</x:v>
      </x:c>
      <x:c r="Q216" s="10" t="str">
        <x:v>Vencido</x:v>
      </x:c>
      <x:c r="R216" s="10" t="str">
        <x:v>Débito em Conta</x:v>
      </x:c>
      <x:c r="S216" s="10" t="str">
        <x:v>2025-06</x:v>
      </x:c>
      <x:c r="T216" s="10" t="n">
        <x:v>165</x:v>
      </x:c>
      <x:c r="U216" s="10" t="str">
        <x:v>&gt; 120 dias</x:v>
      </x:c>
      <x:c r="V216" s="10" t="str">
        <x:v>Baixo</x:v>
      </x:c>
      <x:c r="W216" s="10" t="str">
        <x:v>Tecnologia</x:v>
      </x:c>
      <x:c r="X216" s="10" t="str">
        <x:v>UND003</x:v>
      </x:c>
    </x:row>
    <x:row r="217" ht="18" customHeight="1">
      <x:c r="A217" s="10" t="str">
        <x:v>REC00216</x:v>
      </x:c>
      <x:c r="B217" s="10" t="str">
        <x:v>EMP002</x:v>
      </x:c>
      <x:c r="C217" s="10" t="str">
        <x:v>CLI079</x:v>
      </x:c>
      <x:c r="D217" s="10" t="str">
        <x:v>CC007</x:v>
      </x:c>
      <x:c r="E217" s="10" t="str">
        <x:v>CAT003</x:v>
      </x:c>
      <x:c r="F217" s="10" t="str">
        <x:v>CTA003</x:v>
      </x:c>
      <x:c r="G217" s="10" t="str">
        <x:v>FAT-200216</x:v>
      </x:c>
      <x:c r="H217" s="10" t="str">
        <x:v>Projeto especial</x:v>
      </x:c>
      <x:c r="I217" s="16" t="n">
        <x:v>45775.28675299769</x:v>
      </x:c>
      <x:c r="J217" s="16" t="n">
        <x:v>45790.28675299769</x:v>
      </x:c>
      <x:c r="K217" s="16" t="n">
        <x:v>45796.28675299769</x:v>
      </x:c>
      <x:c r="L217" s="20" t="n">
        <x:v>64513.83</x:v>
      </x:c>
      <x:c r="M217" s="20" t="n">
        <x:v>309.67</x:v>
      </x:c>
      <x:c r="N217" s="20" t="n">
        <x:v>0</x:v>
      </x:c>
      <x:c r="O217" s="20" t="n">
        <x:v>64823.5</x:v>
      </x:c>
      <x:c r="P217" s="20" t="n">
        <x:v>0</x:v>
      </x:c>
      <x:c r="Q217" s="10" t="str">
        <x:v>Recebido</x:v>
      </x:c>
      <x:c r="R217" s="10" t="str">
        <x:v>Cartão</x:v>
      </x:c>
      <x:c r="S217" s="10" t="str">
        <x:v>2025-04</x:v>
      </x:c>
      <x:c r="T217" s="10" t="n">
        <x:v>0</x:v>
      </x:c>
      <x:c r="U217" s="10" t="str">
        <x:v>Liquidado</x:v>
      </x:c>
      <x:c r="V217" s="10" t="str">
        <x:v>Baixo</x:v>
      </x:c>
      <x:c r="W217" s="10" t="str">
        <x:v>Tecnologia</x:v>
      </x:c>
      <x:c r="X217" s="10" t="str">
        <x:v>UND003</x:v>
      </x:c>
    </x:row>
    <x:row r="218" ht="18" customHeight="1">
      <x:c r="A218" s="10" t="str">
        <x:v>REC00217</x:v>
      </x:c>
      <x:c r="B218" s="10" t="str">
        <x:v>EMP001</x:v>
      </x:c>
      <x:c r="C218" s="10" t="str">
        <x:v>CLI079</x:v>
      </x:c>
      <x:c r="D218" s="10" t="str">
        <x:v>CC001</x:v>
      </x:c>
      <x:c r="E218" s="10" t="str">
        <x:v>CAT001</x:v>
      </x:c>
      <x:c r="F218" s="10" t="str">
        <x:v>CTA002</x:v>
      </x:c>
      <x:c r="G218" s="10" t="str">
        <x:v>FAT-200217</x:v>
      </x:c>
      <x:c r="H218" s="10" t="str">
        <x:v>Projeto especial</x:v>
      </x:c>
      <x:c r="I218" s="16" t="n">
        <x:v>45926.83786032407</x:v>
      </x:c>
      <x:c r="J218" s="16" t="n">
        <x:v>45956.83786032407</x:v>
      </x:c>
      <x:c r="K218" s="16" t="n">
        <x:v>45961.83786032407</x:v>
      </x:c>
      <x:c r="L218" s="20" t="n">
        <x:v>96839.93</x:v>
      </x:c>
      <x:c r="M218" s="20" t="n">
        <x:v>387.36</x:v>
      </x:c>
      <x:c r="N218" s="20" t="n">
        <x:v>0</x:v>
      </x:c>
      <x:c r="O218" s="20" t="n">
        <x:v>97227.29</x:v>
      </x:c>
      <x:c r="P218" s="20" t="n">
        <x:v>0</x:v>
      </x:c>
      <x:c r="Q218" s="10" t="str">
        <x:v>Recebido</x:v>
      </x:c>
      <x:c r="R218" s="10" t="str">
        <x:v>TED</x:v>
      </x:c>
      <x:c r="S218" s="10" t="str">
        <x:v>2025-09</x:v>
      </x:c>
      <x:c r="T218" s="10" t="n">
        <x:v>0</x:v>
      </x:c>
      <x:c r="U218" s="10" t="str">
        <x:v>Liquidado</x:v>
      </x:c>
      <x:c r="V218" s="10" t="str">
        <x:v>Baixo</x:v>
      </x:c>
      <x:c r="W218" s="10" t="str">
        <x:v>Tecnologia</x:v>
      </x:c>
      <x:c r="X218" s="10" t="str">
        <x:v>UND001</x:v>
      </x:c>
    </x:row>
    <x:row r="219" ht="18" customHeight="1">
      <x:c r="A219" s="10" t="str">
        <x:v>REC00218</x:v>
      </x:c>
      <x:c r="B219" s="10" t="str">
        <x:v>EMP001</x:v>
      </x:c>
      <x:c r="C219" s="10" t="str">
        <x:v>CLI031</x:v>
      </x:c>
      <x:c r="D219" s="10" t="str">
        <x:v>CC007</x:v>
      </x:c>
      <x:c r="E219" s="10" t="str">
        <x:v>CAT002</x:v>
      </x:c>
      <x:c r="F219" s="10" t="str">
        <x:v>CTA001</x:v>
      </x:c>
      <x:c r="G219" s="10" t="str">
        <x:v>FAT-200218</x:v>
      </x:c>
      <x:c r="H219" s="10" t="str">
        <x:v>Contrato mensal</x:v>
      </x:c>
      <x:c r="I219" s="16" t="n">
        <x:v>45414.864582685186</x:v>
      </x:c>
      <x:c r="J219" s="16" t="n">
        <x:v>45459.864582685186</x:v>
      </x:c>
      <x:c r="K219" s="16" t="n">
        <x:v>45457.864582685186</x:v>
      </x:c>
      <x:c r="L219" s="20" t="n">
        <x:v>850.38</x:v>
      </x:c>
      <x:c r="M219" s="20" t="n">
        <x:v>0</x:v>
      </x:c>
      <x:c r="N219" s="20" t="n">
        <x:v>8.5</x:v>
      </x:c>
      <x:c r="O219" s="20" t="n">
        <x:v>841.88</x:v>
      </x:c>
      <x:c r="P219" s="20" t="n">
        <x:v>0</x:v>
      </x:c>
      <x:c r="Q219" s="10" t="str">
        <x:v>Recebido</x:v>
      </x:c>
      <x:c r="R219" s="10" t="str">
        <x:v>PIX</x:v>
      </x:c>
      <x:c r="S219" s="10" t="str">
        <x:v>2024-05</x:v>
      </x:c>
      <x:c r="T219" s="10" t="n">
        <x:v>0</x:v>
      </x:c>
      <x:c r="U219" s="10" t="str">
        <x:v>Liquidado</x:v>
      </x:c>
      <x:c r="V219" s="10" t="str">
        <x:v>Baixo</x:v>
      </x:c>
      <x:c r="W219" s="10" t="str">
        <x:v>Serviços</x:v>
      </x:c>
      <x:c r="X219" s="10" t="str">
        <x:v>UND002</x:v>
      </x:c>
    </x:row>
    <x:row r="220" ht="18" customHeight="1">
      <x:c r="A220" s="10" t="str">
        <x:v>REC00219</x:v>
      </x:c>
      <x:c r="B220" s="10" t="str">
        <x:v>EMP001</x:v>
      </x:c>
      <x:c r="C220" s="10" t="str">
        <x:v>CLI018</x:v>
      </x:c>
      <x:c r="D220" s="10" t="str">
        <x:v>CC005</x:v>
      </x:c>
      <x:c r="E220" s="10" t="str">
        <x:v>CAT004</x:v>
      </x:c>
      <x:c r="F220" s="10" t="str">
        <x:v>CTA002</x:v>
      </x:c>
      <x:c r="G220" s="10" t="str">
        <x:v>FAT-200219</x:v>
      </x:c>
      <x:c r="H220" s="10" t="str">
        <x:v>Frete faturado</x:v>
      </x:c>
      <x:c r="I220" s="16" t="n">
        <x:v>45575.25623550926</x:v>
      </x:c>
      <x:c r="J220" s="16" t="n">
        <x:v>45635.25623550926</x:v>
      </x:c>
      <x:c r="K220" s="16" t="n">
        <x:v>45634.25623550926</x:v>
      </x:c>
      <x:c r="L220" s="20" t="n">
        <x:v>109955.31</x:v>
      </x:c>
      <x:c r="M220" s="20" t="n">
        <x:v>0</x:v>
      </x:c>
      <x:c r="N220" s="20" t="n">
        <x:v>0</x:v>
      </x:c>
      <x:c r="O220" s="20" t="n">
        <x:v>109955.31</x:v>
      </x:c>
      <x:c r="P220" s="20" t="n">
        <x:v>0</x:v>
      </x:c>
      <x:c r="Q220" s="10" t="str">
        <x:v>Recebido</x:v>
      </x:c>
      <x:c r="R220" s="10" t="str">
        <x:v>Cartão</x:v>
      </x:c>
      <x:c r="S220" s="10" t="str">
        <x:v>2024-10</x:v>
      </x:c>
      <x:c r="T220" s="10" t="n">
        <x:v>0</x:v>
      </x:c>
      <x:c r="U220" s="10" t="str">
        <x:v>Liquidado</x:v>
      </x:c>
      <x:c r="V220" s="10" t="str">
        <x:v>Médio</x:v>
      </x:c>
      <x:c r="W220" s="10" t="str">
        <x:v>Indústria</x:v>
      </x:c>
      <x:c r="X220" s="10" t="str">
        <x:v>UND002</x:v>
      </x:c>
    </x:row>
    <x:row r="221" ht="18" customHeight="1">
      <x:c r="A221" s="10" t="str">
        <x:v>REC00220</x:v>
      </x:c>
      <x:c r="B221" s="10" t="str">
        <x:v>EMP001</x:v>
      </x:c>
      <x:c r="C221" s="10" t="str">
        <x:v>CLI025</x:v>
      </x:c>
      <x:c r="D221" s="10" t="str">
        <x:v>CC006</x:v>
      </x:c>
      <x:c r="E221" s="10" t="str">
        <x:v>CAT002</x:v>
      </x:c>
      <x:c r="F221" s="10" t="str">
        <x:v>CTA001</x:v>
      </x:c>
      <x:c r="G221" s="10" t="str">
        <x:v>FAT-200220</x:v>
      </x:c>
      <x:c r="H221" s="10" t="str">
        <x:v>Frete faturado</x:v>
      </x:c>
      <x:c r="I221" s="16" t="n">
        <x:v>45671.72531193287</x:v>
      </x:c>
      <x:c r="J221" s="16" t="n">
        <x:v>45706.72531193287</x:v>
      </x:c>
      <x:c r="K221" s="16" t="n">
        <x:v>45705.72531193287</x:v>
      </x:c>
      <x:c r="L221" s="20" t="n">
        <x:v>51818.95</x:v>
      </x:c>
      <x:c r="M221" s="20" t="n">
        <x:v>0</x:v>
      </x:c>
      <x:c r="N221" s="20" t="n">
        <x:v>0</x:v>
      </x:c>
      <x:c r="O221" s="20" t="n">
        <x:v>51818.95</x:v>
      </x:c>
      <x:c r="P221" s="20" t="n">
        <x:v>0</x:v>
      </x:c>
      <x:c r="Q221" s="10" t="str">
        <x:v>Recebido</x:v>
      </x:c>
      <x:c r="R221" s="10" t="str">
        <x:v>Cartão</x:v>
      </x:c>
      <x:c r="S221" s="10" t="str">
        <x:v>2025-01</x:v>
      </x:c>
      <x:c r="T221" s="10" t="n">
        <x:v>0</x:v>
      </x:c>
      <x:c r="U221" s="10" t="str">
        <x:v>Liquidado</x:v>
      </x:c>
      <x:c r="V221" s="10" t="str">
        <x:v>Médio</x:v>
      </x:c>
      <x:c r="W221" s="10" t="str">
        <x:v>Indústria</x:v>
      </x:c>
      <x:c r="X221" s="10" t="str">
        <x:v>UND001</x:v>
      </x:c>
    </x:row>
    <x:row r="222" ht="18" customHeight="1">
      <x:c r="A222" s="10" t="str">
        <x:v>REC00221</x:v>
      </x:c>
      <x:c r="B222" s="10" t="str">
        <x:v>EMP003</x:v>
      </x:c>
      <x:c r="C222" s="10" t="str">
        <x:v>CLI030</x:v>
      </x:c>
      <x:c r="D222" s="10" t="str">
        <x:v>CC008</x:v>
      </x:c>
      <x:c r="E222" s="10" t="str">
        <x:v>CAT003</x:v>
      </x:c>
      <x:c r="F222" s="10" t="str">
        <x:v>CTA006</x:v>
      </x:c>
      <x:c r="G222" s="10" t="str">
        <x:v>FAT-200221</x:v>
      </x:c>
      <x:c r="H222" s="10" t="str">
        <x:v>Frete faturado</x:v>
      </x:c>
      <x:c r="I222" s="16" t="n">
        <x:v>45396.15729210648</x:v>
      </x:c>
      <x:c r="J222" s="16" t="n">
        <x:v>45411.15729210648</x:v>
      </x:c>
      <x:c r="K222" s="16" t="n">
        <x:v>45417.15729210648</x:v>
      </x:c>
      <x:c r="L222" s="20" t="n">
        <x:v>141776.36</x:v>
      </x:c>
      <x:c r="M222" s="20" t="n">
        <x:v>680.53</x:v>
      </x:c>
      <x:c r="N222" s="20" t="n">
        <x:v>0</x:v>
      </x:c>
      <x:c r="O222" s="20" t="n">
        <x:v>142456.89</x:v>
      </x:c>
      <x:c r="P222" s="20" t="n">
        <x:v>0</x:v>
      </x:c>
      <x:c r="Q222" s="10" t="str">
        <x:v>Recebido</x:v>
      </x:c>
      <x:c r="R222" s="10" t="str">
        <x:v>PIX</x:v>
      </x:c>
      <x:c r="S222" s="10" t="str">
        <x:v>2024-04</x:v>
      </x:c>
      <x:c r="T222" s="10" t="n">
        <x:v>0</x:v>
      </x:c>
      <x:c r="U222" s="10" t="str">
        <x:v>Liquidado</x:v>
      </x:c>
      <x:c r="V222" s="10" t="str">
        <x:v>Baixo</x:v>
      </x:c>
      <x:c r="W222" s="10" t="str">
        <x:v>Tecnologia</x:v>
      </x:c>
      <x:c r="X222" s="10" t="str">
        <x:v>UND004</x:v>
      </x:c>
    </x:row>
    <x:row r="223" ht="18" customHeight="1">
      <x:c r="A223" s="10" t="str">
        <x:v>REC00222</x:v>
      </x:c>
      <x:c r="B223" s="10" t="str">
        <x:v>EMP002</x:v>
      </x:c>
      <x:c r="C223" s="10" t="str">
        <x:v>CLI014</x:v>
      </x:c>
      <x:c r="D223" s="10" t="str">
        <x:v>CC001</x:v>
      </x:c>
      <x:c r="E223" s="10" t="str">
        <x:v>CAT002</x:v>
      </x:c>
      <x:c r="F223" s="10" t="str">
        <x:v>CTA003</x:v>
      </x:c>
      <x:c r="G223" s="10" t="str">
        <x:v>FAT-200222</x:v>
      </x:c>
      <x:c r="H223" s="10" t="str">
        <x:v>Frete faturado</x:v>
      </x:c>
      <x:c r="I223" s="16" t="n">
        <x:v>45344.022983090275</x:v>
      </x:c>
      <x:c r="J223" s="16" t="n">
        <x:v>45372.022983090275</x:v>
      </x:c>
      <x:c r="K223" s="16" t="n">
        <x:v>45371.022983090275</x:v>
      </x:c>
      <x:c r="L223" s="20" t="n">
        <x:v>10087.62</x:v>
      </x:c>
      <x:c r="M223" s="20" t="n">
        <x:v>0</x:v>
      </x:c>
      <x:c r="N223" s="20" t="n">
        <x:v>100.88</x:v>
      </x:c>
      <x:c r="O223" s="20" t="n">
        <x:v>9986.74</x:v>
      </x:c>
      <x:c r="P223" s="20" t="n">
        <x:v>0</x:v>
      </x:c>
      <x:c r="Q223" s="10" t="str">
        <x:v>Recebido</x:v>
      </x:c>
      <x:c r="R223" s="10" t="str">
        <x:v>Débito em Conta</x:v>
      </x:c>
      <x:c r="S223" s="10" t="str">
        <x:v>2024-02</x:v>
      </x:c>
      <x:c r="T223" s="10" t="n">
        <x:v>0</x:v>
      </x:c>
      <x:c r="U223" s="10" t="str">
        <x:v>Liquidado</x:v>
      </x:c>
      <x:c r="V223" s="10" t="str">
        <x:v>Médio</x:v>
      </x:c>
      <x:c r="W223" s="10" t="str">
        <x:v>Saúde</x:v>
      </x:c>
      <x:c r="X223" s="10" t="str">
        <x:v>UND003</x:v>
      </x:c>
    </x:row>
    <x:row r="224" ht="18" customHeight="1">
      <x:c r="A224" s="10" t="str">
        <x:v>REC00223</x:v>
      </x:c>
      <x:c r="B224" s="10" t="str">
        <x:v>EMP002</x:v>
      </x:c>
      <x:c r="C224" s="10" t="str">
        <x:v>CLI015</x:v>
      </x:c>
      <x:c r="D224" s="10" t="str">
        <x:v>CC003</x:v>
      </x:c>
      <x:c r="E224" s="10" t="str">
        <x:v>CAT003</x:v>
      </x:c>
      <x:c r="F224" s="10" t="str">
        <x:v>CTA004</x:v>
      </x:c>
      <x:c r="G224" s="10" t="str">
        <x:v>FAT-200223</x:v>
      </x:c>
      <x:c r="H224" s="10" t="str">
        <x:v>Frete faturado</x:v>
      </x:c>
      <x:c r="I224" s="16" t="n">
        <x:v>45367.60620091435</x:v>
      </x:c>
      <x:c r="J224" s="16" t="n">
        <x:v>45388.60620091435</x:v>
      </x:c>
      <x:c r="K224" s="16" t="n">
        <x:v>45388.60620091435</x:v>
      </x:c>
      <x:c r="L224" s="20" t="n">
        <x:v>29509.88</x:v>
      </x:c>
      <x:c r="M224" s="20" t="n">
        <x:v>0</x:v>
      </x:c>
      <x:c r="N224" s="20" t="n">
        <x:v>0</x:v>
      </x:c>
      <x:c r="O224" s="20" t="n">
        <x:v>29509.88</x:v>
      </x:c>
      <x:c r="P224" s="20" t="n">
        <x:v>0</x:v>
      </x:c>
      <x:c r="Q224" s="10" t="str">
        <x:v>Recebido</x:v>
      </x:c>
      <x:c r="R224" s="10" t="str">
        <x:v>Débito em Conta</x:v>
      </x:c>
      <x:c r="S224" s="10" t="str">
        <x:v>2024-03</x:v>
      </x:c>
      <x:c r="T224" s="10" t="n">
        <x:v>0</x:v>
      </x:c>
      <x:c r="U224" s="10" t="str">
        <x:v>Liquidado</x:v>
      </x:c>
      <x:c r="V224" s="10" t="str">
        <x:v>Baixo</x:v>
      </x:c>
      <x:c r="W224" s="10" t="str">
        <x:v>Atacado</x:v>
      </x:c>
      <x:c r="X224" s="10" t="str">
        <x:v>UND003</x:v>
      </x:c>
    </x:row>
    <x:row r="225" ht="18" customHeight="1">
      <x:c r="A225" s="10" t="str">
        <x:v>REC00224</x:v>
      </x:c>
      <x:c r="B225" s="10" t="str">
        <x:v>EMP002</x:v>
      </x:c>
      <x:c r="C225" s="10" t="str">
        <x:v>CLI006</x:v>
      </x:c>
      <x:c r="D225" s="10" t="str">
        <x:v>CC002</x:v>
      </x:c>
      <x:c r="E225" s="10" t="str">
        <x:v>CAT003</x:v>
      </x:c>
      <x:c r="F225" s="10" t="str">
        <x:v>CTA003</x:v>
      </x:c>
      <x:c r="G225" s="10" t="str">
        <x:v>FAT-200224</x:v>
      </x:c>
      <x:c r="H225" s="10" t="str">
        <x:v>Projeto especial</x:v>
      </x:c>
      <x:c r="I225" s="16" t="n">
        <x:v>45520.85619479167</x:v>
      </x:c>
      <x:c r="J225" s="16" t="n">
        <x:v>45535.85619479167</x:v>
      </x:c>
      <x:c r="K225" s="16" t="n">
        <x:v>45541.85619479167</x:v>
      </x:c>
      <x:c r="L225" s="20" t="n">
        <x:v>1594</x:v>
      </x:c>
      <x:c r="M225" s="20" t="n">
        <x:v>7.65</x:v>
      </x:c>
      <x:c r="N225" s="20" t="n">
        <x:v>0</x:v>
      </x:c>
      <x:c r="O225" s="20" t="n">
        <x:v>1601.65</x:v>
      </x:c>
      <x:c r="P225" s="20" t="n">
        <x:v>0</x:v>
      </x:c>
      <x:c r="Q225" s="10" t="str">
        <x:v>Recebido</x:v>
      </x:c>
      <x:c r="R225" s="10" t="str">
        <x:v>TED</x:v>
      </x:c>
      <x:c r="S225" s="10" t="str">
        <x:v>2024-08</x:v>
      </x:c>
      <x:c r="T225" s="10" t="n">
        <x:v>0</x:v>
      </x:c>
      <x:c r="U225" s="10" t="str">
        <x:v>Liquidado</x:v>
      </x:c>
      <x:c r="V225" s="10" t="str">
        <x:v>Baixo</x:v>
      </x:c>
      <x:c r="W225" s="10" t="str">
        <x:v>Varejo</x:v>
      </x:c>
      <x:c r="X225" s="10" t="str">
        <x:v>UND003</x:v>
      </x:c>
    </x:row>
    <x:row r="226" ht="18" customHeight="1">
      <x:c r="A226" s="10" t="str">
        <x:v>REC00225</x:v>
      </x:c>
      <x:c r="B226" s="10" t="str">
        <x:v>EMP002</x:v>
      </x:c>
      <x:c r="C226" s="10" t="str">
        <x:v>CLI026</x:v>
      </x:c>
      <x:c r="D226" s="10" t="str">
        <x:v>CC006</x:v>
      </x:c>
      <x:c r="E226" s="10" t="str">
        <x:v>CAT004</x:v>
      </x:c>
      <x:c r="F226" s="10" t="str">
        <x:v>CTA003</x:v>
      </x:c>
      <x:c r="G226" s="10" t="str">
        <x:v>FAT-200225</x:v>
      </x:c>
      <x:c r="H226" s="10" t="str">
        <x:v>Projeto especial</x:v>
      </x:c>
      <x:c r="I226" s="16" t="n">
        <x:v>45790.66945907407</x:v>
      </x:c>
      <x:c r="J226" s="16" t="n">
        <x:v>45818.66945907407</x:v>
      </x:c>
      <x:c r="K226" s="16" t="n">
        <x:v>45828.66945907407</x:v>
      </x:c>
      <x:c r="L226" s="20" t="n">
        <x:v>15200.41</x:v>
      </x:c>
      <x:c r="M226" s="20" t="n">
        <x:v>121.6</x:v>
      </x:c>
      <x:c r="N226" s="20" t="n">
        <x:v>0</x:v>
      </x:c>
      <x:c r="O226" s="20" t="n">
        <x:v>15322.01</x:v>
      </x:c>
      <x:c r="P226" s="20" t="n">
        <x:v>0</x:v>
      </x:c>
      <x:c r="Q226" s="10" t="str">
        <x:v>Recebido</x:v>
      </x:c>
      <x:c r="R226" s="10" t="str">
        <x:v>Débito em Conta</x:v>
      </x:c>
      <x:c r="S226" s="10" t="str">
        <x:v>2025-05</x:v>
      </x:c>
      <x:c r="T226" s="10" t="n">
        <x:v>0</x:v>
      </x:c>
      <x:c r="U226" s="10" t="str">
        <x:v>Liquidado</x:v>
      </x:c>
      <x:c r="V226" s="10" t="str">
        <x:v>Médio</x:v>
      </x:c>
      <x:c r="W226" s="10" t="str">
        <x:v>Atacado</x:v>
      </x:c>
      <x:c r="X226" s="10" t="str">
        <x:v>UND003</x:v>
      </x:c>
    </x:row>
    <x:row r="227" ht="18" customHeight="1">
      <x:c r="A227" s="10" t="str">
        <x:v>REC00226</x:v>
      </x:c>
      <x:c r="B227" s="10" t="str">
        <x:v>EMP001</x:v>
      </x:c>
      <x:c r="C227" s="10" t="str">
        <x:v>CLI006</x:v>
      </x:c>
      <x:c r="D227" s="10" t="str">
        <x:v>CC005</x:v>
      </x:c>
      <x:c r="E227" s="10" t="str">
        <x:v>CAT004</x:v>
      </x:c>
      <x:c r="F227" s="10" t="str">
        <x:v>CTA002</x:v>
      </x:c>
      <x:c r="G227" s="10" t="str">
        <x:v>FAT-200226</x:v>
      </x:c>
      <x:c r="H227" s="10" t="str">
        <x:v>Venda de produtos</x:v>
      </x:c>
      <x:c r="I227" s="16" t="n">
        <x:v>45591.1217278125</x:v>
      </x:c>
      <x:c r="J227" s="16" t="n">
        <x:v>45621.1217278125</x:v>
      </x:c>
      <x:c r="K227" s="16" t="n">
        <x:v>45621.1217278125</x:v>
      </x:c>
      <x:c r="L227" s="20" t="n">
        <x:v>81385.67</x:v>
      </x:c>
      <x:c r="M227" s="20" t="n">
        <x:v>0</x:v>
      </x:c>
      <x:c r="N227" s="20" t="n">
        <x:v>0</x:v>
      </x:c>
      <x:c r="O227" s="20" t="n">
        <x:v>81385.67</x:v>
      </x:c>
      <x:c r="P227" s="20" t="n">
        <x:v>0</x:v>
      </x:c>
      <x:c r="Q227" s="10" t="str">
        <x:v>Recebido</x:v>
      </x:c>
      <x:c r="R227" s="10" t="str">
        <x:v>Boleto</x:v>
      </x:c>
      <x:c r="S227" s="10" t="str">
        <x:v>2024-10</x:v>
      </x:c>
      <x:c r="T227" s="10" t="n">
        <x:v>0</x:v>
      </x:c>
      <x:c r="U227" s="10" t="str">
        <x:v>Liquidado</x:v>
      </x:c>
      <x:c r="V227" s="10" t="str">
        <x:v>Baixo</x:v>
      </x:c>
      <x:c r="W227" s="10" t="str">
        <x:v>Varejo</x:v>
      </x:c>
      <x:c r="X227" s="10" t="str">
        <x:v>UND002</x:v>
      </x:c>
    </x:row>
    <x:row r="228" ht="18" customHeight="1">
      <x:c r="A228" s="10" t="str">
        <x:v>REC00227</x:v>
      </x:c>
      <x:c r="B228" s="10" t="str">
        <x:v>EMP003</x:v>
      </x:c>
      <x:c r="C228" s="10" t="str">
        <x:v>CLI040</x:v>
      </x:c>
      <x:c r="D228" s="10" t="str">
        <x:v>CC005</x:v>
      </x:c>
      <x:c r="E228" s="10" t="str">
        <x:v>CAT003</x:v>
      </x:c>
      <x:c r="F228" s="10" t="str">
        <x:v>CTA006</x:v>
      </x:c>
      <x:c r="G228" s="10" t="str">
        <x:v>FAT-200227</x:v>
      </x:c>
      <x:c r="H228" s="10" t="str">
        <x:v>Frete faturado</x:v>
      </x:c>
      <x:c r="I228" s="16" t="n">
        <x:v>45304.806141388886</x:v>
      </x:c>
      <x:c r="J228" s="16" t="n">
        <x:v>45339.806141388886</x:v>
      </x:c>
      <x:c r="K228" s="16" t="n">
        <x:v>45337.806141388886</x:v>
      </x:c>
      <x:c r="L228" s="20" t="n">
        <x:v>13298.66</x:v>
      </x:c>
      <x:c r="M228" s="20" t="n">
        <x:v>0</x:v>
      </x:c>
      <x:c r="N228" s="20" t="n">
        <x:v>0</x:v>
      </x:c>
      <x:c r="O228" s="20" t="n">
        <x:v>13298.66</x:v>
      </x:c>
      <x:c r="P228" s="20" t="n">
        <x:v>0</x:v>
      </x:c>
      <x:c r="Q228" s="10" t="str">
        <x:v>Recebido</x:v>
      </x:c>
      <x:c r="R228" s="10" t="str">
        <x:v>TED</x:v>
      </x:c>
      <x:c r="S228" s="10" t="str">
        <x:v>2024-01</x:v>
      </x:c>
      <x:c r="T228" s="10" t="n">
        <x:v>0</x:v>
      </x:c>
      <x:c r="U228" s="10" t="str">
        <x:v>Liquidado</x:v>
      </x:c>
      <x:c r="V228" s="10" t="str">
        <x:v>Baixo</x:v>
      </x:c>
      <x:c r="W228" s="10" t="str">
        <x:v>Saúde</x:v>
      </x:c>
      <x:c r="X228" s="10" t="str">
        <x:v>UND004</x:v>
      </x:c>
    </x:row>
    <x:row r="229" ht="18" customHeight="1">
      <x:c r="A229" s="10" t="str">
        <x:v>REC00228</x:v>
      </x:c>
      <x:c r="B229" s="10" t="str">
        <x:v>EMP003</x:v>
      </x:c>
      <x:c r="C229" s="10" t="str">
        <x:v>CLI046</x:v>
      </x:c>
      <x:c r="D229" s="10" t="str">
        <x:v>CC001</x:v>
      </x:c>
      <x:c r="E229" s="10" t="str">
        <x:v>CAT001</x:v>
      </x:c>
      <x:c r="F229" s="10" t="str">
        <x:v>CTA006</x:v>
      </x:c>
      <x:c r="G229" s="10" t="str">
        <x:v>FAT-200228</x:v>
      </x:c>
      <x:c r="H229" s="10" t="str">
        <x:v>Projeto especial</x:v>
      </x:c>
      <x:c r="I229" s="16" t="n">
        <x:v>45568.442396990744</x:v>
      </x:c>
      <x:c r="J229" s="16" t="n">
        <x:v>45598.442396990744</x:v>
      </x:c>
      <x:c r="K229" s="16" t="n">
        <x:v>45606.442396990744</x:v>
      </x:c>
      <x:c r="L229" s="20" t="n">
        <x:v>37359.19</x:v>
      </x:c>
      <x:c r="M229" s="20" t="n">
        <x:v>239.1</x:v>
      </x:c>
      <x:c r="N229" s="20" t="n">
        <x:v>0</x:v>
      </x:c>
      <x:c r="O229" s="20" t="n">
        <x:v>37598.29</x:v>
      </x:c>
      <x:c r="P229" s="20" t="n">
        <x:v>0</x:v>
      </x:c>
      <x:c r="Q229" s="10" t="str">
        <x:v>Recebido</x:v>
      </x:c>
      <x:c r="R229" s="10" t="str">
        <x:v>TED</x:v>
      </x:c>
      <x:c r="S229" s="10" t="str">
        <x:v>2024-10</x:v>
      </x:c>
      <x:c r="T229" s="10" t="n">
        <x:v>0</x:v>
      </x:c>
      <x:c r="U229" s="10" t="str">
        <x:v>Liquidado</x:v>
      </x:c>
      <x:c r="V229" s="10" t="str">
        <x:v>Alto</x:v>
      </x:c>
      <x:c r="W229" s="10" t="str">
        <x:v>Varejo</x:v>
      </x:c>
      <x:c r="X229" s="10" t="str">
        <x:v>UND004</x:v>
      </x:c>
    </x:row>
    <x:row r="230" ht="18" customHeight="1">
      <x:c r="A230" s="10" t="str">
        <x:v>REC00229</x:v>
      </x:c>
      <x:c r="B230" s="10" t="str">
        <x:v>EMP001</x:v>
      </x:c>
      <x:c r="C230" s="10" t="str">
        <x:v>CLI006</x:v>
      </x:c>
      <x:c r="D230" s="10" t="str">
        <x:v>CC008</x:v>
      </x:c>
      <x:c r="E230" s="10" t="str">
        <x:v>CAT004</x:v>
      </x:c>
      <x:c r="F230" s="10" t="str">
        <x:v>CTA002</x:v>
      </x:c>
      <x:c r="G230" s="10" t="str">
        <x:v>FAT-200229</x:v>
      </x:c>
      <x:c r="H230" s="10" t="str">
        <x:v>Projeto especial</x:v>
      </x:c>
      <x:c r="I230" s="16" t="n">
        <x:v>45348.576849791665</x:v>
      </x:c>
      <x:c r="J230" s="16" t="n">
        <x:v>45408.576849791665</x:v>
      </x:c>
      <x:c r="K230" s="16" t="n">
        <x:v>45407.576849791665</x:v>
      </x:c>
      <x:c r="L230" s="20" t="n">
        <x:v>67407.51</x:v>
      </x:c>
      <x:c r="M230" s="20" t="n">
        <x:v>0</x:v>
      </x:c>
      <x:c r="N230" s="20" t="n">
        <x:v>0</x:v>
      </x:c>
      <x:c r="O230" s="20" t="n">
        <x:v>67407.51</x:v>
      </x:c>
      <x:c r="P230" s="20" t="n">
        <x:v>0</x:v>
      </x:c>
      <x:c r="Q230" s="10" t="str">
        <x:v>Recebido</x:v>
      </x:c>
      <x:c r="R230" s="10" t="str">
        <x:v>Cartão</x:v>
      </x:c>
      <x:c r="S230" s="10" t="str">
        <x:v>2024-02</x:v>
      </x:c>
      <x:c r="T230" s="10" t="n">
        <x:v>0</x:v>
      </x:c>
      <x:c r="U230" s="10" t="str">
        <x:v>Liquidado</x:v>
      </x:c>
      <x:c r="V230" s="10" t="str">
        <x:v>Baixo</x:v>
      </x:c>
      <x:c r="W230" s="10" t="str">
        <x:v>Varejo</x:v>
      </x:c>
      <x:c r="X230" s="10" t="str">
        <x:v>UND002</x:v>
      </x:c>
    </x:row>
    <x:row r="231" ht="18" customHeight="1">
      <x:c r="A231" s="10" t="str">
        <x:v>REC00230</x:v>
      </x:c>
      <x:c r="B231" s="10" t="str">
        <x:v>EMP001</x:v>
      </x:c>
      <x:c r="C231" s="10" t="str">
        <x:v>CLI063</x:v>
      </x:c>
      <x:c r="D231" s="10" t="str">
        <x:v>CC003</x:v>
      </x:c>
      <x:c r="E231" s="10" t="str">
        <x:v>CAT001</x:v>
      </x:c>
      <x:c r="F231" s="10" t="str">
        <x:v>CTA001</x:v>
      </x:c>
      <x:c r="G231" s="10" t="str">
        <x:v>FAT-200230</x:v>
      </x:c>
      <x:c r="H231" s="10" t="str">
        <x:v>Frete faturado</x:v>
      </x:c>
      <x:c r="I231" s="16" t="n">
        <x:v>45797.37093498842</x:v>
      </x:c>
      <x:c r="J231" s="16" t="n">
        <x:v>45857.37093498842</x:v>
      </x:c>
      <x:c r="K231" s="16" t="n">
        <x:v>45854.37093498842</x:v>
      </x:c>
      <x:c r="L231" s="20" t="n">
        <x:v>42515.33</x:v>
      </x:c>
      <x:c r="M231" s="20" t="n">
        <x:v>0</x:v>
      </x:c>
      <x:c r="N231" s="20" t="n">
        <x:v>212.58</x:v>
      </x:c>
      <x:c r="O231" s="20" t="n">
        <x:v>42302.75</x:v>
      </x:c>
      <x:c r="P231" s="20" t="n">
        <x:v>0</x:v>
      </x:c>
      <x:c r="Q231" s="10" t="str">
        <x:v>Recebido</x:v>
      </x:c>
      <x:c r="R231" s="10" t="str">
        <x:v>TED</x:v>
      </x:c>
      <x:c r="S231" s="10" t="str">
        <x:v>2025-05</x:v>
      </x:c>
      <x:c r="T231" s="10" t="n">
        <x:v>0</x:v>
      </x:c>
      <x:c r="U231" s="10" t="str">
        <x:v>Liquidado</x:v>
      </x:c>
      <x:c r="V231" s="10" t="str">
        <x:v>Baixo</x:v>
      </x:c>
      <x:c r="W231" s="10" t="str">
        <x:v>Serviços</x:v>
      </x:c>
      <x:c r="X231" s="10" t="str">
        <x:v>UND002</x:v>
      </x:c>
    </x:row>
    <x:row r="232" ht="18" customHeight="1">
      <x:c r="A232" s="10" t="str">
        <x:v>REC00231</x:v>
      </x:c>
      <x:c r="B232" s="10" t="str">
        <x:v>EMP001</x:v>
      </x:c>
      <x:c r="C232" s="10" t="str">
        <x:v>CLI017</x:v>
      </x:c>
      <x:c r="D232" s="10" t="str">
        <x:v>CC005</x:v>
      </x:c>
      <x:c r="E232" s="10" t="str">
        <x:v>CAT004</x:v>
      </x:c>
      <x:c r="F232" s="10" t="str">
        <x:v>CTA002</x:v>
      </x:c>
      <x:c r="G232" s="10" t="str">
        <x:v>FAT-200231</x:v>
      </x:c>
      <x:c r="H232" s="10" t="str">
        <x:v>Prestação de serviços</x:v>
      </x:c>
      <x:c r="I232" s="16" t="n">
        <x:v>45321.84064866898</x:v>
      </x:c>
      <x:c r="J232" s="16" t="n">
        <x:v>45381.84064866898</x:v>
      </x:c>
      <x:c r="K232" s="16" t="n">
        <x:v>45393.84064866898</x:v>
      </x:c>
      <x:c r="L232" s="20" t="n">
        <x:v>4595.22</x:v>
      </x:c>
      <x:c r="M232" s="20" t="n">
        <x:v>44.11</x:v>
      </x:c>
      <x:c r="N232" s="20" t="n">
        <x:v>0</x:v>
      </x:c>
      <x:c r="O232" s="20" t="n">
        <x:v>4639.33</x:v>
      </x:c>
      <x:c r="P232" s="20" t="n">
        <x:v>0</x:v>
      </x:c>
      <x:c r="Q232" s="10" t="str">
        <x:v>Recebido</x:v>
      </x:c>
      <x:c r="R232" s="10" t="str">
        <x:v>Cartão</x:v>
      </x:c>
      <x:c r="S232" s="10" t="str">
        <x:v>2024-01</x:v>
      </x:c>
      <x:c r="T232" s="10" t="n">
        <x:v>0</x:v>
      </x:c>
      <x:c r="U232" s="10" t="str">
        <x:v>Liquidado</x:v>
      </x:c>
      <x:c r="V232" s="10" t="str">
        <x:v>Médio</x:v>
      </x:c>
      <x:c r="W232" s="10" t="str">
        <x:v>Atacado</x:v>
      </x:c>
      <x:c r="X232" s="10" t="str">
        <x:v>UND001</x:v>
      </x:c>
    </x:row>
    <x:row r="233" ht="18" customHeight="1">
      <x:c r="A233" s="10" t="str">
        <x:v>REC00232</x:v>
      </x:c>
      <x:c r="B233" s="10" t="str">
        <x:v>EMP002</x:v>
      </x:c>
      <x:c r="C233" s="10" t="str">
        <x:v>CLI004</x:v>
      </x:c>
      <x:c r="D233" s="10" t="str">
        <x:v>CC004</x:v>
      </x:c>
      <x:c r="E233" s="10" t="str">
        <x:v>CAT002</x:v>
      </x:c>
      <x:c r="F233" s="10" t="str">
        <x:v>CTA003</x:v>
      </x:c>
      <x:c r="G233" s="10" t="str">
        <x:v>FAT-200232</x:v>
      </x:c>
      <x:c r="H233" s="10" t="str">
        <x:v>Contrato mensal</x:v>
      </x:c>
      <x:c r="I233" s="16" t="n">
        <x:v>45580.63499446759</x:v>
      </x:c>
      <x:c r="J233" s="16" t="n">
        <x:v>45595.63499446759</x:v>
      </x:c>
      <x:c r="K233" s="16"/>
      <x:c r="L233" s="20" t="n">
        <x:v>77331.74</x:v>
      </x:c>
      <x:c r="M233" s="20" t="n">
        <x:v>0</x:v>
      </x:c>
      <x:c r="N233" s="20" t="n">
        <x:v>0</x:v>
      </x:c>
      <x:c r="O233" s="20" t="n">
        <x:v>0</x:v>
      </x:c>
      <x:c r="P233" s="20" t="n">
        <x:v>77331.74</x:v>
      </x:c>
      <x:c r="Q233" s="10" t="str">
        <x:v>Vencido</x:v>
      </x:c>
      <x:c r="R233" s="10" t="str">
        <x:v>TED</x:v>
      </x:c>
      <x:c r="S233" s="10" t="str">
        <x:v>2024-10</x:v>
      </x:c>
      <x:c r="T233" s="10" t="n">
        <x:v>426</x:v>
      </x:c>
      <x:c r="U233" s="10" t="str">
        <x:v>&gt; 120 dias</x:v>
      </x:c>
      <x:c r="V233" s="10" t="str">
        <x:v>Alto</x:v>
      </x:c>
      <x:c r="W233" s="10" t="str">
        <x:v>Varejo</x:v>
      </x:c>
      <x:c r="X233" s="10" t="str">
        <x:v>UND003</x:v>
      </x:c>
    </x:row>
    <x:row r="234" ht="18" customHeight="1">
      <x:c r="A234" s="10" t="str">
        <x:v>REC00233</x:v>
      </x:c>
      <x:c r="B234" s="10" t="str">
        <x:v>EMP003</x:v>
      </x:c>
      <x:c r="C234" s="10" t="str">
        <x:v>CLI042</x:v>
      </x:c>
      <x:c r="D234" s="10" t="str">
        <x:v>CC008</x:v>
      </x:c>
      <x:c r="E234" s="10" t="str">
        <x:v>CAT002</x:v>
      </x:c>
      <x:c r="F234" s="10" t="str">
        <x:v>CTA005</x:v>
      </x:c>
      <x:c r="G234" s="10" t="str">
        <x:v>FAT-200233</x:v>
      </x:c>
      <x:c r="H234" s="10" t="str">
        <x:v>Contrato mensal</x:v>
      </x:c>
      <x:c r="I234" s="16" t="n">
        <x:v>45959.81607061343</x:v>
      </x:c>
      <x:c r="J234" s="16" t="n">
        <x:v>45989.81607061343</x:v>
      </x:c>
      <x:c r="K234" s="16" t="n">
        <x:v>45995.81607061343</x:v>
      </x:c>
      <x:c r="L234" s="20" t="n">
        <x:v>80428.41</x:v>
      </x:c>
      <x:c r="M234" s="20" t="n">
        <x:v>386.06</x:v>
      </x:c>
      <x:c r="N234" s="20" t="n">
        <x:v>0</x:v>
      </x:c>
      <x:c r="O234" s="20" t="n">
        <x:v>80814.47</x:v>
      </x:c>
      <x:c r="P234" s="20" t="n">
        <x:v>0</x:v>
      </x:c>
      <x:c r="Q234" s="10" t="str">
        <x:v>Recebido</x:v>
      </x:c>
      <x:c r="R234" s="10" t="str">
        <x:v>Débito em Conta</x:v>
      </x:c>
      <x:c r="S234" s="10" t="str">
        <x:v>2025-10</x:v>
      </x:c>
      <x:c r="T234" s="10" t="n">
        <x:v>0</x:v>
      </x:c>
      <x:c r="U234" s="10" t="str">
        <x:v>Liquidado</x:v>
      </x:c>
      <x:c r="V234" s="10" t="str">
        <x:v>Baixo</x:v>
      </x:c>
      <x:c r="W234" s="10" t="str">
        <x:v>Varejo</x:v>
      </x:c>
      <x:c r="X234" s="10" t="str">
        <x:v>UND004</x:v>
      </x:c>
    </x:row>
    <x:row r="235" ht="18" customHeight="1">
      <x:c r="A235" s="10" t="str">
        <x:v>REC00234</x:v>
      </x:c>
      <x:c r="B235" s="10" t="str">
        <x:v>EMP002</x:v>
      </x:c>
      <x:c r="C235" s="10" t="str">
        <x:v>CLI068</x:v>
      </x:c>
      <x:c r="D235" s="10" t="str">
        <x:v>CC007</x:v>
      </x:c>
      <x:c r="E235" s="10" t="str">
        <x:v>CAT002</x:v>
      </x:c>
      <x:c r="F235" s="10" t="str">
        <x:v>CTA003</x:v>
      </x:c>
      <x:c r="G235" s="10" t="str">
        <x:v>FAT-200234</x:v>
      </x:c>
      <x:c r="H235" s="10" t="str">
        <x:v>Contrato mensal</x:v>
      </x:c>
      <x:c r="I235" s="16" t="n">
        <x:v>45471.64558697917</x:v>
      </x:c>
      <x:c r="J235" s="16" t="n">
        <x:v>45516.64558697917</x:v>
      </x:c>
      <x:c r="K235" s="16"/>
      <x:c r="L235" s="20" t="n">
        <x:v>20615.89</x:v>
      </x:c>
      <x:c r="M235" s="20" t="n">
        <x:v>0</x:v>
      </x:c>
      <x:c r="N235" s="20" t="n">
        <x:v>0</x:v>
      </x:c>
      <x:c r="O235" s="20" t="n">
        <x:v>0</x:v>
      </x:c>
      <x:c r="P235" s="20" t="n">
        <x:v>20615.89</x:v>
      </x:c>
      <x:c r="Q235" s="10" t="str">
        <x:v>Vencido</x:v>
      </x:c>
      <x:c r="R235" s="10" t="str">
        <x:v>Cartão</x:v>
      </x:c>
      <x:c r="S235" s="10" t="str">
        <x:v>2024-06</x:v>
      </x:c>
      <x:c r="T235" s="10" t="n">
        <x:v>505</x:v>
      </x:c>
      <x:c r="U235" s="10" t="str">
        <x:v>&gt; 120 dias</x:v>
      </x:c>
      <x:c r="V235" s="10" t="str">
        <x:v>Médio</x:v>
      </x:c>
      <x:c r="W235" s="10" t="str">
        <x:v>Varejo</x:v>
      </x:c>
      <x:c r="X235" s="10" t="str">
        <x:v>UND003</x:v>
      </x:c>
    </x:row>
    <x:row r="236" ht="18" customHeight="1">
      <x:c r="A236" s="10" t="str">
        <x:v>REC00235</x:v>
      </x:c>
      <x:c r="B236" s="10" t="str">
        <x:v>EMP002</x:v>
      </x:c>
      <x:c r="C236" s="10" t="str">
        <x:v>CLI053</x:v>
      </x:c>
      <x:c r="D236" s="10" t="str">
        <x:v>CC003</x:v>
      </x:c>
      <x:c r="E236" s="10" t="str">
        <x:v>CAT002</x:v>
      </x:c>
      <x:c r="F236" s="10" t="str">
        <x:v>CTA004</x:v>
      </x:c>
      <x:c r="G236" s="10" t="str">
        <x:v>FAT-200235</x:v>
      </x:c>
      <x:c r="H236" s="10" t="str">
        <x:v>Frete faturado</x:v>
      </x:c>
      <x:c r="I236" s="16" t="n">
        <x:v>45751.52131980324</x:v>
      </x:c>
      <x:c r="J236" s="16" t="n">
        <x:v>45796.52131980324</x:v>
      </x:c>
      <x:c r="K236" s="16" t="n">
        <x:v>45797.52131980324</x:v>
      </x:c>
      <x:c r="L236" s="20" t="n">
        <x:v>137748.29</x:v>
      </x:c>
      <x:c r="M236" s="20" t="n">
        <x:v>110.2</x:v>
      </x:c>
      <x:c r="N236" s="20" t="n">
        <x:v>0</x:v>
      </x:c>
      <x:c r="O236" s="20" t="n">
        <x:v>137858.49</x:v>
      </x:c>
      <x:c r="P236" s="20" t="n">
        <x:v>0</x:v>
      </x:c>
      <x:c r="Q236" s="10" t="str">
        <x:v>Recebido</x:v>
      </x:c>
      <x:c r="R236" s="10" t="str">
        <x:v>TED</x:v>
      </x:c>
      <x:c r="S236" s="10" t="str">
        <x:v>2025-04</x:v>
      </x:c>
      <x:c r="T236" s="10" t="n">
        <x:v>0</x:v>
      </x:c>
      <x:c r="U236" s="10" t="str">
        <x:v>Liquidado</x:v>
      </x:c>
      <x:c r="V236" s="10" t="str">
        <x:v>Baixo</x:v>
      </x:c>
      <x:c r="W236" s="10" t="str">
        <x:v>Saúde</x:v>
      </x:c>
      <x:c r="X236" s="10" t="str">
        <x:v>UND003</x:v>
      </x:c>
    </x:row>
    <x:row r="237" ht="18" customHeight="1">
      <x:c r="A237" s="10" t="str">
        <x:v>REC00236</x:v>
      </x:c>
      <x:c r="B237" s="10" t="str">
        <x:v>EMP001</x:v>
      </x:c>
      <x:c r="C237" s="10" t="str">
        <x:v>CLI006</x:v>
      </x:c>
      <x:c r="D237" s="10" t="str">
        <x:v>CC003</x:v>
      </x:c>
      <x:c r="E237" s="10" t="str">
        <x:v>CAT004</x:v>
      </x:c>
      <x:c r="F237" s="10" t="str">
        <x:v>CTA002</x:v>
      </x:c>
      <x:c r="G237" s="10" t="str">
        <x:v>FAT-200236</x:v>
      </x:c>
      <x:c r="H237" s="10" t="str">
        <x:v>Projeto especial</x:v>
      </x:c>
      <x:c r="I237" s="16" t="n">
        <x:v>45641.880899780095</x:v>
      </x:c>
      <x:c r="J237" s="16" t="n">
        <x:v>45669.880899780095</x:v>
      </x:c>
      <x:c r="K237" s="16" t="n">
        <x:v>45669.880899780095</x:v>
      </x:c>
      <x:c r="L237" s="20" t="n">
        <x:v>71462.48</x:v>
      </x:c>
      <x:c r="M237" s="20" t="n">
        <x:v>0</x:v>
      </x:c>
      <x:c r="N237" s="20" t="n">
        <x:v>0</x:v>
      </x:c>
      <x:c r="O237" s="20" t="n">
        <x:v>71462.48</x:v>
      </x:c>
      <x:c r="P237" s="20" t="n">
        <x:v>0</x:v>
      </x:c>
      <x:c r="Q237" s="10" t="str">
        <x:v>Recebido</x:v>
      </x:c>
      <x:c r="R237" s="10" t="str">
        <x:v>Boleto</x:v>
      </x:c>
      <x:c r="S237" s="10" t="str">
        <x:v>2024-12</x:v>
      </x:c>
      <x:c r="T237" s="10" t="n">
        <x:v>0</x:v>
      </x:c>
      <x:c r="U237" s="10" t="str">
        <x:v>Liquidado</x:v>
      </x:c>
      <x:c r="V237" s="10" t="str">
        <x:v>Baixo</x:v>
      </x:c>
      <x:c r="W237" s="10" t="str">
        <x:v>Varejo</x:v>
      </x:c>
      <x:c r="X237" s="10" t="str">
        <x:v>UND002</x:v>
      </x:c>
    </x:row>
    <x:row r="238" ht="18" customHeight="1">
      <x:c r="A238" s="10" t="str">
        <x:v>REC00237</x:v>
      </x:c>
      <x:c r="B238" s="10" t="str">
        <x:v>EMP003</x:v>
      </x:c>
      <x:c r="C238" s="10" t="str">
        <x:v>CLI033</x:v>
      </x:c>
      <x:c r="D238" s="10" t="str">
        <x:v>CC003</x:v>
      </x:c>
      <x:c r="E238" s="10" t="str">
        <x:v>CAT001</x:v>
      </x:c>
      <x:c r="F238" s="10" t="str">
        <x:v>CTA005</x:v>
      </x:c>
      <x:c r="G238" s="10" t="str">
        <x:v>FAT-200237</x:v>
      </x:c>
      <x:c r="H238" s="10" t="str">
        <x:v>Frete faturado</x:v>
      </x:c>
      <x:c r="I238" s="16" t="n">
        <x:v>45955.97734201389</x:v>
      </x:c>
      <x:c r="J238" s="16" t="n">
        <x:v>45985.97734201389</x:v>
      </x:c>
      <x:c r="K238" s="16"/>
      <x:c r="L238" s="20" t="n">
        <x:v>97481.38</x:v>
      </x:c>
      <x:c r="M238" s="20" t="n">
        <x:v>0</x:v>
      </x:c>
      <x:c r="N238" s="20" t="n">
        <x:v>0</x:v>
      </x:c>
      <x:c r="O238" s="20" t="n">
        <x:v>0</x:v>
      </x:c>
      <x:c r="P238" s="20" t="n">
        <x:v>97481.38</x:v>
      </x:c>
      <x:c r="Q238" s="10" t="str">
        <x:v>Vencido</x:v>
      </x:c>
      <x:c r="R238" s="10" t="str">
        <x:v>TED</x:v>
      </x:c>
      <x:c r="S238" s="10" t="str">
        <x:v>2025-10</x:v>
      </x:c>
      <x:c r="T238" s="10" t="n">
        <x:v>36</x:v>
      </x:c>
      <x:c r="U238" s="10" t="str">
        <x:v>31 a 60 dias</x:v>
      </x:c>
      <x:c r="V238" s="10" t="str">
        <x:v>Médio</x:v>
      </x:c>
      <x:c r="W238" s="10" t="str">
        <x:v>Varejo</x:v>
      </x:c>
      <x:c r="X238" s="10" t="str">
        <x:v>UND004</x:v>
      </x:c>
    </x:row>
    <x:row r="239" ht="18" customHeight="1">
      <x:c r="A239" s="10" t="str">
        <x:v>REC00238</x:v>
      </x:c>
      <x:c r="B239" s="10" t="str">
        <x:v>EMP001</x:v>
      </x:c>
      <x:c r="C239" s="10" t="str">
        <x:v>CLI048</x:v>
      </x:c>
      <x:c r="D239" s="10" t="str">
        <x:v>CC007</x:v>
      </x:c>
      <x:c r="E239" s="10" t="str">
        <x:v>CAT003</x:v>
      </x:c>
      <x:c r="F239" s="10" t="str">
        <x:v>CTA002</x:v>
      </x:c>
      <x:c r="G239" s="10" t="str">
        <x:v>FAT-200238</x:v>
      </x:c>
      <x:c r="H239" s="10" t="str">
        <x:v>Venda de produtos</x:v>
      </x:c>
      <x:c r="I239" s="16" t="n">
        <x:v>45553.885293796295</x:v>
      </x:c>
      <x:c r="J239" s="16" t="n">
        <x:v>45568.885293796295</x:v>
      </x:c>
      <x:c r="K239" s="16"/>
      <x:c r="L239" s="20" t="n">
        <x:v>18262</x:v>
      </x:c>
      <x:c r="M239" s="20" t="n">
        <x:v>0</x:v>
      </x:c>
      <x:c r="N239" s="20" t="n">
        <x:v>0</x:v>
      </x:c>
      <x:c r="O239" s="20" t="n">
        <x:v>0</x:v>
      </x:c>
      <x:c r="P239" s="20" t="n">
        <x:v>18262</x:v>
      </x:c>
      <x:c r="Q239" s="10" t="str">
        <x:v>Vencido</x:v>
      </x:c>
      <x:c r="R239" s="10" t="str">
        <x:v>Cartão</x:v>
      </x:c>
      <x:c r="S239" s="10" t="str">
        <x:v>2024-09</x:v>
      </x:c>
      <x:c r="T239" s="10" t="n">
        <x:v>453</x:v>
      </x:c>
      <x:c r="U239" s="10" t="str">
        <x:v>&gt; 120 dias</x:v>
      </x:c>
      <x:c r="V239" s="10" t="str">
        <x:v>Baixo</x:v>
      </x:c>
      <x:c r="W239" s="10" t="str">
        <x:v>Tecnologia</x:v>
      </x:c>
      <x:c r="X239" s="10" t="str">
        <x:v>UND001</x:v>
      </x:c>
    </x:row>
    <x:row r="240" ht="18" customHeight="1">
      <x:c r="A240" s="10" t="str">
        <x:v>REC00239</x:v>
      </x:c>
      <x:c r="B240" s="10" t="str">
        <x:v>EMP003</x:v>
      </x:c>
      <x:c r="C240" s="10" t="str">
        <x:v>CLI004</x:v>
      </x:c>
      <x:c r="D240" s="10" t="str">
        <x:v>CC002</x:v>
      </x:c>
      <x:c r="E240" s="10" t="str">
        <x:v>CAT002</x:v>
      </x:c>
      <x:c r="F240" s="10" t="str">
        <x:v>CTA005</x:v>
      </x:c>
      <x:c r="G240" s="10" t="str">
        <x:v>FAT-200239</x:v>
      </x:c>
      <x:c r="H240" s="10" t="str">
        <x:v>Prestação de serviços</x:v>
      </x:c>
      <x:c r="I240" s="16" t="n">
        <x:v>45431.725816909726</x:v>
      </x:c>
      <x:c r="J240" s="16" t="n">
        <x:v>45452.725816909726</x:v>
      </x:c>
      <x:c r="K240" s="16"/>
      <x:c r="L240" s="20" t="n">
        <x:v>37035.18</x:v>
      </x:c>
      <x:c r="M240" s="20" t="n">
        <x:v>0</x:v>
      </x:c>
      <x:c r="N240" s="20" t="n">
        <x:v>0</x:v>
      </x:c>
      <x:c r="O240" s="20" t="n">
        <x:v>0</x:v>
      </x:c>
      <x:c r="P240" s="20" t="n">
        <x:v>37035.18</x:v>
      </x:c>
      <x:c r="Q240" s="10" t="str">
        <x:v>Vencido</x:v>
      </x:c>
      <x:c r="R240" s="10" t="str">
        <x:v>TED</x:v>
      </x:c>
      <x:c r="S240" s="10" t="str">
        <x:v>2024-05</x:v>
      </x:c>
      <x:c r="T240" s="10" t="n">
        <x:v>569</x:v>
      </x:c>
      <x:c r="U240" s="10" t="str">
        <x:v>&gt; 120 dias</x:v>
      </x:c>
      <x:c r="V240" s="10" t="str">
        <x:v>Alto</x:v>
      </x:c>
      <x:c r="W240" s="10" t="str">
        <x:v>Varejo</x:v>
      </x:c>
      <x:c r="X240" s="10" t="str">
        <x:v>UND004</x:v>
      </x:c>
    </x:row>
    <x:row r="241" ht="18" customHeight="1">
      <x:c r="A241" s="10" t="str">
        <x:v>REC00240</x:v>
      </x:c>
      <x:c r="B241" s="10" t="str">
        <x:v>EMP001</x:v>
      </x:c>
      <x:c r="C241" s="10" t="str">
        <x:v>CLI071</x:v>
      </x:c>
      <x:c r="D241" s="10" t="str">
        <x:v>CC007</x:v>
      </x:c>
      <x:c r="E241" s="10" t="str">
        <x:v>CAT002</x:v>
      </x:c>
      <x:c r="F241" s="10" t="str">
        <x:v>CTA002</x:v>
      </x:c>
      <x:c r="G241" s="10" t="str">
        <x:v>FAT-200240</x:v>
      </x:c>
      <x:c r="H241" s="10" t="str">
        <x:v>Prestação de serviços</x:v>
      </x:c>
      <x:c r="I241" s="16" t="n">
        <x:v>45468.29791252315</x:v>
      </x:c>
      <x:c r="J241" s="16" t="n">
        <x:v>45528.29791252315</x:v>
      </x:c>
      <x:c r="K241" s="16" t="n">
        <x:v>45529.29791252315</x:v>
      </x:c>
      <x:c r="L241" s="20" t="n">
        <x:v>56781.07</x:v>
      </x:c>
      <x:c r="M241" s="20" t="n">
        <x:v>45.42</x:v>
      </x:c>
      <x:c r="N241" s="20" t="n">
        <x:v>0</x:v>
      </x:c>
      <x:c r="O241" s="20" t="n">
        <x:v>56826.49</x:v>
      </x:c>
      <x:c r="P241" s="20" t="n">
        <x:v>0</x:v>
      </x:c>
      <x:c r="Q241" s="10" t="str">
        <x:v>Recebido</x:v>
      </x:c>
      <x:c r="R241" s="10" t="str">
        <x:v>Débito em Conta</x:v>
      </x:c>
      <x:c r="S241" s="10" t="str">
        <x:v>2024-06</x:v>
      </x:c>
      <x:c r="T241" s="10" t="n">
        <x:v>0</x:v>
      </x:c>
      <x:c r="U241" s="10" t="str">
        <x:v>Liquidado</x:v>
      </x:c>
      <x:c r="V241" s="10" t="str">
        <x:v>Baixo</x:v>
      </x:c>
      <x:c r="W241" s="10" t="str">
        <x:v>Tecnologia</x:v>
      </x:c>
      <x:c r="X241" s="10" t="str">
        <x:v>UND001</x:v>
      </x:c>
    </x:row>
    <x:row r="242" ht="18" customHeight="1">
      <x:c r="A242" s="10" t="str">
        <x:v>REC00241</x:v>
      </x:c>
      <x:c r="B242" s="10" t="str">
        <x:v>EMP001</x:v>
      </x:c>
      <x:c r="C242" s="10" t="str">
        <x:v>CLI064</x:v>
      </x:c>
      <x:c r="D242" s="10" t="str">
        <x:v>CC002</x:v>
      </x:c>
      <x:c r="E242" s="10" t="str">
        <x:v>CAT003</x:v>
      </x:c>
      <x:c r="F242" s="10" t="str">
        <x:v>CTA001</x:v>
      </x:c>
      <x:c r="G242" s="10" t="str">
        <x:v>FAT-200241</x:v>
      </x:c>
      <x:c r="H242" s="10" t="str">
        <x:v>Contrato mensal</x:v>
      </x:c>
      <x:c r="I242" s="16" t="n">
        <x:v>45815.399039108794</x:v>
      </x:c>
      <x:c r="J242" s="16" t="n">
        <x:v>45836.399039108794</x:v>
      </x:c>
      <x:c r="K242" s="16" t="n">
        <x:v>45842.399039108794</x:v>
      </x:c>
      <x:c r="L242" s="20" t="n">
        <x:v>33505.46</x:v>
      </x:c>
      <x:c r="M242" s="20" t="n">
        <x:v>160.83</x:v>
      </x:c>
      <x:c r="N242" s="20" t="n">
        <x:v>0</x:v>
      </x:c>
      <x:c r="O242" s="20" t="n">
        <x:v>33666.29</x:v>
      </x:c>
      <x:c r="P242" s="20" t="n">
        <x:v>0</x:v>
      </x:c>
      <x:c r="Q242" s="10" t="str">
        <x:v>Recebido</x:v>
      </x:c>
      <x:c r="R242" s="10" t="str">
        <x:v>TED</x:v>
      </x:c>
      <x:c r="S242" s="10" t="str">
        <x:v>2025-06</x:v>
      </x:c>
      <x:c r="T242" s="10" t="n">
        <x:v>0</x:v>
      </x:c>
      <x:c r="U242" s="10" t="str">
        <x:v>Liquidado</x:v>
      </x:c>
      <x:c r="V242" s="10" t="str">
        <x:v>Médio</x:v>
      </x:c>
      <x:c r="W242" s="10" t="str">
        <x:v>Atacado</x:v>
      </x:c>
      <x:c r="X242" s="10" t="str">
        <x:v>UND002</x:v>
      </x:c>
    </x:row>
    <x:row r="243" ht="18" customHeight="1">
      <x:c r="A243" s="10" t="str">
        <x:v>REC00242</x:v>
      </x:c>
      <x:c r="B243" s="10" t="str">
        <x:v>EMP001</x:v>
      </x:c>
      <x:c r="C243" s="10" t="str">
        <x:v>CLI060</x:v>
      </x:c>
      <x:c r="D243" s="10" t="str">
        <x:v>CC004</x:v>
      </x:c>
      <x:c r="E243" s="10" t="str">
        <x:v>CAT002</x:v>
      </x:c>
      <x:c r="F243" s="10" t="str">
        <x:v>CTA001</x:v>
      </x:c>
      <x:c r="G243" s="10" t="str">
        <x:v>FAT-200242</x:v>
      </x:c>
      <x:c r="H243" s="10" t="str">
        <x:v>Contrato mensal</x:v>
      </x:c>
      <x:c r="I243" s="16" t="n">
        <x:v>45834.25810063657</x:v>
      </x:c>
      <x:c r="J243" s="16" t="n">
        <x:v>45855.25810063657</x:v>
      </x:c>
      <x:c r="K243" s="16" t="n">
        <x:v>45853.25810063657</x:v>
      </x:c>
      <x:c r="L243" s="20" t="n">
        <x:v>122794.61</x:v>
      </x:c>
      <x:c r="M243" s="20" t="n">
        <x:v>0</x:v>
      </x:c>
      <x:c r="N243" s="20" t="n">
        <x:v>0</x:v>
      </x:c>
      <x:c r="O243" s="20" t="n">
        <x:v>122794.61</x:v>
      </x:c>
      <x:c r="P243" s="20" t="n">
        <x:v>0</x:v>
      </x:c>
      <x:c r="Q243" s="10" t="str">
        <x:v>Recebido</x:v>
      </x:c>
      <x:c r="R243" s="10" t="str">
        <x:v>PIX</x:v>
      </x:c>
      <x:c r="S243" s="10" t="str">
        <x:v>2025-06</x:v>
      </x:c>
      <x:c r="T243" s="10" t="n">
        <x:v>0</x:v>
      </x:c>
      <x:c r="U243" s="10" t="str">
        <x:v>Liquidado</x:v>
      </x:c>
      <x:c r="V243" s="10" t="str">
        <x:v>Baixo</x:v>
      </x:c>
      <x:c r="W243" s="10" t="str">
        <x:v>Atacado</x:v>
      </x:c>
      <x:c r="X243" s="10" t="str">
        <x:v>UND002</x:v>
      </x:c>
    </x:row>
    <x:row r="244" ht="18" customHeight="1">
      <x:c r="A244" s="10" t="str">
        <x:v>REC00243</x:v>
      </x:c>
      <x:c r="B244" s="10" t="str">
        <x:v>EMP003</x:v>
      </x:c>
      <x:c r="C244" s="10" t="str">
        <x:v>CLI022</x:v>
      </x:c>
      <x:c r="D244" s="10" t="str">
        <x:v>CC002</x:v>
      </x:c>
      <x:c r="E244" s="10" t="str">
        <x:v>CAT003</x:v>
      </x:c>
      <x:c r="F244" s="10" t="str">
        <x:v>CTA005</x:v>
      </x:c>
      <x:c r="G244" s="10" t="str">
        <x:v>FAT-200243</x:v>
      </x:c>
      <x:c r="H244" s="10" t="str">
        <x:v>Contrato mensal</x:v>
      </x:c>
      <x:c r="I244" s="16" t="n">
        <x:v>45583.41876298611</x:v>
      </x:c>
      <x:c r="J244" s="16" t="n">
        <x:v>45613.41876298611</x:v>
      </x:c>
      <x:c r="K244" s="16" t="n">
        <x:v>45624.41876298611</x:v>
      </x:c>
      <x:c r="L244" s="20" t="n">
        <x:v>111459.88</x:v>
      </x:c>
      <x:c r="M244" s="20" t="n">
        <x:v>980.85</x:v>
      </x:c>
      <x:c r="N244" s="20" t="n">
        <x:v>0</x:v>
      </x:c>
      <x:c r="O244" s="20" t="n">
        <x:v>112440.73</x:v>
      </x:c>
      <x:c r="P244" s="20" t="n">
        <x:v>0</x:v>
      </x:c>
      <x:c r="Q244" s="10" t="str">
        <x:v>Recebido</x:v>
      </x:c>
      <x:c r="R244" s="10" t="str">
        <x:v>Débito em Conta</x:v>
      </x:c>
      <x:c r="S244" s="10" t="str">
        <x:v>2024-10</x:v>
      </x:c>
      <x:c r="T244" s="10" t="n">
        <x:v>0</x:v>
      </x:c>
      <x:c r="U244" s="10" t="str">
        <x:v>Liquidado</x:v>
      </x:c>
      <x:c r="V244" s="10" t="str">
        <x:v>Alto</x:v>
      </x:c>
      <x:c r="W244" s="10" t="str">
        <x:v>Tecnologia</x:v>
      </x:c>
      <x:c r="X244" s="10" t="str">
        <x:v>UND004</x:v>
      </x:c>
    </x:row>
    <x:row r="245" ht="18" customHeight="1">
      <x:c r="A245" s="10" t="str">
        <x:v>REC00244</x:v>
      </x:c>
      <x:c r="B245" s="10" t="str">
        <x:v>EMP003</x:v>
      </x:c>
      <x:c r="C245" s="10" t="str">
        <x:v>CLI073</x:v>
      </x:c>
      <x:c r="D245" s="10" t="str">
        <x:v>CC007</x:v>
      </x:c>
      <x:c r="E245" s="10" t="str">
        <x:v>CAT004</x:v>
      </x:c>
      <x:c r="F245" s="10" t="str">
        <x:v>CTA005</x:v>
      </x:c>
      <x:c r="G245" s="10" t="str">
        <x:v>FAT-200244</x:v>
      </x:c>
      <x:c r="H245" s="10" t="str">
        <x:v>Frete faturado</x:v>
      </x:c>
      <x:c r="I245" s="16" t="n">
        <x:v>45825.66538170139</x:v>
      </x:c>
      <x:c r="J245" s="16" t="n">
        <x:v>45853.66538170139</x:v>
      </x:c>
      <x:c r="K245" s="16" t="n">
        <x:v>45850.66538170139</x:v>
      </x:c>
      <x:c r="L245" s="20" t="n">
        <x:v>105795.6</x:v>
      </x:c>
      <x:c r="M245" s="20" t="n">
        <x:v>0</x:v>
      </x:c>
      <x:c r="N245" s="20" t="n">
        <x:v>0</x:v>
      </x:c>
      <x:c r="O245" s="20" t="n">
        <x:v>105795.6</x:v>
      </x:c>
      <x:c r="P245" s="20" t="n">
        <x:v>0</x:v>
      </x:c>
      <x:c r="Q245" s="10" t="str">
        <x:v>Recebido</x:v>
      </x:c>
      <x:c r="R245" s="10" t="str">
        <x:v>Cartão</x:v>
      </x:c>
      <x:c r="S245" s="10" t="str">
        <x:v>2025-06</x:v>
      </x:c>
      <x:c r="T245" s="10" t="n">
        <x:v>0</x:v>
      </x:c>
      <x:c r="U245" s="10" t="str">
        <x:v>Liquidado</x:v>
      </x:c>
      <x:c r="V245" s="10" t="str">
        <x:v>Alto</x:v>
      </x:c>
      <x:c r="W245" s="10" t="str">
        <x:v>Tecnologia</x:v>
      </x:c>
      <x:c r="X245" s="10" t="str">
        <x:v>UND004</x:v>
      </x:c>
    </x:row>
    <x:row r="246" ht="18" customHeight="1">
      <x:c r="A246" s="10" t="str">
        <x:v>REC00245</x:v>
      </x:c>
      <x:c r="B246" s="10" t="str">
        <x:v>EMP003</x:v>
      </x:c>
      <x:c r="C246" s="10" t="str">
        <x:v>CLI055</x:v>
      </x:c>
      <x:c r="D246" s="10" t="str">
        <x:v>CC004</x:v>
      </x:c>
      <x:c r="E246" s="10" t="str">
        <x:v>CAT004</x:v>
      </x:c>
      <x:c r="F246" s="10" t="str">
        <x:v>CTA006</x:v>
      </x:c>
      <x:c r="G246" s="10" t="str">
        <x:v>FAT-200245</x:v>
      </x:c>
      <x:c r="H246" s="10" t="str">
        <x:v>Projeto especial</x:v>
      </x:c>
      <x:c r="I246" s="16" t="n">
        <x:v>45931.779827592596</x:v>
      </x:c>
      <x:c r="J246" s="16" t="n">
        <x:v>45961.779827592596</x:v>
      </x:c>
      <x:c r="K246" s="16" t="n">
        <x:v>45962.779827592596</x:v>
      </x:c>
      <x:c r="L246" s="20" t="n">
        <x:v>10547.17</x:v>
      </x:c>
      <x:c r="M246" s="20" t="n">
        <x:v>8.44</x:v>
      </x:c>
      <x:c r="N246" s="20" t="n">
        <x:v>0</x:v>
      </x:c>
      <x:c r="O246" s="20" t="n">
        <x:v>10555.61</x:v>
      </x:c>
      <x:c r="P246" s="20" t="n">
        <x:v>0</x:v>
      </x:c>
      <x:c r="Q246" s="10" t="str">
        <x:v>Recebido</x:v>
      </x:c>
      <x:c r="R246" s="10" t="str">
        <x:v>Boleto</x:v>
      </x:c>
      <x:c r="S246" s="10" t="str">
        <x:v>2025-10</x:v>
      </x:c>
      <x:c r="T246" s="10" t="n">
        <x:v>0</x:v>
      </x:c>
      <x:c r="U246" s="10" t="str">
        <x:v>Liquidado</x:v>
      </x:c>
      <x:c r="V246" s="10" t="str">
        <x:v>Baixo</x:v>
      </x:c>
      <x:c r="W246" s="10" t="str">
        <x:v>Serviços</x:v>
      </x:c>
      <x:c r="X246" s="10" t="str">
        <x:v>UND004</x:v>
      </x:c>
    </x:row>
    <x:row r="247" ht="18" customHeight="1">
      <x:c r="A247" s="10" t="str">
        <x:v>REC00246</x:v>
      </x:c>
      <x:c r="B247" s="10" t="str">
        <x:v>EMP003</x:v>
      </x:c>
      <x:c r="C247" s="10" t="str">
        <x:v>CLI060</x:v>
      </x:c>
      <x:c r="D247" s="10" t="str">
        <x:v>CC006</x:v>
      </x:c>
      <x:c r="E247" s="10" t="str">
        <x:v>CAT001</x:v>
      </x:c>
      <x:c r="F247" s="10" t="str">
        <x:v>CTA005</x:v>
      </x:c>
      <x:c r="G247" s="10" t="str">
        <x:v>FAT-200246</x:v>
      </x:c>
      <x:c r="H247" s="10" t="str">
        <x:v>Venda de produtos</x:v>
      </x:c>
      <x:c r="I247" s="16" t="n">
        <x:v>45593.1016652662</x:v>
      </x:c>
      <x:c r="J247" s="16" t="n">
        <x:v>45621.1016652662</x:v>
      </x:c>
      <x:c r="K247" s="16" t="n">
        <x:v>45615.1016652662</x:v>
      </x:c>
      <x:c r="L247" s="20" t="n">
        <x:v>69680.54</x:v>
      </x:c>
      <x:c r="M247" s="20" t="n">
        <x:v>0</x:v>
      </x:c>
      <x:c r="N247" s="20" t="n">
        <x:v>0</x:v>
      </x:c>
      <x:c r="O247" s="20" t="n">
        <x:v>69680.54</x:v>
      </x:c>
      <x:c r="P247" s="20" t="n">
        <x:v>0</x:v>
      </x:c>
      <x:c r="Q247" s="10" t="str">
        <x:v>Recebido</x:v>
      </x:c>
      <x:c r="R247" s="10" t="str">
        <x:v>PIX</x:v>
      </x:c>
      <x:c r="S247" s="10" t="str">
        <x:v>2024-10</x:v>
      </x:c>
      <x:c r="T247" s="10" t="n">
        <x:v>0</x:v>
      </x:c>
      <x:c r="U247" s="10" t="str">
        <x:v>Liquidado</x:v>
      </x:c>
      <x:c r="V247" s="10" t="str">
        <x:v>Baixo</x:v>
      </x:c>
      <x:c r="W247" s="10" t="str">
        <x:v>Atacado</x:v>
      </x:c>
      <x:c r="X247" s="10" t="str">
        <x:v>UND004</x:v>
      </x:c>
    </x:row>
    <x:row r="248" ht="18" customHeight="1">
      <x:c r="A248" s="10" t="str">
        <x:v>REC00247</x:v>
      </x:c>
      <x:c r="B248" s="10" t="str">
        <x:v>EMP001</x:v>
      </x:c>
      <x:c r="C248" s="10" t="str">
        <x:v>CLI008</x:v>
      </x:c>
      <x:c r="D248" s="10" t="str">
        <x:v>CC004</x:v>
      </x:c>
      <x:c r="E248" s="10" t="str">
        <x:v>CAT001</x:v>
      </x:c>
      <x:c r="F248" s="10" t="str">
        <x:v>CTA002</x:v>
      </x:c>
      <x:c r="G248" s="10" t="str">
        <x:v>FAT-200247</x:v>
      </x:c>
      <x:c r="H248" s="10" t="str">
        <x:v>Projeto especial</x:v>
      </x:c>
      <x:c r="I248" s="16" t="n">
        <x:v>45458.2362021875</x:v>
      </x:c>
      <x:c r="J248" s="16" t="n">
        <x:v>45518.2362021875</x:v>
      </x:c>
      <x:c r="K248" s="16" t="n">
        <x:v>45518.2362021875</x:v>
      </x:c>
      <x:c r="L248" s="20" t="n">
        <x:v>47019.41</x:v>
      </x:c>
      <x:c r="M248" s="20" t="n">
        <x:v>0</x:v>
      </x:c>
      <x:c r="N248" s="20" t="n">
        <x:v>0</x:v>
      </x:c>
      <x:c r="O248" s="20" t="n">
        <x:v>47019.41</x:v>
      </x:c>
      <x:c r="P248" s="20" t="n">
        <x:v>0</x:v>
      </x:c>
      <x:c r="Q248" s="10" t="str">
        <x:v>Recebido</x:v>
      </x:c>
      <x:c r="R248" s="10" t="str">
        <x:v>Cartão</x:v>
      </x:c>
      <x:c r="S248" s="10" t="str">
        <x:v>2024-06</x:v>
      </x:c>
      <x:c r="T248" s="10" t="n">
        <x:v>0</x:v>
      </x:c>
      <x:c r="U248" s="10" t="str">
        <x:v>Liquidado</x:v>
      </x:c>
      <x:c r="V248" s="10" t="str">
        <x:v>Médio</x:v>
      </x:c>
      <x:c r="W248" s="10" t="str">
        <x:v>Saúde</x:v>
      </x:c>
      <x:c r="X248" s="10" t="str">
        <x:v>UND002</x:v>
      </x:c>
    </x:row>
    <x:row r="249" ht="18" customHeight="1">
      <x:c r="A249" s="10" t="str">
        <x:v>REC00248</x:v>
      </x:c>
      <x:c r="B249" s="10" t="str">
        <x:v>EMP001</x:v>
      </x:c>
      <x:c r="C249" s="10" t="str">
        <x:v>CLI074</x:v>
      </x:c>
      <x:c r="D249" s="10" t="str">
        <x:v>CC002</x:v>
      </x:c>
      <x:c r="E249" s="10" t="str">
        <x:v>CAT003</x:v>
      </x:c>
      <x:c r="F249" s="10" t="str">
        <x:v>CTA002</x:v>
      </x:c>
      <x:c r="G249" s="10" t="str">
        <x:v>FAT-200248</x:v>
      </x:c>
      <x:c r="H249" s="10" t="str">
        <x:v>Prestação de serviços</x:v>
      </x:c>
      <x:c r="I249" s="16" t="n">
        <x:v>45309.75448258102</x:v>
      </x:c>
      <x:c r="J249" s="16" t="n">
        <x:v>45330.75448258102</x:v>
      </x:c>
      <x:c r="K249" s="16"/>
      <x:c r="L249" s="20" t="n">
        <x:v>7651.37</x:v>
      </x:c>
      <x:c r="M249" s="20" t="n">
        <x:v>0</x:v>
      </x:c>
      <x:c r="N249" s="20" t="n">
        <x:v>0</x:v>
      </x:c>
      <x:c r="O249" s="20" t="n">
        <x:v>0</x:v>
      </x:c>
      <x:c r="P249" s="20" t="n">
        <x:v>7651.37</x:v>
      </x:c>
      <x:c r="Q249" s="10" t="str">
        <x:v>Vencido</x:v>
      </x:c>
      <x:c r="R249" s="10" t="str">
        <x:v>Débito em Conta</x:v>
      </x:c>
      <x:c r="S249" s="10" t="str">
        <x:v>2024-01</x:v>
      </x:c>
      <x:c r="T249" s="10" t="n">
        <x:v>691</x:v>
      </x:c>
      <x:c r="U249" s="10" t="str">
        <x:v>&gt; 120 dias</x:v>
      </x:c>
      <x:c r="V249" s="10" t="str">
        <x:v>Médio</x:v>
      </x:c>
      <x:c r="W249" s="10" t="str">
        <x:v>Tecnologia</x:v>
      </x:c>
      <x:c r="X249" s="10" t="str">
        <x:v>UND002</x:v>
      </x:c>
    </x:row>
    <x:row r="250" ht="18" customHeight="1">
      <x:c r="A250" s="10" t="str">
        <x:v>REC00249</x:v>
      </x:c>
      <x:c r="B250" s="10" t="str">
        <x:v>EMP001</x:v>
      </x:c>
      <x:c r="C250" s="10" t="str">
        <x:v>CLI003</x:v>
      </x:c>
      <x:c r="D250" s="10" t="str">
        <x:v>CC001</x:v>
      </x:c>
      <x:c r="E250" s="10" t="str">
        <x:v>CAT004</x:v>
      </x:c>
      <x:c r="F250" s="10" t="str">
        <x:v>CTA002</x:v>
      </x:c>
      <x:c r="G250" s="10" t="str">
        <x:v>FAT-200249</x:v>
      </x:c>
      <x:c r="H250" s="10" t="str">
        <x:v>Prestação de serviços</x:v>
      </x:c>
      <x:c r="I250" s="16" t="n">
        <x:v>45331.02580085648</x:v>
      </x:c>
      <x:c r="J250" s="16" t="n">
        <x:v>45391.02580085648</x:v>
      </x:c>
      <x:c r="K250" s="16" t="n">
        <x:v>45391.02580085648</x:v>
      </x:c>
      <x:c r="L250" s="20" t="n">
        <x:v>97427.59</x:v>
      </x:c>
      <x:c r="M250" s="20" t="n">
        <x:v>0</x:v>
      </x:c>
      <x:c r="N250" s="20" t="n">
        <x:v>0</x:v>
      </x:c>
      <x:c r="O250" s="20" t="n">
        <x:v>97427.59</x:v>
      </x:c>
      <x:c r="P250" s="20" t="n">
        <x:v>0</x:v>
      </x:c>
      <x:c r="Q250" s="10" t="str">
        <x:v>Recebido</x:v>
      </x:c>
      <x:c r="R250" s="10" t="str">
        <x:v>Cartão</x:v>
      </x:c>
      <x:c r="S250" s="10" t="str">
        <x:v>2024-02</x:v>
      </x:c>
      <x:c r="T250" s="10" t="n">
        <x:v>0</x:v>
      </x:c>
      <x:c r="U250" s="10" t="str">
        <x:v>Liquidado</x:v>
      </x:c>
      <x:c r="V250" s="10" t="str">
        <x:v>Médio</x:v>
      </x:c>
      <x:c r="W250" s="10" t="str">
        <x:v>Saúde</x:v>
      </x:c>
      <x:c r="X250" s="10" t="str">
        <x:v>UND001</x:v>
      </x:c>
    </x:row>
    <x:row r="251" ht="18" customHeight="1">
      <x:c r="A251" s="10" t="str">
        <x:v>REC00250</x:v>
      </x:c>
      <x:c r="B251" s="10" t="str">
        <x:v>EMP002</x:v>
      </x:c>
      <x:c r="C251" s="10" t="str">
        <x:v>CLI025</x:v>
      </x:c>
      <x:c r="D251" s="10" t="str">
        <x:v>CC007</x:v>
      </x:c>
      <x:c r="E251" s="10" t="str">
        <x:v>CAT003</x:v>
      </x:c>
      <x:c r="F251" s="10" t="str">
        <x:v>CTA003</x:v>
      </x:c>
      <x:c r="G251" s="10" t="str">
        <x:v>FAT-200250</x:v>
      </x:c>
      <x:c r="H251" s="10" t="str">
        <x:v>Prestação de serviços</x:v>
      </x:c>
      <x:c r="I251" s="16" t="n">
        <x:v>45646.47658229167</x:v>
      </x:c>
      <x:c r="J251" s="16" t="n">
        <x:v>45667.47658229167</x:v>
      </x:c>
      <x:c r="K251" s="16" t="n">
        <x:v>45661.47658229167</x:v>
      </x:c>
      <x:c r="L251" s="20" t="n">
        <x:v>2049.78</x:v>
      </x:c>
      <x:c r="M251" s="20" t="n">
        <x:v>0</x:v>
      </x:c>
      <x:c r="N251" s="20" t="n">
        <x:v>10.25</x:v>
      </x:c>
      <x:c r="O251" s="20" t="n">
        <x:v>2039.53</x:v>
      </x:c>
      <x:c r="P251" s="20" t="n">
        <x:v>0</x:v>
      </x:c>
      <x:c r="Q251" s="10" t="str">
        <x:v>Recebido</x:v>
      </x:c>
      <x:c r="R251" s="10" t="str">
        <x:v>Cartão</x:v>
      </x:c>
      <x:c r="S251" s="10" t="str">
        <x:v>2024-12</x:v>
      </x:c>
      <x:c r="T251" s="10" t="n">
        <x:v>0</x:v>
      </x:c>
      <x:c r="U251" s="10" t="str">
        <x:v>Liquidado</x:v>
      </x:c>
      <x:c r="V251" s="10" t="str">
        <x:v>Médio</x:v>
      </x:c>
      <x:c r="W251" s="10" t="str">
        <x:v>Indústria</x:v>
      </x:c>
      <x:c r="X251" s="10" t="str">
        <x:v>UND003</x:v>
      </x:c>
    </x:row>
    <x:row r="252" ht="18" customHeight="1">
      <x:c r="A252" s="10" t="str">
        <x:v>REC00251</x:v>
      </x:c>
      <x:c r="B252" s="10" t="str">
        <x:v>EMP003</x:v>
      </x:c>
      <x:c r="C252" s="10" t="str">
        <x:v>CLI071</x:v>
      </x:c>
      <x:c r="D252" s="10" t="str">
        <x:v>CC001</x:v>
      </x:c>
      <x:c r="E252" s="10" t="str">
        <x:v>CAT002</x:v>
      </x:c>
      <x:c r="F252" s="10" t="str">
        <x:v>CTA006</x:v>
      </x:c>
      <x:c r="G252" s="10" t="str">
        <x:v>FAT-200251</x:v>
      </x:c>
      <x:c r="H252" s="10" t="str">
        <x:v>Prestação de serviços</x:v>
      </x:c>
      <x:c r="I252" s="16" t="n">
        <x:v>45499.96124275463</x:v>
      </x:c>
      <x:c r="J252" s="16" t="n">
        <x:v>45520.96124275463</x:v>
      </x:c>
      <x:c r="K252" s="16"/>
      <x:c r="L252" s="20" t="n">
        <x:v>17675.26</x:v>
      </x:c>
      <x:c r="M252" s="20" t="n">
        <x:v>0</x:v>
      </x:c>
      <x:c r="N252" s="20" t="n">
        <x:v>0</x:v>
      </x:c>
      <x:c r="O252" s="20" t="n">
        <x:v>0</x:v>
      </x:c>
      <x:c r="P252" s="20" t="n">
        <x:v>17675.26</x:v>
      </x:c>
      <x:c r="Q252" s="10" t="str">
        <x:v>Vencido</x:v>
      </x:c>
      <x:c r="R252" s="10" t="str">
        <x:v>Boleto</x:v>
      </x:c>
      <x:c r="S252" s="10" t="str">
        <x:v>2024-07</x:v>
      </x:c>
      <x:c r="T252" s="10" t="n">
        <x:v>501</x:v>
      </x:c>
      <x:c r="U252" s="10" t="str">
        <x:v>&gt; 120 dias</x:v>
      </x:c>
      <x:c r="V252" s="10" t="str">
        <x:v>Baixo</x:v>
      </x:c>
      <x:c r="W252" s="10" t="str">
        <x:v>Tecnologia</x:v>
      </x:c>
      <x:c r="X252" s="10" t="str">
        <x:v>UND004</x:v>
      </x:c>
    </x:row>
    <x:row r="253" ht="18" customHeight="1">
      <x:c r="A253" s="10" t="str">
        <x:v>REC00252</x:v>
      </x:c>
      <x:c r="B253" s="10" t="str">
        <x:v>EMP003</x:v>
      </x:c>
      <x:c r="C253" s="10" t="str">
        <x:v>CLI024</x:v>
      </x:c>
      <x:c r="D253" s="10" t="str">
        <x:v>CC006</x:v>
      </x:c>
      <x:c r="E253" s="10" t="str">
        <x:v>CAT004</x:v>
      </x:c>
      <x:c r="F253" s="10" t="str">
        <x:v>CTA006</x:v>
      </x:c>
      <x:c r="G253" s="10" t="str">
        <x:v>FAT-200252</x:v>
      </x:c>
      <x:c r="H253" s="10" t="str">
        <x:v>Venda de produtos</x:v>
      </x:c>
      <x:c r="I253" s="16" t="n">
        <x:v>45967.059823483796</x:v>
      </x:c>
      <x:c r="J253" s="16" t="n">
        <x:v>45988.059823483796</x:v>
      </x:c>
      <x:c r="K253" s="16" t="n">
        <x:v>45992.059823483796</x:v>
      </x:c>
      <x:c r="L253" s="20" t="n">
        <x:v>8026.89</x:v>
      </x:c>
      <x:c r="M253" s="20" t="n">
        <x:v>25.69</x:v>
      </x:c>
      <x:c r="N253" s="20" t="n">
        <x:v>0</x:v>
      </x:c>
      <x:c r="O253" s="20" t="n">
        <x:v>8052.58</x:v>
      </x:c>
      <x:c r="P253" s="20" t="n">
        <x:v>0</x:v>
      </x:c>
      <x:c r="Q253" s="10" t="str">
        <x:v>Recebido</x:v>
      </x:c>
      <x:c r="R253" s="10" t="str">
        <x:v>Boleto</x:v>
      </x:c>
      <x:c r="S253" s="10" t="str">
        <x:v>2025-11</x:v>
      </x:c>
      <x:c r="T253" s="10" t="n">
        <x:v>0</x:v>
      </x:c>
      <x:c r="U253" s="10" t="str">
        <x:v>Liquidado</x:v>
      </x:c>
      <x:c r="V253" s="10" t="str">
        <x:v>Baixo</x:v>
      </x:c>
      <x:c r="W253" s="10" t="str">
        <x:v>Saúde</x:v>
      </x:c>
      <x:c r="X253" s="10" t="str">
        <x:v>UND004</x:v>
      </x:c>
    </x:row>
    <x:row r="254" ht="18" customHeight="1">
      <x:c r="A254" s="10" t="str">
        <x:v>REC00253</x:v>
      </x:c>
      <x:c r="B254" s="10" t="str">
        <x:v>EMP001</x:v>
      </x:c>
      <x:c r="C254" s="10" t="str">
        <x:v>CLI027</x:v>
      </x:c>
      <x:c r="D254" s="10" t="str">
        <x:v>CC002</x:v>
      </x:c>
      <x:c r="E254" s="10" t="str">
        <x:v>CAT003</x:v>
      </x:c>
      <x:c r="F254" s="10" t="str">
        <x:v>CTA001</x:v>
      </x:c>
      <x:c r="G254" s="10" t="str">
        <x:v>FAT-200253</x:v>
      </x:c>
      <x:c r="H254" s="10" t="str">
        <x:v>Prestação de serviços</x:v>
      </x:c>
      <x:c r="I254" s="16" t="n">
        <x:v>45657.75410091435</x:v>
      </x:c>
      <x:c r="J254" s="16" t="n">
        <x:v>45687.75410091435</x:v>
      </x:c>
      <x:c r="K254" s="16"/>
      <x:c r="L254" s="20" t="n">
        <x:v>143553.68</x:v>
      </x:c>
      <x:c r="M254" s="20" t="n">
        <x:v>0</x:v>
      </x:c>
      <x:c r="N254" s="20" t="n">
        <x:v>0</x:v>
      </x:c>
      <x:c r="O254" s="20" t="n">
        <x:v>0</x:v>
      </x:c>
      <x:c r="P254" s="20" t="n">
        <x:v>143553.68</x:v>
      </x:c>
      <x:c r="Q254" s="10" t="str">
        <x:v>Vencido</x:v>
      </x:c>
      <x:c r="R254" s="10" t="str">
        <x:v>Cartão</x:v>
      </x:c>
      <x:c r="S254" s="10" t="str">
        <x:v>2024-12</x:v>
      </x:c>
      <x:c r="T254" s="10" t="n">
        <x:v>334</x:v>
      </x:c>
      <x:c r="U254" s="10" t="str">
        <x:v>&gt; 120 dias</x:v>
      </x:c>
      <x:c r="V254" s="10" t="str">
        <x:v>Alto</x:v>
      </x:c>
      <x:c r="W254" s="10" t="str">
        <x:v>Serviços</x:v>
      </x:c>
      <x:c r="X254" s="10" t="str">
        <x:v>UND001</x:v>
      </x:c>
    </x:row>
    <x:row r="255" ht="18" customHeight="1">
      <x:c r="A255" s="10" t="str">
        <x:v>REC00254</x:v>
      </x:c>
      <x:c r="B255" s="10" t="str">
        <x:v>EMP002</x:v>
      </x:c>
      <x:c r="C255" s="10" t="str">
        <x:v>CLI005</x:v>
      </x:c>
      <x:c r="D255" s="10" t="str">
        <x:v>CC003</x:v>
      </x:c>
      <x:c r="E255" s="10" t="str">
        <x:v>CAT001</x:v>
      </x:c>
      <x:c r="F255" s="10" t="str">
        <x:v>CTA003</x:v>
      </x:c>
      <x:c r="G255" s="10" t="str">
        <x:v>FAT-200254</x:v>
      </x:c>
      <x:c r="H255" s="10" t="str">
        <x:v>Venda de produtos</x:v>
      </x:c>
      <x:c r="I255" s="16" t="n">
        <x:v>45917.01691614583</x:v>
      </x:c>
      <x:c r="J255" s="16" t="n">
        <x:v>45977.01691614583</x:v>
      </x:c>
      <x:c r="K255" s="16" t="n">
        <x:v>45977.01691614583</x:v>
      </x:c>
      <x:c r="L255" s="20" t="n">
        <x:v>145425.41</x:v>
      </x:c>
      <x:c r="M255" s="20" t="n">
        <x:v>0</x:v>
      </x:c>
      <x:c r="N255" s="20" t="n">
        <x:v>0</x:v>
      </x:c>
      <x:c r="O255" s="20" t="n">
        <x:v>145425.41</x:v>
      </x:c>
      <x:c r="P255" s="20" t="n">
        <x:v>0</x:v>
      </x:c>
      <x:c r="Q255" s="10" t="str">
        <x:v>Recebido</x:v>
      </x:c>
      <x:c r="R255" s="10" t="str">
        <x:v>TED</x:v>
      </x:c>
      <x:c r="S255" s="10" t="str">
        <x:v>2025-09</x:v>
      </x:c>
      <x:c r="T255" s="10" t="n">
        <x:v>0</x:v>
      </x:c>
      <x:c r="U255" s="10" t="str">
        <x:v>Liquidado</x:v>
      </x:c>
      <x:c r="V255" s="10" t="str">
        <x:v>Baixo</x:v>
      </x:c>
      <x:c r="W255" s="10" t="str">
        <x:v>Atacado</x:v>
      </x:c>
      <x:c r="X255" s="10" t="str">
        <x:v>UND003</x:v>
      </x:c>
    </x:row>
    <x:row r="256" ht="18" customHeight="1">
      <x:c r="A256" s="10" t="str">
        <x:v>REC00255</x:v>
      </x:c>
      <x:c r="B256" s="10" t="str">
        <x:v>EMP003</x:v>
      </x:c>
      <x:c r="C256" s="10" t="str">
        <x:v>CLI051</x:v>
      </x:c>
      <x:c r="D256" s="10" t="str">
        <x:v>CC002</x:v>
      </x:c>
      <x:c r="E256" s="10" t="str">
        <x:v>CAT002</x:v>
      </x:c>
      <x:c r="F256" s="10" t="str">
        <x:v>CTA006</x:v>
      </x:c>
      <x:c r="G256" s="10" t="str">
        <x:v>FAT-200255</x:v>
      </x:c>
      <x:c r="H256" s="10" t="str">
        <x:v>Frete faturado</x:v>
      </x:c>
      <x:c r="I256" s="16" t="n">
        <x:v>45999.067579525465</x:v>
      </x:c>
      <x:c r="J256" s="16" t="n">
        <x:v>46020.067579525465</x:v>
      </x:c>
      <x:c r="K256" s="16"/>
      <x:c r="L256" s="20" t="n">
        <x:v>17064.29</x:v>
      </x:c>
      <x:c r="M256" s="20" t="n">
        <x:v>0</x:v>
      </x:c>
      <x:c r="N256" s="20" t="n">
        <x:v>0</x:v>
      </x:c>
      <x:c r="O256" s="20" t="n">
        <x:v>0</x:v>
      </x:c>
      <x:c r="P256" s="20" t="n">
        <x:v>17064.29</x:v>
      </x:c>
      <x:c r="Q256" s="10" t="str">
        <x:v>Vencido</x:v>
      </x:c>
      <x:c r="R256" s="10" t="str">
        <x:v>PIX</x:v>
      </x:c>
      <x:c r="S256" s="10" t="str">
        <x:v>2025-12</x:v>
      </x:c>
      <x:c r="T256" s="10" t="n">
        <x:v>1</x:v>
      </x:c>
      <x:c r="U256" s="10" t="str">
        <x:v>1 a 30 dias</x:v>
      </x:c>
      <x:c r="V256" s="10" t="str">
        <x:v>Médio</x:v>
      </x:c>
      <x:c r="W256" s="10" t="str">
        <x:v>Saúde</x:v>
      </x:c>
      <x:c r="X256" s="10" t="str">
        <x:v>UND004</x:v>
      </x:c>
    </x:row>
    <x:row r="257" ht="18" customHeight="1">
      <x:c r="A257" s="10" t="str">
        <x:v>REC00256</x:v>
      </x:c>
      <x:c r="B257" s="10" t="str">
        <x:v>EMP003</x:v>
      </x:c>
      <x:c r="C257" s="10" t="str">
        <x:v>CLI066</x:v>
      </x:c>
      <x:c r="D257" s="10" t="str">
        <x:v>CC004</x:v>
      </x:c>
      <x:c r="E257" s="10" t="str">
        <x:v>CAT002</x:v>
      </x:c>
      <x:c r="F257" s="10" t="str">
        <x:v>CTA006</x:v>
      </x:c>
      <x:c r="G257" s="10" t="str">
        <x:v>FAT-200256</x:v>
      </x:c>
      <x:c r="H257" s="10" t="str">
        <x:v>Contrato mensal</x:v>
      </x:c>
      <x:c r="I257" s="16" t="n">
        <x:v>45900.624071886574</x:v>
      </x:c>
      <x:c r="J257" s="16" t="n">
        <x:v>45928.624071886574</x:v>
      </x:c>
      <x:c r="K257" s="16" t="n">
        <x:v>45933.624071886574</x:v>
      </x:c>
      <x:c r="L257" s="20" t="n">
        <x:v>67700.04</x:v>
      </x:c>
      <x:c r="M257" s="20" t="n">
        <x:v>270.8</x:v>
      </x:c>
      <x:c r="N257" s="20" t="n">
        <x:v>0</x:v>
      </x:c>
      <x:c r="O257" s="20" t="n">
        <x:v>67970.84</x:v>
      </x:c>
      <x:c r="P257" s="20" t="n">
        <x:v>0</x:v>
      </x:c>
      <x:c r="Q257" s="10" t="str">
        <x:v>Recebido</x:v>
      </x:c>
      <x:c r="R257" s="10" t="str">
        <x:v>Débito em Conta</x:v>
      </x:c>
      <x:c r="S257" s="10" t="str">
        <x:v>2025-08</x:v>
      </x:c>
      <x:c r="T257" s="10" t="n">
        <x:v>0</x:v>
      </x:c>
      <x:c r="U257" s="10" t="str">
        <x:v>Liquidado</x:v>
      </x:c>
      <x:c r="V257" s="10" t="str">
        <x:v>Baixo</x:v>
      </x:c>
      <x:c r="W257" s="10" t="str">
        <x:v>Varejo</x:v>
      </x:c>
      <x:c r="X257" s="10" t="str">
        <x:v>UND004</x:v>
      </x:c>
    </x:row>
    <x:row r="258" ht="18" customHeight="1">
      <x:c r="A258" s="10" t="str">
        <x:v>REC00257</x:v>
      </x:c>
      <x:c r="B258" s="10" t="str">
        <x:v>EMP001</x:v>
      </x:c>
      <x:c r="C258" s="10" t="str">
        <x:v>CLI018</x:v>
      </x:c>
      <x:c r="D258" s="10" t="str">
        <x:v>CC006</x:v>
      </x:c>
      <x:c r="E258" s="10" t="str">
        <x:v>CAT001</x:v>
      </x:c>
      <x:c r="F258" s="10" t="str">
        <x:v>CTA002</x:v>
      </x:c>
      <x:c r="G258" s="10" t="str">
        <x:v>FAT-200257</x:v>
      </x:c>
      <x:c r="H258" s="10" t="str">
        <x:v>Contrato mensal</x:v>
      </x:c>
      <x:c r="I258" s="16" t="n">
        <x:v>45827.44798686342</x:v>
      </x:c>
      <x:c r="J258" s="16" t="n">
        <x:v>45862.44798686342</x:v>
      </x:c>
      <x:c r="K258" s="16" t="n">
        <x:v>45872.44798686342</x:v>
      </x:c>
      <x:c r="L258" s="20" t="n">
        <x:v>65794.43</x:v>
      </x:c>
      <x:c r="M258" s="20" t="n">
        <x:v>526.36</x:v>
      </x:c>
      <x:c r="N258" s="20" t="n">
        <x:v>0</x:v>
      </x:c>
      <x:c r="O258" s="20" t="n">
        <x:v>66320.79</x:v>
      </x:c>
      <x:c r="P258" s="20" t="n">
        <x:v>0</x:v>
      </x:c>
      <x:c r="Q258" s="10" t="str">
        <x:v>Recebido</x:v>
      </x:c>
      <x:c r="R258" s="10" t="str">
        <x:v>Cartão</x:v>
      </x:c>
      <x:c r="S258" s="10" t="str">
        <x:v>2025-06</x:v>
      </x:c>
      <x:c r="T258" s="10" t="n">
        <x:v>0</x:v>
      </x:c>
      <x:c r="U258" s="10" t="str">
        <x:v>Liquidado</x:v>
      </x:c>
      <x:c r="V258" s="10" t="str">
        <x:v>Médio</x:v>
      </x:c>
      <x:c r="W258" s="10" t="str">
        <x:v>Indústria</x:v>
      </x:c>
      <x:c r="X258" s="10" t="str">
        <x:v>UND001</x:v>
      </x:c>
    </x:row>
    <x:row r="259" ht="18" customHeight="1">
      <x:c r="A259" s="10" t="str">
        <x:v>REC00258</x:v>
      </x:c>
      <x:c r="B259" s="10" t="str">
        <x:v>EMP001</x:v>
      </x:c>
      <x:c r="C259" s="10" t="str">
        <x:v>CLI056</x:v>
      </x:c>
      <x:c r="D259" s="10" t="str">
        <x:v>CC004</x:v>
      </x:c>
      <x:c r="E259" s="10" t="str">
        <x:v>CAT004</x:v>
      </x:c>
      <x:c r="F259" s="10" t="str">
        <x:v>CTA001</x:v>
      </x:c>
      <x:c r="G259" s="10" t="str">
        <x:v>FAT-200258</x:v>
      </x:c>
      <x:c r="H259" s="10" t="str">
        <x:v>Venda de produtos</x:v>
      </x:c>
      <x:c r="I259" s="16" t="n">
        <x:v>45978.84844306713</x:v>
      </x:c>
      <x:c r="J259" s="16" t="n">
        <x:v>45993.84844306713</x:v>
      </x:c>
      <x:c r="K259" s="16" t="n">
        <x:v>46000.84844306713</x:v>
      </x:c>
      <x:c r="L259" s="20" t="n">
        <x:v>116007.59</x:v>
      </x:c>
      <x:c r="M259" s="20" t="n">
        <x:v>649.64</x:v>
      </x:c>
      <x:c r="N259" s="20" t="n">
        <x:v>0</x:v>
      </x:c>
      <x:c r="O259" s="20" t="n">
        <x:v>116657.23</x:v>
      </x:c>
      <x:c r="P259" s="20" t="n">
        <x:v>0</x:v>
      </x:c>
      <x:c r="Q259" s="10" t="str">
        <x:v>Recebido</x:v>
      </x:c>
      <x:c r="R259" s="10" t="str">
        <x:v>Débito em Conta</x:v>
      </x:c>
      <x:c r="S259" s="10" t="str">
        <x:v>2025-11</x:v>
      </x:c>
      <x:c r="T259" s="10" t="n">
        <x:v>0</x:v>
      </x:c>
      <x:c r="U259" s="10" t="str">
        <x:v>Liquidado</x:v>
      </x:c>
      <x:c r="V259" s="10" t="str">
        <x:v>Baixo</x:v>
      </x:c>
      <x:c r="W259" s="10" t="str">
        <x:v>Tecnologia</x:v>
      </x:c>
      <x:c r="X259" s="10" t="str">
        <x:v>UND002</x:v>
      </x:c>
    </x:row>
    <x:row r="260" ht="18" customHeight="1">
      <x:c r="A260" s="10" t="str">
        <x:v>REC00259</x:v>
      </x:c>
      <x:c r="B260" s="10" t="str">
        <x:v>EMP003</x:v>
      </x:c>
      <x:c r="C260" s="10" t="str">
        <x:v>CLI006</x:v>
      </x:c>
      <x:c r="D260" s="10" t="str">
        <x:v>CC007</x:v>
      </x:c>
      <x:c r="E260" s="10" t="str">
        <x:v>CAT001</x:v>
      </x:c>
      <x:c r="F260" s="10" t="str">
        <x:v>CTA005</x:v>
      </x:c>
      <x:c r="G260" s="10" t="str">
        <x:v>FAT-200259</x:v>
      </x:c>
      <x:c r="H260" s="10" t="str">
        <x:v>Frete faturado</x:v>
      </x:c>
      <x:c r="I260" s="16" t="n">
        <x:v>45703.37750429398</x:v>
      </x:c>
      <x:c r="J260" s="16" t="n">
        <x:v>45748.37750429398</x:v>
      </x:c>
      <x:c r="K260" s="16" t="n">
        <x:v>45744.37750429398</x:v>
      </x:c>
      <x:c r="L260" s="20" t="n">
        <x:v>13880.84</x:v>
      </x:c>
      <x:c r="M260" s="20" t="n">
        <x:v>0</x:v>
      </x:c>
      <x:c r="N260" s="20" t="n">
        <x:v>138.81</x:v>
      </x:c>
      <x:c r="O260" s="20" t="n">
        <x:v>13742.03</x:v>
      </x:c>
      <x:c r="P260" s="20" t="n">
        <x:v>0</x:v>
      </x:c>
      <x:c r="Q260" s="10" t="str">
        <x:v>Recebido</x:v>
      </x:c>
      <x:c r="R260" s="10" t="str">
        <x:v>Cartão</x:v>
      </x:c>
      <x:c r="S260" s="10" t="str">
        <x:v>2025-02</x:v>
      </x:c>
      <x:c r="T260" s="10" t="n">
        <x:v>0</x:v>
      </x:c>
      <x:c r="U260" s="10" t="str">
        <x:v>Liquidado</x:v>
      </x:c>
      <x:c r="V260" s="10" t="str">
        <x:v>Baixo</x:v>
      </x:c>
      <x:c r="W260" s="10" t="str">
        <x:v>Varejo</x:v>
      </x:c>
      <x:c r="X260" s="10" t="str">
        <x:v>UND004</x:v>
      </x:c>
    </x:row>
    <x:row r="261" ht="18" customHeight="1">
      <x:c r="A261" s="10" t="str">
        <x:v>REC00260</x:v>
      </x:c>
      <x:c r="B261" s="10" t="str">
        <x:v>EMP002</x:v>
      </x:c>
      <x:c r="C261" s="10" t="str">
        <x:v>CLI037</x:v>
      </x:c>
      <x:c r="D261" s="10" t="str">
        <x:v>CC003</x:v>
      </x:c>
      <x:c r="E261" s="10" t="str">
        <x:v>CAT001</x:v>
      </x:c>
      <x:c r="F261" s="10" t="str">
        <x:v>CTA003</x:v>
      </x:c>
      <x:c r="G261" s="10" t="str">
        <x:v>FAT-200260</x:v>
      </x:c>
      <x:c r="H261" s="10" t="str">
        <x:v>Contrato mensal</x:v>
      </x:c>
      <x:c r="I261" s="16" t="n">
        <x:v>45417.17021005787</x:v>
      </x:c>
      <x:c r="J261" s="16" t="n">
        <x:v>45447.17021005787</x:v>
      </x:c>
      <x:c r="K261" s="16" t="n">
        <x:v>45445.17021005787</x:v>
      </x:c>
      <x:c r="L261" s="20" t="n">
        <x:v>4643.5</x:v>
      </x:c>
      <x:c r="M261" s="20" t="n">
        <x:v>0</x:v>
      </x:c>
      <x:c r="N261" s="20" t="n">
        <x:v>0</x:v>
      </x:c>
      <x:c r="O261" s="20" t="n">
        <x:v>4643.5</x:v>
      </x:c>
      <x:c r="P261" s="20" t="n">
        <x:v>0</x:v>
      </x:c>
      <x:c r="Q261" s="10" t="str">
        <x:v>Recebido</x:v>
      </x:c>
      <x:c r="R261" s="10" t="str">
        <x:v>TED</x:v>
      </x:c>
      <x:c r="S261" s="10" t="str">
        <x:v>2024-05</x:v>
      </x:c>
      <x:c r="T261" s="10" t="n">
        <x:v>0</x:v>
      </x:c>
      <x:c r="U261" s="10" t="str">
        <x:v>Liquidado</x:v>
      </x:c>
      <x:c r="V261" s="10" t="str">
        <x:v>Baixo</x:v>
      </x:c>
      <x:c r="W261" s="10" t="str">
        <x:v>Serviços</x:v>
      </x:c>
      <x:c r="X261" s="10" t="str">
        <x:v>UND003</x:v>
      </x:c>
    </x:row>
    <x:row r="262" ht="18" customHeight="1">
      <x:c r="A262" s="10" t="str">
        <x:v>REC00261</x:v>
      </x:c>
      <x:c r="B262" s="10" t="str">
        <x:v>EMP003</x:v>
      </x:c>
      <x:c r="C262" s="10" t="str">
        <x:v>CLI041</x:v>
      </x:c>
      <x:c r="D262" s="10" t="str">
        <x:v>CC002</x:v>
      </x:c>
      <x:c r="E262" s="10" t="str">
        <x:v>CAT001</x:v>
      </x:c>
      <x:c r="F262" s="10" t="str">
        <x:v>CTA005</x:v>
      </x:c>
      <x:c r="G262" s="10" t="str">
        <x:v>FAT-200261</x:v>
      </x:c>
      <x:c r="H262" s="10" t="str">
        <x:v>Prestação de serviços</x:v>
      </x:c>
      <x:c r="I262" s="16" t="n">
        <x:v>46011.44050142361</x:v>
      </x:c>
      <x:c r="J262" s="16" t="n">
        <x:v>46046.44050142361</x:v>
      </x:c>
      <x:c r="K262" s="16"/>
      <x:c r="L262" s="20" t="n">
        <x:v>3721.66</x:v>
      </x:c>
      <x:c r="M262" s="20" t="n">
        <x:v>0</x:v>
      </x:c>
      <x:c r="N262" s="20" t="n">
        <x:v>0</x:v>
      </x:c>
      <x:c r="O262" s="20" t="n">
        <x:v>0</x:v>
      </x:c>
      <x:c r="P262" s="20" t="n">
        <x:v>3721.66</x:v>
      </x:c>
      <x:c r="Q262" s="10" t="str">
        <x:v>A vencer</x:v>
      </x:c>
      <x:c r="R262" s="10" t="str">
        <x:v>Débito em Conta</x:v>
      </x:c>
      <x:c r="S262" s="10" t="str">
        <x:v>2025-12</x:v>
      </x:c>
      <x:c r="T262" s="10" t="n">
        <x:v>0</x:v>
      </x:c>
      <x:c r="U262" s="10" t="str">
        <x:v>A vencer</x:v>
      </x:c>
      <x:c r="V262" s="10" t="str">
        <x:v>Alto</x:v>
      </x:c>
      <x:c r="W262" s="10" t="str">
        <x:v>Indústria</x:v>
      </x:c>
      <x:c r="X262" s="10" t="str">
        <x:v>UND004</x:v>
      </x:c>
    </x:row>
    <x:row r="263" ht="18" customHeight="1">
      <x:c r="A263" s="10" t="str">
        <x:v>REC00262</x:v>
      </x:c>
      <x:c r="B263" s="10" t="str">
        <x:v>EMP003</x:v>
      </x:c>
      <x:c r="C263" s="10" t="str">
        <x:v>CLI020</x:v>
      </x:c>
      <x:c r="D263" s="10" t="str">
        <x:v>CC002</x:v>
      </x:c>
      <x:c r="E263" s="10" t="str">
        <x:v>CAT003</x:v>
      </x:c>
      <x:c r="F263" s="10" t="str">
        <x:v>CTA005</x:v>
      </x:c>
      <x:c r="G263" s="10" t="str">
        <x:v>FAT-200262</x:v>
      </x:c>
      <x:c r="H263" s="10" t="str">
        <x:v>Venda de produtos</x:v>
      </x:c>
      <x:c r="I263" s="16" t="n">
        <x:v>45510.67115800926</x:v>
      </x:c>
      <x:c r="J263" s="16" t="n">
        <x:v>45540.67115800926</x:v>
      </x:c>
      <x:c r="K263" s="16" t="n">
        <x:v>45543.67115800926</x:v>
      </x:c>
      <x:c r="L263" s="20" t="n">
        <x:v>79842.31</x:v>
      </x:c>
      <x:c r="M263" s="20" t="n">
        <x:v>191.62</x:v>
      </x:c>
      <x:c r="N263" s="20" t="n">
        <x:v>0</x:v>
      </x:c>
      <x:c r="O263" s="20" t="n">
        <x:v>80033.93</x:v>
      </x:c>
      <x:c r="P263" s="20" t="n">
        <x:v>0</x:v>
      </x:c>
      <x:c r="Q263" s="10" t="str">
        <x:v>Recebido</x:v>
      </x:c>
      <x:c r="R263" s="10" t="str">
        <x:v>Cartão</x:v>
      </x:c>
      <x:c r="S263" s="10" t="str">
        <x:v>2024-08</x:v>
      </x:c>
      <x:c r="T263" s="10" t="n">
        <x:v>0</x:v>
      </x:c>
      <x:c r="U263" s="10" t="str">
        <x:v>Liquidado</x:v>
      </x:c>
      <x:c r="V263" s="10" t="str">
        <x:v>Médio</x:v>
      </x:c>
      <x:c r="W263" s="10" t="str">
        <x:v>Atacado</x:v>
      </x:c>
      <x:c r="X263" s="10" t="str">
        <x:v>UND004</x:v>
      </x:c>
    </x:row>
    <x:row r="264" ht="18" customHeight="1">
      <x:c r="A264" s="10" t="str">
        <x:v>REC00263</x:v>
      </x:c>
      <x:c r="B264" s="10" t="str">
        <x:v>EMP002</x:v>
      </x:c>
      <x:c r="C264" s="10" t="str">
        <x:v>CLI071</x:v>
      </x:c>
      <x:c r="D264" s="10" t="str">
        <x:v>CC001</x:v>
      </x:c>
      <x:c r="E264" s="10" t="str">
        <x:v>CAT001</x:v>
      </x:c>
      <x:c r="F264" s="10" t="str">
        <x:v>CTA003</x:v>
      </x:c>
      <x:c r="G264" s="10" t="str">
        <x:v>FAT-200263</x:v>
      </x:c>
      <x:c r="H264" s="10" t="str">
        <x:v>Contrato mensal</x:v>
      </x:c>
      <x:c r="I264" s="16" t="n">
        <x:v>45948.57057471065</x:v>
      </x:c>
      <x:c r="J264" s="16" t="n">
        <x:v>45969.57057471065</x:v>
      </x:c>
      <x:c r="K264" s="16"/>
      <x:c r="L264" s="20" t="n">
        <x:v>93590.45</x:v>
      </x:c>
      <x:c r="M264" s="20" t="n">
        <x:v>0</x:v>
      </x:c>
      <x:c r="N264" s="20" t="n">
        <x:v>0</x:v>
      </x:c>
      <x:c r="O264" s="20" t="n">
        <x:v>0</x:v>
      </x:c>
      <x:c r="P264" s="20" t="n">
        <x:v>93590.45</x:v>
      </x:c>
      <x:c r="Q264" s="10" t="str">
        <x:v>Vencido</x:v>
      </x:c>
      <x:c r="R264" s="10" t="str">
        <x:v>Boleto</x:v>
      </x:c>
      <x:c r="S264" s="10" t="str">
        <x:v>2025-10</x:v>
      </x:c>
      <x:c r="T264" s="10" t="n">
        <x:v>52</x:v>
      </x:c>
      <x:c r="U264" s="10" t="str">
        <x:v>31 a 60 dias</x:v>
      </x:c>
      <x:c r="V264" s="10" t="str">
        <x:v>Baixo</x:v>
      </x:c>
      <x:c r="W264" s="10" t="str">
        <x:v>Tecnologia</x:v>
      </x:c>
      <x:c r="X264" s="10" t="str">
        <x:v>UND003</x:v>
      </x:c>
    </x:row>
    <x:row r="265" ht="18" customHeight="1">
      <x:c r="A265" s="10" t="str">
        <x:v>REC00264</x:v>
      </x:c>
      <x:c r="B265" s="10" t="str">
        <x:v>EMP001</x:v>
      </x:c>
      <x:c r="C265" s="10" t="str">
        <x:v>CLI020</x:v>
      </x:c>
      <x:c r="D265" s="10" t="str">
        <x:v>CC001</x:v>
      </x:c>
      <x:c r="E265" s="10" t="str">
        <x:v>CAT001</x:v>
      </x:c>
      <x:c r="F265" s="10" t="str">
        <x:v>CTA001</x:v>
      </x:c>
      <x:c r="G265" s="10" t="str">
        <x:v>FAT-200264</x:v>
      </x:c>
      <x:c r="H265" s="10" t="str">
        <x:v>Projeto especial</x:v>
      </x:c>
      <x:c r="I265" s="16" t="n">
        <x:v>45440.771648622685</x:v>
      </x:c>
      <x:c r="J265" s="16" t="n">
        <x:v>45485.771648622685</x:v>
      </x:c>
      <x:c r="K265" s="16" t="n">
        <x:v>45490.771648622685</x:v>
      </x:c>
      <x:c r="L265" s="20" t="n">
        <x:v>32823.33</x:v>
      </x:c>
      <x:c r="M265" s="20" t="n">
        <x:v>131.29</x:v>
      </x:c>
      <x:c r="N265" s="20" t="n">
        <x:v>0</x:v>
      </x:c>
      <x:c r="O265" s="20" t="n">
        <x:v>32954.62</x:v>
      </x:c>
      <x:c r="P265" s="20" t="n">
        <x:v>0</x:v>
      </x:c>
      <x:c r="Q265" s="10" t="str">
        <x:v>Recebido</x:v>
      </x:c>
      <x:c r="R265" s="10" t="str">
        <x:v>Débito em Conta</x:v>
      </x:c>
      <x:c r="S265" s="10" t="str">
        <x:v>2024-05</x:v>
      </x:c>
      <x:c r="T265" s="10" t="n">
        <x:v>0</x:v>
      </x:c>
      <x:c r="U265" s="10" t="str">
        <x:v>Liquidado</x:v>
      </x:c>
      <x:c r="V265" s="10" t="str">
        <x:v>Médio</x:v>
      </x:c>
      <x:c r="W265" s="10" t="str">
        <x:v>Atacado</x:v>
      </x:c>
      <x:c r="X265" s="10" t="str">
        <x:v>UND002</x:v>
      </x:c>
    </x:row>
    <x:row r="266" ht="18" customHeight="1">
      <x:c r="A266" s="10" t="str">
        <x:v>REC00265</x:v>
      </x:c>
      <x:c r="B266" s="10" t="str">
        <x:v>EMP002</x:v>
      </x:c>
      <x:c r="C266" s="10" t="str">
        <x:v>CLI047</x:v>
      </x:c>
      <x:c r="D266" s="10" t="str">
        <x:v>CC003</x:v>
      </x:c>
      <x:c r="E266" s="10" t="str">
        <x:v>CAT003</x:v>
      </x:c>
      <x:c r="F266" s="10" t="str">
        <x:v>CTA004</x:v>
      </x:c>
      <x:c r="G266" s="10" t="str">
        <x:v>FAT-200265</x:v>
      </x:c>
      <x:c r="H266" s="10" t="str">
        <x:v>Prestação de serviços</x:v>
      </x:c>
      <x:c r="I266" s="16" t="n">
        <x:v>45350.03662126158</x:v>
      </x:c>
      <x:c r="J266" s="16" t="n">
        <x:v>45365.03662126158</x:v>
      </x:c>
      <x:c r="K266" s="16" t="n">
        <x:v>45366.03662126158</x:v>
      </x:c>
      <x:c r="L266" s="20" t="n">
        <x:v>65896.32</x:v>
      </x:c>
      <x:c r="M266" s="20" t="n">
        <x:v>52.72</x:v>
      </x:c>
      <x:c r="N266" s="20" t="n">
        <x:v>0</x:v>
      </x:c>
      <x:c r="O266" s="20" t="n">
        <x:v>65949.04</x:v>
      </x:c>
      <x:c r="P266" s="20" t="n">
        <x:v>0</x:v>
      </x:c>
      <x:c r="Q266" s="10" t="str">
        <x:v>Recebido</x:v>
      </x:c>
      <x:c r="R266" s="10" t="str">
        <x:v>Débito em Conta</x:v>
      </x:c>
      <x:c r="S266" s="10" t="str">
        <x:v>2024-02</x:v>
      </x:c>
      <x:c r="T266" s="10" t="n">
        <x:v>0</x:v>
      </x:c>
      <x:c r="U266" s="10" t="str">
        <x:v>Liquidado</x:v>
      </x:c>
      <x:c r="V266" s="10" t="str">
        <x:v>Baixo</x:v>
      </x:c>
      <x:c r="W266" s="10" t="str">
        <x:v>Serviços</x:v>
      </x:c>
      <x:c r="X266" s="10" t="str">
        <x:v>UND003</x:v>
      </x:c>
    </x:row>
    <x:row r="267" ht="18" customHeight="1">
      <x:c r="A267" s="10" t="str">
        <x:v>REC00266</x:v>
      </x:c>
      <x:c r="B267" s="10" t="str">
        <x:v>EMP003</x:v>
      </x:c>
      <x:c r="C267" s="10" t="str">
        <x:v>CLI033</x:v>
      </x:c>
      <x:c r="D267" s="10" t="str">
        <x:v>CC006</x:v>
      </x:c>
      <x:c r="E267" s="10" t="str">
        <x:v>CAT001</x:v>
      </x:c>
      <x:c r="F267" s="10" t="str">
        <x:v>CTA006</x:v>
      </x:c>
      <x:c r="G267" s="10" t="str">
        <x:v>FAT-200266</x:v>
      </x:c>
      <x:c r="H267" s="10" t="str">
        <x:v>Contrato mensal</x:v>
      </x:c>
      <x:c r="I267" s="16" t="n">
        <x:v>45357.546586400465</x:v>
      </x:c>
      <x:c r="J267" s="16" t="n">
        <x:v>45385.546586400465</x:v>
      </x:c>
      <x:c r="K267" s="16"/>
      <x:c r="L267" s="20" t="n">
        <x:v>33427.1</x:v>
      </x:c>
      <x:c r="M267" s="20" t="n">
        <x:v>0</x:v>
      </x:c>
      <x:c r="N267" s="20" t="n">
        <x:v>0</x:v>
      </x:c>
      <x:c r="O267" s="20" t="n">
        <x:v>0</x:v>
      </x:c>
      <x:c r="P267" s="20" t="n">
        <x:v>33427.1</x:v>
      </x:c>
      <x:c r="Q267" s="10" t="str">
        <x:v>Vencido</x:v>
      </x:c>
      <x:c r="R267" s="10" t="str">
        <x:v>PIX</x:v>
      </x:c>
      <x:c r="S267" s="10" t="str">
        <x:v>2024-03</x:v>
      </x:c>
      <x:c r="T267" s="10" t="n">
        <x:v>636</x:v>
      </x:c>
      <x:c r="U267" s="10" t="str">
        <x:v>&gt; 120 dias</x:v>
      </x:c>
      <x:c r="V267" s="10" t="str">
        <x:v>Médio</x:v>
      </x:c>
      <x:c r="W267" s="10" t="str">
        <x:v>Varejo</x:v>
      </x:c>
      <x:c r="X267" s="10" t="str">
        <x:v>UND004</x:v>
      </x:c>
    </x:row>
    <x:row r="268" ht="18" customHeight="1">
      <x:c r="A268" s="10" t="str">
        <x:v>REC00267</x:v>
      </x:c>
      <x:c r="B268" s="10" t="str">
        <x:v>EMP002</x:v>
      </x:c>
      <x:c r="C268" s="10" t="str">
        <x:v>CLI057</x:v>
      </x:c>
      <x:c r="D268" s="10" t="str">
        <x:v>CC002</x:v>
      </x:c>
      <x:c r="E268" s="10" t="str">
        <x:v>CAT003</x:v>
      </x:c>
      <x:c r="F268" s="10" t="str">
        <x:v>CTA003</x:v>
      </x:c>
      <x:c r="G268" s="10" t="str">
        <x:v>FAT-200267</x:v>
      </x:c>
      <x:c r="H268" s="10" t="str">
        <x:v>Prestação de serviços</x:v>
      </x:c>
      <x:c r="I268" s="16" t="n">
        <x:v>45750.90406069445</x:v>
      </x:c>
      <x:c r="J268" s="16" t="n">
        <x:v>45785.90406069445</x:v>
      </x:c>
      <x:c r="K268" s="16" t="n">
        <x:v>45789.90406069445</x:v>
      </x:c>
      <x:c r="L268" s="20" t="n">
        <x:v>21604.45</x:v>
      </x:c>
      <x:c r="M268" s="20" t="n">
        <x:v>69.13</x:v>
      </x:c>
      <x:c r="N268" s="20" t="n">
        <x:v>0</x:v>
      </x:c>
      <x:c r="O268" s="20" t="n">
        <x:v>21673.58</x:v>
      </x:c>
      <x:c r="P268" s="20" t="n">
        <x:v>0</x:v>
      </x:c>
      <x:c r="Q268" s="10" t="str">
        <x:v>Recebido</x:v>
      </x:c>
      <x:c r="R268" s="10" t="str">
        <x:v>Débito em Conta</x:v>
      </x:c>
      <x:c r="S268" s="10" t="str">
        <x:v>2025-04</x:v>
      </x:c>
      <x:c r="T268" s="10" t="n">
        <x:v>0</x:v>
      </x:c>
      <x:c r="U268" s="10" t="str">
        <x:v>Liquidado</x:v>
      </x:c>
      <x:c r="V268" s="10" t="str">
        <x:v>Alto</x:v>
      </x:c>
      <x:c r="W268" s="10" t="str">
        <x:v>Saúde</x:v>
      </x:c>
      <x:c r="X268" s="10" t="str">
        <x:v>UND003</x:v>
      </x:c>
    </x:row>
    <x:row r="269" ht="18" customHeight="1">
      <x:c r="A269" s="10" t="str">
        <x:v>REC00268</x:v>
      </x:c>
      <x:c r="B269" s="10" t="str">
        <x:v>EMP002</x:v>
      </x:c>
      <x:c r="C269" s="10" t="str">
        <x:v>CLI062</x:v>
      </x:c>
      <x:c r="D269" s="10" t="str">
        <x:v>CC001</x:v>
      </x:c>
      <x:c r="E269" s="10" t="str">
        <x:v>CAT002</x:v>
      </x:c>
      <x:c r="F269" s="10" t="str">
        <x:v>CTA003</x:v>
      </x:c>
      <x:c r="G269" s="10" t="str">
        <x:v>FAT-200268</x:v>
      </x:c>
      <x:c r="H269" s="10" t="str">
        <x:v>Contrato mensal</x:v>
      </x:c>
      <x:c r="I269" s="16" t="n">
        <x:v>45477.326892743054</x:v>
      </x:c>
      <x:c r="J269" s="16" t="n">
        <x:v>45522.326892743054</x:v>
      </x:c>
      <x:c r="K269" s="16" t="n">
        <x:v>45519.326892743054</x:v>
      </x:c>
      <x:c r="L269" s="20" t="n">
        <x:v>135543.38</x:v>
      </x:c>
      <x:c r="M269" s="20" t="n">
        <x:v>0</x:v>
      </x:c>
      <x:c r="N269" s="20" t="n">
        <x:v>0</x:v>
      </x:c>
      <x:c r="O269" s="20" t="n">
        <x:v>135543.38</x:v>
      </x:c>
      <x:c r="P269" s="20" t="n">
        <x:v>0</x:v>
      </x:c>
      <x:c r="Q269" s="10" t="str">
        <x:v>Recebido</x:v>
      </x:c>
      <x:c r="R269" s="10" t="str">
        <x:v>Débito em Conta</x:v>
      </x:c>
      <x:c r="S269" s="10" t="str">
        <x:v>2024-07</x:v>
      </x:c>
      <x:c r="T269" s="10" t="n">
        <x:v>0</x:v>
      </x:c>
      <x:c r="U269" s="10" t="str">
        <x:v>Liquidado</x:v>
      </x:c>
      <x:c r="V269" s="10" t="str">
        <x:v>Baixo</x:v>
      </x:c>
      <x:c r="W269" s="10" t="str">
        <x:v>Saúde</x:v>
      </x:c>
      <x:c r="X269" s="10" t="str">
        <x:v>UND003</x:v>
      </x:c>
    </x:row>
    <x:row r="270" ht="18" customHeight="1">
      <x:c r="A270" s="10" t="str">
        <x:v>REC00269</x:v>
      </x:c>
      <x:c r="B270" s="10" t="str">
        <x:v>EMP002</x:v>
      </x:c>
      <x:c r="C270" s="10" t="str">
        <x:v>CLI067</x:v>
      </x:c>
      <x:c r="D270" s="10" t="str">
        <x:v>CC002</x:v>
      </x:c>
      <x:c r="E270" s="10" t="str">
        <x:v>CAT004</x:v>
      </x:c>
      <x:c r="F270" s="10" t="str">
        <x:v>CTA003</x:v>
      </x:c>
      <x:c r="G270" s="10" t="str">
        <x:v>FAT-200269</x:v>
      </x:c>
      <x:c r="H270" s="10" t="str">
        <x:v>Frete faturado</x:v>
      </x:c>
      <x:c r="I270" s="16" t="n">
        <x:v>45759.48780981482</x:v>
      </x:c>
      <x:c r="J270" s="16" t="n">
        <x:v>45794.48780981482</x:v>
      </x:c>
      <x:c r="K270" s="16"/>
      <x:c r="L270" s="20" t="n">
        <x:v>38849.55</x:v>
      </x:c>
      <x:c r="M270" s="20" t="n">
        <x:v>0</x:v>
      </x:c>
      <x:c r="N270" s="20" t="n">
        <x:v>0</x:v>
      </x:c>
      <x:c r="O270" s="20" t="n">
        <x:v>0</x:v>
      </x:c>
      <x:c r="P270" s="20" t="n">
        <x:v>38849.55</x:v>
      </x:c>
      <x:c r="Q270" s="10" t="str">
        <x:v>Vencido</x:v>
      </x:c>
      <x:c r="R270" s="10" t="str">
        <x:v>Boleto</x:v>
      </x:c>
      <x:c r="S270" s="10" t="str">
        <x:v>2025-04</x:v>
      </x:c>
      <x:c r="T270" s="10" t="n">
        <x:v>227</x:v>
      </x:c>
      <x:c r="U270" s="10" t="str">
        <x:v>&gt; 120 dias</x:v>
      </x:c>
      <x:c r="V270" s="10" t="str">
        <x:v>Alto</x:v>
      </x:c>
      <x:c r="W270" s="10" t="str">
        <x:v>Varejo</x:v>
      </x:c>
      <x:c r="X270" s="10" t="str">
        <x:v>UND003</x:v>
      </x:c>
    </x:row>
    <x:row r="271" ht="18" customHeight="1">
      <x:c r="A271" s="10" t="str">
        <x:v>REC00270</x:v>
      </x:c>
      <x:c r="B271" s="10" t="str">
        <x:v>EMP001</x:v>
      </x:c>
      <x:c r="C271" s="10" t="str">
        <x:v>CLI054</x:v>
      </x:c>
      <x:c r="D271" s="10" t="str">
        <x:v>CC002</x:v>
      </x:c>
      <x:c r="E271" s="10" t="str">
        <x:v>CAT002</x:v>
      </x:c>
      <x:c r="F271" s="10" t="str">
        <x:v>CTA001</x:v>
      </x:c>
      <x:c r="G271" s="10" t="str">
        <x:v>FAT-200270</x:v>
      </x:c>
      <x:c r="H271" s="10" t="str">
        <x:v>Projeto especial</x:v>
      </x:c>
      <x:c r="I271" s="16" t="n">
        <x:v>45535.8686903125</x:v>
      </x:c>
      <x:c r="J271" s="16" t="n">
        <x:v>45580.8686903125</x:v>
      </x:c>
      <x:c r="K271" s="16" t="n">
        <x:v>45581.8686903125</x:v>
      </x:c>
      <x:c r="L271" s="20" t="n">
        <x:v>11835.65</x:v>
      </x:c>
      <x:c r="M271" s="20" t="n">
        <x:v>9.47</x:v>
      </x:c>
      <x:c r="N271" s="20" t="n">
        <x:v>0</x:v>
      </x:c>
      <x:c r="O271" s="20" t="n">
        <x:v>11845.12</x:v>
      </x:c>
      <x:c r="P271" s="20" t="n">
        <x:v>0</x:v>
      </x:c>
      <x:c r="Q271" s="10" t="str">
        <x:v>Recebido</x:v>
      </x:c>
      <x:c r="R271" s="10" t="str">
        <x:v>Débito em Conta</x:v>
      </x:c>
      <x:c r="S271" s="10" t="str">
        <x:v>2024-08</x:v>
      </x:c>
      <x:c r="T271" s="10" t="n">
        <x:v>0</x:v>
      </x:c>
      <x:c r="U271" s="10" t="str">
        <x:v>Liquidado</x:v>
      </x:c>
      <x:c r="V271" s="10" t="str">
        <x:v>Médio</x:v>
      </x:c>
      <x:c r="W271" s="10" t="str">
        <x:v>Indústria</x:v>
      </x:c>
      <x:c r="X271" s="10" t="str">
        <x:v>UND001</x:v>
      </x:c>
    </x:row>
    <x:row r="272" ht="18" customHeight="1">
      <x:c r="A272" s="10" t="str">
        <x:v>REC00271</x:v>
      </x:c>
      <x:c r="B272" s="10" t="str">
        <x:v>EMP001</x:v>
      </x:c>
      <x:c r="C272" s="10" t="str">
        <x:v>CLI058</x:v>
      </x:c>
      <x:c r="D272" s="10" t="str">
        <x:v>CC005</x:v>
      </x:c>
      <x:c r="E272" s="10" t="str">
        <x:v>CAT001</x:v>
      </x:c>
      <x:c r="F272" s="10" t="str">
        <x:v>CTA002</x:v>
      </x:c>
      <x:c r="G272" s="10" t="str">
        <x:v>FAT-200271</x:v>
      </x:c>
      <x:c r="H272" s="10" t="str">
        <x:v>Contrato mensal</x:v>
      </x:c>
      <x:c r="I272" s="16" t="n">
        <x:v>45707.378405613425</x:v>
      </x:c>
      <x:c r="J272" s="16" t="n">
        <x:v>45752.378405613425</x:v>
      </x:c>
      <x:c r="K272" s="16" t="n">
        <x:v>45759.378405613425</x:v>
      </x:c>
      <x:c r="L272" s="20" t="n">
        <x:v>39648.57</x:v>
      </x:c>
      <x:c r="M272" s="20" t="n">
        <x:v>222.03</x:v>
      </x:c>
      <x:c r="N272" s="20" t="n">
        <x:v>0</x:v>
      </x:c>
      <x:c r="O272" s="20" t="n">
        <x:v>39870.6</x:v>
      </x:c>
      <x:c r="P272" s="20" t="n">
        <x:v>0</x:v>
      </x:c>
      <x:c r="Q272" s="10" t="str">
        <x:v>Recebido</x:v>
      </x:c>
      <x:c r="R272" s="10" t="str">
        <x:v>PIX</x:v>
      </x:c>
      <x:c r="S272" s="10" t="str">
        <x:v>2025-02</x:v>
      </x:c>
      <x:c r="T272" s="10" t="n">
        <x:v>0</x:v>
      </x:c>
      <x:c r="U272" s="10" t="str">
        <x:v>Liquidado</x:v>
      </x:c>
      <x:c r="V272" s="10" t="str">
        <x:v>Baixo</x:v>
      </x:c>
      <x:c r="W272" s="10" t="str">
        <x:v>Atacado</x:v>
      </x:c>
      <x:c r="X272" s="10" t="str">
        <x:v>UND001</x:v>
      </x:c>
    </x:row>
    <x:row r="273" ht="18" customHeight="1">
      <x:c r="A273" s="10" t="str">
        <x:v>REC00272</x:v>
      </x:c>
      <x:c r="B273" s="10" t="str">
        <x:v>EMP001</x:v>
      </x:c>
      <x:c r="C273" s="10" t="str">
        <x:v>CLI024</x:v>
      </x:c>
      <x:c r="D273" s="10" t="str">
        <x:v>CC001</x:v>
      </x:c>
      <x:c r="E273" s="10" t="str">
        <x:v>CAT003</x:v>
      </x:c>
      <x:c r="F273" s="10" t="str">
        <x:v>CTA001</x:v>
      </x:c>
      <x:c r="G273" s="10" t="str">
        <x:v>FAT-200272</x:v>
      </x:c>
      <x:c r="H273" s="10" t="str">
        <x:v>Prestação de serviços</x:v>
      </x:c>
      <x:c r="I273" s="16" t="n">
        <x:v>45579.13235627315</x:v>
      </x:c>
      <x:c r="J273" s="16" t="n">
        <x:v>45607.13235627315</x:v>
      </x:c>
      <x:c r="K273" s="16" t="n">
        <x:v>45605.13235627315</x:v>
      </x:c>
      <x:c r="L273" s="20" t="n">
        <x:v>139897.78</x:v>
      </x:c>
      <x:c r="M273" s="20" t="n">
        <x:v>0</x:v>
      </x:c>
      <x:c r="N273" s="20" t="n">
        <x:v>0</x:v>
      </x:c>
      <x:c r="O273" s="20" t="n">
        <x:v>139897.78</x:v>
      </x:c>
      <x:c r="P273" s="20" t="n">
        <x:v>0</x:v>
      </x:c>
      <x:c r="Q273" s="10" t="str">
        <x:v>Recebido</x:v>
      </x:c>
      <x:c r="R273" s="10" t="str">
        <x:v>Débito em Conta</x:v>
      </x:c>
      <x:c r="S273" s="10" t="str">
        <x:v>2024-10</x:v>
      </x:c>
      <x:c r="T273" s="10" t="n">
        <x:v>0</x:v>
      </x:c>
      <x:c r="U273" s="10" t="str">
        <x:v>Liquidado</x:v>
      </x:c>
      <x:c r="V273" s="10" t="str">
        <x:v>Baixo</x:v>
      </x:c>
      <x:c r="W273" s="10" t="str">
        <x:v>Saúde</x:v>
      </x:c>
      <x:c r="X273" s="10" t="str">
        <x:v>UND001</x:v>
      </x:c>
    </x:row>
    <x:row r="274" ht="18" customHeight="1">
      <x:c r="A274" s="10" t="str">
        <x:v>REC00273</x:v>
      </x:c>
      <x:c r="B274" s="10" t="str">
        <x:v>EMP002</x:v>
      </x:c>
      <x:c r="C274" s="10" t="str">
        <x:v>CLI029</x:v>
      </x:c>
      <x:c r="D274" s="10" t="str">
        <x:v>CC006</x:v>
      </x:c>
      <x:c r="E274" s="10" t="str">
        <x:v>CAT004</x:v>
      </x:c>
      <x:c r="F274" s="10" t="str">
        <x:v>CTA003</x:v>
      </x:c>
      <x:c r="G274" s="10" t="str">
        <x:v>FAT-200273</x:v>
      </x:c>
      <x:c r="H274" s="10" t="str">
        <x:v>Frete faturado</x:v>
      </x:c>
      <x:c r="I274" s="16" t="n">
        <x:v>45955.32603780093</x:v>
      </x:c>
      <x:c r="J274" s="16" t="n">
        <x:v>45985.32603780093</x:v>
      </x:c>
      <x:c r="K274" s="16" t="n">
        <x:v>45982.32603780093</x:v>
      </x:c>
      <x:c r="L274" s="20" t="n">
        <x:v>66779.37</x:v>
      </x:c>
      <x:c r="M274" s="20" t="n">
        <x:v>0</x:v>
      </x:c>
      <x:c r="N274" s="20" t="n">
        <x:v>667.79</x:v>
      </x:c>
      <x:c r="O274" s="20" t="n">
        <x:v>66111.58</x:v>
      </x:c>
      <x:c r="P274" s="20" t="n">
        <x:v>0</x:v>
      </x:c>
      <x:c r="Q274" s="10" t="str">
        <x:v>Recebido</x:v>
      </x:c>
      <x:c r="R274" s="10" t="str">
        <x:v>Débito em Conta</x:v>
      </x:c>
      <x:c r="S274" s="10" t="str">
        <x:v>2025-10</x:v>
      </x:c>
      <x:c r="T274" s="10" t="n">
        <x:v>0</x:v>
      </x:c>
      <x:c r="U274" s="10" t="str">
        <x:v>Liquidado</x:v>
      </x:c>
      <x:c r="V274" s="10" t="str">
        <x:v>Baixo</x:v>
      </x:c>
      <x:c r="W274" s="10" t="str">
        <x:v>Tecnologia</x:v>
      </x:c>
      <x:c r="X274" s="10" t="str">
        <x:v>UND003</x:v>
      </x:c>
    </x:row>
    <x:row r="275" ht="18" customHeight="1">
      <x:c r="A275" s="10" t="str">
        <x:v>REC00274</x:v>
      </x:c>
      <x:c r="B275" s="10" t="str">
        <x:v>EMP002</x:v>
      </x:c>
      <x:c r="C275" s="10" t="str">
        <x:v>CLI028</x:v>
      </x:c>
      <x:c r="D275" s="10" t="str">
        <x:v>CC008</x:v>
      </x:c>
      <x:c r="E275" s="10" t="str">
        <x:v>CAT001</x:v>
      </x:c>
      <x:c r="F275" s="10" t="str">
        <x:v>CTA004</x:v>
      </x:c>
      <x:c r="G275" s="10" t="str">
        <x:v>FAT-200274</x:v>
      </x:c>
      <x:c r="H275" s="10" t="str">
        <x:v>Contrato mensal</x:v>
      </x:c>
      <x:c r="I275" s="16" t="n">
        <x:v>45710.870384594906</x:v>
      </x:c>
      <x:c r="J275" s="16" t="n">
        <x:v>45740.870384594906</x:v>
      </x:c>
      <x:c r="K275" s="16" t="n">
        <x:v>45742.870384594906</x:v>
      </x:c>
      <x:c r="L275" s="20" t="n">
        <x:v>39928.15</x:v>
      </x:c>
      <x:c r="M275" s="20" t="n">
        <x:v>63.89</x:v>
      </x:c>
      <x:c r="N275" s="20" t="n">
        <x:v>0</x:v>
      </x:c>
      <x:c r="O275" s="20" t="n">
        <x:v>39992.04</x:v>
      </x:c>
      <x:c r="P275" s="20" t="n">
        <x:v>0</x:v>
      </x:c>
      <x:c r="Q275" s="10" t="str">
        <x:v>Recebido</x:v>
      </x:c>
      <x:c r="R275" s="10" t="str">
        <x:v>Boleto</x:v>
      </x:c>
      <x:c r="S275" s="10" t="str">
        <x:v>2025-02</x:v>
      </x:c>
      <x:c r="T275" s="10" t="n">
        <x:v>0</x:v>
      </x:c>
      <x:c r="U275" s="10" t="str">
        <x:v>Liquidado</x:v>
      </x:c>
      <x:c r="V275" s="10" t="str">
        <x:v>Baixo</x:v>
      </x:c>
      <x:c r="W275" s="10" t="str">
        <x:v>Serviços</x:v>
      </x:c>
      <x:c r="X275" s="10" t="str">
        <x:v>UND003</x:v>
      </x:c>
    </x:row>
    <x:row r="276" ht="18" customHeight="1">
      <x:c r="A276" s="10" t="str">
        <x:v>REC00275</x:v>
      </x:c>
      <x:c r="B276" s="10" t="str">
        <x:v>EMP002</x:v>
      </x:c>
      <x:c r="C276" s="10" t="str">
        <x:v>CLI005</x:v>
      </x:c>
      <x:c r="D276" s="10" t="str">
        <x:v>CC007</x:v>
      </x:c>
      <x:c r="E276" s="10" t="str">
        <x:v>CAT003</x:v>
      </x:c>
      <x:c r="F276" s="10" t="str">
        <x:v>CTA004</x:v>
      </x:c>
      <x:c r="G276" s="10" t="str">
        <x:v>FAT-200275</x:v>
      </x:c>
      <x:c r="H276" s="10" t="str">
        <x:v>Projeto especial</x:v>
      </x:c>
      <x:c r="I276" s="16" t="n">
        <x:v>45700.99577075231</x:v>
      </x:c>
      <x:c r="J276" s="16" t="n">
        <x:v>45715.99577075231</x:v>
      </x:c>
      <x:c r="K276" s="16"/>
      <x:c r="L276" s="20" t="n">
        <x:v>69148.57</x:v>
      </x:c>
      <x:c r="M276" s="20" t="n">
        <x:v>0</x:v>
      </x:c>
      <x:c r="N276" s="20" t="n">
        <x:v>0</x:v>
      </x:c>
      <x:c r="O276" s="20" t="n">
        <x:v>0</x:v>
      </x:c>
      <x:c r="P276" s="20" t="n">
        <x:v>69148.57</x:v>
      </x:c>
      <x:c r="Q276" s="10" t="str">
        <x:v>Vencido</x:v>
      </x:c>
      <x:c r="R276" s="10" t="str">
        <x:v>Boleto</x:v>
      </x:c>
      <x:c r="S276" s="10" t="str">
        <x:v>2025-02</x:v>
      </x:c>
      <x:c r="T276" s="10" t="n">
        <x:v>306</x:v>
      </x:c>
      <x:c r="U276" s="10" t="str">
        <x:v>&gt; 120 dias</x:v>
      </x:c>
      <x:c r="V276" s="10" t="str">
        <x:v>Baixo</x:v>
      </x:c>
      <x:c r="W276" s="10" t="str">
        <x:v>Atacado</x:v>
      </x:c>
      <x:c r="X276" s="10" t="str">
        <x:v>UND003</x:v>
      </x:c>
    </x:row>
    <x:row r="277" ht="18" customHeight="1">
      <x:c r="A277" s="10" t="str">
        <x:v>REC00276</x:v>
      </x:c>
      <x:c r="B277" s="10" t="str">
        <x:v>EMP003</x:v>
      </x:c>
      <x:c r="C277" s="10" t="str">
        <x:v>CLI039</x:v>
      </x:c>
      <x:c r="D277" s="10" t="str">
        <x:v>CC001</x:v>
      </x:c>
      <x:c r="E277" s="10" t="str">
        <x:v>CAT004</x:v>
      </x:c>
      <x:c r="F277" s="10" t="str">
        <x:v>CTA006</x:v>
      </x:c>
      <x:c r="G277" s="10" t="str">
        <x:v>FAT-200276</x:v>
      </x:c>
      <x:c r="H277" s="10" t="str">
        <x:v>Prestação de serviços</x:v>
      </x:c>
      <x:c r="I277" s="16" t="n">
        <x:v>45388.839180358795</x:v>
      </x:c>
      <x:c r="J277" s="16" t="n">
        <x:v>45423.839180358795</x:v>
      </x:c>
      <x:c r="K277" s="16" t="n">
        <x:v>45443.839180358795</x:v>
      </x:c>
      <x:c r="L277" s="20" t="n">
        <x:v>5566.7</x:v>
      </x:c>
      <x:c r="M277" s="20" t="n">
        <x:v>89.07</x:v>
      </x:c>
      <x:c r="N277" s="20" t="n">
        <x:v>0</x:v>
      </x:c>
      <x:c r="O277" s="20" t="n">
        <x:v>5655.77</x:v>
      </x:c>
      <x:c r="P277" s="20" t="n">
        <x:v>0</x:v>
      </x:c>
      <x:c r="Q277" s="10" t="str">
        <x:v>Recebido</x:v>
      </x:c>
      <x:c r="R277" s="10" t="str">
        <x:v>TED</x:v>
      </x:c>
      <x:c r="S277" s="10" t="str">
        <x:v>2024-04</x:v>
      </x:c>
      <x:c r="T277" s="10" t="n">
        <x:v>0</x:v>
      </x:c>
      <x:c r="U277" s="10" t="str">
        <x:v>Liquidado</x:v>
      </x:c>
      <x:c r="V277" s="10" t="str">
        <x:v>Alto</x:v>
      </x:c>
      <x:c r="W277" s="10" t="str">
        <x:v>Saúde</x:v>
      </x:c>
      <x:c r="X277" s="10" t="str">
        <x:v>UND004</x:v>
      </x:c>
    </x:row>
    <x:row r="278" ht="18" customHeight="1">
      <x:c r="A278" s="10" t="str">
        <x:v>REC00277</x:v>
      </x:c>
      <x:c r="B278" s="10" t="str">
        <x:v>EMP003</x:v>
      </x:c>
      <x:c r="C278" s="10" t="str">
        <x:v>CLI004</x:v>
      </x:c>
      <x:c r="D278" s="10" t="str">
        <x:v>CC001</x:v>
      </x:c>
      <x:c r="E278" s="10" t="str">
        <x:v>CAT001</x:v>
      </x:c>
      <x:c r="F278" s="10" t="str">
        <x:v>CTA006</x:v>
      </x:c>
      <x:c r="G278" s="10" t="str">
        <x:v>FAT-200277</x:v>
      </x:c>
      <x:c r="H278" s="10" t="str">
        <x:v>Venda de produtos</x:v>
      </x:c>
      <x:c r="I278" s="16" t="n">
        <x:v>45496.477266145834</x:v>
      </x:c>
      <x:c r="J278" s="16" t="n">
        <x:v>45517.477266145834</x:v>
      </x:c>
      <x:c r="K278" s="16" t="n">
        <x:v>45538.477266145834</x:v>
      </x:c>
      <x:c r="L278" s="20" t="n">
        <x:v>120662.46</x:v>
      </x:c>
      <x:c r="M278" s="20" t="n">
        <x:v>2027.13</x:v>
      </x:c>
      <x:c r="N278" s="20" t="n">
        <x:v>0</x:v>
      </x:c>
      <x:c r="O278" s="20" t="n">
        <x:v>122689.59</x:v>
      </x:c>
      <x:c r="P278" s="20" t="n">
        <x:v>0</x:v>
      </x:c>
      <x:c r="Q278" s="10" t="str">
        <x:v>Recebido</x:v>
      </x:c>
      <x:c r="R278" s="10" t="str">
        <x:v>TED</x:v>
      </x:c>
      <x:c r="S278" s="10" t="str">
        <x:v>2024-07</x:v>
      </x:c>
      <x:c r="T278" s="10" t="n">
        <x:v>0</x:v>
      </x:c>
      <x:c r="U278" s="10" t="str">
        <x:v>Liquidado</x:v>
      </x:c>
      <x:c r="V278" s="10" t="str">
        <x:v>Alto</x:v>
      </x:c>
      <x:c r="W278" s="10" t="str">
        <x:v>Varejo</x:v>
      </x:c>
      <x:c r="X278" s="10" t="str">
        <x:v>UND004</x:v>
      </x:c>
    </x:row>
    <x:row r="279" ht="18" customHeight="1">
      <x:c r="A279" s="10" t="str">
        <x:v>REC00278</x:v>
      </x:c>
      <x:c r="B279" s="10" t="str">
        <x:v>EMP003</x:v>
      </x:c>
      <x:c r="C279" s="10" t="str">
        <x:v>CLI055</x:v>
      </x:c>
      <x:c r="D279" s="10" t="str">
        <x:v>CC004</x:v>
      </x:c>
      <x:c r="E279" s="10" t="str">
        <x:v>CAT003</x:v>
      </x:c>
      <x:c r="F279" s="10" t="str">
        <x:v>CTA006</x:v>
      </x:c>
      <x:c r="G279" s="10" t="str">
        <x:v>FAT-200278</x:v>
      </x:c>
      <x:c r="H279" s="10" t="str">
        <x:v>Projeto especial</x:v>
      </x:c>
      <x:c r="I279" s="16" t="n">
        <x:v>45604.373387141204</x:v>
      </x:c>
      <x:c r="J279" s="16" t="n">
        <x:v>45639.373387141204</x:v>
      </x:c>
      <x:c r="K279" s="16" t="n">
        <x:v>45639.373387141204</x:v>
      </x:c>
      <x:c r="L279" s="20" t="n">
        <x:v>75697.09</x:v>
      </x:c>
      <x:c r="M279" s="20" t="n">
        <x:v>0</x:v>
      </x:c>
      <x:c r="N279" s="20" t="n">
        <x:v>0</x:v>
      </x:c>
      <x:c r="O279" s="20" t="n">
        <x:v>75697.09</x:v>
      </x:c>
      <x:c r="P279" s="20" t="n">
        <x:v>0</x:v>
      </x:c>
      <x:c r="Q279" s="10" t="str">
        <x:v>Recebido</x:v>
      </x:c>
      <x:c r="R279" s="10" t="str">
        <x:v>Boleto</x:v>
      </x:c>
      <x:c r="S279" s="10" t="str">
        <x:v>2024-11</x:v>
      </x:c>
      <x:c r="T279" s="10" t="n">
        <x:v>0</x:v>
      </x:c>
      <x:c r="U279" s="10" t="str">
        <x:v>Liquidado</x:v>
      </x:c>
      <x:c r="V279" s="10" t="str">
        <x:v>Baixo</x:v>
      </x:c>
      <x:c r="W279" s="10" t="str">
        <x:v>Serviços</x:v>
      </x:c>
      <x:c r="X279" s="10" t="str">
        <x:v>UND004</x:v>
      </x:c>
    </x:row>
    <x:row r="280" ht="18" customHeight="1">
      <x:c r="A280" s="10" t="str">
        <x:v>REC00279</x:v>
      </x:c>
      <x:c r="B280" s="10" t="str">
        <x:v>EMP002</x:v>
      </x:c>
      <x:c r="C280" s="10" t="str">
        <x:v>CLI057</x:v>
      </x:c>
      <x:c r="D280" s="10" t="str">
        <x:v>CC001</x:v>
      </x:c>
      <x:c r="E280" s="10" t="str">
        <x:v>CAT001</x:v>
      </x:c>
      <x:c r="F280" s="10" t="str">
        <x:v>CTA003</x:v>
      </x:c>
      <x:c r="G280" s="10" t="str">
        <x:v>FAT-200279</x:v>
      </x:c>
      <x:c r="H280" s="10" t="str">
        <x:v>Prestação de serviços</x:v>
      </x:c>
      <x:c r="I280" s="16" t="n">
        <x:v>45762.08757443287</x:v>
      </x:c>
      <x:c r="J280" s="16" t="n">
        <x:v>45822.08757443287</x:v>
      </x:c>
      <x:c r="K280" s="16" t="n">
        <x:v>45819.08757443287</x:v>
      </x:c>
      <x:c r="L280" s="20" t="n">
        <x:v>90317.41</x:v>
      </x:c>
      <x:c r="M280" s="20" t="n">
        <x:v>0</x:v>
      </x:c>
      <x:c r="N280" s="20" t="n">
        <x:v>0</x:v>
      </x:c>
      <x:c r="O280" s="20" t="n">
        <x:v>90317.41</x:v>
      </x:c>
      <x:c r="P280" s="20" t="n">
        <x:v>0</x:v>
      </x:c>
      <x:c r="Q280" s="10" t="str">
        <x:v>Recebido</x:v>
      </x:c>
      <x:c r="R280" s="10" t="str">
        <x:v>Débito em Conta</x:v>
      </x:c>
      <x:c r="S280" s="10" t="str">
        <x:v>2025-04</x:v>
      </x:c>
      <x:c r="T280" s="10" t="n">
        <x:v>0</x:v>
      </x:c>
      <x:c r="U280" s="10" t="str">
        <x:v>Liquidado</x:v>
      </x:c>
      <x:c r="V280" s="10" t="str">
        <x:v>Alto</x:v>
      </x:c>
      <x:c r="W280" s="10" t="str">
        <x:v>Saúde</x:v>
      </x:c>
      <x:c r="X280" s="10" t="str">
        <x:v>UND003</x:v>
      </x:c>
    </x:row>
    <x:row r="281" ht="18" customHeight="1">
      <x:c r="A281" s="10" t="str">
        <x:v>REC00280</x:v>
      </x:c>
      <x:c r="B281" s="10" t="str">
        <x:v>EMP001</x:v>
      </x:c>
      <x:c r="C281" s="10" t="str">
        <x:v>CLI034</x:v>
      </x:c>
      <x:c r="D281" s="10" t="str">
        <x:v>CC004</x:v>
      </x:c>
      <x:c r="E281" s="10" t="str">
        <x:v>CAT003</x:v>
      </x:c>
      <x:c r="F281" s="10" t="str">
        <x:v>CTA001</x:v>
      </x:c>
      <x:c r="G281" s="10" t="str">
        <x:v>FAT-200280</x:v>
      </x:c>
      <x:c r="H281" s="10" t="str">
        <x:v>Contrato mensal</x:v>
      </x:c>
      <x:c r="I281" s="16" t="n">
        <x:v>45356.862950497685</x:v>
      </x:c>
      <x:c r="J281" s="16" t="n">
        <x:v>45371.862950497685</x:v>
      </x:c>
      <x:c r="K281" s="16"/>
      <x:c r="L281" s="20" t="n">
        <x:v>862.92</x:v>
      </x:c>
      <x:c r="M281" s="20" t="n">
        <x:v>0</x:v>
      </x:c>
      <x:c r="N281" s="20" t="n">
        <x:v>0</x:v>
      </x:c>
      <x:c r="O281" s="20" t="n">
        <x:v>0</x:v>
      </x:c>
      <x:c r="P281" s="20" t="n">
        <x:v>862.92</x:v>
      </x:c>
      <x:c r="Q281" s="10" t="str">
        <x:v>Vencido</x:v>
      </x:c>
      <x:c r="R281" s="10" t="str">
        <x:v>Boleto</x:v>
      </x:c>
      <x:c r="S281" s="10" t="str">
        <x:v>2024-03</x:v>
      </x:c>
      <x:c r="T281" s="10" t="n">
        <x:v>650</x:v>
      </x:c>
      <x:c r="U281" s="10" t="str">
        <x:v>&gt; 120 dias</x:v>
      </x:c>
      <x:c r="V281" s="10" t="str">
        <x:v>Médio</x:v>
      </x:c>
      <x:c r="W281" s="10" t="str">
        <x:v>Indústria</x:v>
      </x:c>
      <x:c r="X281" s="10" t="str">
        <x:v>UND002</x:v>
      </x:c>
    </x:row>
    <x:row r="282" ht="18" customHeight="1">
      <x:c r="A282" s="10" t="str">
        <x:v>REC00281</x:v>
      </x:c>
      <x:c r="B282" s="10" t="str">
        <x:v>EMP001</x:v>
      </x:c>
      <x:c r="C282" s="10" t="str">
        <x:v>CLI073</x:v>
      </x:c>
      <x:c r="D282" s="10" t="str">
        <x:v>CC006</x:v>
      </x:c>
      <x:c r="E282" s="10" t="str">
        <x:v>CAT003</x:v>
      </x:c>
      <x:c r="F282" s="10" t="str">
        <x:v>CTA001</x:v>
      </x:c>
      <x:c r="G282" s="10" t="str">
        <x:v>FAT-200281</x:v>
      </x:c>
      <x:c r="H282" s="10" t="str">
        <x:v>Frete faturado</x:v>
      </x:c>
      <x:c r="I282" s="16" t="n">
        <x:v>45366.42149114583</x:v>
      </x:c>
      <x:c r="J282" s="16" t="n">
        <x:v>45396.42149114583</x:v>
      </x:c>
      <x:c r="K282" s="16" t="n">
        <x:v>45415.42149114583</x:v>
      </x:c>
      <x:c r="L282" s="20" t="n">
        <x:v>6580.56</x:v>
      </x:c>
      <x:c r="M282" s="20" t="n">
        <x:v>100.02</x:v>
      </x:c>
      <x:c r="N282" s="20" t="n">
        <x:v>0</x:v>
      </x:c>
      <x:c r="O282" s="20" t="n">
        <x:v>6680.58</x:v>
      </x:c>
      <x:c r="P282" s="20" t="n">
        <x:v>0</x:v>
      </x:c>
      <x:c r="Q282" s="10" t="str">
        <x:v>Recebido</x:v>
      </x:c>
      <x:c r="R282" s="10" t="str">
        <x:v>PIX</x:v>
      </x:c>
      <x:c r="S282" s="10" t="str">
        <x:v>2024-03</x:v>
      </x:c>
      <x:c r="T282" s="10" t="n">
        <x:v>0</x:v>
      </x:c>
      <x:c r="U282" s="10" t="str">
        <x:v>Liquidado</x:v>
      </x:c>
      <x:c r="V282" s="10" t="str">
        <x:v>Alto</x:v>
      </x:c>
      <x:c r="W282" s="10" t="str">
        <x:v>Tecnologia</x:v>
      </x:c>
      <x:c r="X282" s="10" t="str">
        <x:v>UND002</x:v>
      </x:c>
    </x:row>
    <x:row r="283" ht="18" customHeight="1">
      <x:c r="A283" s="10" t="str">
        <x:v>REC00282</x:v>
      </x:c>
      <x:c r="B283" s="10" t="str">
        <x:v>EMP001</x:v>
      </x:c>
      <x:c r="C283" s="10" t="str">
        <x:v>CLI033</x:v>
      </x:c>
      <x:c r="D283" s="10" t="str">
        <x:v>CC008</x:v>
      </x:c>
      <x:c r="E283" s="10" t="str">
        <x:v>CAT002</x:v>
      </x:c>
      <x:c r="F283" s="10" t="str">
        <x:v>CTA001</x:v>
      </x:c>
      <x:c r="G283" s="10" t="str">
        <x:v>FAT-200282</x:v>
      </x:c>
      <x:c r="H283" s="10" t="str">
        <x:v>Prestação de serviços</x:v>
      </x:c>
      <x:c r="I283" s="16" t="n">
        <x:v>45936.96945243055</x:v>
      </x:c>
      <x:c r="J283" s="16" t="n">
        <x:v>45996.96945243055</x:v>
      </x:c>
      <x:c r="K283" s="16" t="n">
        <x:v>46010.96945243055</x:v>
      </x:c>
      <x:c r="L283" s="20" t="n">
        <x:v>56109.66</x:v>
      </x:c>
      <x:c r="M283" s="20" t="n">
        <x:v>628.43</x:v>
      </x:c>
      <x:c r="N283" s="20" t="n">
        <x:v>0</x:v>
      </x:c>
      <x:c r="O283" s="20" t="n">
        <x:v>56738.09</x:v>
      </x:c>
      <x:c r="P283" s="20" t="n">
        <x:v>0</x:v>
      </x:c>
      <x:c r="Q283" s="10" t="str">
        <x:v>Recebido</x:v>
      </x:c>
      <x:c r="R283" s="10" t="str">
        <x:v>TED</x:v>
      </x:c>
      <x:c r="S283" s="10" t="str">
        <x:v>2025-10</x:v>
      </x:c>
      <x:c r="T283" s="10" t="n">
        <x:v>0</x:v>
      </x:c>
      <x:c r="U283" s="10" t="str">
        <x:v>Liquidado</x:v>
      </x:c>
      <x:c r="V283" s="10" t="str">
        <x:v>Médio</x:v>
      </x:c>
      <x:c r="W283" s="10" t="str">
        <x:v>Varejo</x:v>
      </x:c>
      <x:c r="X283" s="10" t="str">
        <x:v>UND002</x:v>
      </x:c>
    </x:row>
    <x:row r="284" ht="18" customHeight="1">
      <x:c r="A284" s="10" t="str">
        <x:v>REC00283</x:v>
      </x:c>
      <x:c r="B284" s="10" t="str">
        <x:v>EMP003</x:v>
      </x:c>
      <x:c r="C284" s="10" t="str">
        <x:v>CLI033</x:v>
      </x:c>
      <x:c r="D284" s="10" t="str">
        <x:v>CC007</x:v>
      </x:c>
      <x:c r="E284" s="10" t="str">
        <x:v>CAT004</x:v>
      </x:c>
      <x:c r="F284" s="10" t="str">
        <x:v>CTA006</x:v>
      </x:c>
      <x:c r="G284" s="10" t="str">
        <x:v>FAT-200283</x:v>
      </x:c>
      <x:c r="H284" s="10" t="str">
        <x:v>Frete faturado</x:v>
      </x:c>
      <x:c r="I284" s="16" t="n">
        <x:v>45314.45617253472</x:v>
      </x:c>
      <x:c r="J284" s="16" t="n">
        <x:v>45374.45617253472</x:v>
      </x:c>
      <x:c r="K284" s="16" t="n">
        <x:v>45384.45617253472</x:v>
      </x:c>
      <x:c r="L284" s="20" t="n">
        <x:v>108095.55</x:v>
      </x:c>
      <x:c r="M284" s="20" t="n">
        <x:v>864.76</x:v>
      </x:c>
      <x:c r="N284" s="20" t="n">
        <x:v>0</x:v>
      </x:c>
      <x:c r="O284" s="20" t="n">
        <x:v>108960.31</x:v>
      </x:c>
      <x:c r="P284" s="20" t="n">
        <x:v>0</x:v>
      </x:c>
      <x:c r="Q284" s="10" t="str">
        <x:v>Recebido</x:v>
      </x:c>
      <x:c r="R284" s="10" t="str">
        <x:v>Cartão</x:v>
      </x:c>
      <x:c r="S284" s="10" t="str">
        <x:v>2024-01</x:v>
      </x:c>
      <x:c r="T284" s="10" t="n">
        <x:v>0</x:v>
      </x:c>
      <x:c r="U284" s="10" t="str">
        <x:v>Liquidado</x:v>
      </x:c>
      <x:c r="V284" s="10" t="str">
        <x:v>Médio</x:v>
      </x:c>
      <x:c r="W284" s="10" t="str">
        <x:v>Varejo</x:v>
      </x:c>
      <x:c r="X284" s="10" t="str">
        <x:v>UND004</x:v>
      </x:c>
    </x:row>
    <x:row r="285" ht="18" customHeight="1">
      <x:c r="A285" s="10" t="str">
        <x:v>REC00284</x:v>
      </x:c>
      <x:c r="B285" s="10" t="str">
        <x:v>EMP003</x:v>
      </x:c>
      <x:c r="C285" s="10" t="str">
        <x:v>CLI038</x:v>
      </x:c>
      <x:c r="D285" s="10" t="str">
        <x:v>CC004</x:v>
      </x:c>
      <x:c r="E285" s="10" t="str">
        <x:v>CAT003</x:v>
      </x:c>
      <x:c r="F285" s="10" t="str">
        <x:v>CTA006</x:v>
      </x:c>
      <x:c r="G285" s="10" t="str">
        <x:v>FAT-200284</x:v>
      </x:c>
      <x:c r="H285" s="10" t="str">
        <x:v>Venda de produtos</x:v>
      </x:c>
      <x:c r="I285" s="16" t="n">
        <x:v>45998.17758603009</x:v>
      </x:c>
      <x:c r="J285" s="16" t="n">
        <x:v>46026.17758603009</x:v>
      </x:c>
      <x:c r="K285" s="16"/>
      <x:c r="L285" s="20" t="n">
        <x:v>4005.32</x:v>
      </x:c>
      <x:c r="M285" s="20" t="n">
        <x:v>0</x:v>
      </x:c>
      <x:c r="N285" s="20" t="n">
        <x:v>0</x:v>
      </x:c>
      <x:c r="O285" s="20" t="n">
        <x:v>0</x:v>
      </x:c>
      <x:c r="P285" s="20" t="n">
        <x:v>4005.32</x:v>
      </x:c>
      <x:c r="Q285" s="10" t="str">
        <x:v>A vencer</x:v>
      </x:c>
      <x:c r="R285" s="10" t="str">
        <x:v>Boleto</x:v>
      </x:c>
      <x:c r="S285" s="10" t="str">
        <x:v>2025-12</x:v>
      </x:c>
      <x:c r="T285" s="10" t="n">
        <x:v>0</x:v>
      </x:c>
      <x:c r="U285" s="10" t="str">
        <x:v>A vencer</x:v>
      </x:c>
      <x:c r="V285" s="10" t="str">
        <x:v>Baixo</x:v>
      </x:c>
      <x:c r="W285" s="10" t="str">
        <x:v>Varejo</x:v>
      </x:c>
      <x:c r="X285" s="10" t="str">
        <x:v>UND004</x:v>
      </x:c>
    </x:row>
    <x:row r="286" ht="18" customHeight="1">
      <x:c r="A286" s="10" t="str">
        <x:v>REC00285</x:v>
      </x:c>
      <x:c r="B286" s="10" t="str">
        <x:v>EMP001</x:v>
      </x:c>
      <x:c r="C286" s="10" t="str">
        <x:v>CLI067</x:v>
      </x:c>
      <x:c r="D286" s="10" t="str">
        <x:v>CC005</x:v>
      </x:c>
      <x:c r="E286" s="10" t="str">
        <x:v>CAT004</x:v>
      </x:c>
      <x:c r="F286" s="10" t="str">
        <x:v>CTA001</x:v>
      </x:c>
      <x:c r="G286" s="10" t="str">
        <x:v>FAT-200285</x:v>
      </x:c>
      <x:c r="H286" s="10" t="str">
        <x:v>Venda de produtos</x:v>
      </x:c>
      <x:c r="I286" s="16" t="n">
        <x:v>45787.36332079861</x:v>
      </x:c>
      <x:c r="J286" s="16" t="n">
        <x:v>45815.36332079861</x:v>
      </x:c>
      <x:c r="K286" s="16" t="n">
        <x:v>45836.36332079861</x:v>
      </x:c>
      <x:c r="L286" s="20" t="n">
        <x:v>5374.42</x:v>
      </x:c>
      <x:c r="M286" s="20" t="n">
        <x:v>90.29</x:v>
      </x:c>
      <x:c r="N286" s="20" t="n">
        <x:v>0</x:v>
      </x:c>
      <x:c r="O286" s="20" t="n">
        <x:v>5464.71</x:v>
      </x:c>
      <x:c r="P286" s="20" t="n">
        <x:v>0</x:v>
      </x:c>
      <x:c r="Q286" s="10" t="str">
        <x:v>Recebido</x:v>
      </x:c>
      <x:c r="R286" s="10" t="str">
        <x:v>Boleto</x:v>
      </x:c>
      <x:c r="S286" s="10" t="str">
        <x:v>2025-05</x:v>
      </x:c>
      <x:c r="T286" s="10" t="n">
        <x:v>0</x:v>
      </x:c>
      <x:c r="U286" s="10" t="str">
        <x:v>Liquidado</x:v>
      </x:c>
      <x:c r="V286" s="10" t="str">
        <x:v>Alto</x:v>
      </x:c>
      <x:c r="W286" s="10" t="str">
        <x:v>Varejo</x:v>
      </x:c>
      <x:c r="X286" s="10" t="str">
        <x:v>UND002</x:v>
      </x:c>
    </x:row>
    <x:row r="287" ht="18" customHeight="1">
      <x:c r="A287" s="10" t="str">
        <x:v>REC00286</x:v>
      </x:c>
      <x:c r="B287" s="10" t="str">
        <x:v>EMP003</x:v>
      </x:c>
      <x:c r="C287" s="10" t="str">
        <x:v>CLI058</x:v>
      </x:c>
      <x:c r="D287" s="10" t="str">
        <x:v>CC004</x:v>
      </x:c>
      <x:c r="E287" s="10" t="str">
        <x:v>CAT002</x:v>
      </x:c>
      <x:c r="F287" s="10" t="str">
        <x:v>CTA006</x:v>
      </x:c>
      <x:c r="G287" s="10" t="str">
        <x:v>FAT-200286</x:v>
      </x:c>
      <x:c r="H287" s="10" t="str">
        <x:v>Prestação de serviços</x:v>
      </x:c>
      <x:c r="I287" s="16" t="n">
        <x:v>45827.88052659722</x:v>
      </x:c>
      <x:c r="J287" s="16" t="n">
        <x:v>45872.88052659722</x:v>
      </x:c>
      <x:c r="K287" s="16" t="n">
        <x:v>45876.88052659722</x:v>
      </x:c>
      <x:c r="L287" s="20" t="n">
        <x:v>37635.14</x:v>
      </x:c>
      <x:c r="M287" s="20" t="n">
        <x:v>120.43</x:v>
      </x:c>
      <x:c r="N287" s="20" t="n">
        <x:v>0</x:v>
      </x:c>
      <x:c r="O287" s="20" t="n">
        <x:v>37755.57</x:v>
      </x:c>
      <x:c r="P287" s="20" t="n">
        <x:v>0</x:v>
      </x:c>
      <x:c r="Q287" s="10" t="str">
        <x:v>Recebido</x:v>
      </x:c>
      <x:c r="R287" s="10" t="str">
        <x:v>Boleto</x:v>
      </x:c>
      <x:c r="S287" s="10" t="str">
        <x:v>2025-06</x:v>
      </x:c>
      <x:c r="T287" s="10" t="n">
        <x:v>0</x:v>
      </x:c>
      <x:c r="U287" s="10" t="str">
        <x:v>Liquidado</x:v>
      </x:c>
      <x:c r="V287" s="10" t="str">
        <x:v>Baixo</x:v>
      </x:c>
      <x:c r="W287" s="10" t="str">
        <x:v>Atacado</x:v>
      </x:c>
      <x:c r="X287" s="10" t="str">
        <x:v>UND004</x:v>
      </x:c>
    </x:row>
    <x:row r="288" ht="18" customHeight="1">
      <x:c r="A288" s="10" t="str">
        <x:v>REC00287</x:v>
      </x:c>
      <x:c r="B288" s="10" t="str">
        <x:v>EMP003</x:v>
      </x:c>
      <x:c r="C288" s="10" t="str">
        <x:v>CLI027</x:v>
      </x:c>
      <x:c r="D288" s="10" t="str">
        <x:v>CC005</x:v>
      </x:c>
      <x:c r="E288" s="10" t="str">
        <x:v>CAT001</x:v>
      </x:c>
      <x:c r="F288" s="10" t="str">
        <x:v>CTA006</x:v>
      </x:c>
      <x:c r="G288" s="10" t="str">
        <x:v>FAT-200287</x:v>
      </x:c>
      <x:c r="H288" s="10" t="str">
        <x:v>Contrato mensal</x:v>
      </x:c>
      <x:c r="I288" s="16" t="n">
        <x:v>45486.91216966435</x:v>
      </x:c>
      <x:c r="J288" s="16" t="n">
        <x:v>45531.91216966435</x:v>
      </x:c>
      <x:c r="K288" s="16" t="n">
        <x:v>45545.91216966435</x:v>
      </x:c>
      <x:c r="L288" s="20" t="n">
        <x:v>8550.43</x:v>
      </x:c>
      <x:c r="M288" s="20" t="n">
        <x:v>95.76</x:v>
      </x:c>
      <x:c r="N288" s="20" t="n">
        <x:v>0</x:v>
      </x:c>
      <x:c r="O288" s="20" t="n">
        <x:v>8646.19</x:v>
      </x:c>
      <x:c r="P288" s="20" t="n">
        <x:v>0</x:v>
      </x:c>
      <x:c r="Q288" s="10" t="str">
        <x:v>Recebido</x:v>
      </x:c>
      <x:c r="R288" s="10" t="str">
        <x:v>Débito em Conta</x:v>
      </x:c>
      <x:c r="S288" s="10" t="str">
        <x:v>2024-07</x:v>
      </x:c>
      <x:c r="T288" s="10" t="n">
        <x:v>0</x:v>
      </x:c>
      <x:c r="U288" s="10" t="str">
        <x:v>Liquidado</x:v>
      </x:c>
      <x:c r="V288" s="10" t="str">
        <x:v>Alto</x:v>
      </x:c>
      <x:c r="W288" s="10" t="str">
        <x:v>Serviços</x:v>
      </x:c>
      <x:c r="X288" s="10" t="str">
        <x:v>UND004</x:v>
      </x:c>
    </x:row>
    <x:row r="289" ht="18" customHeight="1">
      <x:c r="A289" s="10" t="str">
        <x:v>REC00288</x:v>
      </x:c>
      <x:c r="B289" s="10" t="str">
        <x:v>EMP002</x:v>
      </x:c>
      <x:c r="C289" s="10" t="str">
        <x:v>CLI021</x:v>
      </x:c>
      <x:c r="D289" s="10" t="str">
        <x:v>CC008</x:v>
      </x:c>
      <x:c r="E289" s="10" t="str">
        <x:v>CAT002</x:v>
      </x:c>
      <x:c r="F289" s="10" t="str">
        <x:v>CTA004</x:v>
      </x:c>
      <x:c r="G289" s="10" t="str">
        <x:v>FAT-200288</x:v>
      </x:c>
      <x:c r="H289" s="10" t="str">
        <x:v>Contrato mensal</x:v>
      </x:c>
      <x:c r="I289" s="16" t="n">
        <x:v>45911.80349424769</x:v>
      </x:c>
      <x:c r="J289" s="16" t="n">
        <x:v>45932.80349424769</x:v>
      </x:c>
      <x:c r="K289" s="16" t="n">
        <x:v>45933.80349424769</x:v>
      </x:c>
      <x:c r="L289" s="20" t="n">
        <x:v>2412.8</x:v>
      </x:c>
      <x:c r="M289" s="20" t="n">
        <x:v>1.93</x:v>
      </x:c>
      <x:c r="N289" s="20" t="n">
        <x:v>0</x:v>
      </x:c>
      <x:c r="O289" s="20" t="n">
        <x:v>2414.73</x:v>
      </x:c>
      <x:c r="P289" s="20" t="n">
        <x:v>0</x:v>
      </x:c>
      <x:c r="Q289" s="10" t="str">
        <x:v>Recebido</x:v>
      </x:c>
      <x:c r="R289" s="10" t="str">
        <x:v>PIX</x:v>
      </x:c>
      <x:c r="S289" s="10" t="str">
        <x:v>2025-09</x:v>
      </x:c>
      <x:c r="T289" s="10" t="n">
        <x:v>0</x:v>
      </x:c>
      <x:c r="U289" s="10" t="str">
        <x:v>Liquidado</x:v>
      </x:c>
      <x:c r="V289" s="10" t="str">
        <x:v>Baixo</x:v>
      </x:c>
      <x:c r="W289" s="10" t="str">
        <x:v>Indústria</x:v>
      </x:c>
      <x:c r="X289" s="10" t="str">
        <x:v>UND003</x:v>
      </x:c>
    </x:row>
    <x:row r="290" ht="18" customHeight="1">
      <x:c r="A290" s="10" t="str">
        <x:v>REC00289</x:v>
      </x:c>
      <x:c r="B290" s="10" t="str">
        <x:v>EMP001</x:v>
      </x:c>
      <x:c r="C290" s="10" t="str">
        <x:v>CLI073</x:v>
      </x:c>
      <x:c r="D290" s="10" t="str">
        <x:v>CC005</x:v>
      </x:c>
      <x:c r="E290" s="10" t="str">
        <x:v>CAT003</x:v>
      </x:c>
      <x:c r="F290" s="10" t="str">
        <x:v>CTA002</x:v>
      </x:c>
      <x:c r="G290" s="10" t="str">
        <x:v>FAT-200289</x:v>
      </x:c>
      <x:c r="H290" s="10" t="str">
        <x:v>Contrato mensal</x:v>
      </x:c>
      <x:c r="I290" s="16" t="n">
        <x:v>46009.98785943287</x:v>
      </x:c>
      <x:c r="J290" s="16" t="n">
        <x:v>46030.98785943287</x:v>
      </x:c>
      <x:c r="K290" s="16"/>
      <x:c r="L290" s="20" t="n">
        <x:v>36257.37</x:v>
      </x:c>
      <x:c r="M290" s="20" t="n">
        <x:v>0</x:v>
      </x:c>
      <x:c r="N290" s="20" t="n">
        <x:v>0</x:v>
      </x:c>
      <x:c r="O290" s="20" t="n">
        <x:v>0</x:v>
      </x:c>
      <x:c r="P290" s="20" t="n">
        <x:v>36257.37</x:v>
      </x:c>
      <x:c r="Q290" s="10" t="str">
        <x:v>A vencer</x:v>
      </x:c>
      <x:c r="R290" s="10" t="str">
        <x:v>TED</x:v>
      </x:c>
      <x:c r="S290" s="10" t="str">
        <x:v>2025-12</x:v>
      </x:c>
      <x:c r="T290" s="10" t="n">
        <x:v>0</x:v>
      </x:c>
      <x:c r="U290" s="10" t="str">
        <x:v>A vencer</x:v>
      </x:c>
      <x:c r="V290" s="10" t="str">
        <x:v>Alto</x:v>
      </x:c>
      <x:c r="W290" s="10" t="str">
        <x:v>Tecnologia</x:v>
      </x:c>
      <x:c r="X290" s="10" t="str">
        <x:v>UND001</x:v>
      </x:c>
    </x:row>
    <x:row r="291" ht="18" customHeight="1">
      <x:c r="A291" s="10" t="str">
        <x:v>REC00290</x:v>
      </x:c>
      <x:c r="B291" s="10" t="str">
        <x:v>EMP003</x:v>
      </x:c>
      <x:c r="C291" s="10" t="str">
        <x:v>CLI056</x:v>
      </x:c>
      <x:c r="D291" s="10" t="str">
        <x:v>CC004</x:v>
      </x:c>
      <x:c r="E291" s="10" t="str">
        <x:v>CAT002</x:v>
      </x:c>
      <x:c r="F291" s="10" t="str">
        <x:v>CTA005</x:v>
      </x:c>
      <x:c r="G291" s="10" t="str">
        <x:v>FAT-200290</x:v>
      </x:c>
      <x:c r="H291" s="10" t="str">
        <x:v>Projeto especial</x:v>
      </x:c>
      <x:c r="I291" s="16" t="n">
        <x:v>45464.707044016206</x:v>
      </x:c>
      <x:c r="J291" s="16" t="n">
        <x:v>45479.707044016206</x:v>
      </x:c>
      <x:c r="K291" s="16" t="n">
        <x:v>45484.707044016206</x:v>
      </x:c>
      <x:c r="L291" s="20" t="n">
        <x:v>3397.47</x:v>
      </x:c>
      <x:c r="M291" s="20" t="n">
        <x:v>13.59</x:v>
      </x:c>
      <x:c r="N291" s="20" t="n">
        <x:v>0</x:v>
      </x:c>
      <x:c r="O291" s="20" t="n">
        <x:v>3411.06</x:v>
      </x:c>
      <x:c r="P291" s="20" t="n">
        <x:v>0</x:v>
      </x:c>
      <x:c r="Q291" s="10" t="str">
        <x:v>Recebido</x:v>
      </x:c>
      <x:c r="R291" s="10" t="str">
        <x:v>Débito em Conta</x:v>
      </x:c>
      <x:c r="S291" s="10" t="str">
        <x:v>2024-06</x:v>
      </x:c>
      <x:c r="T291" s="10" t="n">
        <x:v>0</x:v>
      </x:c>
      <x:c r="U291" s="10" t="str">
        <x:v>Liquidado</x:v>
      </x:c>
      <x:c r="V291" s="10" t="str">
        <x:v>Baixo</x:v>
      </x:c>
      <x:c r="W291" s="10" t="str">
        <x:v>Tecnologia</x:v>
      </x:c>
      <x:c r="X291" s="10" t="str">
        <x:v>UND004</x:v>
      </x:c>
    </x:row>
    <x:row r="292" ht="18" customHeight="1">
      <x:c r="A292" s="10" t="str">
        <x:v>REC00291</x:v>
      </x:c>
      <x:c r="B292" s="10" t="str">
        <x:v>EMP002</x:v>
      </x:c>
      <x:c r="C292" s="10" t="str">
        <x:v>CLI080</x:v>
      </x:c>
      <x:c r="D292" s="10" t="str">
        <x:v>CC007</x:v>
      </x:c>
      <x:c r="E292" s="10" t="str">
        <x:v>CAT002</x:v>
      </x:c>
      <x:c r="F292" s="10" t="str">
        <x:v>CTA003</x:v>
      </x:c>
      <x:c r="G292" s="10" t="str">
        <x:v>FAT-200291</x:v>
      </x:c>
      <x:c r="H292" s="10" t="str">
        <x:v>Frete faturado</x:v>
      </x:c>
      <x:c r="I292" s="16" t="n">
        <x:v>45841.21266460648</x:v>
      </x:c>
      <x:c r="J292" s="16" t="n">
        <x:v>45869.21266460648</x:v>
      </x:c>
      <x:c r="K292" s="16" t="n">
        <x:v>45883.21266460648</x:v>
      </x:c>
      <x:c r="L292" s="20" t="n">
        <x:v>15585.81</x:v>
      </x:c>
      <x:c r="M292" s="20" t="n">
        <x:v>174.56</x:v>
      </x:c>
      <x:c r="N292" s="20" t="n">
        <x:v>0</x:v>
      </x:c>
      <x:c r="O292" s="20" t="n">
        <x:v>15760.37</x:v>
      </x:c>
      <x:c r="P292" s="20" t="n">
        <x:v>0</x:v>
      </x:c>
      <x:c r="Q292" s="10" t="str">
        <x:v>Recebido</x:v>
      </x:c>
      <x:c r="R292" s="10" t="str">
        <x:v>Débito em Conta</x:v>
      </x:c>
      <x:c r="S292" s="10" t="str">
        <x:v>2025-07</x:v>
      </x:c>
      <x:c r="T292" s="10" t="n">
        <x:v>0</x:v>
      </x:c>
      <x:c r="U292" s="10" t="str">
        <x:v>Liquidado</x:v>
      </x:c>
      <x:c r="V292" s="10" t="str">
        <x:v>Médio</x:v>
      </x:c>
      <x:c r="W292" s="10" t="str">
        <x:v>Atacado</x:v>
      </x:c>
      <x:c r="X292" s="10" t="str">
        <x:v>UND003</x:v>
      </x:c>
    </x:row>
    <x:row r="293" ht="18" customHeight="1">
      <x:c r="A293" s="10" t="str">
        <x:v>REC00292</x:v>
      </x:c>
      <x:c r="B293" s="10" t="str">
        <x:v>EMP003</x:v>
      </x:c>
      <x:c r="C293" s="10" t="str">
        <x:v>CLI011</x:v>
      </x:c>
      <x:c r="D293" s="10" t="str">
        <x:v>CC001</x:v>
      </x:c>
      <x:c r="E293" s="10" t="str">
        <x:v>CAT002</x:v>
      </x:c>
      <x:c r="F293" s="10" t="str">
        <x:v>CTA005</x:v>
      </x:c>
      <x:c r="G293" s="10" t="str">
        <x:v>FAT-200292</x:v>
      </x:c>
      <x:c r="H293" s="10" t="str">
        <x:v>Venda de produtos</x:v>
      </x:c>
      <x:c r="I293" s="16" t="n">
        <x:v>45969.55008809028</x:v>
      </x:c>
      <x:c r="J293" s="16" t="n">
        <x:v>45984.55008809028</x:v>
      </x:c>
      <x:c r="K293" s="16" t="n">
        <x:v>45993.55008809028</x:v>
      </x:c>
      <x:c r="L293" s="20" t="n">
        <x:v>12427.55</x:v>
      </x:c>
      <x:c r="M293" s="20" t="n">
        <x:v>89.48</x:v>
      </x:c>
      <x:c r="N293" s="20" t="n">
        <x:v>0</x:v>
      </x:c>
      <x:c r="O293" s="20" t="n">
        <x:v>12517.03</x:v>
      </x:c>
      <x:c r="P293" s="20" t="n">
        <x:v>0</x:v>
      </x:c>
      <x:c r="Q293" s="10" t="str">
        <x:v>Recebido</x:v>
      </x:c>
      <x:c r="R293" s="10" t="str">
        <x:v>Boleto</x:v>
      </x:c>
      <x:c r="S293" s="10" t="str">
        <x:v>2025-11</x:v>
      </x:c>
      <x:c r="T293" s="10" t="n">
        <x:v>0</x:v>
      </x:c>
      <x:c r="U293" s="10" t="str">
        <x:v>Liquidado</x:v>
      </x:c>
      <x:c r="V293" s="10" t="str">
        <x:v>Alto</x:v>
      </x:c>
      <x:c r="W293" s="10" t="str">
        <x:v>Serviços</x:v>
      </x:c>
      <x:c r="X293" s="10" t="str">
        <x:v>UND004</x:v>
      </x:c>
    </x:row>
    <x:row r="294" ht="18" customHeight="1">
      <x:c r="A294" s="10" t="str">
        <x:v>REC00293</x:v>
      </x:c>
      <x:c r="B294" s="10" t="str">
        <x:v>EMP001</x:v>
      </x:c>
      <x:c r="C294" s="10" t="str">
        <x:v>CLI080</x:v>
      </x:c>
      <x:c r="D294" s="10" t="str">
        <x:v>CC001</x:v>
      </x:c>
      <x:c r="E294" s="10" t="str">
        <x:v>CAT001</x:v>
      </x:c>
      <x:c r="F294" s="10" t="str">
        <x:v>CTA002</x:v>
      </x:c>
      <x:c r="G294" s="10" t="str">
        <x:v>FAT-200293</x:v>
      </x:c>
      <x:c r="H294" s="10" t="str">
        <x:v>Prestação de serviços</x:v>
      </x:c>
      <x:c r="I294" s="16" t="n">
        <x:v>45901.617431342595</x:v>
      </x:c>
      <x:c r="J294" s="16" t="n">
        <x:v>45931.617431342595</x:v>
      </x:c>
      <x:c r="K294" s="16" t="n">
        <x:v>45940.617431342595</x:v>
      </x:c>
      <x:c r="L294" s="20" t="n">
        <x:v>80652.1</x:v>
      </x:c>
      <x:c r="M294" s="20" t="n">
        <x:v>580.7</x:v>
      </x:c>
      <x:c r="N294" s="20" t="n">
        <x:v>0</x:v>
      </x:c>
      <x:c r="O294" s="20" t="n">
        <x:v>81232.8</x:v>
      </x:c>
      <x:c r="P294" s="20" t="n">
        <x:v>0</x:v>
      </x:c>
      <x:c r="Q294" s="10" t="str">
        <x:v>Recebido</x:v>
      </x:c>
      <x:c r="R294" s="10" t="str">
        <x:v>Cartão</x:v>
      </x:c>
      <x:c r="S294" s="10" t="str">
        <x:v>2025-09</x:v>
      </x:c>
      <x:c r="T294" s="10" t="n">
        <x:v>0</x:v>
      </x:c>
      <x:c r="U294" s="10" t="str">
        <x:v>Liquidado</x:v>
      </x:c>
      <x:c r="V294" s="10" t="str">
        <x:v>Médio</x:v>
      </x:c>
      <x:c r="W294" s="10" t="str">
        <x:v>Atacado</x:v>
      </x:c>
      <x:c r="X294" s="10" t="str">
        <x:v>UND001</x:v>
      </x:c>
    </x:row>
    <x:row r="295" ht="18" customHeight="1">
      <x:c r="A295" s="10" t="str">
        <x:v>REC00294</x:v>
      </x:c>
      <x:c r="B295" s="10" t="str">
        <x:v>EMP002</x:v>
      </x:c>
      <x:c r="C295" s="10" t="str">
        <x:v>CLI002</x:v>
      </x:c>
      <x:c r="D295" s="10" t="str">
        <x:v>CC004</x:v>
      </x:c>
      <x:c r="E295" s="10" t="str">
        <x:v>CAT003</x:v>
      </x:c>
      <x:c r="F295" s="10" t="str">
        <x:v>CTA004</x:v>
      </x:c>
      <x:c r="G295" s="10" t="str">
        <x:v>FAT-200294</x:v>
      </x:c>
      <x:c r="H295" s="10" t="str">
        <x:v>Contrato mensal</x:v>
      </x:c>
      <x:c r="I295" s="16" t="n">
        <x:v>45707.53323931713</x:v>
      </x:c>
      <x:c r="J295" s="16" t="n">
        <x:v>45752.53323931713</x:v>
      </x:c>
      <x:c r="K295" s="16" t="n">
        <x:v>45773.53323931713</x:v>
      </x:c>
      <x:c r="L295" s="20" t="n">
        <x:v>28848.73</x:v>
      </x:c>
      <x:c r="M295" s="20" t="n">
        <x:v>484.66</x:v>
      </x:c>
      <x:c r="N295" s="20" t="n">
        <x:v>0</x:v>
      </x:c>
      <x:c r="O295" s="20" t="n">
        <x:v>29333.39</x:v>
      </x:c>
      <x:c r="P295" s="20" t="n">
        <x:v>0</x:v>
      </x:c>
      <x:c r="Q295" s="10" t="str">
        <x:v>Recebido</x:v>
      </x:c>
      <x:c r="R295" s="10" t="str">
        <x:v>Cartão</x:v>
      </x:c>
      <x:c r="S295" s="10" t="str">
        <x:v>2025-02</x:v>
      </x:c>
      <x:c r="T295" s="10" t="n">
        <x:v>0</x:v>
      </x:c>
      <x:c r="U295" s="10" t="str">
        <x:v>Liquidado</x:v>
      </x:c>
      <x:c r="V295" s="10" t="str">
        <x:v>Alto</x:v>
      </x:c>
      <x:c r="W295" s="10" t="str">
        <x:v>Serviços</x:v>
      </x:c>
      <x:c r="X295" s="10" t="str">
        <x:v>UND003</x:v>
      </x:c>
    </x:row>
    <x:row r="296" ht="18" customHeight="1">
      <x:c r="A296" s="10" t="str">
        <x:v>REC00295</x:v>
      </x:c>
      <x:c r="B296" s="10" t="str">
        <x:v>EMP001</x:v>
      </x:c>
      <x:c r="C296" s="10" t="str">
        <x:v>CLI018</x:v>
      </x:c>
      <x:c r="D296" s="10" t="str">
        <x:v>CC005</x:v>
      </x:c>
      <x:c r="E296" s="10" t="str">
        <x:v>CAT004</x:v>
      </x:c>
      <x:c r="F296" s="10" t="str">
        <x:v>CTA001</x:v>
      </x:c>
      <x:c r="G296" s="10" t="str">
        <x:v>FAT-200295</x:v>
      </x:c>
      <x:c r="H296" s="10" t="str">
        <x:v>Venda de produtos</x:v>
      </x:c>
      <x:c r="I296" s="16" t="n">
        <x:v>45328.17642400463</x:v>
      </x:c>
      <x:c r="J296" s="16" t="n">
        <x:v>45373.17642400463</x:v>
      </x:c>
      <x:c r="K296" s="16" t="n">
        <x:v>45382.17642400463</x:v>
      </x:c>
      <x:c r="L296" s="20" t="n">
        <x:v>37569.45</x:v>
      </x:c>
      <x:c r="M296" s="20" t="n">
        <x:v>270.5</x:v>
      </x:c>
      <x:c r="N296" s="20" t="n">
        <x:v>0</x:v>
      </x:c>
      <x:c r="O296" s="20" t="n">
        <x:v>37839.95</x:v>
      </x:c>
      <x:c r="P296" s="20" t="n">
        <x:v>0</x:v>
      </x:c>
      <x:c r="Q296" s="10" t="str">
        <x:v>Recebido</x:v>
      </x:c>
      <x:c r="R296" s="10" t="str">
        <x:v>Cartão</x:v>
      </x:c>
      <x:c r="S296" s="10" t="str">
        <x:v>2024-02</x:v>
      </x:c>
      <x:c r="T296" s="10" t="n">
        <x:v>0</x:v>
      </x:c>
      <x:c r="U296" s="10" t="str">
        <x:v>Liquidado</x:v>
      </x:c>
      <x:c r="V296" s="10" t="str">
        <x:v>Médio</x:v>
      </x:c>
      <x:c r="W296" s="10" t="str">
        <x:v>Indústria</x:v>
      </x:c>
      <x:c r="X296" s="10" t="str">
        <x:v>UND001</x:v>
      </x:c>
    </x:row>
    <x:row r="297" ht="18" customHeight="1">
      <x:c r="A297" s="10" t="str">
        <x:v>REC00296</x:v>
      </x:c>
      <x:c r="B297" s="10" t="str">
        <x:v>EMP001</x:v>
      </x:c>
      <x:c r="C297" s="10" t="str">
        <x:v>CLI036</x:v>
      </x:c>
      <x:c r="D297" s="10" t="str">
        <x:v>CC001</x:v>
      </x:c>
      <x:c r="E297" s="10" t="str">
        <x:v>CAT004</x:v>
      </x:c>
      <x:c r="F297" s="10" t="str">
        <x:v>CTA001</x:v>
      </x:c>
      <x:c r="G297" s="10" t="str">
        <x:v>FAT-200296</x:v>
      </x:c>
      <x:c r="H297" s="10" t="str">
        <x:v>Projeto especial</x:v>
      </x:c>
      <x:c r="I297" s="16" t="n">
        <x:v>45935.276245625</x:v>
      </x:c>
      <x:c r="J297" s="16" t="n">
        <x:v>45963.276245625</x:v>
      </x:c>
      <x:c r="K297" s="16" t="n">
        <x:v>45958.276245625</x:v>
      </x:c>
      <x:c r="L297" s="20" t="n">
        <x:v>63653.06</x:v>
      </x:c>
      <x:c r="M297" s="20" t="n">
        <x:v>0</x:v>
      </x:c>
      <x:c r="N297" s="20" t="n">
        <x:v>0</x:v>
      </x:c>
      <x:c r="O297" s="20" t="n">
        <x:v>63653.06</x:v>
      </x:c>
      <x:c r="P297" s="20" t="n">
        <x:v>0</x:v>
      </x:c>
      <x:c r="Q297" s="10" t="str">
        <x:v>Recebido</x:v>
      </x:c>
      <x:c r="R297" s="10" t="str">
        <x:v>Débito em Conta</x:v>
      </x:c>
      <x:c r="S297" s="10" t="str">
        <x:v>2025-10</x:v>
      </x:c>
      <x:c r="T297" s="10" t="n">
        <x:v>0</x:v>
      </x:c>
      <x:c r="U297" s="10" t="str">
        <x:v>Liquidado</x:v>
      </x:c>
      <x:c r="V297" s="10" t="str">
        <x:v>Baixo</x:v>
      </x:c>
      <x:c r="W297" s="10" t="str">
        <x:v>Atacado</x:v>
      </x:c>
      <x:c r="X297" s="10" t="str">
        <x:v>UND001</x:v>
      </x:c>
    </x:row>
    <x:row r="298" ht="18" customHeight="1">
      <x:c r="A298" s="10" t="str">
        <x:v>REC00297</x:v>
      </x:c>
      <x:c r="B298" s="10" t="str">
        <x:v>EMP003</x:v>
      </x:c>
      <x:c r="C298" s="10" t="str">
        <x:v>CLI055</x:v>
      </x:c>
      <x:c r="D298" s="10" t="str">
        <x:v>CC002</x:v>
      </x:c>
      <x:c r="E298" s="10" t="str">
        <x:v>CAT003</x:v>
      </x:c>
      <x:c r="F298" s="10" t="str">
        <x:v>CTA006</x:v>
      </x:c>
      <x:c r="G298" s="10" t="str">
        <x:v>FAT-200297</x:v>
      </x:c>
      <x:c r="H298" s="10" t="str">
        <x:v>Prestação de serviços</x:v>
      </x:c>
      <x:c r="I298" s="16" t="n">
        <x:v>46008.77773908565</x:v>
      </x:c>
      <x:c r="J298" s="16" t="n">
        <x:v>46043.77773908565</x:v>
      </x:c>
      <x:c r="K298" s="16"/>
      <x:c r="L298" s="20" t="n">
        <x:v>67583.4</x:v>
      </x:c>
      <x:c r="M298" s="20" t="n">
        <x:v>0</x:v>
      </x:c>
      <x:c r="N298" s="20" t="n">
        <x:v>0</x:v>
      </x:c>
      <x:c r="O298" s="20" t="n">
        <x:v>0</x:v>
      </x:c>
      <x:c r="P298" s="20" t="n">
        <x:v>67583.4</x:v>
      </x:c>
      <x:c r="Q298" s="10" t="str">
        <x:v>A vencer</x:v>
      </x:c>
      <x:c r="R298" s="10" t="str">
        <x:v>PIX</x:v>
      </x:c>
      <x:c r="S298" s="10" t="str">
        <x:v>2025-12</x:v>
      </x:c>
      <x:c r="T298" s="10" t="n">
        <x:v>0</x:v>
      </x:c>
      <x:c r="U298" s="10" t="str">
        <x:v>A vencer</x:v>
      </x:c>
      <x:c r="V298" s="10" t="str">
        <x:v>Baixo</x:v>
      </x:c>
      <x:c r="W298" s="10" t="str">
        <x:v>Serviços</x:v>
      </x:c>
      <x:c r="X298" s="10" t="str">
        <x:v>UND004</x:v>
      </x:c>
    </x:row>
    <x:row r="299" ht="18" customHeight="1">
      <x:c r="A299" s="10" t="str">
        <x:v>REC00298</x:v>
      </x:c>
      <x:c r="B299" s="10" t="str">
        <x:v>EMP001</x:v>
      </x:c>
      <x:c r="C299" s="10" t="str">
        <x:v>CLI032</x:v>
      </x:c>
      <x:c r="D299" s="10" t="str">
        <x:v>CC006</x:v>
      </x:c>
      <x:c r="E299" s="10" t="str">
        <x:v>CAT004</x:v>
      </x:c>
      <x:c r="F299" s="10" t="str">
        <x:v>CTA002</x:v>
      </x:c>
      <x:c r="G299" s="10" t="str">
        <x:v>FAT-200298</x:v>
      </x:c>
      <x:c r="H299" s="10" t="str">
        <x:v>Contrato mensal</x:v>
      </x:c>
      <x:c r="I299" s="16" t="n">
        <x:v>45796.32184844907</x:v>
      </x:c>
      <x:c r="J299" s="16" t="n">
        <x:v>45841.32184844907</x:v>
      </x:c>
      <x:c r="K299" s="16" t="n">
        <x:v>45837.32184844907</x:v>
      </x:c>
      <x:c r="L299" s="20" t="n">
        <x:v>18860.17</x:v>
      </x:c>
      <x:c r="M299" s="20" t="n">
        <x:v>0</x:v>
      </x:c>
      <x:c r="N299" s="20" t="n">
        <x:v>0</x:v>
      </x:c>
      <x:c r="O299" s="20" t="n">
        <x:v>18860.17</x:v>
      </x:c>
      <x:c r="P299" s="20" t="n">
        <x:v>0</x:v>
      </x:c>
      <x:c r="Q299" s="10" t="str">
        <x:v>Recebido</x:v>
      </x:c>
      <x:c r="R299" s="10" t="str">
        <x:v>Cartão</x:v>
      </x:c>
      <x:c r="S299" s="10" t="str">
        <x:v>2025-05</x:v>
      </x:c>
      <x:c r="T299" s="10" t="n">
        <x:v>0</x:v>
      </x:c>
      <x:c r="U299" s="10" t="str">
        <x:v>Liquidado</x:v>
      </x:c>
      <x:c r="V299" s="10" t="str">
        <x:v>Baixo</x:v>
      </x:c>
      <x:c r="W299" s="10" t="str">
        <x:v>Tecnologia</x:v>
      </x:c>
      <x:c r="X299" s="10" t="str">
        <x:v>UND001</x:v>
      </x:c>
    </x:row>
    <x:row r="300" ht="18" customHeight="1">
      <x:c r="A300" s="10" t="str">
        <x:v>REC00299</x:v>
      </x:c>
      <x:c r="B300" s="10" t="str">
        <x:v>EMP002</x:v>
      </x:c>
      <x:c r="C300" s="10" t="str">
        <x:v>CLI022</x:v>
      </x:c>
      <x:c r="D300" s="10" t="str">
        <x:v>CC004</x:v>
      </x:c>
      <x:c r="E300" s="10" t="str">
        <x:v>CAT004</x:v>
      </x:c>
      <x:c r="F300" s="10" t="str">
        <x:v>CTA004</x:v>
      </x:c>
      <x:c r="G300" s="10" t="str">
        <x:v>FAT-200299</x:v>
      </x:c>
      <x:c r="H300" s="10" t="str">
        <x:v>Projeto especial</x:v>
      </x:c>
      <x:c r="I300" s="16" t="n">
        <x:v>45849.60281707176</x:v>
      </x:c>
      <x:c r="J300" s="16" t="n">
        <x:v>45909.60281707176</x:v>
      </x:c>
      <x:c r="K300" s="16" t="n">
        <x:v>45933.60281707176</x:v>
      </x:c>
      <x:c r="L300" s="20" t="n">
        <x:v>27445.35</x:v>
      </x:c>
      <x:c r="M300" s="20" t="n">
        <x:v>526.95</x:v>
      </x:c>
      <x:c r="N300" s="20" t="n">
        <x:v>0</x:v>
      </x:c>
      <x:c r="O300" s="20" t="n">
        <x:v>27972.3</x:v>
      </x:c>
      <x:c r="P300" s="20" t="n">
        <x:v>0</x:v>
      </x:c>
      <x:c r="Q300" s="10" t="str">
        <x:v>Recebido</x:v>
      </x:c>
      <x:c r="R300" s="10" t="str">
        <x:v>TED</x:v>
      </x:c>
      <x:c r="S300" s="10" t="str">
        <x:v>2025-07</x:v>
      </x:c>
      <x:c r="T300" s="10" t="n">
        <x:v>0</x:v>
      </x:c>
      <x:c r="U300" s="10" t="str">
        <x:v>Liquidado</x:v>
      </x:c>
      <x:c r="V300" s="10" t="str">
        <x:v>Alto</x:v>
      </x:c>
      <x:c r="W300" s="10" t="str">
        <x:v>Tecnologia</x:v>
      </x:c>
      <x:c r="X300" s="10" t="str">
        <x:v>UND003</x:v>
      </x:c>
    </x:row>
    <x:row r="301" ht="18" customHeight="1">
      <x:c r="A301" s="10" t="str">
        <x:v>REC00300</x:v>
      </x:c>
      <x:c r="B301" s="10" t="str">
        <x:v>EMP003</x:v>
      </x:c>
      <x:c r="C301" s="10" t="str">
        <x:v>CLI056</x:v>
      </x:c>
      <x:c r="D301" s="10" t="str">
        <x:v>CC005</x:v>
      </x:c>
      <x:c r="E301" s="10" t="str">
        <x:v>CAT001</x:v>
      </x:c>
      <x:c r="F301" s="10" t="str">
        <x:v>CTA006</x:v>
      </x:c>
      <x:c r="G301" s="10" t="str">
        <x:v>FAT-200300</x:v>
      </x:c>
      <x:c r="H301" s="10" t="str">
        <x:v>Prestação de serviços</x:v>
      </x:c>
      <x:c r="I301" s="16" t="n">
        <x:v>45713.444710972224</x:v>
      </x:c>
      <x:c r="J301" s="16" t="n">
        <x:v>45734.444710972224</x:v>
      </x:c>
      <x:c r="K301" s="16"/>
      <x:c r="L301" s="20" t="n">
        <x:v>9314.29</x:v>
      </x:c>
      <x:c r="M301" s="20" t="n">
        <x:v>0</x:v>
      </x:c>
      <x:c r="N301" s="20" t="n">
        <x:v>0</x:v>
      </x:c>
      <x:c r="O301" s="20" t="n">
        <x:v>0</x:v>
      </x:c>
      <x:c r="P301" s="20" t="n">
        <x:v>9314.29</x:v>
      </x:c>
      <x:c r="Q301" s="10" t="str">
        <x:v>Vencido</x:v>
      </x:c>
      <x:c r="R301" s="10" t="str">
        <x:v>TED</x:v>
      </x:c>
      <x:c r="S301" s="10" t="str">
        <x:v>2025-02</x:v>
      </x:c>
      <x:c r="T301" s="10" t="n">
        <x:v>287</x:v>
      </x:c>
      <x:c r="U301" s="10" t="str">
        <x:v>&gt; 120 dias</x:v>
      </x:c>
      <x:c r="V301" s="10" t="str">
        <x:v>Baixo</x:v>
      </x:c>
      <x:c r="W301" s="10" t="str">
        <x:v>Tecnologia</x:v>
      </x:c>
      <x:c r="X301" s="10" t="str">
        <x:v>UND004</x:v>
      </x:c>
    </x:row>
    <x:row r="302" ht="18" customHeight="1">
      <x:c r="A302" s="10" t="str">
        <x:v>REC00301</x:v>
      </x:c>
      <x:c r="B302" s="10" t="str">
        <x:v>EMP002</x:v>
      </x:c>
      <x:c r="C302" s="10" t="str">
        <x:v>CLI062</x:v>
      </x:c>
      <x:c r="D302" s="10" t="str">
        <x:v>CC008</x:v>
      </x:c>
      <x:c r="E302" s="10" t="str">
        <x:v>CAT004</x:v>
      </x:c>
      <x:c r="F302" s="10" t="str">
        <x:v>CTA004</x:v>
      </x:c>
      <x:c r="G302" s="10" t="str">
        <x:v>FAT-200301</x:v>
      </x:c>
      <x:c r="H302" s="10" t="str">
        <x:v>Venda de produtos</x:v>
      </x:c>
      <x:c r="I302" s="16" t="n">
        <x:v>45749.24582269676</x:v>
      </x:c>
      <x:c r="J302" s="16" t="n">
        <x:v>45777.24582269676</x:v>
      </x:c>
      <x:c r="K302" s="16" t="n">
        <x:v>45778.24582269676</x:v>
      </x:c>
      <x:c r="L302" s="20" t="n">
        <x:v>7868.95</x:v>
      </x:c>
      <x:c r="M302" s="20" t="n">
        <x:v>6.3</x:v>
      </x:c>
      <x:c r="N302" s="20" t="n">
        <x:v>0</x:v>
      </x:c>
      <x:c r="O302" s="20" t="n">
        <x:v>7875.25</x:v>
      </x:c>
      <x:c r="P302" s="20" t="n">
        <x:v>0</x:v>
      </x:c>
      <x:c r="Q302" s="10" t="str">
        <x:v>Recebido</x:v>
      </x:c>
      <x:c r="R302" s="10" t="str">
        <x:v>PIX</x:v>
      </x:c>
      <x:c r="S302" s="10" t="str">
        <x:v>2025-04</x:v>
      </x:c>
      <x:c r="T302" s="10" t="n">
        <x:v>0</x:v>
      </x:c>
      <x:c r="U302" s="10" t="str">
        <x:v>Liquidado</x:v>
      </x:c>
      <x:c r="V302" s="10" t="str">
        <x:v>Baixo</x:v>
      </x:c>
      <x:c r="W302" s="10" t="str">
        <x:v>Saúde</x:v>
      </x:c>
      <x:c r="X302" s="10" t="str">
        <x:v>UND003</x:v>
      </x:c>
    </x:row>
    <x:row r="303" ht="18" customHeight="1">
      <x:c r="A303" s="10" t="str">
        <x:v>REC00302</x:v>
      </x:c>
      <x:c r="B303" s="10" t="str">
        <x:v>EMP001</x:v>
      </x:c>
      <x:c r="C303" s="10" t="str">
        <x:v>CLI029</x:v>
      </x:c>
      <x:c r="D303" s="10" t="str">
        <x:v>CC004</x:v>
      </x:c>
      <x:c r="E303" s="10" t="str">
        <x:v>CAT003</x:v>
      </x:c>
      <x:c r="F303" s="10" t="str">
        <x:v>CTA001</x:v>
      </x:c>
      <x:c r="G303" s="10" t="str">
        <x:v>FAT-200302</x:v>
      </x:c>
      <x:c r="H303" s="10" t="str">
        <x:v>Projeto especial</x:v>
      </x:c>
      <x:c r="I303" s="16" t="n">
        <x:v>45706.13946024306</x:v>
      </x:c>
      <x:c r="J303" s="16" t="n">
        <x:v>45734.13946024306</x:v>
      </x:c>
      <x:c r="K303" s="16" t="n">
        <x:v>45735.13946024306</x:v>
      </x:c>
      <x:c r="L303" s="20" t="n">
        <x:v>9048.92</x:v>
      </x:c>
      <x:c r="M303" s="20" t="n">
        <x:v>7.24</x:v>
      </x:c>
      <x:c r="N303" s="20" t="n">
        <x:v>0</x:v>
      </x:c>
      <x:c r="O303" s="20" t="n">
        <x:v>9056.16</x:v>
      </x:c>
      <x:c r="P303" s="20" t="n">
        <x:v>0</x:v>
      </x:c>
      <x:c r="Q303" s="10" t="str">
        <x:v>Recebido</x:v>
      </x:c>
      <x:c r="R303" s="10" t="str">
        <x:v>Débito em Conta</x:v>
      </x:c>
      <x:c r="S303" s="10" t="str">
        <x:v>2025-02</x:v>
      </x:c>
      <x:c r="T303" s="10" t="n">
        <x:v>0</x:v>
      </x:c>
      <x:c r="U303" s="10" t="str">
        <x:v>Liquidado</x:v>
      </x:c>
      <x:c r="V303" s="10" t="str">
        <x:v>Baixo</x:v>
      </x:c>
      <x:c r="W303" s="10" t="str">
        <x:v>Tecnologia</x:v>
      </x:c>
      <x:c r="X303" s="10" t="str">
        <x:v>UND001</x:v>
      </x:c>
    </x:row>
    <x:row r="304" ht="18" customHeight="1">
      <x:c r="A304" s="10" t="str">
        <x:v>REC00303</x:v>
      </x:c>
      <x:c r="B304" s="10" t="str">
        <x:v>EMP002</x:v>
      </x:c>
      <x:c r="C304" s="10" t="str">
        <x:v>CLI024</x:v>
      </x:c>
      <x:c r="D304" s="10" t="str">
        <x:v>CC001</x:v>
      </x:c>
      <x:c r="E304" s="10" t="str">
        <x:v>CAT001</x:v>
      </x:c>
      <x:c r="F304" s="10" t="str">
        <x:v>CTA003</x:v>
      </x:c>
      <x:c r="G304" s="10" t="str">
        <x:v>FAT-200303</x:v>
      </x:c>
      <x:c r="H304" s="10" t="str">
        <x:v>Prestação de serviços</x:v>
      </x:c>
      <x:c r="I304" s="16" t="n">
        <x:v>45545.54198392361</x:v>
      </x:c>
      <x:c r="J304" s="16" t="n">
        <x:v>45573.54198392361</x:v>
      </x:c>
      <x:c r="K304" s="16" t="n">
        <x:v>45579.54198392361</x:v>
      </x:c>
      <x:c r="L304" s="20" t="n">
        <x:v>20357.48</x:v>
      </x:c>
      <x:c r="M304" s="20" t="n">
        <x:v>97.72</x:v>
      </x:c>
      <x:c r="N304" s="20" t="n">
        <x:v>0</x:v>
      </x:c>
      <x:c r="O304" s="20" t="n">
        <x:v>20455.2</x:v>
      </x:c>
      <x:c r="P304" s="20" t="n">
        <x:v>0</x:v>
      </x:c>
      <x:c r="Q304" s="10" t="str">
        <x:v>Recebido</x:v>
      </x:c>
      <x:c r="R304" s="10" t="str">
        <x:v>TED</x:v>
      </x:c>
      <x:c r="S304" s="10" t="str">
        <x:v>2024-09</x:v>
      </x:c>
      <x:c r="T304" s="10" t="n">
        <x:v>0</x:v>
      </x:c>
      <x:c r="U304" s="10" t="str">
        <x:v>Liquidado</x:v>
      </x:c>
      <x:c r="V304" s="10" t="str">
        <x:v>Baixo</x:v>
      </x:c>
      <x:c r="W304" s="10" t="str">
        <x:v>Saúde</x:v>
      </x:c>
      <x:c r="X304" s="10" t="str">
        <x:v>UND003</x:v>
      </x:c>
    </x:row>
    <x:row r="305" ht="18" customHeight="1">
      <x:c r="A305" s="10" t="str">
        <x:v>REC00304</x:v>
      </x:c>
      <x:c r="B305" s="10" t="str">
        <x:v>EMP003</x:v>
      </x:c>
      <x:c r="C305" s="10" t="str">
        <x:v>CLI053</x:v>
      </x:c>
      <x:c r="D305" s="10" t="str">
        <x:v>CC007</x:v>
      </x:c>
      <x:c r="E305" s="10" t="str">
        <x:v>CAT003</x:v>
      </x:c>
      <x:c r="F305" s="10" t="str">
        <x:v>CTA006</x:v>
      </x:c>
      <x:c r="G305" s="10" t="str">
        <x:v>FAT-200304</x:v>
      </x:c>
      <x:c r="H305" s="10" t="str">
        <x:v>Projeto especial</x:v>
      </x:c>
      <x:c r="I305" s="16" t="n">
        <x:v>45924.55473686343</x:v>
      </x:c>
      <x:c r="J305" s="16" t="n">
        <x:v>45952.55473686343</x:v>
      </x:c>
      <x:c r="K305" s="16" t="n">
        <x:v>45948.55473686343</x:v>
      </x:c>
      <x:c r="L305" s="20" t="n">
        <x:v>128233.44</x:v>
      </x:c>
      <x:c r="M305" s="20" t="n">
        <x:v>0</x:v>
      </x:c>
      <x:c r="N305" s="20" t="n">
        <x:v>0</x:v>
      </x:c>
      <x:c r="O305" s="20" t="n">
        <x:v>128233.44</x:v>
      </x:c>
      <x:c r="P305" s="20" t="n">
        <x:v>0</x:v>
      </x:c>
      <x:c r="Q305" s="10" t="str">
        <x:v>Recebido</x:v>
      </x:c>
      <x:c r="R305" s="10" t="str">
        <x:v>Débito em Conta</x:v>
      </x:c>
      <x:c r="S305" s="10" t="str">
        <x:v>2025-09</x:v>
      </x:c>
      <x:c r="T305" s="10" t="n">
        <x:v>0</x:v>
      </x:c>
      <x:c r="U305" s="10" t="str">
        <x:v>Liquidado</x:v>
      </x:c>
      <x:c r="V305" s="10" t="str">
        <x:v>Baixo</x:v>
      </x:c>
      <x:c r="W305" s="10" t="str">
        <x:v>Saúde</x:v>
      </x:c>
      <x:c r="X305" s="10" t="str">
        <x:v>UND004</x:v>
      </x:c>
    </x:row>
    <x:row r="306" ht="18" customHeight="1">
      <x:c r="A306" s="10" t="str">
        <x:v>REC00305</x:v>
      </x:c>
      <x:c r="B306" s="10" t="str">
        <x:v>EMP003</x:v>
      </x:c>
      <x:c r="C306" s="10" t="str">
        <x:v>CLI041</x:v>
      </x:c>
      <x:c r="D306" s="10" t="str">
        <x:v>CC006</x:v>
      </x:c>
      <x:c r="E306" s="10" t="str">
        <x:v>CAT004</x:v>
      </x:c>
      <x:c r="F306" s="10" t="str">
        <x:v>CTA006</x:v>
      </x:c>
      <x:c r="G306" s="10" t="str">
        <x:v>FAT-200305</x:v>
      </x:c>
      <x:c r="H306" s="10" t="str">
        <x:v>Prestação de serviços</x:v>
      </x:c>
      <x:c r="I306" s="16" t="n">
        <x:v>45941.35018572916</x:v>
      </x:c>
      <x:c r="J306" s="16" t="n">
        <x:v>45962.35018572916</x:v>
      </x:c>
      <x:c r="K306" s="16" t="n">
        <x:v>45969.35018572916</x:v>
      </x:c>
      <x:c r="L306" s="20" t="n">
        <x:v>10133.93</x:v>
      </x:c>
      <x:c r="M306" s="20" t="n">
        <x:v>56.75</x:v>
      </x:c>
      <x:c r="N306" s="20" t="n">
        <x:v>0</x:v>
      </x:c>
      <x:c r="O306" s="20" t="n">
        <x:v>10190.68</x:v>
      </x:c>
      <x:c r="P306" s="20" t="n">
        <x:v>0</x:v>
      </x:c>
      <x:c r="Q306" s="10" t="str">
        <x:v>Recebido</x:v>
      </x:c>
      <x:c r="R306" s="10" t="str">
        <x:v>Boleto</x:v>
      </x:c>
      <x:c r="S306" s="10" t="str">
        <x:v>2025-10</x:v>
      </x:c>
      <x:c r="T306" s="10" t="n">
        <x:v>0</x:v>
      </x:c>
      <x:c r="U306" s="10" t="str">
        <x:v>Liquidado</x:v>
      </x:c>
      <x:c r="V306" s="10" t="str">
        <x:v>Alto</x:v>
      </x:c>
      <x:c r="W306" s="10" t="str">
        <x:v>Indústria</x:v>
      </x:c>
      <x:c r="X306" s="10" t="str">
        <x:v>UND004</x:v>
      </x:c>
    </x:row>
    <x:row r="307" ht="18" customHeight="1">
      <x:c r="A307" s="10" t="str">
        <x:v>REC00306</x:v>
      </x:c>
      <x:c r="B307" s="10" t="str">
        <x:v>EMP002</x:v>
      </x:c>
      <x:c r="C307" s="10" t="str">
        <x:v>CLI066</x:v>
      </x:c>
      <x:c r="D307" s="10" t="str">
        <x:v>CC003</x:v>
      </x:c>
      <x:c r="E307" s="10" t="str">
        <x:v>CAT004</x:v>
      </x:c>
      <x:c r="F307" s="10" t="str">
        <x:v>CTA004</x:v>
      </x:c>
      <x:c r="G307" s="10" t="str">
        <x:v>FAT-200306</x:v>
      </x:c>
      <x:c r="H307" s="10" t="str">
        <x:v>Venda de produtos</x:v>
      </x:c>
      <x:c r="I307" s="16" t="n">
        <x:v>45996.359045300924</x:v>
      </x:c>
      <x:c r="J307" s="16" t="n">
        <x:v>46056.359045300924</x:v>
      </x:c>
      <x:c r="K307" s="16"/>
      <x:c r="L307" s="20" t="n">
        <x:v>68757.36</x:v>
      </x:c>
      <x:c r="M307" s="20" t="n">
        <x:v>0</x:v>
      </x:c>
      <x:c r="N307" s="20" t="n">
        <x:v>0</x:v>
      </x:c>
      <x:c r="O307" s="20" t="n">
        <x:v>0</x:v>
      </x:c>
      <x:c r="P307" s="20" t="n">
        <x:v>68757.36</x:v>
      </x:c>
      <x:c r="Q307" s="10" t="str">
        <x:v>A vencer</x:v>
      </x:c>
      <x:c r="R307" s="10" t="str">
        <x:v>TED</x:v>
      </x:c>
      <x:c r="S307" s="10" t="str">
        <x:v>2025-12</x:v>
      </x:c>
      <x:c r="T307" s="10" t="n">
        <x:v>0</x:v>
      </x:c>
      <x:c r="U307" s="10" t="str">
        <x:v>A vencer</x:v>
      </x:c>
      <x:c r="V307" s="10" t="str">
        <x:v>Baixo</x:v>
      </x:c>
      <x:c r="W307" s="10" t="str">
        <x:v>Varejo</x:v>
      </x:c>
      <x:c r="X307" s="10" t="str">
        <x:v>UND003</x:v>
      </x:c>
    </x:row>
    <x:row r="308" ht="18" customHeight="1">
      <x:c r="A308" s="10" t="str">
        <x:v>REC00307</x:v>
      </x:c>
      <x:c r="B308" s="10" t="str">
        <x:v>EMP003</x:v>
      </x:c>
      <x:c r="C308" s="10" t="str">
        <x:v>CLI069</x:v>
      </x:c>
      <x:c r="D308" s="10" t="str">
        <x:v>CC003</x:v>
      </x:c>
      <x:c r="E308" s="10" t="str">
        <x:v>CAT001</x:v>
      </x:c>
      <x:c r="F308" s="10" t="str">
        <x:v>CTA005</x:v>
      </x:c>
      <x:c r="G308" s="10" t="str">
        <x:v>FAT-200307</x:v>
      </x:c>
      <x:c r="H308" s="10" t="str">
        <x:v>Venda de produtos</x:v>
      </x:c>
      <x:c r="I308" s="16" t="n">
        <x:v>45461.6035187963</x:v>
      </x:c>
      <x:c r="J308" s="16" t="n">
        <x:v>45521.6035187963</x:v>
      </x:c>
      <x:c r="K308" s="16" t="n">
        <x:v>45530.6035187963</x:v>
      </x:c>
      <x:c r="L308" s="20" t="n">
        <x:v>93442.36</x:v>
      </x:c>
      <x:c r="M308" s="20" t="n">
        <x:v>672.78</x:v>
      </x:c>
      <x:c r="N308" s="20" t="n">
        <x:v>0</x:v>
      </x:c>
      <x:c r="O308" s="20" t="n">
        <x:v>94115.14</x:v>
      </x:c>
      <x:c r="P308" s="20" t="n">
        <x:v>0</x:v>
      </x:c>
      <x:c r="Q308" s="10" t="str">
        <x:v>Recebido</x:v>
      </x:c>
      <x:c r="R308" s="10" t="str">
        <x:v>Boleto</x:v>
      </x:c>
      <x:c r="S308" s="10" t="str">
        <x:v>2024-06</x:v>
      </x:c>
      <x:c r="T308" s="10" t="n">
        <x:v>0</x:v>
      </x:c>
      <x:c r="U308" s="10" t="str">
        <x:v>Liquidado</x:v>
      </x:c>
      <x:c r="V308" s="10" t="str">
        <x:v>Alto</x:v>
      </x:c>
      <x:c r="W308" s="10" t="str">
        <x:v>Tecnologia</x:v>
      </x:c>
      <x:c r="X308" s="10" t="str">
        <x:v>UND004</x:v>
      </x:c>
    </x:row>
    <x:row r="309" ht="18" customHeight="1">
      <x:c r="A309" s="10" t="str">
        <x:v>REC00308</x:v>
      </x:c>
      <x:c r="B309" s="10" t="str">
        <x:v>EMP003</x:v>
      </x:c>
      <x:c r="C309" s="10" t="str">
        <x:v>CLI049</x:v>
      </x:c>
      <x:c r="D309" s="10" t="str">
        <x:v>CC008</x:v>
      </x:c>
      <x:c r="E309" s="10" t="str">
        <x:v>CAT001</x:v>
      </x:c>
      <x:c r="F309" s="10" t="str">
        <x:v>CTA005</x:v>
      </x:c>
      <x:c r="G309" s="10" t="str">
        <x:v>FAT-200308</x:v>
      </x:c>
      <x:c r="H309" s="10" t="str">
        <x:v>Prestação de serviços</x:v>
      </x:c>
      <x:c r="I309" s="16" t="n">
        <x:v>45581.60285400463</x:v>
      </x:c>
      <x:c r="J309" s="16" t="n">
        <x:v>45609.60285400463</x:v>
      </x:c>
      <x:c r="K309" s="16" t="n">
        <x:v>45619.60285400463</x:v>
      </x:c>
      <x:c r="L309" s="20" t="n">
        <x:v>106154.04</x:v>
      </x:c>
      <x:c r="M309" s="20" t="n">
        <x:v>849.23</x:v>
      </x:c>
      <x:c r="N309" s="20" t="n">
        <x:v>0</x:v>
      </x:c>
      <x:c r="O309" s="20" t="n">
        <x:v>107003.27</x:v>
      </x:c>
      <x:c r="P309" s="20" t="n">
        <x:v>0</x:v>
      </x:c>
      <x:c r="Q309" s="10" t="str">
        <x:v>Recebido</x:v>
      </x:c>
      <x:c r="R309" s="10" t="str">
        <x:v>PIX</x:v>
      </x:c>
      <x:c r="S309" s="10" t="str">
        <x:v>2024-10</x:v>
      </x:c>
      <x:c r="T309" s="10" t="n">
        <x:v>0</x:v>
      </x:c>
      <x:c r="U309" s="10" t="str">
        <x:v>Liquidado</x:v>
      </x:c>
      <x:c r="V309" s="10" t="str">
        <x:v>Médio</x:v>
      </x:c>
      <x:c r="W309" s="10" t="str">
        <x:v>Serviços</x:v>
      </x:c>
      <x:c r="X309" s="10" t="str">
        <x:v>UND004</x:v>
      </x:c>
    </x:row>
    <x:row r="310" ht="18" customHeight="1">
      <x:c r="A310" s="10" t="str">
        <x:v>REC00309</x:v>
      </x:c>
      <x:c r="B310" s="10" t="str">
        <x:v>EMP002</x:v>
      </x:c>
      <x:c r="C310" s="10" t="str">
        <x:v>CLI053</x:v>
      </x:c>
      <x:c r="D310" s="10" t="str">
        <x:v>CC008</x:v>
      </x:c>
      <x:c r="E310" s="10" t="str">
        <x:v>CAT004</x:v>
      </x:c>
      <x:c r="F310" s="10" t="str">
        <x:v>CTA004</x:v>
      </x:c>
      <x:c r="G310" s="10" t="str">
        <x:v>FAT-200309</x:v>
      </x:c>
      <x:c r="H310" s="10" t="str">
        <x:v>Venda de produtos</x:v>
      </x:c>
      <x:c r="I310" s="16" t="n">
        <x:v>45567.752073842596</x:v>
      </x:c>
      <x:c r="J310" s="16" t="n">
        <x:v>45627.752073842596</x:v>
      </x:c>
      <x:c r="K310" s="16" t="n">
        <x:v>45634.752073842596</x:v>
      </x:c>
      <x:c r="L310" s="20" t="n">
        <x:v>1276.93</x:v>
      </x:c>
      <x:c r="M310" s="20" t="n">
        <x:v>7.15</x:v>
      </x:c>
      <x:c r="N310" s="20" t="n">
        <x:v>0</x:v>
      </x:c>
      <x:c r="O310" s="20" t="n">
        <x:v>1284.08</x:v>
      </x:c>
      <x:c r="P310" s="20" t="n">
        <x:v>0</x:v>
      </x:c>
      <x:c r="Q310" s="10" t="str">
        <x:v>Recebido</x:v>
      </x:c>
      <x:c r="R310" s="10" t="str">
        <x:v>Débito em Conta</x:v>
      </x:c>
      <x:c r="S310" s="10" t="str">
        <x:v>2024-10</x:v>
      </x:c>
      <x:c r="T310" s="10" t="n">
        <x:v>0</x:v>
      </x:c>
      <x:c r="U310" s="10" t="str">
        <x:v>Liquidado</x:v>
      </x:c>
      <x:c r="V310" s="10" t="str">
        <x:v>Baixo</x:v>
      </x:c>
      <x:c r="W310" s="10" t="str">
        <x:v>Saúde</x:v>
      </x:c>
      <x:c r="X310" s="10" t="str">
        <x:v>UND003</x:v>
      </x:c>
    </x:row>
    <x:row r="311" ht="18" customHeight="1">
      <x:c r="A311" s="10" t="str">
        <x:v>REC00310</x:v>
      </x:c>
      <x:c r="B311" s="10" t="str">
        <x:v>EMP001</x:v>
      </x:c>
      <x:c r="C311" s="10" t="str">
        <x:v>CLI002</x:v>
      </x:c>
      <x:c r="D311" s="10" t="str">
        <x:v>CC008</x:v>
      </x:c>
      <x:c r="E311" s="10" t="str">
        <x:v>CAT004</x:v>
      </x:c>
      <x:c r="F311" s="10" t="str">
        <x:v>CTA002</x:v>
      </x:c>
      <x:c r="G311" s="10" t="str">
        <x:v>FAT-200310</x:v>
      </x:c>
      <x:c r="H311" s="10" t="str">
        <x:v>Contrato mensal</x:v>
      </x:c>
      <x:c r="I311" s="16" t="n">
        <x:v>45853.473882210645</x:v>
      </x:c>
      <x:c r="J311" s="16" t="n">
        <x:v>45868.473882210645</x:v>
      </x:c>
      <x:c r="K311" s="16"/>
      <x:c r="L311" s="20" t="n">
        <x:v>58059.2</x:v>
      </x:c>
      <x:c r="M311" s="20" t="n">
        <x:v>0</x:v>
      </x:c>
      <x:c r="N311" s="20" t="n">
        <x:v>0</x:v>
      </x:c>
      <x:c r="O311" s="20" t="n">
        <x:v>0</x:v>
      </x:c>
      <x:c r="P311" s="20" t="n">
        <x:v>58059.2</x:v>
      </x:c>
      <x:c r="Q311" s="10" t="str">
        <x:v>Vencido</x:v>
      </x:c>
      <x:c r="R311" s="10" t="str">
        <x:v>Débito em Conta</x:v>
      </x:c>
      <x:c r="S311" s="10" t="str">
        <x:v>2025-07</x:v>
      </x:c>
      <x:c r="T311" s="10" t="n">
        <x:v>153</x:v>
      </x:c>
      <x:c r="U311" s="10" t="str">
        <x:v>&gt; 120 dias</x:v>
      </x:c>
      <x:c r="V311" s="10" t="str">
        <x:v>Alto</x:v>
      </x:c>
      <x:c r="W311" s="10" t="str">
        <x:v>Serviços</x:v>
      </x:c>
      <x:c r="X311" s="10" t="str">
        <x:v>UND001</x:v>
      </x:c>
    </x:row>
    <x:row r="312" ht="18" customHeight="1">
      <x:c r="A312" s="10" t="str">
        <x:v>REC00311</x:v>
      </x:c>
      <x:c r="B312" s="10" t="str">
        <x:v>EMP003</x:v>
      </x:c>
      <x:c r="C312" s="10" t="str">
        <x:v>CLI067</x:v>
      </x:c>
      <x:c r="D312" s="10" t="str">
        <x:v>CC004</x:v>
      </x:c>
      <x:c r="E312" s="10" t="str">
        <x:v>CAT003</x:v>
      </x:c>
      <x:c r="F312" s="10" t="str">
        <x:v>CTA006</x:v>
      </x:c>
      <x:c r="G312" s="10" t="str">
        <x:v>FAT-200311</x:v>
      </x:c>
      <x:c r="H312" s="10" t="str">
        <x:v>Prestação de serviços</x:v>
      </x:c>
      <x:c r="I312" s="16" t="n">
        <x:v>45799.73649564815</x:v>
      </x:c>
      <x:c r="J312" s="16" t="n">
        <x:v>45827.73649564815</x:v>
      </x:c>
      <x:c r="K312" s="16" t="n">
        <x:v>45839.73649564815</x:v>
      </x:c>
      <x:c r="L312" s="20" t="n">
        <x:v>16455.83</x:v>
      </x:c>
      <x:c r="M312" s="20" t="n">
        <x:v>157.98</x:v>
      </x:c>
      <x:c r="N312" s="20" t="n">
        <x:v>0</x:v>
      </x:c>
      <x:c r="O312" s="20" t="n">
        <x:v>16613.81</x:v>
      </x:c>
      <x:c r="P312" s="20" t="n">
        <x:v>0</x:v>
      </x:c>
      <x:c r="Q312" s="10" t="str">
        <x:v>Recebido</x:v>
      </x:c>
      <x:c r="R312" s="10" t="str">
        <x:v>PIX</x:v>
      </x:c>
      <x:c r="S312" s="10" t="str">
        <x:v>2025-05</x:v>
      </x:c>
      <x:c r="T312" s="10" t="n">
        <x:v>0</x:v>
      </x:c>
      <x:c r="U312" s="10" t="str">
        <x:v>Liquidado</x:v>
      </x:c>
      <x:c r="V312" s="10" t="str">
        <x:v>Alto</x:v>
      </x:c>
      <x:c r="W312" s="10" t="str">
        <x:v>Varejo</x:v>
      </x:c>
      <x:c r="X312" s="10" t="str">
        <x:v>UND004</x:v>
      </x:c>
    </x:row>
    <x:row r="313" ht="18" customHeight="1">
      <x:c r="A313" s="10" t="str">
        <x:v>REC00312</x:v>
      </x:c>
      <x:c r="B313" s="10" t="str">
        <x:v>EMP002</x:v>
      </x:c>
      <x:c r="C313" s="10" t="str">
        <x:v>CLI019</x:v>
      </x:c>
      <x:c r="D313" s="10" t="str">
        <x:v>CC004</x:v>
      </x:c>
      <x:c r="E313" s="10" t="str">
        <x:v>CAT003</x:v>
      </x:c>
      <x:c r="F313" s="10" t="str">
        <x:v>CTA004</x:v>
      </x:c>
      <x:c r="G313" s="10" t="str">
        <x:v>FAT-200312</x:v>
      </x:c>
      <x:c r="H313" s="10" t="str">
        <x:v>Venda de produtos</x:v>
      </x:c>
      <x:c r="I313" s="16" t="n">
        <x:v>45909.65712822917</x:v>
      </x:c>
      <x:c r="J313" s="16" t="n">
        <x:v>45954.65712822917</x:v>
      </x:c>
      <x:c r="K313" s="16" t="n">
        <x:v>45950.65712822917</x:v>
      </x:c>
      <x:c r="L313" s="20" t="n">
        <x:v>94471.5</x:v>
      </x:c>
      <x:c r="M313" s="20" t="n">
        <x:v>0</x:v>
      </x:c>
      <x:c r="N313" s="20" t="n">
        <x:v>0</x:v>
      </x:c>
      <x:c r="O313" s="20" t="n">
        <x:v>94471.5</x:v>
      </x:c>
      <x:c r="P313" s="20" t="n">
        <x:v>0</x:v>
      </x:c>
      <x:c r="Q313" s="10" t="str">
        <x:v>Recebido</x:v>
      </x:c>
      <x:c r="R313" s="10" t="str">
        <x:v>Débito em Conta</x:v>
      </x:c>
      <x:c r="S313" s="10" t="str">
        <x:v>2025-09</x:v>
      </x:c>
      <x:c r="T313" s="10" t="n">
        <x:v>0</x:v>
      </x:c>
      <x:c r="U313" s="10" t="str">
        <x:v>Liquidado</x:v>
      </x:c>
      <x:c r="V313" s="10" t="str">
        <x:v>Alto</x:v>
      </x:c>
      <x:c r="W313" s="10" t="str">
        <x:v>Saúde</x:v>
      </x:c>
      <x:c r="X313" s="10" t="str">
        <x:v>UND003</x:v>
      </x:c>
    </x:row>
    <x:row r="314" ht="18" customHeight="1">
      <x:c r="A314" s="10" t="str">
        <x:v>REC00313</x:v>
      </x:c>
      <x:c r="B314" s="10" t="str">
        <x:v>EMP001</x:v>
      </x:c>
      <x:c r="C314" s="10" t="str">
        <x:v>CLI052</x:v>
      </x:c>
      <x:c r="D314" s="10" t="str">
        <x:v>CC006</x:v>
      </x:c>
      <x:c r="E314" s="10" t="str">
        <x:v>CAT003</x:v>
      </x:c>
      <x:c r="F314" s="10" t="str">
        <x:v>CTA001</x:v>
      </x:c>
      <x:c r="G314" s="10" t="str">
        <x:v>FAT-200313</x:v>
      </x:c>
      <x:c r="H314" s="10" t="str">
        <x:v>Contrato mensal</x:v>
      </x:c>
      <x:c r="I314" s="16" t="n">
        <x:v>45789.008553611115</x:v>
      </x:c>
      <x:c r="J314" s="16" t="n">
        <x:v>45817.008553611115</x:v>
      </x:c>
      <x:c r="K314" s="16" t="n">
        <x:v>45821.008553611115</x:v>
      </x:c>
      <x:c r="L314" s="20" t="n">
        <x:v>99414.53</x:v>
      </x:c>
      <x:c r="M314" s="20" t="n">
        <x:v>318.13</x:v>
      </x:c>
      <x:c r="N314" s="20" t="n">
        <x:v>0</x:v>
      </x:c>
      <x:c r="O314" s="20" t="n">
        <x:v>99732.66</x:v>
      </x:c>
      <x:c r="P314" s="20" t="n">
        <x:v>0</x:v>
      </x:c>
      <x:c r="Q314" s="10" t="str">
        <x:v>Recebido</x:v>
      </x:c>
      <x:c r="R314" s="10" t="str">
        <x:v>Cartão</x:v>
      </x:c>
      <x:c r="S314" s="10" t="str">
        <x:v>2025-05</x:v>
      </x:c>
      <x:c r="T314" s="10" t="n">
        <x:v>0</x:v>
      </x:c>
      <x:c r="U314" s="10" t="str">
        <x:v>Liquidado</x:v>
      </x:c>
      <x:c r="V314" s="10" t="str">
        <x:v>Baixo</x:v>
      </x:c>
      <x:c r="W314" s="10" t="str">
        <x:v>Varejo</x:v>
      </x:c>
      <x:c r="X314" s="10" t="str">
        <x:v>UND002</x:v>
      </x:c>
    </x:row>
    <x:row r="315" ht="18" customHeight="1">
      <x:c r="A315" s="10" t="str">
        <x:v>REC00314</x:v>
      </x:c>
      <x:c r="B315" s="10" t="str">
        <x:v>EMP003</x:v>
      </x:c>
      <x:c r="C315" s="10" t="str">
        <x:v>CLI040</x:v>
      </x:c>
      <x:c r="D315" s="10" t="str">
        <x:v>CC006</x:v>
      </x:c>
      <x:c r="E315" s="10" t="str">
        <x:v>CAT001</x:v>
      </x:c>
      <x:c r="F315" s="10" t="str">
        <x:v>CTA006</x:v>
      </x:c>
      <x:c r="G315" s="10" t="str">
        <x:v>FAT-200314</x:v>
      </x:c>
      <x:c r="H315" s="10" t="str">
        <x:v>Projeto especial</x:v>
      </x:c>
      <x:c r="I315" s="16" t="n">
        <x:v>45944.67120790509</x:v>
      </x:c>
      <x:c r="J315" s="16" t="n">
        <x:v>45974.67120790509</x:v>
      </x:c>
      <x:c r="K315" s="16" t="n">
        <x:v>45972.67120790509</x:v>
      </x:c>
      <x:c r="L315" s="20" t="n">
        <x:v>97958.15</x:v>
      </x:c>
      <x:c r="M315" s="20" t="n">
        <x:v>0</x:v>
      </x:c>
      <x:c r="N315" s="20" t="n">
        <x:v>0</x:v>
      </x:c>
      <x:c r="O315" s="20" t="n">
        <x:v>97958.15</x:v>
      </x:c>
      <x:c r="P315" s="20" t="n">
        <x:v>0</x:v>
      </x:c>
      <x:c r="Q315" s="10" t="str">
        <x:v>Recebido</x:v>
      </x:c>
      <x:c r="R315" s="10" t="str">
        <x:v>Cartão</x:v>
      </x:c>
      <x:c r="S315" s="10" t="str">
        <x:v>2025-10</x:v>
      </x:c>
      <x:c r="T315" s="10" t="n">
        <x:v>0</x:v>
      </x:c>
      <x:c r="U315" s="10" t="str">
        <x:v>Liquidado</x:v>
      </x:c>
      <x:c r="V315" s="10" t="str">
        <x:v>Baixo</x:v>
      </x:c>
      <x:c r="W315" s="10" t="str">
        <x:v>Saúde</x:v>
      </x:c>
      <x:c r="X315" s="10" t="str">
        <x:v>UND004</x:v>
      </x:c>
    </x:row>
    <x:row r="316" ht="18" customHeight="1">
      <x:c r="A316" s="10" t="str">
        <x:v>REC00315</x:v>
      </x:c>
      <x:c r="B316" s="10" t="str">
        <x:v>EMP003</x:v>
      </x:c>
      <x:c r="C316" s="10" t="str">
        <x:v>CLI043</x:v>
      </x:c>
      <x:c r="D316" s="10" t="str">
        <x:v>CC001</x:v>
      </x:c>
      <x:c r="E316" s="10" t="str">
        <x:v>CAT001</x:v>
      </x:c>
      <x:c r="F316" s="10" t="str">
        <x:v>CTA006</x:v>
      </x:c>
      <x:c r="G316" s="10" t="str">
        <x:v>FAT-200315</x:v>
      </x:c>
      <x:c r="H316" s="10" t="str">
        <x:v>Frete faturado</x:v>
      </x:c>
      <x:c r="I316" s="16" t="n">
        <x:v>45875.35062283565</x:v>
      </x:c>
      <x:c r="J316" s="16" t="n">
        <x:v>45905.35062283565</x:v>
      </x:c>
      <x:c r="K316" s="16" t="n">
        <x:v>45912.35062283565</x:v>
      </x:c>
      <x:c r="L316" s="20" t="n">
        <x:v>67980.56</x:v>
      </x:c>
      <x:c r="M316" s="20" t="n">
        <x:v>380.69</x:v>
      </x:c>
      <x:c r="N316" s="20" t="n">
        <x:v>0</x:v>
      </x:c>
      <x:c r="O316" s="20" t="n">
        <x:v>68361.25</x:v>
      </x:c>
      <x:c r="P316" s="20" t="n">
        <x:v>0</x:v>
      </x:c>
      <x:c r="Q316" s="10" t="str">
        <x:v>Recebido</x:v>
      </x:c>
      <x:c r="R316" s="10" t="str">
        <x:v>Débito em Conta</x:v>
      </x:c>
      <x:c r="S316" s="10" t="str">
        <x:v>2025-08</x:v>
      </x:c>
      <x:c r="T316" s="10" t="n">
        <x:v>0</x:v>
      </x:c>
      <x:c r="U316" s="10" t="str">
        <x:v>Liquidado</x:v>
      </x:c>
      <x:c r="V316" s="10" t="str">
        <x:v>Baixo</x:v>
      </x:c>
      <x:c r="W316" s="10" t="str">
        <x:v>Atacado</x:v>
      </x:c>
      <x:c r="X316" s="10" t="str">
        <x:v>UND004</x:v>
      </x:c>
    </x:row>
    <x:row r="317" ht="18" customHeight="1">
      <x:c r="A317" s="10" t="str">
        <x:v>REC00316</x:v>
      </x:c>
      <x:c r="B317" s="10" t="str">
        <x:v>EMP003</x:v>
      </x:c>
      <x:c r="C317" s="10" t="str">
        <x:v>CLI030</x:v>
      </x:c>
      <x:c r="D317" s="10" t="str">
        <x:v>CC002</x:v>
      </x:c>
      <x:c r="E317" s="10" t="str">
        <x:v>CAT003</x:v>
      </x:c>
      <x:c r="F317" s="10" t="str">
        <x:v>CTA005</x:v>
      </x:c>
      <x:c r="G317" s="10" t="str">
        <x:v>FAT-200316</x:v>
      </x:c>
      <x:c r="H317" s="10" t="str">
        <x:v>Projeto especial</x:v>
      </x:c>
      <x:c r="I317" s="16" t="n">
        <x:v>45990.45483287037</x:v>
      </x:c>
      <x:c r="J317" s="16" t="n">
        <x:v>46011.45483287037</x:v>
      </x:c>
      <x:c r="K317" s="16"/>
      <x:c r="L317" s="20" t="n">
        <x:v>1158.04</x:v>
      </x:c>
      <x:c r="M317" s="20" t="n">
        <x:v>0</x:v>
      </x:c>
      <x:c r="N317" s="20" t="n">
        <x:v>0</x:v>
      </x:c>
      <x:c r="O317" s="20" t="n">
        <x:v>0</x:v>
      </x:c>
      <x:c r="P317" s="20" t="n">
        <x:v>1158.04</x:v>
      </x:c>
      <x:c r="Q317" s="10" t="str">
        <x:v>Vencido</x:v>
      </x:c>
      <x:c r="R317" s="10" t="str">
        <x:v>Débito em Conta</x:v>
      </x:c>
      <x:c r="S317" s="10" t="str">
        <x:v>2025-11</x:v>
      </x:c>
      <x:c r="T317" s="10" t="n">
        <x:v>10</x:v>
      </x:c>
      <x:c r="U317" s="10" t="str">
        <x:v>1 a 30 dias</x:v>
      </x:c>
      <x:c r="V317" s="10" t="str">
        <x:v>Baixo</x:v>
      </x:c>
      <x:c r="W317" s="10" t="str">
        <x:v>Tecnologia</x:v>
      </x:c>
      <x:c r="X317" s="10" t="str">
        <x:v>UND004</x:v>
      </x:c>
    </x:row>
    <x:row r="318" ht="18" customHeight="1">
      <x:c r="A318" s="10" t="str">
        <x:v>REC00317</x:v>
      </x:c>
      <x:c r="B318" s="10" t="str">
        <x:v>EMP001</x:v>
      </x:c>
      <x:c r="C318" s="10" t="str">
        <x:v>CLI019</x:v>
      </x:c>
      <x:c r="D318" s="10" t="str">
        <x:v>CC004</x:v>
      </x:c>
      <x:c r="E318" s="10" t="str">
        <x:v>CAT003</x:v>
      </x:c>
      <x:c r="F318" s="10" t="str">
        <x:v>CTA001</x:v>
      </x:c>
      <x:c r="G318" s="10" t="str">
        <x:v>FAT-200317</x:v>
      </x:c>
      <x:c r="H318" s="10" t="str">
        <x:v>Projeto especial</x:v>
      </x:c>
      <x:c r="I318" s="16" t="n">
        <x:v>45916.20860061343</x:v>
      </x:c>
      <x:c r="J318" s="16" t="n">
        <x:v>45961.20860061343</x:v>
      </x:c>
      <x:c r="K318" s="16" t="n">
        <x:v>45980.20860061343</x:v>
      </x:c>
      <x:c r="L318" s="20" t="n">
        <x:v>43055.25</x:v>
      </x:c>
      <x:c r="M318" s="20" t="n">
        <x:v>654.44</x:v>
      </x:c>
      <x:c r="N318" s="20" t="n">
        <x:v>0</x:v>
      </x:c>
      <x:c r="O318" s="20" t="n">
        <x:v>43709.69</x:v>
      </x:c>
      <x:c r="P318" s="20" t="n">
        <x:v>0</x:v>
      </x:c>
      <x:c r="Q318" s="10" t="str">
        <x:v>Recebido</x:v>
      </x:c>
      <x:c r="R318" s="10" t="str">
        <x:v>TED</x:v>
      </x:c>
      <x:c r="S318" s="10" t="str">
        <x:v>2025-09</x:v>
      </x:c>
      <x:c r="T318" s="10" t="n">
        <x:v>0</x:v>
      </x:c>
      <x:c r="U318" s="10" t="str">
        <x:v>Liquidado</x:v>
      </x:c>
      <x:c r="V318" s="10" t="str">
        <x:v>Alto</x:v>
      </x:c>
      <x:c r="W318" s="10" t="str">
        <x:v>Saúde</x:v>
      </x:c>
      <x:c r="X318" s="10" t="str">
        <x:v>UND001</x:v>
      </x:c>
    </x:row>
    <x:row r="319" ht="18" customHeight="1">
      <x:c r="A319" s="10" t="str">
        <x:v>REC00318</x:v>
      </x:c>
      <x:c r="B319" s="10" t="str">
        <x:v>EMP003</x:v>
      </x:c>
      <x:c r="C319" s="10" t="str">
        <x:v>CLI032</x:v>
      </x:c>
      <x:c r="D319" s="10" t="str">
        <x:v>CC003</x:v>
      </x:c>
      <x:c r="E319" s="10" t="str">
        <x:v>CAT004</x:v>
      </x:c>
      <x:c r="F319" s="10" t="str">
        <x:v>CTA005</x:v>
      </x:c>
      <x:c r="G319" s="10" t="str">
        <x:v>FAT-200318</x:v>
      </x:c>
      <x:c r="H319" s="10" t="str">
        <x:v>Contrato mensal</x:v>
      </x:c>
      <x:c r="I319" s="16" t="n">
        <x:v>45935.56837674769</x:v>
      </x:c>
      <x:c r="J319" s="16" t="n">
        <x:v>45956.56837674769</x:v>
      </x:c>
      <x:c r="K319" s="16" t="n">
        <x:v>45953.56837674769</x:v>
      </x:c>
      <x:c r="L319" s="20" t="n">
        <x:v>41630.82</x:v>
      </x:c>
      <x:c r="M319" s="20" t="n">
        <x:v>0</x:v>
      </x:c>
      <x:c r="N319" s="20" t="n">
        <x:v>0</x:v>
      </x:c>
      <x:c r="O319" s="20" t="n">
        <x:v>41630.82</x:v>
      </x:c>
      <x:c r="P319" s="20" t="n">
        <x:v>0</x:v>
      </x:c>
      <x:c r="Q319" s="10" t="str">
        <x:v>Recebido</x:v>
      </x:c>
      <x:c r="R319" s="10" t="str">
        <x:v>PIX</x:v>
      </x:c>
      <x:c r="S319" s="10" t="str">
        <x:v>2025-10</x:v>
      </x:c>
      <x:c r="T319" s="10" t="n">
        <x:v>0</x:v>
      </x:c>
      <x:c r="U319" s="10" t="str">
        <x:v>Liquidado</x:v>
      </x:c>
      <x:c r="V319" s="10" t="str">
        <x:v>Baixo</x:v>
      </x:c>
      <x:c r="W319" s="10" t="str">
        <x:v>Tecnologia</x:v>
      </x:c>
      <x:c r="X319" s="10" t="str">
        <x:v>UND004</x:v>
      </x:c>
    </x:row>
    <x:row r="320" ht="18" customHeight="1">
      <x:c r="A320" s="10" t="str">
        <x:v>REC00319</x:v>
      </x:c>
      <x:c r="B320" s="10" t="str">
        <x:v>EMP001</x:v>
      </x:c>
      <x:c r="C320" s="10" t="str">
        <x:v>CLI024</x:v>
      </x:c>
      <x:c r="D320" s="10" t="str">
        <x:v>CC008</x:v>
      </x:c>
      <x:c r="E320" s="10" t="str">
        <x:v>CAT002</x:v>
      </x:c>
      <x:c r="F320" s="10" t="str">
        <x:v>CTA001</x:v>
      </x:c>
      <x:c r="G320" s="10" t="str">
        <x:v>FAT-200319</x:v>
      </x:c>
      <x:c r="H320" s="10" t="str">
        <x:v>Contrato mensal</x:v>
      </x:c>
      <x:c r="I320" s="16" t="n">
        <x:v>45943.51424074074</x:v>
      </x:c>
      <x:c r="J320" s="16" t="n">
        <x:v>45958.51424074074</x:v>
      </x:c>
      <x:c r="K320" s="16" t="n">
        <x:v>45955.51424074074</x:v>
      </x:c>
      <x:c r="L320" s="20" t="n">
        <x:v>6491.53</x:v>
      </x:c>
      <x:c r="M320" s="20" t="n">
        <x:v>0</x:v>
      </x:c>
      <x:c r="N320" s="20" t="n">
        <x:v>0</x:v>
      </x:c>
      <x:c r="O320" s="20" t="n">
        <x:v>6491.53</x:v>
      </x:c>
      <x:c r="P320" s="20" t="n">
        <x:v>0</x:v>
      </x:c>
      <x:c r="Q320" s="10" t="str">
        <x:v>Recebido</x:v>
      </x:c>
      <x:c r="R320" s="10" t="str">
        <x:v>Cartão</x:v>
      </x:c>
      <x:c r="S320" s="10" t="str">
        <x:v>2025-10</x:v>
      </x:c>
      <x:c r="T320" s="10" t="n">
        <x:v>0</x:v>
      </x:c>
      <x:c r="U320" s="10" t="str">
        <x:v>Liquidado</x:v>
      </x:c>
      <x:c r="V320" s="10" t="str">
        <x:v>Baixo</x:v>
      </x:c>
      <x:c r="W320" s="10" t="str">
        <x:v>Saúde</x:v>
      </x:c>
      <x:c r="X320" s="10" t="str">
        <x:v>UND001</x:v>
      </x:c>
    </x:row>
    <x:row r="321" ht="18" customHeight="1">
      <x:c r="A321" s="10" t="str">
        <x:v>REC00320</x:v>
      </x:c>
      <x:c r="B321" s="10" t="str">
        <x:v>EMP003</x:v>
      </x:c>
      <x:c r="C321" s="10" t="str">
        <x:v>CLI046</x:v>
      </x:c>
      <x:c r="D321" s="10" t="str">
        <x:v>CC006</x:v>
      </x:c>
      <x:c r="E321" s="10" t="str">
        <x:v>CAT004</x:v>
      </x:c>
      <x:c r="F321" s="10" t="str">
        <x:v>CTA006</x:v>
      </x:c>
      <x:c r="G321" s="10" t="str">
        <x:v>FAT-200320</x:v>
      </x:c>
      <x:c r="H321" s="10" t="str">
        <x:v>Prestação de serviços</x:v>
      </x:c>
      <x:c r="I321" s="16" t="n">
        <x:v>45420.389355405096</x:v>
      </x:c>
      <x:c r="J321" s="16" t="n">
        <x:v>45480.389355405096</x:v>
      </x:c>
      <x:c r="K321" s="16" t="n">
        <x:v>45490.389355405096</x:v>
      </x:c>
      <x:c r="L321" s="20" t="n">
        <x:v>10155.94</x:v>
      </x:c>
      <x:c r="M321" s="20" t="n">
        <x:v>81.25</x:v>
      </x:c>
      <x:c r="N321" s="20" t="n">
        <x:v>0</x:v>
      </x:c>
      <x:c r="O321" s="20" t="n">
        <x:v>10237.19</x:v>
      </x:c>
      <x:c r="P321" s="20" t="n">
        <x:v>0</x:v>
      </x:c>
      <x:c r="Q321" s="10" t="str">
        <x:v>Recebido</x:v>
      </x:c>
      <x:c r="R321" s="10" t="str">
        <x:v>Débito em Conta</x:v>
      </x:c>
      <x:c r="S321" s="10" t="str">
        <x:v>2024-05</x:v>
      </x:c>
      <x:c r="T321" s="10" t="n">
        <x:v>0</x:v>
      </x:c>
      <x:c r="U321" s="10" t="str">
        <x:v>Liquidado</x:v>
      </x:c>
      <x:c r="V321" s="10" t="str">
        <x:v>Alto</x:v>
      </x:c>
      <x:c r="W321" s="10" t="str">
        <x:v>Varejo</x:v>
      </x:c>
      <x:c r="X321" s="10" t="str">
        <x:v>UND004</x:v>
      </x:c>
    </x:row>
    <x:row r="322" ht="18" customHeight="1">
      <x:c r="A322" s="10" t="str">
        <x:v>REC00321</x:v>
      </x:c>
      <x:c r="B322" s="10" t="str">
        <x:v>EMP003</x:v>
      </x:c>
      <x:c r="C322" s="10" t="str">
        <x:v>CLI050</x:v>
      </x:c>
      <x:c r="D322" s="10" t="str">
        <x:v>CC001</x:v>
      </x:c>
      <x:c r="E322" s="10" t="str">
        <x:v>CAT003</x:v>
      </x:c>
      <x:c r="F322" s="10" t="str">
        <x:v>CTA006</x:v>
      </x:c>
      <x:c r="G322" s="10" t="str">
        <x:v>FAT-200321</x:v>
      </x:c>
      <x:c r="H322" s="10" t="str">
        <x:v>Venda de produtos</x:v>
      </x:c>
      <x:c r="I322" s="16" t="n">
        <x:v>45665.59963202546</x:v>
      </x:c>
      <x:c r="J322" s="16" t="n">
        <x:v>45686.59963202546</x:v>
      </x:c>
      <x:c r="K322" s="16" t="n">
        <x:v>45692.59963202546</x:v>
      </x:c>
      <x:c r="L322" s="20" t="n">
        <x:v>56899.57</x:v>
      </x:c>
      <x:c r="M322" s="20" t="n">
        <x:v>273.12</x:v>
      </x:c>
      <x:c r="N322" s="20" t="n">
        <x:v>0</x:v>
      </x:c>
      <x:c r="O322" s="20" t="n">
        <x:v>57172.69</x:v>
      </x:c>
      <x:c r="P322" s="20" t="n">
        <x:v>0</x:v>
      </x:c>
      <x:c r="Q322" s="10" t="str">
        <x:v>Recebido</x:v>
      </x:c>
      <x:c r="R322" s="10" t="str">
        <x:v>TED</x:v>
      </x:c>
      <x:c r="S322" s="10" t="str">
        <x:v>2025-01</x:v>
      </x:c>
      <x:c r="T322" s="10" t="n">
        <x:v>0</x:v>
      </x:c>
      <x:c r="U322" s="10" t="str">
        <x:v>Liquidado</x:v>
      </x:c>
      <x:c r="V322" s="10" t="str">
        <x:v>Baixo</x:v>
      </x:c>
      <x:c r="W322" s="10" t="str">
        <x:v>Tecnologia</x:v>
      </x:c>
      <x:c r="X322" s="10" t="str">
        <x:v>UND004</x:v>
      </x:c>
    </x:row>
    <x:row r="323" ht="18" customHeight="1">
      <x:c r="A323" s="10" t="str">
        <x:v>REC00322</x:v>
      </x:c>
      <x:c r="B323" s="10" t="str">
        <x:v>EMP001</x:v>
      </x:c>
      <x:c r="C323" s="10" t="str">
        <x:v>CLI071</x:v>
      </x:c>
      <x:c r="D323" s="10" t="str">
        <x:v>CC004</x:v>
      </x:c>
      <x:c r="E323" s="10" t="str">
        <x:v>CAT004</x:v>
      </x:c>
      <x:c r="F323" s="10" t="str">
        <x:v>CTA002</x:v>
      </x:c>
      <x:c r="G323" s="10" t="str">
        <x:v>FAT-200322</x:v>
      </x:c>
      <x:c r="H323" s="10" t="str">
        <x:v>Frete faturado</x:v>
      </x:c>
      <x:c r="I323" s="16" t="n">
        <x:v>45669.616409166665</x:v>
      </x:c>
      <x:c r="J323" s="16" t="n">
        <x:v>45714.616409166665</x:v>
      </x:c>
      <x:c r="K323" s="16" t="n">
        <x:v>45718.616409166665</x:v>
      </x:c>
      <x:c r="L323" s="20" t="n">
        <x:v>71251.19</x:v>
      </x:c>
      <x:c r="M323" s="20" t="n">
        <x:v>228</x:v>
      </x:c>
      <x:c r="N323" s="20" t="n">
        <x:v>0</x:v>
      </x:c>
      <x:c r="O323" s="20" t="n">
        <x:v>71479.19</x:v>
      </x:c>
      <x:c r="P323" s="20" t="n">
        <x:v>0</x:v>
      </x:c>
      <x:c r="Q323" s="10" t="str">
        <x:v>Recebido</x:v>
      </x:c>
      <x:c r="R323" s="10" t="str">
        <x:v>PIX</x:v>
      </x:c>
      <x:c r="S323" s="10" t="str">
        <x:v>2025-01</x:v>
      </x:c>
      <x:c r="T323" s="10" t="n">
        <x:v>0</x:v>
      </x:c>
      <x:c r="U323" s="10" t="str">
        <x:v>Liquidado</x:v>
      </x:c>
      <x:c r="V323" s="10" t="str">
        <x:v>Baixo</x:v>
      </x:c>
      <x:c r="W323" s="10" t="str">
        <x:v>Tecnologia</x:v>
      </x:c>
      <x:c r="X323" s="10" t="str">
        <x:v>UND002</x:v>
      </x:c>
    </x:row>
    <x:row r="324" ht="18" customHeight="1">
      <x:c r="A324" s="10" t="str">
        <x:v>REC00323</x:v>
      </x:c>
      <x:c r="B324" s="10" t="str">
        <x:v>EMP003</x:v>
      </x:c>
      <x:c r="C324" s="10" t="str">
        <x:v>CLI042</x:v>
      </x:c>
      <x:c r="D324" s="10" t="str">
        <x:v>CC002</x:v>
      </x:c>
      <x:c r="E324" s="10" t="str">
        <x:v>CAT001</x:v>
      </x:c>
      <x:c r="F324" s="10" t="str">
        <x:v>CTA006</x:v>
      </x:c>
      <x:c r="G324" s="10" t="str">
        <x:v>FAT-200323</x:v>
      </x:c>
      <x:c r="H324" s="10" t="str">
        <x:v>Projeto especial</x:v>
      </x:c>
      <x:c r="I324" s="16" t="n">
        <x:v>45547.69998820602</x:v>
      </x:c>
      <x:c r="J324" s="16" t="n">
        <x:v>45607.69998820602</x:v>
      </x:c>
      <x:c r="K324" s="16" t="n">
        <x:v>45608.69998820602</x:v>
      </x:c>
      <x:c r="L324" s="20" t="n">
        <x:v>63656.57</x:v>
      </x:c>
      <x:c r="M324" s="20" t="n">
        <x:v>50.93</x:v>
      </x:c>
      <x:c r="N324" s="20" t="n">
        <x:v>0</x:v>
      </x:c>
      <x:c r="O324" s="20" t="n">
        <x:v>63707.5</x:v>
      </x:c>
      <x:c r="P324" s="20" t="n">
        <x:v>0</x:v>
      </x:c>
      <x:c r="Q324" s="10" t="str">
        <x:v>Recebido</x:v>
      </x:c>
      <x:c r="R324" s="10" t="str">
        <x:v>Débito em Conta</x:v>
      </x:c>
      <x:c r="S324" s="10" t="str">
        <x:v>2024-09</x:v>
      </x:c>
      <x:c r="T324" s="10" t="n">
        <x:v>0</x:v>
      </x:c>
      <x:c r="U324" s="10" t="str">
        <x:v>Liquidado</x:v>
      </x:c>
      <x:c r="V324" s="10" t="str">
        <x:v>Baixo</x:v>
      </x:c>
      <x:c r="W324" s="10" t="str">
        <x:v>Varejo</x:v>
      </x:c>
      <x:c r="X324" s="10" t="str">
        <x:v>UND004</x:v>
      </x:c>
    </x:row>
    <x:row r="325" ht="18" customHeight="1">
      <x:c r="A325" s="10" t="str">
        <x:v>REC00324</x:v>
      </x:c>
      <x:c r="B325" s="10" t="str">
        <x:v>EMP002</x:v>
      </x:c>
      <x:c r="C325" s="10" t="str">
        <x:v>CLI012</x:v>
      </x:c>
      <x:c r="D325" s="10" t="str">
        <x:v>CC008</x:v>
      </x:c>
      <x:c r="E325" s="10" t="str">
        <x:v>CAT001</x:v>
      </x:c>
      <x:c r="F325" s="10" t="str">
        <x:v>CTA003</x:v>
      </x:c>
      <x:c r="G325" s="10" t="str">
        <x:v>FAT-200324</x:v>
      </x:c>
      <x:c r="H325" s="10" t="str">
        <x:v>Venda de produtos</x:v>
      </x:c>
      <x:c r="I325" s="16" t="n">
        <x:v>45963.718824375</x:v>
      </x:c>
      <x:c r="J325" s="16" t="n">
        <x:v>45993.718824375</x:v>
      </x:c>
      <x:c r="K325" s="16"/>
      <x:c r="L325" s="20" t="n">
        <x:v>44721.37</x:v>
      </x:c>
      <x:c r="M325" s="20" t="n">
        <x:v>0</x:v>
      </x:c>
      <x:c r="N325" s="20" t="n">
        <x:v>0</x:v>
      </x:c>
      <x:c r="O325" s="20" t="n">
        <x:v>0</x:v>
      </x:c>
      <x:c r="P325" s="20" t="n">
        <x:v>44721.37</x:v>
      </x:c>
      <x:c r="Q325" s="10" t="str">
        <x:v>Vencido</x:v>
      </x:c>
      <x:c r="R325" s="10" t="str">
        <x:v>Cartão</x:v>
      </x:c>
      <x:c r="S325" s="10" t="str">
        <x:v>2025-11</x:v>
      </x:c>
      <x:c r="T325" s="10" t="n">
        <x:v>28</x:v>
      </x:c>
      <x:c r="U325" s="10" t="str">
        <x:v>1 a 30 dias</x:v>
      </x:c>
      <x:c r="V325" s="10" t="str">
        <x:v>Baixo</x:v>
      </x:c>
      <x:c r="W325" s="10" t="str">
        <x:v>Tecnologia</x:v>
      </x:c>
      <x:c r="X325" s="10" t="str">
        <x:v>UND003</x:v>
      </x:c>
    </x:row>
    <x:row r="326" ht="18" customHeight="1">
      <x:c r="A326" s="10" t="str">
        <x:v>REC00325</x:v>
      </x:c>
      <x:c r="B326" s="10" t="str">
        <x:v>EMP001</x:v>
      </x:c>
      <x:c r="C326" s="10" t="str">
        <x:v>CLI026</x:v>
      </x:c>
      <x:c r="D326" s="10" t="str">
        <x:v>CC003</x:v>
      </x:c>
      <x:c r="E326" s="10" t="str">
        <x:v>CAT001</x:v>
      </x:c>
      <x:c r="F326" s="10" t="str">
        <x:v>CTA001</x:v>
      </x:c>
      <x:c r="G326" s="10" t="str">
        <x:v>FAT-200325</x:v>
      </x:c>
      <x:c r="H326" s="10" t="str">
        <x:v>Projeto especial</x:v>
      </x:c>
      <x:c r="I326" s="16" t="n">
        <x:v>45393.48527046297</x:v>
      </x:c>
      <x:c r="J326" s="16" t="n">
        <x:v>45421.48527046297</x:v>
      </x:c>
      <x:c r="K326" s="16" t="n">
        <x:v>45422.48527046297</x:v>
      </x:c>
      <x:c r="L326" s="20" t="n">
        <x:v>49227.59</x:v>
      </x:c>
      <x:c r="M326" s="20" t="n">
        <x:v>39.38</x:v>
      </x:c>
      <x:c r="N326" s="20" t="n">
        <x:v>0</x:v>
      </x:c>
      <x:c r="O326" s="20" t="n">
        <x:v>49266.97</x:v>
      </x:c>
      <x:c r="P326" s="20" t="n">
        <x:v>0</x:v>
      </x:c>
      <x:c r="Q326" s="10" t="str">
        <x:v>Recebido</x:v>
      </x:c>
      <x:c r="R326" s="10" t="str">
        <x:v>PIX</x:v>
      </x:c>
      <x:c r="S326" s="10" t="str">
        <x:v>2024-04</x:v>
      </x:c>
      <x:c r="T326" s="10" t="n">
        <x:v>0</x:v>
      </x:c>
      <x:c r="U326" s="10" t="str">
        <x:v>Liquidado</x:v>
      </x:c>
      <x:c r="V326" s="10" t="str">
        <x:v>Médio</x:v>
      </x:c>
      <x:c r="W326" s="10" t="str">
        <x:v>Atacado</x:v>
      </x:c>
      <x:c r="X326" s="10" t="str">
        <x:v>UND002</x:v>
      </x:c>
    </x:row>
    <x:row r="327" ht="18" customHeight="1">
      <x:c r="A327" s="10" t="str">
        <x:v>REC00326</x:v>
      </x:c>
      <x:c r="B327" s="10" t="str">
        <x:v>EMP002</x:v>
      </x:c>
      <x:c r="C327" s="10" t="str">
        <x:v>CLI008</x:v>
      </x:c>
      <x:c r="D327" s="10" t="str">
        <x:v>CC002</x:v>
      </x:c>
      <x:c r="E327" s="10" t="str">
        <x:v>CAT002</x:v>
      </x:c>
      <x:c r="F327" s="10" t="str">
        <x:v>CTA004</x:v>
      </x:c>
      <x:c r="G327" s="10" t="str">
        <x:v>FAT-200326</x:v>
      </x:c>
      <x:c r="H327" s="10" t="str">
        <x:v>Projeto especial</x:v>
      </x:c>
      <x:c r="I327" s="16" t="n">
        <x:v>45895.23927342593</x:v>
      </x:c>
      <x:c r="J327" s="16" t="n">
        <x:v>45925.23927342593</x:v>
      </x:c>
      <x:c r="K327" s="16" t="n">
        <x:v>45933.23927342593</x:v>
      </x:c>
      <x:c r="L327" s="20" t="n">
        <x:v>130881.93</x:v>
      </x:c>
      <x:c r="M327" s="20" t="n">
        <x:v>837.64</x:v>
      </x:c>
      <x:c r="N327" s="20" t="n">
        <x:v>0</x:v>
      </x:c>
      <x:c r="O327" s="20" t="n">
        <x:v>131719.57</x:v>
      </x:c>
      <x:c r="P327" s="20" t="n">
        <x:v>0</x:v>
      </x:c>
      <x:c r="Q327" s="10" t="str">
        <x:v>Recebido</x:v>
      </x:c>
      <x:c r="R327" s="10" t="str">
        <x:v>TED</x:v>
      </x:c>
      <x:c r="S327" s="10" t="str">
        <x:v>2025-08</x:v>
      </x:c>
      <x:c r="T327" s="10" t="n">
        <x:v>0</x:v>
      </x:c>
      <x:c r="U327" s="10" t="str">
        <x:v>Liquidado</x:v>
      </x:c>
      <x:c r="V327" s="10" t="str">
        <x:v>Médio</x:v>
      </x:c>
      <x:c r="W327" s="10" t="str">
        <x:v>Saúde</x:v>
      </x:c>
      <x:c r="X327" s="10" t="str">
        <x:v>UND003</x:v>
      </x:c>
    </x:row>
    <x:row r="328" ht="18" customHeight="1">
      <x:c r="A328" s="10" t="str">
        <x:v>REC00327</x:v>
      </x:c>
      <x:c r="B328" s="10" t="str">
        <x:v>EMP002</x:v>
      </x:c>
      <x:c r="C328" s="10" t="str">
        <x:v>CLI009</x:v>
      </x:c>
      <x:c r="D328" s="10" t="str">
        <x:v>CC001</x:v>
      </x:c>
      <x:c r="E328" s="10" t="str">
        <x:v>CAT003</x:v>
      </x:c>
      <x:c r="F328" s="10" t="str">
        <x:v>CTA004</x:v>
      </x:c>
      <x:c r="G328" s="10" t="str">
        <x:v>FAT-200327</x:v>
      </x:c>
      <x:c r="H328" s="10" t="str">
        <x:v>Venda de produtos</x:v>
      </x:c>
      <x:c r="I328" s="16" t="n">
        <x:v>45550.15617987268</x:v>
      </x:c>
      <x:c r="J328" s="16" t="n">
        <x:v>45580.15617987268</x:v>
      </x:c>
      <x:c r="K328" s="16" t="n">
        <x:v>45589.15617987268</x:v>
      </x:c>
      <x:c r="L328" s="20" t="n">
        <x:v>17860.91</x:v>
      </x:c>
      <x:c r="M328" s="20" t="n">
        <x:v>128.6</x:v>
      </x:c>
      <x:c r="N328" s="20" t="n">
        <x:v>0</x:v>
      </x:c>
      <x:c r="O328" s="20" t="n">
        <x:v>17989.51</x:v>
      </x:c>
      <x:c r="P328" s="20" t="n">
        <x:v>0</x:v>
      </x:c>
      <x:c r="Q328" s="10" t="str">
        <x:v>Recebido</x:v>
      </x:c>
      <x:c r="R328" s="10" t="str">
        <x:v>Boleto</x:v>
      </x:c>
      <x:c r="S328" s="10" t="str">
        <x:v>2024-09</x:v>
      </x:c>
      <x:c r="T328" s="10" t="n">
        <x:v>0</x:v>
      </x:c>
      <x:c r="U328" s="10" t="str">
        <x:v>Liquidado</x:v>
      </x:c>
      <x:c r="V328" s="10" t="str">
        <x:v>Médio</x:v>
      </x:c>
      <x:c r="W328" s="10" t="str">
        <x:v>Saúde</x:v>
      </x:c>
      <x:c r="X328" s="10" t="str">
        <x:v>UND003</x:v>
      </x:c>
    </x:row>
    <x:row r="329" ht="18" customHeight="1">
      <x:c r="A329" s="10" t="str">
        <x:v>REC00328</x:v>
      </x:c>
      <x:c r="B329" s="10" t="str">
        <x:v>EMP003</x:v>
      </x:c>
      <x:c r="C329" s="10" t="str">
        <x:v>CLI047</x:v>
      </x:c>
      <x:c r="D329" s="10" t="str">
        <x:v>CC002</x:v>
      </x:c>
      <x:c r="E329" s="10" t="str">
        <x:v>CAT003</x:v>
      </x:c>
      <x:c r="F329" s="10" t="str">
        <x:v>CTA006</x:v>
      </x:c>
      <x:c r="G329" s="10" t="str">
        <x:v>FAT-200328</x:v>
      </x:c>
      <x:c r="H329" s="10" t="str">
        <x:v>Prestação de serviços</x:v>
      </x:c>
      <x:c r="I329" s="16" t="n">
        <x:v>45667.809021064815</x:v>
      </x:c>
      <x:c r="J329" s="16" t="n">
        <x:v>45727.809021064815</x:v>
      </x:c>
      <x:c r="K329" s="16" t="n">
        <x:v>45727.809021064815</x:v>
      </x:c>
      <x:c r="L329" s="20" t="n">
        <x:v>30502.41</x:v>
      </x:c>
      <x:c r="M329" s="20" t="n">
        <x:v>0</x:v>
      </x:c>
      <x:c r="N329" s="20" t="n">
        <x:v>0</x:v>
      </x:c>
      <x:c r="O329" s="20" t="n">
        <x:v>30502.41</x:v>
      </x:c>
      <x:c r="P329" s="20" t="n">
        <x:v>0</x:v>
      </x:c>
      <x:c r="Q329" s="10" t="str">
        <x:v>Recebido</x:v>
      </x:c>
      <x:c r="R329" s="10" t="str">
        <x:v>Cartão</x:v>
      </x:c>
      <x:c r="S329" s="10" t="str">
        <x:v>2025-01</x:v>
      </x:c>
      <x:c r="T329" s="10" t="n">
        <x:v>0</x:v>
      </x:c>
      <x:c r="U329" s="10" t="str">
        <x:v>Liquidado</x:v>
      </x:c>
      <x:c r="V329" s="10" t="str">
        <x:v>Baixo</x:v>
      </x:c>
      <x:c r="W329" s="10" t="str">
        <x:v>Serviços</x:v>
      </x:c>
      <x:c r="X329" s="10" t="str">
        <x:v>UND004</x:v>
      </x:c>
    </x:row>
    <x:row r="330" ht="18" customHeight="1">
      <x:c r="A330" s="10" t="str">
        <x:v>REC00329</x:v>
      </x:c>
      <x:c r="B330" s="10" t="str">
        <x:v>EMP001</x:v>
      </x:c>
      <x:c r="C330" s="10" t="str">
        <x:v>CLI067</x:v>
      </x:c>
      <x:c r="D330" s="10" t="str">
        <x:v>CC007</x:v>
      </x:c>
      <x:c r="E330" s="10" t="str">
        <x:v>CAT004</x:v>
      </x:c>
      <x:c r="F330" s="10" t="str">
        <x:v>CTA002</x:v>
      </x:c>
      <x:c r="G330" s="10" t="str">
        <x:v>FAT-200329</x:v>
      </x:c>
      <x:c r="H330" s="10" t="str">
        <x:v>Contrato mensal</x:v>
      </x:c>
      <x:c r="I330" s="16" t="n">
        <x:v>45693.75842064815</x:v>
      </x:c>
      <x:c r="J330" s="16" t="n">
        <x:v>45721.75842064815</x:v>
      </x:c>
      <x:c r="K330" s="16" t="n">
        <x:v>45724.75842064815</x:v>
      </x:c>
      <x:c r="L330" s="20" t="n">
        <x:v>916.11</x:v>
      </x:c>
      <x:c r="M330" s="20" t="n">
        <x:v>2.2</x:v>
      </x:c>
      <x:c r="N330" s="20" t="n">
        <x:v>0</x:v>
      </x:c>
      <x:c r="O330" s="20" t="n">
        <x:v>918.31</x:v>
      </x:c>
      <x:c r="P330" s="20" t="n">
        <x:v>0</x:v>
      </x:c>
      <x:c r="Q330" s="10" t="str">
        <x:v>Recebido</x:v>
      </x:c>
      <x:c r="R330" s="10" t="str">
        <x:v>TED</x:v>
      </x:c>
      <x:c r="S330" s="10" t="str">
        <x:v>2025-02</x:v>
      </x:c>
      <x:c r="T330" s="10" t="n">
        <x:v>0</x:v>
      </x:c>
      <x:c r="U330" s="10" t="str">
        <x:v>Liquidado</x:v>
      </x:c>
      <x:c r="V330" s="10" t="str">
        <x:v>Alto</x:v>
      </x:c>
      <x:c r="W330" s="10" t="str">
        <x:v>Varejo</x:v>
      </x:c>
      <x:c r="X330" s="10" t="str">
        <x:v>UND001</x:v>
      </x:c>
    </x:row>
    <x:row r="331" ht="18" customHeight="1">
      <x:c r="A331" s="10" t="str">
        <x:v>REC00330</x:v>
      </x:c>
      <x:c r="B331" s="10" t="str">
        <x:v>EMP003</x:v>
      </x:c>
      <x:c r="C331" s="10" t="str">
        <x:v>CLI027</x:v>
      </x:c>
      <x:c r="D331" s="10" t="str">
        <x:v>CC002</x:v>
      </x:c>
      <x:c r="E331" s="10" t="str">
        <x:v>CAT004</x:v>
      </x:c>
      <x:c r="F331" s="10" t="str">
        <x:v>CTA006</x:v>
      </x:c>
      <x:c r="G331" s="10" t="str">
        <x:v>FAT-200330</x:v>
      </x:c>
      <x:c r="H331" s="10" t="str">
        <x:v>Venda de produtos</x:v>
      </x:c>
      <x:c r="I331" s="16" t="n">
        <x:v>45487.676777939814</x:v>
      </x:c>
      <x:c r="J331" s="16" t="n">
        <x:v>45515.676777939814</x:v>
      </x:c>
      <x:c r="K331" s="16" t="n">
        <x:v>45509.676777939814</x:v>
      </x:c>
      <x:c r="L331" s="20" t="n">
        <x:v>48733.4</x:v>
      </x:c>
      <x:c r="M331" s="20" t="n">
        <x:v>0</x:v>
      </x:c>
      <x:c r="N331" s="20" t="n">
        <x:v>974.67</x:v>
      </x:c>
      <x:c r="O331" s="20" t="n">
        <x:v>47758.73</x:v>
      </x:c>
      <x:c r="P331" s="20" t="n">
        <x:v>0</x:v>
      </x:c>
      <x:c r="Q331" s="10" t="str">
        <x:v>Recebido</x:v>
      </x:c>
      <x:c r="R331" s="10" t="str">
        <x:v>Boleto</x:v>
      </x:c>
      <x:c r="S331" s="10" t="str">
        <x:v>2024-07</x:v>
      </x:c>
      <x:c r="T331" s="10" t="n">
        <x:v>0</x:v>
      </x:c>
      <x:c r="U331" s="10" t="str">
        <x:v>Liquidado</x:v>
      </x:c>
      <x:c r="V331" s="10" t="str">
        <x:v>Alto</x:v>
      </x:c>
      <x:c r="W331" s="10" t="str">
        <x:v>Serviços</x:v>
      </x:c>
      <x:c r="X331" s="10" t="str">
        <x:v>UND004</x:v>
      </x:c>
    </x:row>
    <x:row r="332" ht="18" customHeight="1">
      <x:c r="A332" s="10" t="str">
        <x:v>REC00331</x:v>
      </x:c>
      <x:c r="B332" s="10" t="str">
        <x:v>EMP003</x:v>
      </x:c>
      <x:c r="C332" s="10" t="str">
        <x:v>CLI017</x:v>
      </x:c>
      <x:c r="D332" s="10" t="str">
        <x:v>CC005</x:v>
      </x:c>
      <x:c r="E332" s="10" t="str">
        <x:v>CAT002</x:v>
      </x:c>
      <x:c r="F332" s="10" t="str">
        <x:v>CTA005</x:v>
      </x:c>
      <x:c r="G332" s="10" t="str">
        <x:v>FAT-200331</x:v>
      </x:c>
      <x:c r="H332" s="10" t="str">
        <x:v>Frete faturado</x:v>
      </x:c>
      <x:c r="I332" s="16" t="n">
        <x:v>45397.764348032404</x:v>
      </x:c>
      <x:c r="J332" s="16" t="n">
        <x:v>45425.764348032404</x:v>
      </x:c>
      <x:c r="K332" s="16" t="n">
        <x:v>45434.764348032404</x:v>
      </x:c>
      <x:c r="L332" s="20" t="n">
        <x:v>9602.54</x:v>
      </x:c>
      <x:c r="M332" s="20" t="n">
        <x:v>69.14</x:v>
      </x:c>
      <x:c r="N332" s="20" t="n">
        <x:v>0</x:v>
      </x:c>
      <x:c r="O332" s="20" t="n">
        <x:v>9671.68</x:v>
      </x:c>
      <x:c r="P332" s="20" t="n">
        <x:v>0</x:v>
      </x:c>
      <x:c r="Q332" s="10" t="str">
        <x:v>Recebido</x:v>
      </x:c>
      <x:c r="R332" s="10" t="str">
        <x:v>Cartão</x:v>
      </x:c>
      <x:c r="S332" s="10" t="str">
        <x:v>2024-04</x:v>
      </x:c>
      <x:c r="T332" s="10" t="n">
        <x:v>0</x:v>
      </x:c>
      <x:c r="U332" s="10" t="str">
        <x:v>Liquidado</x:v>
      </x:c>
      <x:c r="V332" s="10" t="str">
        <x:v>Médio</x:v>
      </x:c>
      <x:c r="W332" s="10" t="str">
        <x:v>Atacado</x:v>
      </x:c>
      <x:c r="X332" s="10" t="str">
        <x:v>UND004</x:v>
      </x:c>
    </x:row>
    <x:row r="333" ht="18" customHeight="1">
      <x:c r="A333" s="10" t="str">
        <x:v>REC00332</x:v>
      </x:c>
      <x:c r="B333" s="10" t="str">
        <x:v>EMP003</x:v>
      </x:c>
      <x:c r="C333" s="10" t="str">
        <x:v>CLI026</x:v>
      </x:c>
      <x:c r="D333" s="10" t="str">
        <x:v>CC007</x:v>
      </x:c>
      <x:c r="E333" s="10" t="str">
        <x:v>CAT002</x:v>
      </x:c>
      <x:c r="F333" s="10" t="str">
        <x:v>CTA005</x:v>
      </x:c>
      <x:c r="G333" s="10" t="str">
        <x:v>FAT-200332</x:v>
      </x:c>
      <x:c r="H333" s="10" t="str">
        <x:v>Projeto especial</x:v>
      </x:c>
      <x:c r="I333" s="16" t="n">
        <x:v>45945.280338923614</x:v>
      </x:c>
      <x:c r="J333" s="16" t="n">
        <x:v>45975.280338923614</x:v>
      </x:c>
      <x:c r="K333" s="16"/>
      <x:c r="L333" s="20" t="n">
        <x:v>78546.29</x:v>
      </x:c>
      <x:c r="M333" s="20" t="n">
        <x:v>0</x:v>
      </x:c>
      <x:c r="N333" s="20" t="n">
        <x:v>0</x:v>
      </x:c>
      <x:c r="O333" s="20" t="n">
        <x:v>0</x:v>
      </x:c>
      <x:c r="P333" s="20" t="n">
        <x:v>78546.29</x:v>
      </x:c>
      <x:c r="Q333" s="10" t="str">
        <x:v>Vencido</x:v>
      </x:c>
      <x:c r="R333" s="10" t="str">
        <x:v>Boleto</x:v>
      </x:c>
      <x:c r="S333" s="10" t="str">
        <x:v>2025-10</x:v>
      </x:c>
      <x:c r="T333" s="10" t="n">
        <x:v>46</x:v>
      </x:c>
      <x:c r="U333" s="10" t="str">
        <x:v>31 a 60 dias</x:v>
      </x:c>
      <x:c r="V333" s="10" t="str">
        <x:v>Médio</x:v>
      </x:c>
      <x:c r="W333" s="10" t="str">
        <x:v>Atacado</x:v>
      </x:c>
      <x:c r="X333" s="10" t="str">
        <x:v>UND004</x:v>
      </x:c>
    </x:row>
    <x:row r="334" ht="18" customHeight="1">
      <x:c r="A334" s="10" t="str">
        <x:v>REC00333</x:v>
      </x:c>
      <x:c r="B334" s="10" t="str">
        <x:v>EMP003</x:v>
      </x:c>
      <x:c r="C334" s="10" t="str">
        <x:v>CLI013</x:v>
      </x:c>
      <x:c r="D334" s="10" t="str">
        <x:v>CC008</x:v>
      </x:c>
      <x:c r="E334" s="10" t="str">
        <x:v>CAT001</x:v>
      </x:c>
      <x:c r="F334" s="10" t="str">
        <x:v>CTA005</x:v>
      </x:c>
      <x:c r="G334" s="10" t="str">
        <x:v>FAT-200333</x:v>
      </x:c>
      <x:c r="H334" s="10" t="str">
        <x:v>Venda de produtos</x:v>
      </x:c>
      <x:c r="I334" s="16" t="n">
        <x:v>45840.85072883102</x:v>
      </x:c>
      <x:c r="J334" s="16" t="n">
        <x:v>45868.85072883102</x:v>
      </x:c>
      <x:c r="K334" s="16" t="n">
        <x:v>45864.85072883102</x:v>
      </x:c>
      <x:c r="L334" s="20" t="n">
        <x:v>100806.49</x:v>
      </x:c>
      <x:c r="M334" s="20" t="n">
        <x:v>0</x:v>
      </x:c>
      <x:c r="N334" s="20" t="n">
        <x:v>0</x:v>
      </x:c>
      <x:c r="O334" s="20" t="n">
        <x:v>100806.49</x:v>
      </x:c>
      <x:c r="P334" s="20" t="n">
        <x:v>0</x:v>
      </x:c>
      <x:c r="Q334" s="10" t="str">
        <x:v>Recebido</x:v>
      </x:c>
      <x:c r="R334" s="10" t="str">
        <x:v>TED</x:v>
      </x:c>
      <x:c r="S334" s="10" t="str">
        <x:v>2025-07</x:v>
      </x:c>
      <x:c r="T334" s="10" t="n">
        <x:v>0</x:v>
      </x:c>
      <x:c r="U334" s="10" t="str">
        <x:v>Liquidado</x:v>
      </x:c>
      <x:c r="V334" s="10" t="str">
        <x:v>Baixo</x:v>
      </x:c>
      <x:c r="W334" s="10" t="str">
        <x:v>Serviços</x:v>
      </x:c>
      <x:c r="X334" s="10" t="str">
        <x:v>UND004</x:v>
      </x:c>
    </x:row>
    <x:row r="335" ht="18" customHeight="1">
      <x:c r="A335" s="10" t="str">
        <x:v>REC00334</x:v>
      </x:c>
      <x:c r="B335" s="10" t="str">
        <x:v>EMP002</x:v>
      </x:c>
      <x:c r="C335" s="10" t="str">
        <x:v>CLI021</x:v>
      </x:c>
      <x:c r="D335" s="10" t="str">
        <x:v>CC003</x:v>
      </x:c>
      <x:c r="E335" s="10" t="str">
        <x:v>CAT003</x:v>
      </x:c>
      <x:c r="F335" s="10" t="str">
        <x:v>CTA004</x:v>
      </x:c>
      <x:c r="G335" s="10" t="str">
        <x:v>FAT-200334</x:v>
      </x:c>
      <x:c r="H335" s="10" t="str">
        <x:v>Venda de produtos</x:v>
      </x:c>
      <x:c r="I335" s="16" t="n">
        <x:v>45783.81247738426</x:v>
      </x:c>
      <x:c r="J335" s="16" t="n">
        <x:v>45843.81247738426</x:v>
      </x:c>
      <x:c r="K335" s="16" t="n">
        <x:v>45837.81247738426</x:v>
      </x:c>
      <x:c r="L335" s="20" t="n">
        <x:v>108152.43</x:v>
      </x:c>
      <x:c r="M335" s="20" t="n">
        <x:v>0</x:v>
      </x:c>
      <x:c r="N335" s="20" t="n">
        <x:v>1081.52</x:v>
      </x:c>
      <x:c r="O335" s="20" t="n">
        <x:v>107070.91</x:v>
      </x:c>
      <x:c r="P335" s="20" t="n">
        <x:v>0</x:v>
      </x:c>
      <x:c r="Q335" s="10" t="str">
        <x:v>Recebido</x:v>
      </x:c>
      <x:c r="R335" s="10" t="str">
        <x:v>Boleto</x:v>
      </x:c>
      <x:c r="S335" s="10" t="str">
        <x:v>2025-05</x:v>
      </x:c>
      <x:c r="T335" s="10" t="n">
        <x:v>0</x:v>
      </x:c>
      <x:c r="U335" s="10" t="str">
        <x:v>Liquidado</x:v>
      </x:c>
      <x:c r="V335" s="10" t="str">
        <x:v>Baixo</x:v>
      </x:c>
      <x:c r="W335" s="10" t="str">
        <x:v>Indústria</x:v>
      </x:c>
      <x:c r="X335" s="10" t="str">
        <x:v>UND003</x:v>
      </x:c>
    </x:row>
    <x:row r="336" ht="18" customHeight="1">
      <x:c r="A336" s="10" t="str">
        <x:v>REC00335</x:v>
      </x:c>
      <x:c r="B336" s="10" t="str">
        <x:v>EMP001</x:v>
      </x:c>
      <x:c r="C336" s="10" t="str">
        <x:v>CLI054</x:v>
      </x:c>
      <x:c r="D336" s="10" t="str">
        <x:v>CC005</x:v>
      </x:c>
      <x:c r="E336" s="10" t="str">
        <x:v>CAT004</x:v>
      </x:c>
      <x:c r="F336" s="10" t="str">
        <x:v>CTA001</x:v>
      </x:c>
      <x:c r="G336" s="10" t="str">
        <x:v>FAT-200335</x:v>
      </x:c>
      <x:c r="H336" s="10" t="str">
        <x:v>Frete faturado</x:v>
      </x:c>
      <x:c r="I336" s="16" t="n">
        <x:v>45570.863247534726</x:v>
      </x:c>
      <x:c r="J336" s="16" t="n">
        <x:v>45591.863247534726</x:v>
      </x:c>
      <x:c r="K336" s="16" t="n">
        <x:v>45602.863247534726</x:v>
      </x:c>
      <x:c r="L336" s="20" t="n">
        <x:v>2770.73</x:v>
      </x:c>
      <x:c r="M336" s="20" t="n">
        <x:v>24.38</x:v>
      </x:c>
      <x:c r="N336" s="20" t="n">
        <x:v>0</x:v>
      </x:c>
      <x:c r="O336" s="20" t="n">
        <x:v>2795.11</x:v>
      </x:c>
      <x:c r="P336" s="20" t="n">
        <x:v>0</x:v>
      </x:c>
      <x:c r="Q336" s="10" t="str">
        <x:v>Recebido</x:v>
      </x:c>
      <x:c r="R336" s="10" t="str">
        <x:v>PIX</x:v>
      </x:c>
      <x:c r="S336" s="10" t="str">
        <x:v>2024-10</x:v>
      </x:c>
      <x:c r="T336" s="10" t="n">
        <x:v>0</x:v>
      </x:c>
      <x:c r="U336" s="10" t="str">
        <x:v>Liquidado</x:v>
      </x:c>
      <x:c r="V336" s="10" t="str">
        <x:v>Médio</x:v>
      </x:c>
      <x:c r="W336" s="10" t="str">
        <x:v>Indústria</x:v>
      </x:c>
      <x:c r="X336" s="10" t="str">
        <x:v>UND001</x:v>
      </x:c>
    </x:row>
    <x:row r="337" ht="18" customHeight="1">
      <x:c r="A337" s="10" t="str">
        <x:v>REC00336</x:v>
      </x:c>
      <x:c r="B337" s="10" t="str">
        <x:v>EMP002</x:v>
      </x:c>
      <x:c r="C337" s="10" t="str">
        <x:v>CLI018</x:v>
      </x:c>
      <x:c r="D337" s="10" t="str">
        <x:v>CC001</x:v>
      </x:c>
      <x:c r="E337" s="10" t="str">
        <x:v>CAT003</x:v>
      </x:c>
      <x:c r="F337" s="10" t="str">
        <x:v>CTA003</x:v>
      </x:c>
      <x:c r="G337" s="10" t="str">
        <x:v>FAT-200336</x:v>
      </x:c>
      <x:c r="H337" s="10" t="str">
        <x:v>Frete faturado</x:v>
      </x:c>
      <x:c r="I337" s="16" t="n">
        <x:v>45852.76147106481</x:v>
      </x:c>
      <x:c r="J337" s="16" t="n">
        <x:v>45880.76147106481</x:v>
      </x:c>
      <x:c r="K337" s="16" t="n">
        <x:v>45882.76147106481</x:v>
      </x:c>
      <x:c r="L337" s="20" t="n">
        <x:v>97652.33</x:v>
      </x:c>
      <x:c r="M337" s="20" t="n">
        <x:v>156.24</x:v>
      </x:c>
      <x:c r="N337" s="20" t="n">
        <x:v>0</x:v>
      </x:c>
      <x:c r="O337" s="20" t="n">
        <x:v>97808.57</x:v>
      </x:c>
      <x:c r="P337" s="20" t="n">
        <x:v>0</x:v>
      </x:c>
      <x:c r="Q337" s="10" t="str">
        <x:v>Recebido</x:v>
      </x:c>
      <x:c r="R337" s="10" t="str">
        <x:v>TED</x:v>
      </x:c>
      <x:c r="S337" s="10" t="str">
        <x:v>2025-07</x:v>
      </x:c>
      <x:c r="T337" s="10" t="n">
        <x:v>0</x:v>
      </x:c>
      <x:c r="U337" s="10" t="str">
        <x:v>Liquidado</x:v>
      </x:c>
      <x:c r="V337" s="10" t="str">
        <x:v>Médio</x:v>
      </x:c>
      <x:c r="W337" s="10" t="str">
        <x:v>Indústria</x:v>
      </x:c>
      <x:c r="X337" s="10" t="str">
        <x:v>UND003</x:v>
      </x:c>
    </x:row>
    <x:row r="338" ht="18" customHeight="1">
      <x:c r="A338" s="10" t="str">
        <x:v>REC00337</x:v>
      </x:c>
      <x:c r="B338" s="10" t="str">
        <x:v>EMP002</x:v>
      </x:c>
      <x:c r="C338" s="10" t="str">
        <x:v>CLI071</x:v>
      </x:c>
      <x:c r="D338" s="10" t="str">
        <x:v>CC008</x:v>
      </x:c>
      <x:c r="E338" s="10" t="str">
        <x:v>CAT004</x:v>
      </x:c>
      <x:c r="F338" s="10" t="str">
        <x:v>CTA004</x:v>
      </x:c>
      <x:c r="G338" s="10" t="str">
        <x:v>FAT-200337</x:v>
      </x:c>
      <x:c r="H338" s="10" t="str">
        <x:v>Prestação de serviços</x:v>
      </x:c>
      <x:c r="I338" s="16" t="n">
        <x:v>45989.37028065972</x:v>
      </x:c>
      <x:c r="J338" s="16" t="n">
        <x:v>46004.37028065972</x:v>
      </x:c>
      <x:c r="K338" s="16"/>
      <x:c r="L338" s="20" t="n">
        <x:v>65103.05</x:v>
      </x:c>
      <x:c r="M338" s="20" t="n">
        <x:v>0</x:v>
      </x:c>
      <x:c r="N338" s="20" t="n">
        <x:v>0</x:v>
      </x:c>
      <x:c r="O338" s="20" t="n">
        <x:v>0</x:v>
      </x:c>
      <x:c r="P338" s="20" t="n">
        <x:v>65103.05</x:v>
      </x:c>
      <x:c r="Q338" s="10" t="str">
        <x:v>Vencido</x:v>
      </x:c>
      <x:c r="R338" s="10" t="str">
        <x:v>Débito em Conta</x:v>
      </x:c>
      <x:c r="S338" s="10" t="str">
        <x:v>2025-11</x:v>
      </x:c>
      <x:c r="T338" s="10" t="n">
        <x:v>17</x:v>
      </x:c>
      <x:c r="U338" s="10" t="str">
        <x:v>1 a 30 dias</x:v>
      </x:c>
      <x:c r="V338" s="10" t="str">
        <x:v>Baixo</x:v>
      </x:c>
      <x:c r="W338" s="10" t="str">
        <x:v>Tecnologia</x:v>
      </x:c>
      <x:c r="X338" s="10" t="str">
        <x:v>UND003</x:v>
      </x:c>
    </x:row>
    <x:row r="339" ht="18" customHeight="1">
      <x:c r="A339" s="10" t="str">
        <x:v>REC00338</x:v>
      </x:c>
      <x:c r="B339" s="10" t="str">
        <x:v>EMP003</x:v>
      </x:c>
      <x:c r="C339" s="10" t="str">
        <x:v>CLI032</x:v>
      </x:c>
      <x:c r="D339" s="10" t="str">
        <x:v>CC001</x:v>
      </x:c>
      <x:c r="E339" s="10" t="str">
        <x:v>CAT001</x:v>
      </x:c>
      <x:c r="F339" s="10" t="str">
        <x:v>CTA005</x:v>
      </x:c>
      <x:c r="G339" s="10" t="str">
        <x:v>FAT-200338</x:v>
      </x:c>
      <x:c r="H339" s="10" t="str">
        <x:v>Prestação de serviços</x:v>
      </x:c>
      <x:c r="I339" s="16" t="n">
        <x:v>45325.1837965625</x:v>
      </x:c>
      <x:c r="J339" s="16" t="n">
        <x:v>45360.1837965625</x:v>
      </x:c>
      <x:c r="K339" s="16" t="n">
        <x:v>45366.1837965625</x:v>
      </x:c>
      <x:c r="L339" s="20" t="n">
        <x:v>986.14</x:v>
      </x:c>
      <x:c r="M339" s="20" t="n">
        <x:v>4.73</x:v>
      </x:c>
      <x:c r="N339" s="20" t="n">
        <x:v>0</x:v>
      </x:c>
      <x:c r="O339" s="20" t="n">
        <x:v>990.87</x:v>
      </x:c>
      <x:c r="P339" s="20" t="n">
        <x:v>0</x:v>
      </x:c>
      <x:c r="Q339" s="10" t="str">
        <x:v>Recebido</x:v>
      </x:c>
      <x:c r="R339" s="10" t="str">
        <x:v>TED</x:v>
      </x:c>
      <x:c r="S339" s="10" t="str">
        <x:v>2024-02</x:v>
      </x:c>
      <x:c r="T339" s="10" t="n">
        <x:v>0</x:v>
      </x:c>
      <x:c r="U339" s="10" t="str">
        <x:v>Liquidado</x:v>
      </x:c>
      <x:c r="V339" s="10" t="str">
        <x:v>Baixo</x:v>
      </x:c>
      <x:c r="W339" s="10" t="str">
        <x:v>Tecnologia</x:v>
      </x:c>
      <x:c r="X339" s="10" t="str">
        <x:v>UND004</x:v>
      </x:c>
    </x:row>
    <x:row r="340" ht="18" customHeight="1">
      <x:c r="A340" s="10" t="str">
        <x:v>REC00339</x:v>
      </x:c>
      <x:c r="B340" s="10" t="str">
        <x:v>EMP002</x:v>
      </x:c>
      <x:c r="C340" s="10" t="str">
        <x:v>CLI023</x:v>
      </x:c>
      <x:c r="D340" s="10" t="str">
        <x:v>CC003</x:v>
      </x:c>
      <x:c r="E340" s="10" t="str">
        <x:v>CAT004</x:v>
      </x:c>
      <x:c r="F340" s="10" t="str">
        <x:v>CTA003</x:v>
      </x:c>
      <x:c r="G340" s="10" t="str">
        <x:v>FAT-200339</x:v>
      </x:c>
      <x:c r="H340" s="10" t="str">
        <x:v>Prestação de serviços</x:v>
      </x:c>
      <x:c r="I340" s="16" t="n">
        <x:v>45409.43565987269</x:v>
      </x:c>
      <x:c r="J340" s="16" t="n">
        <x:v>45430.43565987269</x:v>
      </x:c>
      <x:c r="K340" s="16" t="n">
        <x:v>45431.43565987269</x:v>
      </x:c>
      <x:c r="L340" s="20" t="n">
        <x:v>51615.59</x:v>
      </x:c>
      <x:c r="M340" s="20" t="n">
        <x:v>41.29</x:v>
      </x:c>
      <x:c r="N340" s="20" t="n">
        <x:v>0</x:v>
      </x:c>
      <x:c r="O340" s="20" t="n">
        <x:v>51656.88</x:v>
      </x:c>
      <x:c r="P340" s="20" t="n">
        <x:v>0</x:v>
      </x:c>
      <x:c r="Q340" s="10" t="str">
        <x:v>Recebido</x:v>
      </x:c>
      <x:c r="R340" s="10" t="str">
        <x:v>Boleto</x:v>
      </x:c>
      <x:c r="S340" s="10" t="str">
        <x:v>2024-04</x:v>
      </x:c>
      <x:c r="T340" s="10" t="n">
        <x:v>0</x:v>
      </x:c>
      <x:c r="U340" s="10" t="str">
        <x:v>Liquidado</x:v>
      </x:c>
      <x:c r="V340" s="10" t="str">
        <x:v>Médio</x:v>
      </x:c>
      <x:c r="W340" s="10" t="str">
        <x:v>Atacado</x:v>
      </x:c>
      <x:c r="X340" s="10" t="str">
        <x:v>UND003</x:v>
      </x:c>
    </x:row>
    <x:row r="341" ht="18" customHeight="1">
      <x:c r="A341" s="10" t="str">
        <x:v>REC00340</x:v>
      </x:c>
      <x:c r="B341" s="10" t="str">
        <x:v>EMP001</x:v>
      </x:c>
      <x:c r="C341" s="10" t="str">
        <x:v>CLI007</x:v>
      </x:c>
      <x:c r="D341" s="10" t="str">
        <x:v>CC004</x:v>
      </x:c>
      <x:c r="E341" s="10" t="str">
        <x:v>CAT002</x:v>
      </x:c>
      <x:c r="F341" s="10" t="str">
        <x:v>CTA001</x:v>
      </x:c>
      <x:c r="G341" s="10" t="str">
        <x:v>FAT-200340</x:v>
      </x:c>
      <x:c r="H341" s="10" t="str">
        <x:v>Prestação de serviços</x:v>
      </x:c>
      <x:c r="I341" s="16" t="n">
        <x:v>45970.686624201386</x:v>
      </x:c>
      <x:c r="J341" s="16" t="n">
        <x:v>46030.686624201386</x:v>
      </x:c>
      <x:c r="K341" s="16"/>
      <x:c r="L341" s="20" t="n">
        <x:v>31430.19</x:v>
      </x:c>
      <x:c r="M341" s="20" t="n">
        <x:v>0</x:v>
      </x:c>
      <x:c r="N341" s="20" t="n">
        <x:v>0</x:v>
      </x:c>
      <x:c r="O341" s="20" t="n">
        <x:v>0</x:v>
      </x:c>
      <x:c r="P341" s="20" t="n">
        <x:v>31430.19</x:v>
      </x:c>
      <x:c r="Q341" s="10" t="str">
        <x:v>A vencer</x:v>
      </x:c>
      <x:c r="R341" s="10" t="str">
        <x:v>Boleto</x:v>
      </x:c>
      <x:c r="S341" s="10" t="str">
        <x:v>2025-11</x:v>
      </x:c>
      <x:c r="T341" s="10" t="n">
        <x:v>0</x:v>
      </x:c>
      <x:c r="U341" s="10" t="str">
        <x:v>A vencer</x:v>
      </x:c>
      <x:c r="V341" s="10" t="str">
        <x:v>Baixo</x:v>
      </x:c>
      <x:c r="W341" s="10" t="str">
        <x:v>Atacado</x:v>
      </x:c>
      <x:c r="X341" s="10" t="str">
        <x:v>UND001</x:v>
      </x:c>
    </x:row>
    <x:row r="342" ht="18" customHeight="1">
      <x:c r="A342" s="10" t="str">
        <x:v>REC00341</x:v>
      </x:c>
      <x:c r="B342" s="10" t="str">
        <x:v>EMP003</x:v>
      </x:c>
      <x:c r="C342" s="10" t="str">
        <x:v>CLI025</x:v>
      </x:c>
      <x:c r="D342" s="10" t="str">
        <x:v>CC003</x:v>
      </x:c>
      <x:c r="E342" s="10" t="str">
        <x:v>CAT001</x:v>
      </x:c>
      <x:c r="F342" s="10" t="str">
        <x:v>CTA006</x:v>
      </x:c>
      <x:c r="G342" s="10" t="str">
        <x:v>FAT-200341</x:v>
      </x:c>
      <x:c r="H342" s="10" t="str">
        <x:v>Venda de produtos</x:v>
      </x:c>
      <x:c r="I342" s="16" t="n">
        <x:v>45866.20370922454</x:v>
      </x:c>
      <x:c r="J342" s="16" t="n">
        <x:v>45911.20370922454</x:v>
      </x:c>
      <x:c r="K342" s="16" t="n">
        <x:v>45911.20370922454</x:v>
      </x:c>
      <x:c r="L342" s="20" t="n">
        <x:v>81925.18</x:v>
      </x:c>
      <x:c r="M342" s="20" t="n">
        <x:v>0</x:v>
      </x:c>
      <x:c r="N342" s="20" t="n">
        <x:v>0</x:v>
      </x:c>
      <x:c r="O342" s="20" t="n">
        <x:v>81925.18</x:v>
      </x:c>
      <x:c r="P342" s="20" t="n">
        <x:v>0</x:v>
      </x:c>
      <x:c r="Q342" s="10" t="str">
        <x:v>Recebido</x:v>
      </x:c>
      <x:c r="R342" s="10" t="str">
        <x:v>PIX</x:v>
      </x:c>
      <x:c r="S342" s="10" t="str">
        <x:v>2025-07</x:v>
      </x:c>
      <x:c r="T342" s="10" t="n">
        <x:v>0</x:v>
      </x:c>
      <x:c r="U342" s="10" t="str">
        <x:v>Liquidado</x:v>
      </x:c>
      <x:c r="V342" s="10" t="str">
        <x:v>Médio</x:v>
      </x:c>
      <x:c r="W342" s="10" t="str">
        <x:v>Indústria</x:v>
      </x:c>
      <x:c r="X342" s="10" t="str">
        <x:v>UND004</x:v>
      </x:c>
    </x:row>
    <x:row r="343" ht="18" customHeight="1">
      <x:c r="A343" s="10" t="str">
        <x:v>REC00342</x:v>
      </x:c>
      <x:c r="B343" s="10" t="str">
        <x:v>EMP001</x:v>
      </x:c>
      <x:c r="C343" s="10" t="str">
        <x:v>CLI033</x:v>
      </x:c>
      <x:c r="D343" s="10" t="str">
        <x:v>CC004</x:v>
      </x:c>
      <x:c r="E343" s="10" t="str">
        <x:v>CAT002</x:v>
      </x:c>
      <x:c r="F343" s="10" t="str">
        <x:v>CTA002</x:v>
      </x:c>
      <x:c r="G343" s="10" t="str">
        <x:v>FAT-200342</x:v>
      </x:c>
      <x:c r="H343" s="10" t="str">
        <x:v>Projeto especial</x:v>
      </x:c>
      <x:c r="I343" s="16" t="n">
        <x:v>45626.65732145833</x:v>
      </x:c>
      <x:c r="J343" s="16" t="n">
        <x:v>45686.65732145833</x:v>
      </x:c>
      <x:c r="K343" s="16" t="n">
        <x:v>45696.65732145833</x:v>
      </x:c>
      <x:c r="L343" s="20" t="n">
        <x:v>75555.13</x:v>
      </x:c>
      <x:c r="M343" s="20" t="n">
        <x:v>604.44</x:v>
      </x:c>
      <x:c r="N343" s="20" t="n">
        <x:v>0</x:v>
      </x:c>
      <x:c r="O343" s="20" t="n">
        <x:v>76159.57</x:v>
      </x:c>
      <x:c r="P343" s="20" t="n">
        <x:v>0</x:v>
      </x:c>
      <x:c r="Q343" s="10" t="str">
        <x:v>Recebido</x:v>
      </x:c>
      <x:c r="R343" s="10" t="str">
        <x:v>PIX</x:v>
      </x:c>
      <x:c r="S343" s="10" t="str">
        <x:v>2024-11</x:v>
      </x:c>
      <x:c r="T343" s="10" t="n">
        <x:v>0</x:v>
      </x:c>
      <x:c r="U343" s="10" t="str">
        <x:v>Liquidado</x:v>
      </x:c>
      <x:c r="V343" s="10" t="str">
        <x:v>Médio</x:v>
      </x:c>
      <x:c r="W343" s="10" t="str">
        <x:v>Varejo</x:v>
      </x:c>
      <x:c r="X343" s="10" t="str">
        <x:v>UND001</x:v>
      </x:c>
    </x:row>
    <x:row r="344" ht="18" customHeight="1">
      <x:c r="A344" s="10" t="str">
        <x:v>REC00343</x:v>
      </x:c>
      <x:c r="B344" s="10" t="str">
        <x:v>EMP003</x:v>
      </x:c>
      <x:c r="C344" s="10" t="str">
        <x:v>CLI018</x:v>
      </x:c>
      <x:c r="D344" s="10" t="str">
        <x:v>CC004</x:v>
      </x:c>
      <x:c r="E344" s="10" t="str">
        <x:v>CAT003</x:v>
      </x:c>
      <x:c r="F344" s="10" t="str">
        <x:v>CTA005</x:v>
      </x:c>
      <x:c r="G344" s="10" t="str">
        <x:v>FAT-200343</x:v>
      </x:c>
      <x:c r="H344" s="10" t="str">
        <x:v>Frete faturado</x:v>
      </x:c>
      <x:c r="I344" s="16" t="n">
        <x:v>45776.56730596065</x:v>
      </x:c>
      <x:c r="J344" s="16" t="n">
        <x:v>45836.56730596065</x:v>
      </x:c>
      <x:c r="K344" s="16"/>
      <x:c r="L344" s="20" t="n">
        <x:v>69473.28</x:v>
      </x:c>
      <x:c r="M344" s="20" t="n">
        <x:v>0</x:v>
      </x:c>
      <x:c r="N344" s="20" t="n">
        <x:v>0</x:v>
      </x:c>
      <x:c r="O344" s="20" t="n">
        <x:v>0</x:v>
      </x:c>
      <x:c r="P344" s="20" t="n">
        <x:v>69473.28</x:v>
      </x:c>
      <x:c r="Q344" s="10" t="str">
        <x:v>Vencido</x:v>
      </x:c>
      <x:c r="R344" s="10" t="str">
        <x:v>Cartão</x:v>
      </x:c>
      <x:c r="S344" s="10" t="str">
        <x:v>2025-04</x:v>
      </x:c>
      <x:c r="T344" s="10" t="n">
        <x:v>185</x:v>
      </x:c>
      <x:c r="U344" s="10" t="str">
        <x:v>&gt; 120 dias</x:v>
      </x:c>
      <x:c r="V344" s="10" t="str">
        <x:v>Médio</x:v>
      </x:c>
      <x:c r="W344" s="10" t="str">
        <x:v>Indústria</x:v>
      </x:c>
      <x:c r="X344" s="10" t="str">
        <x:v>UND004</x:v>
      </x:c>
    </x:row>
    <x:row r="345" ht="18" customHeight="1">
      <x:c r="A345" s="10" t="str">
        <x:v>REC00344</x:v>
      </x:c>
      <x:c r="B345" s="10" t="str">
        <x:v>EMP001</x:v>
      </x:c>
      <x:c r="C345" s="10" t="str">
        <x:v>CLI035</x:v>
      </x:c>
      <x:c r="D345" s="10" t="str">
        <x:v>CC007</x:v>
      </x:c>
      <x:c r="E345" s="10" t="str">
        <x:v>CAT003</x:v>
      </x:c>
      <x:c r="F345" s="10" t="str">
        <x:v>CTA001</x:v>
      </x:c>
      <x:c r="G345" s="10" t="str">
        <x:v>FAT-200344</x:v>
      </x:c>
      <x:c r="H345" s="10" t="str">
        <x:v>Contrato mensal</x:v>
      </x:c>
      <x:c r="I345" s="16" t="n">
        <x:v>45916.97669306713</x:v>
      </x:c>
      <x:c r="J345" s="16" t="n">
        <x:v>45951.97669306713</x:v>
      </x:c>
      <x:c r="K345" s="16"/>
      <x:c r="L345" s="20" t="n">
        <x:v>112991.06</x:v>
      </x:c>
      <x:c r="M345" s="20" t="n">
        <x:v>0</x:v>
      </x:c>
      <x:c r="N345" s="20" t="n">
        <x:v>0</x:v>
      </x:c>
      <x:c r="O345" s="20" t="n">
        <x:v>0</x:v>
      </x:c>
      <x:c r="P345" s="20" t="n">
        <x:v>112991.06</x:v>
      </x:c>
      <x:c r="Q345" s="10" t="str">
        <x:v>Vencido</x:v>
      </x:c>
      <x:c r="R345" s="10" t="str">
        <x:v>Cartão</x:v>
      </x:c>
      <x:c r="S345" s="10" t="str">
        <x:v>2025-09</x:v>
      </x:c>
      <x:c r="T345" s="10" t="n">
        <x:v>70</x:v>
      </x:c>
      <x:c r="U345" s="10" t="str">
        <x:v>61 a 90 dias</x:v>
      </x:c>
      <x:c r="V345" s="10" t="str">
        <x:v>Médio</x:v>
      </x:c>
      <x:c r="W345" s="10" t="str">
        <x:v>Varejo</x:v>
      </x:c>
      <x:c r="X345" s="10" t="str">
        <x:v>UND002</x:v>
      </x:c>
    </x:row>
    <x:row r="346" ht="18" customHeight="1">
      <x:c r="A346" s="10" t="str">
        <x:v>REC00345</x:v>
      </x:c>
      <x:c r="B346" s="10" t="str">
        <x:v>EMP002</x:v>
      </x:c>
      <x:c r="C346" s="10" t="str">
        <x:v>CLI045</x:v>
      </x:c>
      <x:c r="D346" s="10" t="str">
        <x:v>CC004</x:v>
      </x:c>
      <x:c r="E346" s="10" t="str">
        <x:v>CAT004</x:v>
      </x:c>
      <x:c r="F346" s="10" t="str">
        <x:v>CTA004</x:v>
      </x:c>
      <x:c r="G346" s="10" t="str">
        <x:v>FAT-200345</x:v>
      </x:c>
      <x:c r="H346" s="10" t="str">
        <x:v>Projeto especial</x:v>
      </x:c>
      <x:c r="I346" s="16" t="n">
        <x:v>45707.33758607639</x:v>
      </x:c>
      <x:c r="J346" s="16" t="n">
        <x:v>45722.33758607639</x:v>
      </x:c>
      <x:c r="K346" s="16"/>
      <x:c r="L346" s="20" t="n">
        <x:v>24008</x:v>
      </x:c>
      <x:c r="M346" s="20" t="n">
        <x:v>0</x:v>
      </x:c>
      <x:c r="N346" s="20" t="n">
        <x:v>0</x:v>
      </x:c>
      <x:c r="O346" s="20" t="n">
        <x:v>0</x:v>
      </x:c>
      <x:c r="P346" s="20" t="n">
        <x:v>24008</x:v>
      </x:c>
      <x:c r="Q346" s="10" t="str">
        <x:v>Vencido</x:v>
      </x:c>
      <x:c r="R346" s="10" t="str">
        <x:v>TED</x:v>
      </x:c>
      <x:c r="S346" s="10" t="str">
        <x:v>2025-02</x:v>
      </x:c>
      <x:c r="T346" s="10" t="n">
        <x:v>299</x:v>
      </x:c>
      <x:c r="U346" s="10" t="str">
        <x:v>&gt; 120 dias</x:v>
      </x:c>
      <x:c r="V346" s="10" t="str">
        <x:v>Baixo</x:v>
      </x:c>
      <x:c r="W346" s="10" t="str">
        <x:v>Varejo</x:v>
      </x:c>
      <x:c r="X346" s="10" t="str">
        <x:v>UND003</x:v>
      </x:c>
    </x:row>
    <x:row r="347" ht="18" customHeight="1">
      <x:c r="A347" s="10" t="str">
        <x:v>REC00346</x:v>
      </x:c>
      <x:c r="B347" s="10" t="str">
        <x:v>EMP002</x:v>
      </x:c>
      <x:c r="C347" s="10" t="str">
        <x:v>CLI031</x:v>
      </x:c>
      <x:c r="D347" s="10" t="str">
        <x:v>CC001</x:v>
      </x:c>
      <x:c r="E347" s="10" t="str">
        <x:v>CAT003</x:v>
      </x:c>
      <x:c r="F347" s="10" t="str">
        <x:v>CTA003</x:v>
      </x:c>
      <x:c r="G347" s="10" t="str">
        <x:v>FAT-200346</x:v>
      </x:c>
      <x:c r="H347" s="10" t="str">
        <x:v>Prestação de serviços</x:v>
      </x:c>
      <x:c r="I347" s="16" t="n">
        <x:v>45785.815088564814</x:v>
      </x:c>
      <x:c r="J347" s="16" t="n">
        <x:v>45830.815088564814</x:v>
      </x:c>
      <x:c r="K347" s="16" t="n">
        <x:v>45829.815088564814</x:v>
      </x:c>
      <x:c r="L347" s="20" t="n">
        <x:v>29933.54</x:v>
      </x:c>
      <x:c r="M347" s="20" t="n">
        <x:v>0</x:v>
      </x:c>
      <x:c r="N347" s="20" t="n">
        <x:v>149.67</x:v>
      </x:c>
      <x:c r="O347" s="20" t="n">
        <x:v>29783.87</x:v>
      </x:c>
      <x:c r="P347" s="20" t="n">
        <x:v>0</x:v>
      </x:c>
      <x:c r="Q347" s="10" t="str">
        <x:v>Recebido</x:v>
      </x:c>
      <x:c r="R347" s="10" t="str">
        <x:v>Cartão</x:v>
      </x:c>
      <x:c r="S347" s="10" t="str">
        <x:v>2025-05</x:v>
      </x:c>
      <x:c r="T347" s="10" t="n">
        <x:v>0</x:v>
      </x:c>
      <x:c r="U347" s="10" t="str">
        <x:v>Liquidado</x:v>
      </x:c>
      <x:c r="V347" s="10" t="str">
        <x:v>Baixo</x:v>
      </x:c>
      <x:c r="W347" s="10" t="str">
        <x:v>Serviços</x:v>
      </x:c>
      <x:c r="X347" s="10" t="str">
        <x:v>UND003</x:v>
      </x:c>
    </x:row>
    <x:row r="348" ht="18" customHeight="1">
      <x:c r="A348" s="10" t="str">
        <x:v>REC00347</x:v>
      </x:c>
      <x:c r="B348" s="10" t="str">
        <x:v>EMP003</x:v>
      </x:c>
      <x:c r="C348" s="10" t="str">
        <x:v>CLI021</x:v>
      </x:c>
      <x:c r="D348" s="10" t="str">
        <x:v>CC006</x:v>
      </x:c>
      <x:c r="E348" s="10" t="str">
        <x:v>CAT004</x:v>
      </x:c>
      <x:c r="F348" s="10" t="str">
        <x:v>CTA005</x:v>
      </x:c>
      <x:c r="G348" s="10" t="str">
        <x:v>FAT-200347</x:v>
      </x:c>
      <x:c r="H348" s="10" t="str">
        <x:v>Contrato mensal</x:v>
      </x:c>
      <x:c r="I348" s="16" t="n">
        <x:v>45576.593475960646</x:v>
      </x:c>
      <x:c r="J348" s="16" t="n">
        <x:v>45636.593475960646</x:v>
      </x:c>
      <x:c r="K348" s="16" t="n">
        <x:v>45634.593475960646</x:v>
      </x:c>
      <x:c r="L348" s="20" t="n">
        <x:v>99356.42</x:v>
      </x:c>
      <x:c r="M348" s="20" t="n">
        <x:v>0</x:v>
      </x:c>
      <x:c r="N348" s="20" t="n">
        <x:v>0</x:v>
      </x:c>
      <x:c r="O348" s="20" t="n">
        <x:v>99356.42</x:v>
      </x:c>
      <x:c r="P348" s="20" t="n">
        <x:v>0</x:v>
      </x:c>
      <x:c r="Q348" s="10" t="str">
        <x:v>Recebido</x:v>
      </x:c>
      <x:c r="R348" s="10" t="str">
        <x:v>Débito em Conta</x:v>
      </x:c>
      <x:c r="S348" s="10" t="str">
        <x:v>2024-10</x:v>
      </x:c>
      <x:c r="T348" s="10" t="n">
        <x:v>0</x:v>
      </x:c>
      <x:c r="U348" s="10" t="str">
        <x:v>Liquidado</x:v>
      </x:c>
      <x:c r="V348" s="10" t="str">
        <x:v>Baixo</x:v>
      </x:c>
      <x:c r="W348" s="10" t="str">
        <x:v>Indústria</x:v>
      </x:c>
      <x:c r="X348" s="10" t="str">
        <x:v>UND004</x:v>
      </x:c>
    </x:row>
    <x:row r="349" ht="18" customHeight="1">
      <x:c r="A349" s="10" t="str">
        <x:v>REC00348</x:v>
      </x:c>
      <x:c r="B349" s="10" t="str">
        <x:v>EMP003</x:v>
      </x:c>
      <x:c r="C349" s="10" t="str">
        <x:v>CLI044</x:v>
      </x:c>
      <x:c r="D349" s="10" t="str">
        <x:v>CC007</x:v>
      </x:c>
      <x:c r="E349" s="10" t="str">
        <x:v>CAT001</x:v>
      </x:c>
      <x:c r="F349" s="10" t="str">
        <x:v>CTA005</x:v>
      </x:c>
      <x:c r="G349" s="10" t="str">
        <x:v>FAT-200348</x:v>
      </x:c>
      <x:c r="H349" s="10" t="str">
        <x:v>Contrato mensal</x:v>
      </x:c>
      <x:c r="I349" s="16" t="n">
        <x:v>45333.27425174769</x:v>
      </x:c>
      <x:c r="J349" s="16" t="n">
        <x:v>45368.27425174769</x:v>
      </x:c>
      <x:c r="K349" s="16" t="n">
        <x:v>45393.27425174769</x:v>
      </x:c>
      <x:c r="L349" s="20" t="n">
        <x:v>105013.28</x:v>
      </x:c>
      <x:c r="M349" s="20" t="n">
        <x:v>2100.27</x:v>
      </x:c>
      <x:c r="N349" s="20" t="n">
        <x:v>0</x:v>
      </x:c>
      <x:c r="O349" s="20" t="n">
        <x:v>107113.55</x:v>
      </x:c>
      <x:c r="P349" s="20" t="n">
        <x:v>0</x:v>
      </x:c>
      <x:c r="Q349" s="10" t="str">
        <x:v>Recebido</x:v>
      </x:c>
      <x:c r="R349" s="10" t="str">
        <x:v>PIX</x:v>
      </x:c>
      <x:c r="S349" s="10" t="str">
        <x:v>2024-02</x:v>
      </x:c>
      <x:c r="T349" s="10" t="n">
        <x:v>0</x:v>
      </x:c>
      <x:c r="U349" s="10" t="str">
        <x:v>Liquidado</x:v>
      </x:c>
      <x:c r="V349" s="10" t="str">
        <x:v>Alto</x:v>
      </x:c>
      <x:c r="W349" s="10" t="str">
        <x:v>Varejo</x:v>
      </x:c>
      <x:c r="X349" s="10" t="str">
        <x:v>UND004</x:v>
      </x:c>
    </x:row>
    <x:row r="350" ht="18" customHeight="1">
      <x:c r="A350" s="10" t="str">
        <x:v>REC00349</x:v>
      </x:c>
      <x:c r="B350" s="10" t="str">
        <x:v>EMP002</x:v>
      </x:c>
      <x:c r="C350" s="10" t="str">
        <x:v>CLI013</x:v>
      </x:c>
      <x:c r="D350" s="10" t="str">
        <x:v>CC005</x:v>
      </x:c>
      <x:c r="E350" s="10" t="str">
        <x:v>CAT001</x:v>
      </x:c>
      <x:c r="F350" s="10" t="str">
        <x:v>CTA004</x:v>
      </x:c>
      <x:c r="G350" s="10" t="str">
        <x:v>FAT-200349</x:v>
      </x:c>
      <x:c r="H350" s="10" t="str">
        <x:v>Contrato mensal</x:v>
      </x:c>
      <x:c r="I350" s="16" t="n">
        <x:v>45895.378028784726</x:v>
      </x:c>
      <x:c r="J350" s="16" t="n">
        <x:v>45910.378028784726</x:v>
      </x:c>
      <x:c r="K350" s="16" t="n">
        <x:v>45911.378028784726</x:v>
      </x:c>
      <x:c r="L350" s="20" t="n">
        <x:v>37075.51</x:v>
      </x:c>
      <x:c r="M350" s="20" t="n">
        <x:v>29.66</x:v>
      </x:c>
      <x:c r="N350" s="20" t="n">
        <x:v>0</x:v>
      </x:c>
      <x:c r="O350" s="20" t="n">
        <x:v>37105.17</x:v>
      </x:c>
      <x:c r="P350" s="20" t="n">
        <x:v>0</x:v>
      </x:c>
      <x:c r="Q350" s="10" t="str">
        <x:v>Recebido</x:v>
      </x:c>
      <x:c r="R350" s="10" t="str">
        <x:v>Débito em Conta</x:v>
      </x:c>
      <x:c r="S350" s="10" t="str">
        <x:v>2025-08</x:v>
      </x:c>
      <x:c r="T350" s="10" t="n">
        <x:v>0</x:v>
      </x:c>
      <x:c r="U350" s="10" t="str">
        <x:v>Liquidado</x:v>
      </x:c>
      <x:c r="V350" s="10" t="str">
        <x:v>Baixo</x:v>
      </x:c>
      <x:c r="W350" s="10" t="str">
        <x:v>Serviços</x:v>
      </x:c>
      <x:c r="X350" s="10" t="str">
        <x:v>UND003</x:v>
      </x:c>
    </x:row>
    <x:row r="351" ht="18" customHeight="1">
      <x:c r="A351" s="10" t="str">
        <x:v>REC00350</x:v>
      </x:c>
      <x:c r="B351" s="10" t="str">
        <x:v>EMP003</x:v>
      </x:c>
      <x:c r="C351" s="10" t="str">
        <x:v>CLI052</x:v>
      </x:c>
      <x:c r="D351" s="10" t="str">
        <x:v>CC001</x:v>
      </x:c>
      <x:c r="E351" s="10" t="str">
        <x:v>CAT004</x:v>
      </x:c>
      <x:c r="F351" s="10" t="str">
        <x:v>CTA006</x:v>
      </x:c>
      <x:c r="G351" s="10" t="str">
        <x:v>FAT-200350</x:v>
      </x:c>
      <x:c r="H351" s="10" t="str">
        <x:v>Prestação de serviços</x:v>
      </x:c>
      <x:c r="I351" s="16" t="n">
        <x:v>45765.4550590162</x:v>
      </x:c>
      <x:c r="J351" s="16" t="n">
        <x:v>45825.4550590162</x:v>
      </x:c>
      <x:c r="K351" s="16" t="n">
        <x:v>45825.4550590162</x:v>
      </x:c>
      <x:c r="L351" s="20" t="n">
        <x:v>35648.61</x:v>
      </x:c>
      <x:c r="M351" s="20" t="n">
        <x:v>0</x:v>
      </x:c>
      <x:c r="N351" s="20" t="n">
        <x:v>0</x:v>
      </x:c>
      <x:c r="O351" s="20" t="n">
        <x:v>35648.61</x:v>
      </x:c>
      <x:c r="P351" s="20" t="n">
        <x:v>0</x:v>
      </x:c>
      <x:c r="Q351" s="10" t="str">
        <x:v>Recebido</x:v>
      </x:c>
      <x:c r="R351" s="10" t="str">
        <x:v>PIX</x:v>
      </x:c>
      <x:c r="S351" s="10" t="str">
        <x:v>2025-04</x:v>
      </x:c>
      <x:c r="T351" s="10" t="n">
        <x:v>0</x:v>
      </x:c>
      <x:c r="U351" s="10" t="str">
        <x:v>Liquidado</x:v>
      </x:c>
      <x:c r="V351" s="10" t="str">
        <x:v>Baixo</x:v>
      </x:c>
      <x:c r="W351" s="10" t="str">
        <x:v>Varejo</x:v>
      </x:c>
      <x:c r="X351" s="10" t="str">
        <x:v>UND004</x:v>
      </x:c>
    </x:row>
    <x:row r="352" ht="18" customHeight="1">
      <x:c r="A352" s="10" t="str">
        <x:v>REC00351</x:v>
      </x:c>
      <x:c r="B352" s="10" t="str">
        <x:v>EMP003</x:v>
      </x:c>
      <x:c r="C352" s="10" t="str">
        <x:v>CLI072</x:v>
      </x:c>
      <x:c r="D352" s="10" t="str">
        <x:v>CC004</x:v>
      </x:c>
      <x:c r="E352" s="10" t="str">
        <x:v>CAT001</x:v>
      </x:c>
      <x:c r="F352" s="10" t="str">
        <x:v>CTA005</x:v>
      </x:c>
      <x:c r="G352" s="10" t="str">
        <x:v>FAT-200351</x:v>
      </x:c>
      <x:c r="H352" s="10" t="str">
        <x:v>Contrato mensal</x:v>
      </x:c>
      <x:c r="I352" s="16" t="n">
        <x:v>45526.35491539352</x:v>
      </x:c>
      <x:c r="J352" s="16" t="n">
        <x:v>45561.35491539352</x:v>
      </x:c>
      <x:c r="K352" s="16" t="n">
        <x:v>45562.35491539352</x:v>
      </x:c>
      <x:c r="L352" s="20" t="n">
        <x:v>1178.76</x:v>
      </x:c>
      <x:c r="M352" s="20" t="n">
        <x:v>0.94</x:v>
      </x:c>
      <x:c r="N352" s="20" t="n">
        <x:v>0</x:v>
      </x:c>
      <x:c r="O352" s="20" t="n">
        <x:v>1179.7</x:v>
      </x:c>
      <x:c r="P352" s="20" t="n">
        <x:v>0</x:v>
      </x:c>
      <x:c r="Q352" s="10" t="str">
        <x:v>Recebido</x:v>
      </x:c>
      <x:c r="R352" s="10" t="str">
        <x:v>PIX</x:v>
      </x:c>
      <x:c r="S352" s="10" t="str">
        <x:v>2024-08</x:v>
      </x:c>
      <x:c r="T352" s="10" t="n">
        <x:v>0</x:v>
      </x:c>
      <x:c r="U352" s="10" t="str">
        <x:v>Liquidado</x:v>
      </x:c>
      <x:c r="V352" s="10" t="str">
        <x:v>Alto</x:v>
      </x:c>
      <x:c r="W352" s="10" t="str">
        <x:v>Varejo</x:v>
      </x:c>
      <x:c r="X352" s="10" t="str">
        <x:v>UND004</x:v>
      </x:c>
    </x:row>
    <x:row r="353" ht="18" customHeight="1">
      <x:c r="A353" s="10" t="str">
        <x:v>REC00352</x:v>
      </x:c>
      <x:c r="B353" s="10" t="str">
        <x:v>EMP003</x:v>
      </x:c>
      <x:c r="C353" s="10" t="str">
        <x:v>CLI069</x:v>
      </x:c>
      <x:c r="D353" s="10" t="str">
        <x:v>CC002</x:v>
      </x:c>
      <x:c r="E353" s="10" t="str">
        <x:v>CAT001</x:v>
      </x:c>
      <x:c r="F353" s="10" t="str">
        <x:v>CTA006</x:v>
      </x:c>
      <x:c r="G353" s="10" t="str">
        <x:v>FAT-200352</x:v>
      </x:c>
      <x:c r="H353" s="10" t="str">
        <x:v>Projeto especial</x:v>
      </x:c>
      <x:c r="I353" s="16" t="n">
        <x:v>45597.581729652775</x:v>
      </x:c>
      <x:c r="J353" s="16" t="n">
        <x:v>45657.581729652775</x:v>
      </x:c>
      <x:c r="K353" s="16" t="n">
        <x:v>45672.581729652775</x:v>
      </x:c>
      <x:c r="L353" s="20" t="n">
        <x:v>45176.78</x:v>
      </x:c>
      <x:c r="M353" s="20" t="n">
        <x:v>542.12</x:v>
      </x:c>
      <x:c r="N353" s="20" t="n">
        <x:v>0</x:v>
      </x:c>
      <x:c r="O353" s="20" t="n">
        <x:v>45718.9</x:v>
      </x:c>
      <x:c r="P353" s="20" t="n">
        <x:v>0</x:v>
      </x:c>
      <x:c r="Q353" s="10" t="str">
        <x:v>Recebido</x:v>
      </x:c>
      <x:c r="R353" s="10" t="str">
        <x:v>Boleto</x:v>
      </x:c>
      <x:c r="S353" s="10" t="str">
        <x:v>2024-11</x:v>
      </x:c>
      <x:c r="T353" s="10" t="n">
        <x:v>0</x:v>
      </x:c>
      <x:c r="U353" s="10" t="str">
        <x:v>Liquidado</x:v>
      </x:c>
      <x:c r="V353" s="10" t="str">
        <x:v>Alto</x:v>
      </x:c>
      <x:c r="W353" s="10" t="str">
        <x:v>Tecnologia</x:v>
      </x:c>
      <x:c r="X353" s="10" t="str">
        <x:v>UND004</x:v>
      </x:c>
    </x:row>
    <x:row r="354" ht="18" customHeight="1">
      <x:c r="A354" s="10" t="str">
        <x:v>REC00353</x:v>
      </x:c>
      <x:c r="B354" s="10" t="str">
        <x:v>EMP002</x:v>
      </x:c>
      <x:c r="C354" s="10" t="str">
        <x:v>CLI079</x:v>
      </x:c>
      <x:c r="D354" s="10" t="str">
        <x:v>CC001</x:v>
      </x:c>
      <x:c r="E354" s="10" t="str">
        <x:v>CAT001</x:v>
      </x:c>
      <x:c r="F354" s="10" t="str">
        <x:v>CTA004</x:v>
      </x:c>
      <x:c r="G354" s="10" t="str">
        <x:v>FAT-200353</x:v>
      </x:c>
      <x:c r="H354" s="10" t="str">
        <x:v>Contrato mensal</x:v>
      </x:c>
      <x:c r="I354" s="16" t="n">
        <x:v>45573.70603671296</x:v>
      </x:c>
      <x:c r="J354" s="16" t="n">
        <x:v>45603.70603671296</x:v>
      </x:c>
      <x:c r="K354" s="16" t="n">
        <x:v>45601.70603671296</x:v>
      </x:c>
      <x:c r="L354" s="20" t="n">
        <x:v>29284.38</x:v>
      </x:c>
      <x:c r="M354" s="20" t="n">
        <x:v>0</x:v>
      </x:c>
      <x:c r="N354" s="20" t="n">
        <x:v>0</x:v>
      </x:c>
      <x:c r="O354" s="20" t="n">
        <x:v>29284.38</x:v>
      </x:c>
      <x:c r="P354" s="20" t="n">
        <x:v>0</x:v>
      </x:c>
      <x:c r="Q354" s="10" t="str">
        <x:v>Recebido</x:v>
      </x:c>
      <x:c r="R354" s="10" t="str">
        <x:v>Cartão</x:v>
      </x:c>
      <x:c r="S354" s="10" t="str">
        <x:v>2024-10</x:v>
      </x:c>
      <x:c r="T354" s="10" t="n">
        <x:v>0</x:v>
      </x:c>
      <x:c r="U354" s="10" t="str">
        <x:v>Liquidado</x:v>
      </x:c>
      <x:c r="V354" s="10" t="str">
        <x:v>Baixo</x:v>
      </x:c>
      <x:c r="W354" s="10" t="str">
        <x:v>Tecnologia</x:v>
      </x:c>
      <x:c r="X354" s="10" t="str">
        <x:v>UND003</x:v>
      </x:c>
    </x:row>
    <x:row r="355" ht="18" customHeight="1">
      <x:c r="A355" s="10" t="str">
        <x:v>REC00354</x:v>
      </x:c>
      <x:c r="B355" s="10" t="str">
        <x:v>EMP002</x:v>
      </x:c>
      <x:c r="C355" s="10" t="str">
        <x:v>CLI019</x:v>
      </x:c>
      <x:c r="D355" s="10" t="str">
        <x:v>CC001</x:v>
      </x:c>
      <x:c r="E355" s="10" t="str">
        <x:v>CAT001</x:v>
      </x:c>
      <x:c r="F355" s="10" t="str">
        <x:v>CTA004</x:v>
      </x:c>
      <x:c r="G355" s="10" t="str">
        <x:v>FAT-200354</x:v>
      </x:c>
      <x:c r="H355" s="10" t="str">
        <x:v>Frete faturado</x:v>
      </x:c>
      <x:c r="I355" s="16" t="n">
        <x:v>45307.51896832176</x:v>
      </x:c>
      <x:c r="J355" s="16" t="n">
        <x:v>45335.51896832176</x:v>
      </x:c>
      <x:c r="K355" s="16"/>
      <x:c r="L355" s="20" t="n">
        <x:v>7822.6</x:v>
      </x:c>
      <x:c r="M355" s="20" t="n">
        <x:v>0</x:v>
      </x:c>
      <x:c r="N355" s="20" t="n">
        <x:v>0</x:v>
      </x:c>
      <x:c r="O355" s="20" t="n">
        <x:v>0</x:v>
      </x:c>
      <x:c r="P355" s="20" t="n">
        <x:v>7822.6</x:v>
      </x:c>
      <x:c r="Q355" s="10" t="str">
        <x:v>Vencido</x:v>
      </x:c>
      <x:c r="R355" s="10" t="str">
        <x:v>Cartão</x:v>
      </x:c>
      <x:c r="S355" s="10" t="str">
        <x:v>2024-01</x:v>
      </x:c>
      <x:c r="T355" s="10" t="n">
        <x:v>686</x:v>
      </x:c>
      <x:c r="U355" s="10" t="str">
        <x:v>&gt; 120 dias</x:v>
      </x:c>
      <x:c r="V355" s="10" t="str">
        <x:v>Alto</x:v>
      </x:c>
      <x:c r="W355" s="10" t="str">
        <x:v>Saúde</x:v>
      </x:c>
      <x:c r="X355" s="10" t="str">
        <x:v>UND003</x:v>
      </x:c>
    </x:row>
    <x:row r="356" ht="18" customHeight="1">
      <x:c r="A356" s="10" t="str">
        <x:v>REC00355</x:v>
      </x:c>
      <x:c r="B356" s="10" t="str">
        <x:v>EMP003</x:v>
      </x:c>
      <x:c r="C356" s="10" t="str">
        <x:v>CLI061</x:v>
      </x:c>
      <x:c r="D356" s="10" t="str">
        <x:v>CC006</x:v>
      </x:c>
      <x:c r="E356" s="10" t="str">
        <x:v>CAT002</x:v>
      </x:c>
      <x:c r="F356" s="10" t="str">
        <x:v>CTA005</x:v>
      </x:c>
      <x:c r="G356" s="10" t="str">
        <x:v>FAT-200355</x:v>
      </x:c>
      <x:c r="H356" s="10" t="str">
        <x:v>Prestação de serviços</x:v>
      </x:c>
      <x:c r="I356" s="16" t="n">
        <x:v>45992.330051192126</x:v>
      </x:c>
      <x:c r="J356" s="16" t="n">
        <x:v>46007.330051192126</x:v>
      </x:c>
      <x:c r="K356" s="16" t="n">
        <x:v>46014.330051192126</x:v>
      </x:c>
      <x:c r="L356" s="20" t="n">
        <x:v>68121.44</x:v>
      </x:c>
      <x:c r="M356" s="20" t="n">
        <x:v>381.48</x:v>
      </x:c>
      <x:c r="N356" s="20" t="n">
        <x:v>0</x:v>
      </x:c>
      <x:c r="O356" s="20" t="n">
        <x:v>68502.92</x:v>
      </x:c>
      <x:c r="P356" s="20" t="n">
        <x:v>0</x:v>
      </x:c>
      <x:c r="Q356" s="10" t="str">
        <x:v>Recebido</x:v>
      </x:c>
      <x:c r="R356" s="10" t="str">
        <x:v>PIX</x:v>
      </x:c>
      <x:c r="S356" s="10" t="str">
        <x:v>2025-12</x:v>
      </x:c>
      <x:c r="T356" s="10" t="n">
        <x:v>0</x:v>
      </x:c>
      <x:c r="U356" s="10" t="str">
        <x:v>Liquidado</x:v>
      </x:c>
      <x:c r="V356" s="10" t="str">
        <x:v>Baixo</x:v>
      </x:c>
      <x:c r="W356" s="10" t="str">
        <x:v>Serviços</x:v>
      </x:c>
      <x:c r="X356" s="10" t="str">
        <x:v>UND004</x:v>
      </x:c>
    </x:row>
    <x:row r="357" ht="18" customHeight="1">
      <x:c r="A357" s="10" t="str">
        <x:v>REC00356</x:v>
      </x:c>
      <x:c r="B357" s="10" t="str">
        <x:v>EMP002</x:v>
      </x:c>
      <x:c r="C357" s="10" t="str">
        <x:v>CLI001</x:v>
      </x:c>
      <x:c r="D357" s="10" t="str">
        <x:v>CC008</x:v>
      </x:c>
      <x:c r="E357" s="10" t="str">
        <x:v>CAT003</x:v>
      </x:c>
      <x:c r="F357" s="10" t="str">
        <x:v>CTA003</x:v>
      </x:c>
      <x:c r="G357" s="10" t="str">
        <x:v>FAT-200356</x:v>
      </x:c>
      <x:c r="H357" s="10" t="str">
        <x:v>Venda de produtos</x:v>
      </x:c>
      <x:c r="I357" s="16" t="n">
        <x:v>45452.019161041666</x:v>
      </x:c>
      <x:c r="J357" s="16" t="n">
        <x:v>45467.019161041666</x:v>
      </x:c>
      <x:c r="K357" s="16" t="n">
        <x:v>45465.019161041666</x:v>
      </x:c>
      <x:c r="L357" s="20" t="n">
        <x:v>38083.5</x:v>
      </x:c>
      <x:c r="M357" s="20" t="n">
        <x:v>0</x:v>
      </x:c>
      <x:c r="N357" s="20" t="n">
        <x:v>0</x:v>
      </x:c>
      <x:c r="O357" s="20" t="n">
        <x:v>38083.5</x:v>
      </x:c>
      <x:c r="P357" s="20" t="n">
        <x:v>0</x:v>
      </x:c>
      <x:c r="Q357" s="10" t="str">
        <x:v>Recebido</x:v>
      </x:c>
      <x:c r="R357" s="10" t="str">
        <x:v>Boleto</x:v>
      </x:c>
      <x:c r="S357" s="10" t="str">
        <x:v>2024-06</x:v>
      </x:c>
      <x:c r="T357" s="10" t="n">
        <x:v>0</x:v>
      </x:c>
      <x:c r="U357" s="10" t="str">
        <x:v>Liquidado</x:v>
      </x:c>
      <x:c r="V357" s="10" t="str">
        <x:v>Baixo</x:v>
      </x:c>
      <x:c r="W357" s="10" t="str">
        <x:v>Serviços</x:v>
      </x:c>
      <x:c r="X357" s="10" t="str">
        <x:v>UND003</x:v>
      </x:c>
    </x:row>
    <x:row r="358" ht="18" customHeight="1">
      <x:c r="A358" s="10" t="str">
        <x:v>REC00357</x:v>
      </x:c>
      <x:c r="B358" s="10" t="str">
        <x:v>EMP003</x:v>
      </x:c>
      <x:c r="C358" s="10" t="str">
        <x:v>CLI070</x:v>
      </x:c>
      <x:c r="D358" s="10" t="str">
        <x:v>CC001</x:v>
      </x:c>
      <x:c r="E358" s="10" t="str">
        <x:v>CAT003</x:v>
      </x:c>
      <x:c r="F358" s="10" t="str">
        <x:v>CTA006</x:v>
      </x:c>
      <x:c r="G358" s="10" t="str">
        <x:v>FAT-200357</x:v>
      </x:c>
      <x:c r="H358" s="10" t="str">
        <x:v>Projeto especial</x:v>
      </x:c>
      <x:c r="I358" s="16" t="n">
        <x:v>45651.573819618054</x:v>
      </x:c>
      <x:c r="J358" s="16" t="n">
        <x:v>45681.573819618054</x:v>
      </x:c>
      <x:c r="K358" s="16" t="n">
        <x:v>45687.573819618054</x:v>
      </x:c>
      <x:c r="L358" s="20" t="n">
        <x:v>75311.88</x:v>
      </x:c>
      <x:c r="M358" s="20" t="n">
        <x:v>361.5</x:v>
      </x:c>
      <x:c r="N358" s="20" t="n">
        <x:v>0</x:v>
      </x:c>
      <x:c r="O358" s="20" t="n">
        <x:v>75673.38</x:v>
      </x:c>
      <x:c r="P358" s="20" t="n">
        <x:v>0</x:v>
      </x:c>
      <x:c r="Q358" s="10" t="str">
        <x:v>Recebido</x:v>
      </x:c>
      <x:c r="R358" s="10" t="str">
        <x:v>Boleto</x:v>
      </x:c>
      <x:c r="S358" s="10" t="str">
        <x:v>2024-12</x:v>
      </x:c>
      <x:c r="T358" s="10" t="n">
        <x:v>0</x:v>
      </x:c>
      <x:c r="U358" s="10" t="str">
        <x:v>Liquidado</x:v>
      </x:c>
      <x:c r="V358" s="10" t="str">
        <x:v>Baixo</x:v>
      </x:c>
      <x:c r="W358" s="10" t="str">
        <x:v>Saúde</x:v>
      </x:c>
      <x:c r="X358" s="10" t="str">
        <x:v>UND004</x:v>
      </x:c>
    </x:row>
    <x:row r="359" ht="18" customHeight="1">
      <x:c r="A359" s="10" t="str">
        <x:v>REC00358</x:v>
      </x:c>
      <x:c r="B359" s="10" t="str">
        <x:v>EMP002</x:v>
      </x:c>
      <x:c r="C359" s="10" t="str">
        <x:v>CLI011</x:v>
      </x:c>
      <x:c r="D359" s="10" t="str">
        <x:v>CC003</x:v>
      </x:c>
      <x:c r="E359" s="10" t="str">
        <x:v>CAT002</x:v>
      </x:c>
      <x:c r="F359" s="10" t="str">
        <x:v>CTA003</x:v>
      </x:c>
      <x:c r="G359" s="10" t="str">
        <x:v>FAT-200358</x:v>
      </x:c>
      <x:c r="H359" s="10" t="str">
        <x:v>Projeto especial</x:v>
      </x:c>
      <x:c r="I359" s="16" t="n">
        <x:v>45359.86753689815</x:v>
      </x:c>
      <x:c r="J359" s="16" t="n">
        <x:v>45387.86753689815</x:v>
      </x:c>
      <x:c r="K359" s="16" t="n">
        <x:v>45381.86753689815</x:v>
      </x:c>
      <x:c r="L359" s="20" t="n">
        <x:v>34972.89</x:v>
      </x:c>
      <x:c r="M359" s="20" t="n">
        <x:v>0</x:v>
      </x:c>
      <x:c r="N359" s="20" t="n">
        <x:v>0</x:v>
      </x:c>
      <x:c r="O359" s="20" t="n">
        <x:v>34972.89</x:v>
      </x:c>
      <x:c r="P359" s="20" t="n">
        <x:v>0</x:v>
      </x:c>
      <x:c r="Q359" s="10" t="str">
        <x:v>Recebido</x:v>
      </x:c>
      <x:c r="R359" s="10" t="str">
        <x:v>TED</x:v>
      </x:c>
      <x:c r="S359" s="10" t="str">
        <x:v>2024-03</x:v>
      </x:c>
      <x:c r="T359" s="10" t="n">
        <x:v>0</x:v>
      </x:c>
      <x:c r="U359" s="10" t="str">
        <x:v>Liquidado</x:v>
      </x:c>
      <x:c r="V359" s="10" t="str">
        <x:v>Alto</x:v>
      </x:c>
      <x:c r="W359" s="10" t="str">
        <x:v>Serviços</x:v>
      </x:c>
      <x:c r="X359" s="10" t="str">
        <x:v>UND003</x:v>
      </x:c>
    </x:row>
    <x:row r="360" ht="18" customHeight="1">
      <x:c r="A360" s="10" t="str">
        <x:v>REC00359</x:v>
      </x:c>
      <x:c r="B360" s="10" t="str">
        <x:v>EMP001</x:v>
      </x:c>
      <x:c r="C360" s="10" t="str">
        <x:v>CLI049</x:v>
      </x:c>
      <x:c r="D360" s="10" t="str">
        <x:v>CC001</x:v>
      </x:c>
      <x:c r="E360" s="10" t="str">
        <x:v>CAT004</x:v>
      </x:c>
      <x:c r="F360" s="10" t="str">
        <x:v>CTA002</x:v>
      </x:c>
      <x:c r="G360" s="10" t="str">
        <x:v>FAT-200359</x:v>
      </x:c>
      <x:c r="H360" s="10" t="str">
        <x:v>Contrato mensal</x:v>
      </x:c>
      <x:c r="I360" s="16" t="n">
        <x:v>45877.158373032406</x:v>
      </x:c>
      <x:c r="J360" s="16" t="n">
        <x:v>45898.158373032406</x:v>
      </x:c>
      <x:c r="K360" s="16" t="n">
        <x:v>45895.158373032406</x:v>
      </x:c>
      <x:c r="L360" s="20" t="n">
        <x:v>23479.28</x:v>
      </x:c>
      <x:c r="M360" s="20" t="n">
        <x:v>0</x:v>
      </x:c>
      <x:c r="N360" s="20" t="n">
        <x:v>0</x:v>
      </x:c>
      <x:c r="O360" s="20" t="n">
        <x:v>23479.28</x:v>
      </x:c>
      <x:c r="P360" s="20" t="n">
        <x:v>0</x:v>
      </x:c>
      <x:c r="Q360" s="10" t="str">
        <x:v>Recebido</x:v>
      </x:c>
      <x:c r="R360" s="10" t="str">
        <x:v>TED</x:v>
      </x:c>
      <x:c r="S360" s="10" t="str">
        <x:v>2025-08</x:v>
      </x:c>
      <x:c r="T360" s="10" t="n">
        <x:v>0</x:v>
      </x:c>
      <x:c r="U360" s="10" t="str">
        <x:v>Liquidado</x:v>
      </x:c>
      <x:c r="V360" s="10" t="str">
        <x:v>Médio</x:v>
      </x:c>
      <x:c r="W360" s="10" t="str">
        <x:v>Serviços</x:v>
      </x:c>
      <x:c r="X360" s="10" t="str">
        <x:v>UND001</x:v>
      </x:c>
    </x:row>
    <x:row r="361" ht="18" customHeight="1">
      <x:c r="A361" s="10" t="str">
        <x:v>REC00360</x:v>
      </x:c>
      <x:c r="B361" s="10" t="str">
        <x:v>EMP002</x:v>
      </x:c>
      <x:c r="C361" s="10" t="str">
        <x:v>CLI013</x:v>
      </x:c>
      <x:c r="D361" s="10" t="str">
        <x:v>CC008</x:v>
      </x:c>
      <x:c r="E361" s="10" t="str">
        <x:v>CAT002</x:v>
      </x:c>
      <x:c r="F361" s="10" t="str">
        <x:v>CTA004</x:v>
      </x:c>
      <x:c r="G361" s="10" t="str">
        <x:v>FAT-200360</x:v>
      </x:c>
      <x:c r="H361" s="10" t="str">
        <x:v>Projeto especial</x:v>
      </x:c>
      <x:c r="I361" s="16" t="n">
        <x:v>45591.34833976852</x:v>
      </x:c>
      <x:c r="J361" s="16" t="n">
        <x:v>45606.34833976852</x:v>
      </x:c>
      <x:c r="K361" s="16" t="n">
        <x:v>45601.34833976852</x:v>
      </x:c>
      <x:c r="L361" s="20" t="n">
        <x:v>31361.53</x:v>
      </x:c>
      <x:c r="M361" s="20" t="n">
        <x:v>0</x:v>
      </x:c>
      <x:c r="N361" s="20" t="n">
        <x:v>0</x:v>
      </x:c>
      <x:c r="O361" s="20" t="n">
        <x:v>31361.53</x:v>
      </x:c>
      <x:c r="P361" s="20" t="n">
        <x:v>0</x:v>
      </x:c>
      <x:c r="Q361" s="10" t="str">
        <x:v>Recebido</x:v>
      </x:c>
      <x:c r="R361" s="10" t="str">
        <x:v>PIX</x:v>
      </x:c>
      <x:c r="S361" s="10" t="str">
        <x:v>2024-10</x:v>
      </x:c>
      <x:c r="T361" s="10" t="n">
        <x:v>0</x:v>
      </x:c>
      <x:c r="U361" s="10" t="str">
        <x:v>Liquidado</x:v>
      </x:c>
      <x:c r="V361" s="10" t="str">
        <x:v>Baixo</x:v>
      </x:c>
      <x:c r="W361" s="10" t="str">
        <x:v>Serviços</x:v>
      </x:c>
      <x:c r="X361" s="10" t="str">
        <x:v>UND003</x:v>
      </x:c>
    </x:row>
    <x:row r="362" ht="18" customHeight="1">
      <x:c r="A362" s="10" t="str">
        <x:v>REC00361</x:v>
      </x:c>
      <x:c r="B362" s="10" t="str">
        <x:v>EMP003</x:v>
      </x:c>
      <x:c r="C362" s="10" t="str">
        <x:v>CLI025</x:v>
      </x:c>
      <x:c r="D362" s="10" t="str">
        <x:v>CC006</x:v>
      </x:c>
      <x:c r="E362" s="10" t="str">
        <x:v>CAT003</x:v>
      </x:c>
      <x:c r="F362" s="10" t="str">
        <x:v>CTA006</x:v>
      </x:c>
      <x:c r="G362" s="10" t="str">
        <x:v>FAT-200361</x:v>
      </x:c>
      <x:c r="H362" s="10" t="str">
        <x:v>Contrato mensal</x:v>
      </x:c>
      <x:c r="I362" s="16" t="n">
        <x:v>45844.18023902778</x:v>
      </x:c>
      <x:c r="J362" s="16" t="n">
        <x:v>45879.18023902778</x:v>
      </x:c>
      <x:c r="K362" s="16" t="n">
        <x:v>45883.18023902778</x:v>
      </x:c>
      <x:c r="L362" s="20" t="n">
        <x:v>96930.35</x:v>
      </x:c>
      <x:c r="M362" s="20" t="n">
        <x:v>310.18</x:v>
      </x:c>
      <x:c r="N362" s="20" t="n">
        <x:v>0</x:v>
      </x:c>
      <x:c r="O362" s="20" t="n">
        <x:v>97240.53</x:v>
      </x:c>
      <x:c r="P362" s="20" t="n">
        <x:v>0</x:v>
      </x:c>
      <x:c r="Q362" s="10" t="str">
        <x:v>Recebido</x:v>
      </x:c>
      <x:c r="R362" s="10" t="str">
        <x:v>Cartão</x:v>
      </x:c>
      <x:c r="S362" s="10" t="str">
        <x:v>2025-07</x:v>
      </x:c>
      <x:c r="T362" s="10" t="n">
        <x:v>0</x:v>
      </x:c>
      <x:c r="U362" s="10" t="str">
        <x:v>Liquidado</x:v>
      </x:c>
      <x:c r="V362" s="10" t="str">
        <x:v>Médio</x:v>
      </x:c>
      <x:c r="W362" s="10" t="str">
        <x:v>Indústria</x:v>
      </x:c>
      <x:c r="X362" s="10" t="str">
        <x:v>UND004</x:v>
      </x:c>
    </x:row>
    <x:row r="363" ht="18" customHeight="1">
      <x:c r="A363" s="10" t="str">
        <x:v>REC00362</x:v>
      </x:c>
      <x:c r="B363" s="10" t="str">
        <x:v>EMP003</x:v>
      </x:c>
      <x:c r="C363" s="10" t="str">
        <x:v>CLI033</x:v>
      </x:c>
      <x:c r="D363" s="10" t="str">
        <x:v>CC005</x:v>
      </x:c>
      <x:c r="E363" s="10" t="str">
        <x:v>CAT002</x:v>
      </x:c>
      <x:c r="F363" s="10" t="str">
        <x:v>CTA006</x:v>
      </x:c>
      <x:c r="G363" s="10" t="str">
        <x:v>FAT-200362</x:v>
      </x:c>
      <x:c r="H363" s="10" t="str">
        <x:v>Contrato mensal</x:v>
      </x:c>
      <x:c r="I363" s="16" t="n">
        <x:v>45340.79953413195</x:v>
      </x:c>
      <x:c r="J363" s="16" t="n">
        <x:v>45400.79953413195</x:v>
      </x:c>
      <x:c r="K363" s="16" t="n">
        <x:v>45402.79953413195</x:v>
      </x:c>
      <x:c r="L363" s="20" t="n">
        <x:v>69491.47</x:v>
      </x:c>
      <x:c r="M363" s="20" t="n">
        <x:v>111.19</x:v>
      </x:c>
      <x:c r="N363" s="20" t="n">
        <x:v>0</x:v>
      </x:c>
      <x:c r="O363" s="20" t="n">
        <x:v>69602.66</x:v>
      </x:c>
      <x:c r="P363" s="20" t="n">
        <x:v>0</x:v>
      </x:c>
      <x:c r="Q363" s="10" t="str">
        <x:v>Recebido</x:v>
      </x:c>
      <x:c r="R363" s="10" t="str">
        <x:v>PIX</x:v>
      </x:c>
      <x:c r="S363" s="10" t="str">
        <x:v>2024-02</x:v>
      </x:c>
      <x:c r="T363" s="10" t="n">
        <x:v>0</x:v>
      </x:c>
      <x:c r="U363" s="10" t="str">
        <x:v>Liquidado</x:v>
      </x:c>
      <x:c r="V363" s="10" t="str">
        <x:v>Médio</x:v>
      </x:c>
      <x:c r="W363" s="10" t="str">
        <x:v>Varejo</x:v>
      </x:c>
      <x:c r="X363" s="10" t="str">
        <x:v>UND004</x:v>
      </x:c>
    </x:row>
    <x:row r="364" ht="18" customHeight="1">
      <x:c r="A364" s="10" t="str">
        <x:v>REC00363</x:v>
      </x:c>
      <x:c r="B364" s="10" t="str">
        <x:v>EMP003</x:v>
      </x:c>
      <x:c r="C364" s="10" t="str">
        <x:v>CLI005</x:v>
      </x:c>
      <x:c r="D364" s="10" t="str">
        <x:v>CC008</x:v>
      </x:c>
      <x:c r="E364" s="10" t="str">
        <x:v>CAT002</x:v>
      </x:c>
      <x:c r="F364" s="10" t="str">
        <x:v>CTA006</x:v>
      </x:c>
      <x:c r="G364" s="10" t="str">
        <x:v>FAT-200363</x:v>
      </x:c>
      <x:c r="H364" s="10" t="str">
        <x:v>Contrato mensal</x:v>
      </x:c>
      <x:c r="I364" s="16" t="n">
        <x:v>45737.74753797454</x:v>
      </x:c>
      <x:c r="J364" s="16" t="n">
        <x:v>45797.74753797454</x:v>
      </x:c>
      <x:c r="K364" s="16" t="n">
        <x:v>45795.74753797454</x:v>
      </x:c>
      <x:c r="L364" s="20" t="n">
        <x:v>138550.81</x:v>
      </x:c>
      <x:c r="M364" s="20" t="n">
        <x:v>0</x:v>
      </x:c>
      <x:c r="N364" s="20" t="n">
        <x:v>0</x:v>
      </x:c>
      <x:c r="O364" s="20" t="n">
        <x:v>138550.81</x:v>
      </x:c>
      <x:c r="P364" s="20" t="n">
        <x:v>0</x:v>
      </x:c>
      <x:c r="Q364" s="10" t="str">
        <x:v>Recebido</x:v>
      </x:c>
      <x:c r="R364" s="10" t="str">
        <x:v>Cartão</x:v>
      </x:c>
      <x:c r="S364" s="10" t="str">
        <x:v>2025-03</x:v>
      </x:c>
      <x:c r="T364" s="10" t="n">
        <x:v>0</x:v>
      </x:c>
      <x:c r="U364" s="10" t="str">
        <x:v>Liquidado</x:v>
      </x:c>
      <x:c r="V364" s="10" t="str">
        <x:v>Baixo</x:v>
      </x:c>
      <x:c r="W364" s="10" t="str">
        <x:v>Atacado</x:v>
      </x:c>
      <x:c r="X364" s="10" t="str">
        <x:v>UND004</x:v>
      </x:c>
    </x:row>
    <x:row r="365" ht="18" customHeight="1">
      <x:c r="A365" s="10" t="str">
        <x:v>REC00364</x:v>
      </x:c>
      <x:c r="B365" s="10" t="str">
        <x:v>EMP003</x:v>
      </x:c>
      <x:c r="C365" s="10" t="str">
        <x:v>CLI025</x:v>
      </x:c>
      <x:c r="D365" s="10" t="str">
        <x:v>CC002</x:v>
      </x:c>
      <x:c r="E365" s="10" t="str">
        <x:v>CAT003</x:v>
      </x:c>
      <x:c r="F365" s="10" t="str">
        <x:v>CTA006</x:v>
      </x:c>
      <x:c r="G365" s="10" t="str">
        <x:v>FAT-200364</x:v>
      </x:c>
      <x:c r="H365" s="10" t="str">
        <x:v>Venda de produtos</x:v>
      </x:c>
      <x:c r="I365" s="16" t="n">
        <x:v>45723.35944814815</x:v>
      </x:c>
      <x:c r="J365" s="16" t="n">
        <x:v>45738.35944814815</x:v>
      </x:c>
      <x:c r="K365" s="16" t="n">
        <x:v>45752.35944814815</x:v>
      </x:c>
      <x:c r="L365" s="20" t="n">
        <x:v>10575.76</x:v>
      </x:c>
      <x:c r="M365" s="20" t="n">
        <x:v>118.45</x:v>
      </x:c>
      <x:c r="N365" s="20" t="n">
        <x:v>0</x:v>
      </x:c>
      <x:c r="O365" s="20" t="n">
        <x:v>10694.21</x:v>
      </x:c>
      <x:c r="P365" s="20" t="n">
        <x:v>0</x:v>
      </x:c>
      <x:c r="Q365" s="10" t="str">
        <x:v>Recebido</x:v>
      </x:c>
      <x:c r="R365" s="10" t="str">
        <x:v>Cartão</x:v>
      </x:c>
      <x:c r="S365" s="10" t="str">
        <x:v>2025-03</x:v>
      </x:c>
      <x:c r="T365" s="10" t="n">
        <x:v>0</x:v>
      </x:c>
      <x:c r="U365" s="10" t="str">
        <x:v>Liquidado</x:v>
      </x:c>
      <x:c r="V365" s="10" t="str">
        <x:v>Médio</x:v>
      </x:c>
      <x:c r="W365" s="10" t="str">
        <x:v>Indústria</x:v>
      </x:c>
      <x:c r="X365" s="10" t="str">
        <x:v>UND004</x:v>
      </x:c>
    </x:row>
    <x:row r="366" ht="18" customHeight="1">
      <x:c r="A366" s="10" t="str">
        <x:v>REC00365</x:v>
      </x:c>
      <x:c r="B366" s="10" t="str">
        <x:v>EMP003</x:v>
      </x:c>
      <x:c r="C366" s="10" t="str">
        <x:v>CLI080</x:v>
      </x:c>
      <x:c r="D366" s="10" t="str">
        <x:v>CC005</x:v>
      </x:c>
      <x:c r="E366" s="10" t="str">
        <x:v>CAT002</x:v>
      </x:c>
      <x:c r="F366" s="10" t="str">
        <x:v>CTA005</x:v>
      </x:c>
      <x:c r="G366" s="10" t="str">
        <x:v>FAT-200365</x:v>
      </x:c>
      <x:c r="H366" s="10" t="str">
        <x:v>Frete faturado</x:v>
      </x:c>
      <x:c r="I366" s="16" t="n">
        <x:v>45794.55307962963</x:v>
      </x:c>
      <x:c r="J366" s="16" t="n">
        <x:v>45815.55307962963</x:v>
      </x:c>
      <x:c r="K366" s="16" t="n">
        <x:v>45820.55307962963</x:v>
      </x:c>
      <x:c r="L366" s="20" t="n">
        <x:v>9622.92</x:v>
      </x:c>
      <x:c r="M366" s="20" t="n">
        <x:v>38.49</x:v>
      </x:c>
      <x:c r="N366" s="20" t="n">
        <x:v>0</x:v>
      </x:c>
      <x:c r="O366" s="20" t="n">
        <x:v>9661.41</x:v>
      </x:c>
      <x:c r="P366" s="20" t="n">
        <x:v>0</x:v>
      </x:c>
      <x:c r="Q366" s="10" t="str">
        <x:v>Recebido</x:v>
      </x:c>
      <x:c r="R366" s="10" t="str">
        <x:v>PIX</x:v>
      </x:c>
      <x:c r="S366" s="10" t="str">
        <x:v>2025-05</x:v>
      </x:c>
      <x:c r="T366" s="10" t="n">
        <x:v>0</x:v>
      </x:c>
      <x:c r="U366" s="10" t="str">
        <x:v>Liquidado</x:v>
      </x:c>
      <x:c r="V366" s="10" t="str">
        <x:v>Médio</x:v>
      </x:c>
      <x:c r="W366" s="10" t="str">
        <x:v>Atacado</x:v>
      </x:c>
      <x:c r="X366" s="10" t="str">
        <x:v>UND004</x:v>
      </x:c>
    </x:row>
    <x:row r="367" ht="18" customHeight="1">
      <x:c r="A367" s="10" t="str">
        <x:v>REC00366</x:v>
      </x:c>
      <x:c r="B367" s="10" t="str">
        <x:v>EMP003</x:v>
      </x:c>
      <x:c r="C367" s="10" t="str">
        <x:v>CLI066</x:v>
      </x:c>
      <x:c r="D367" s="10" t="str">
        <x:v>CC008</x:v>
      </x:c>
      <x:c r="E367" s="10" t="str">
        <x:v>CAT001</x:v>
      </x:c>
      <x:c r="F367" s="10" t="str">
        <x:v>CTA006</x:v>
      </x:c>
      <x:c r="G367" s="10" t="str">
        <x:v>FAT-200366</x:v>
      </x:c>
      <x:c r="H367" s="10" t="str">
        <x:v>Contrato mensal</x:v>
      </x:c>
      <x:c r="I367" s="16" t="n">
        <x:v>45790.52266780093</x:v>
      </x:c>
      <x:c r="J367" s="16" t="n">
        <x:v>45811.52266780093</x:v>
      </x:c>
      <x:c r="K367" s="16"/>
      <x:c r="L367" s="20" t="n">
        <x:v>19608.76</x:v>
      </x:c>
      <x:c r="M367" s="20" t="n">
        <x:v>0</x:v>
      </x:c>
      <x:c r="N367" s="20" t="n">
        <x:v>0</x:v>
      </x:c>
      <x:c r="O367" s="20" t="n">
        <x:v>0</x:v>
      </x:c>
      <x:c r="P367" s="20" t="n">
        <x:v>19608.76</x:v>
      </x:c>
      <x:c r="Q367" s="10" t="str">
        <x:v>Vencido</x:v>
      </x:c>
      <x:c r="R367" s="10" t="str">
        <x:v>TED</x:v>
      </x:c>
      <x:c r="S367" s="10" t="str">
        <x:v>2025-05</x:v>
      </x:c>
      <x:c r="T367" s="10" t="n">
        <x:v>210</x:v>
      </x:c>
      <x:c r="U367" s="10" t="str">
        <x:v>&gt; 120 dias</x:v>
      </x:c>
      <x:c r="V367" s="10" t="str">
        <x:v>Baixo</x:v>
      </x:c>
      <x:c r="W367" s="10" t="str">
        <x:v>Varejo</x:v>
      </x:c>
      <x:c r="X367" s="10" t="str">
        <x:v>UND004</x:v>
      </x:c>
    </x:row>
    <x:row r="368" ht="18" customHeight="1">
      <x:c r="A368" s="10" t="str">
        <x:v>REC00367</x:v>
      </x:c>
      <x:c r="B368" s="10" t="str">
        <x:v>EMP002</x:v>
      </x:c>
      <x:c r="C368" s="10" t="str">
        <x:v>CLI003</x:v>
      </x:c>
      <x:c r="D368" s="10" t="str">
        <x:v>CC007</x:v>
      </x:c>
      <x:c r="E368" s="10" t="str">
        <x:v>CAT004</x:v>
      </x:c>
      <x:c r="F368" s="10" t="str">
        <x:v>CTA004</x:v>
      </x:c>
      <x:c r="G368" s="10" t="str">
        <x:v>FAT-200367</x:v>
      </x:c>
      <x:c r="H368" s="10" t="str">
        <x:v>Projeto especial</x:v>
      </x:c>
      <x:c r="I368" s="16" t="n">
        <x:v>45342.90023252315</x:v>
      </x:c>
      <x:c r="J368" s="16" t="n">
        <x:v>45363.90023252315</x:v>
      </x:c>
      <x:c r="K368" s="16" t="n">
        <x:v>45363.90023252315</x:v>
      </x:c>
      <x:c r="L368" s="20" t="n">
        <x:v>91555.18</x:v>
      </x:c>
      <x:c r="M368" s="20" t="n">
        <x:v>0</x:v>
      </x:c>
      <x:c r="N368" s="20" t="n">
        <x:v>0</x:v>
      </x:c>
      <x:c r="O368" s="20" t="n">
        <x:v>91555.18</x:v>
      </x:c>
      <x:c r="P368" s="20" t="n">
        <x:v>0</x:v>
      </x:c>
      <x:c r="Q368" s="10" t="str">
        <x:v>Recebido</x:v>
      </x:c>
      <x:c r="R368" s="10" t="str">
        <x:v>Débito em Conta</x:v>
      </x:c>
      <x:c r="S368" s="10" t="str">
        <x:v>2024-02</x:v>
      </x:c>
      <x:c r="T368" s="10" t="n">
        <x:v>0</x:v>
      </x:c>
      <x:c r="U368" s="10" t="str">
        <x:v>Liquidado</x:v>
      </x:c>
      <x:c r="V368" s="10" t="str">
        <x:v>Médio</x:v>
      </x:c>
      <x:c r="W368" s="10" t="str">
        <x:v>Saúde</x:v>
      </x:c>
      <x:c r="X368" s="10" t="str">
        <x:v>UND003</x:v>
      </x:c>
    </x:row>
    <x:row r="369" ht="18" customHeight="1">
      <x:c r="A369" s="10" t="str">
        <x:v>REC00368</x:v>
      </x:c>
      <x:c r="B369" s="10" t="str">
        <x:v>EMP001</x:v>
      </x:c>
      <x:c r="C369" s="10" t="str">
        <x:v>CLI051</x:v>
      </x:c>
      <x:c r="D369" s="10" t="str">
        <x:v>CC006</x:v>
      </x:c>
      <x:c r="E369" s="10" t="str">
        <x:v>CAT002</x:v>
      </x:c>
      <x:c r="F369" s="10" t="str">
        <x:v>CTA002</x:v>
      </x:c>
      <x:c r="G369" s="10" t="str">
        <x:v>FAT-200368</x:v>
      </x:c>
      <x:c r="H369" s="10" t="str">
        <x:v>Projeto especial</x:v>
      </x:c>
      <x:c r="I369" s="16" t="n">
        <x:v>45957.71829834491</x:v>
      </x:c>
      <x:c r="J369" s="16" t="n">
        <x:v>45985.71829834491</x:v>
      </x:c>
      <x:c r="K369" s="16" t="n">
        <x:v>45986.71829834491</x:v>
      </x:c>
      <x:c r="L369" s="20" t="n">
        <x:v>23234.96</x:v>
      </x:c>
      <x:c r="M369" s="20" t="n">
        <x:v>18.59</x:v>
      </x:c>
      <x:c r="N369" s="20" t="n">
        <x:v>0</x:v>
      </x:c>
      <x:c r="O369" s="20" t="n">
        <x:v>23253.55</x:v>
      </x:c>
      <x:c r="P369" s="20" t="n">
        <x:v>0</x:v>
      </x:c>
      <x:c r="Q369" s="10" t="str">
        <x:v>Recebido</x:v>
      </x:c>
      <x:c r="R369" s="10" t="str">
        <x:v>TED</x:v>
      </x:c>
      <x:c r="S369" s="10" t="str">
        <x:v>2025-10</x:v>
      </x:c>
      <x:c r="T369" s="10" t="n">
        <x:v>0</x:v>
      </x:c>
      <x:c r="U369" s="10" t="str">
        <x:v>Liquidado</x:v>
      </x:c>
      <x:c r="V369" s="10" t="str">
        <x:v>Médio</x:v>
      </x:c>
      <x:c r="W369" s="10" t="str">
        <x:v>Saúde</x:v>
      </x:c>
      <x:c r="X369" s="10" t="str">
        <x:v>UND002</x:v>
      </x:c>
    </x:row>
    <x:row r="370" ht="18" customHeight="1">
      <x:c r="A370" s="10" t="str">
        <x:v>REC00369</x:v>
      </x:c>
      <x:c r="B370" s="10" t="str">
        <x:v>EMP003</x:v>
      </x:c>
      <x:c r="C370" s="10" t="str">
        <x:v>CLI052</x:v>
      </x:c>
      <x:c r="D370" s="10" t="str">
        <x:v>CC004</x:v>
      </x:c>
      <x:c r="E370" s="10" t="str">
        <x:v>CAT004</x:v>
      </x:c>
      <x:c r="F370" s="10" t="str">
        <x:v>CTA006</x:v>
      </x:c>
      <x:c r="G370" s="10" t="str">
        <x:v>FAT-200369</x:v>
      </x:c>
      <x:c r="H370" s="10" t="str">
        <x:v>Projeto especial</x:v>
      </x:c>
      <x:c r="I370" s="16" t="n">
        <x:v>45736.35391884259</x:v>
      </x:c>
      <x:c r="J370" s="16" t="n">
        <x:v>45766.35391884259</x:v>
      </x:c>
      <x:c r="K370" s="16"/>
      <x:c r="L370" s="20" t="n">
        <x:v>35750.43</x:v>
      </x:c>
      <x:c r="M370" s="20" t="n">
        <x:v>0</x:v>
      </x:c>
      <x:c r="N370" s="20" t="n">
        <x:v>0</x:v>
      </x:c>
      <x:c r="O370" s="20" t="n">
        <x:v>0</x:v>
      </x:c>
      <x:c r="P370" s="20" t="n">
        <x:v>35750.43</x:v>
      </x:c>
      <x:c r="Q370" s="10" t="str">
        <x:v>Vencido</x:v>
      </x:c>
      <x:c r="R370" s="10" t="str">
        <x:v>PIX</x:v>
      </x:c>
      <x:c r="S370" s="10" t="str">
        <x:v>2025-03</x:v>
      </x:c>
      <x:c r="T370" s="10" t="n">
        <x:v>255</x:v>
      </x:c>
      <x:c r="U370" s="10" t="str">
        <x:v>&gt; 120 dias</x:v>
      </x:c>
      <x:c r="V370" s="10" t="str">
        <x:v>Baixo</x:v>
      </x:c>
      <x:c r="W370" s="10" t="str">
        <x:v>Varejo</x:v>
      </x:c>
      <x:c r="X370" s="10" t="str">
        <x:v>UND004</x:v>
      </x:c>
    </x:row>
    <x:row r="371" ht="18" customHeight="1">
      <x:c r="A371" s="10" t="str">
        <x:v>REC00370</x:v>
      </x:c>
      <x:c r="B371" s="10" t="str">
        <x:v>EMP001</x:v>
      </x:c>
      <x:c r="C371" s="10" t="str">
        <x:v>CLI057</x:v>
      </x:c>
      <x:c r="D371" s="10" t="str">
        <x:v>CC008</x:v>
      </x:c>
      <x:c r="E371" s="10" t="str">
        <x:v>CAT003</x:v>
      </x:c>
      <x:c r="F371" s="10" t="str">
        <x:v>CTA001</x:v>
      </x:c>
      <x:c r="G371" s="10" t="str">
        <x:v>FAT-200370</x:v>
      </x:c>
      <x:c r="H371" s="10" t="str">
        <x:v>Contrato mensal</x:v>
      </x:c>
      <x:c r="I371" s="16" t="n">
        <x:v>45490.79663142361</x:v>
      </x:c>
      <x:c r="J371" s="16" t="n">
        <x:v>45535.79663142361</x:v>
      </x:c>
      <x:c r="K371" s="16"/>
      <x:c r="L371" s="20" t="n">
        <x:v>12232.38</x:v>
      </x:c>
      <x:c r="M371" s="20" t="n">
        <x:v>0</x:v>
      </x:c>
      <x:c r="N371" s="20" t="n">
        <x:v>0</x:v>
      </x:c>
      <x:c r="O371" s="20" t="n">
        <x:v>0</x:v>
      </x:c>
      <x:c r="P371" s="20" t="n">
        <x:v>12232.38</x:v>
      </x:c>
      <x:c r="Q371" s="10" t="str">
        <x:v>Vencido</x:v>
      </x:c>
      <x:c r="R371" s="10" t="str">
        <x:v>Boleto</x:v>
      </x:c>
      <x:c r="S371" s="10" t="str">
        <x:v>2024-07</x:v>
      </x:c>
      <x:c r="T371" s="10" t="n">
        <x:v>486</x:v>
      </x:c>
      <x:c r="U371" s="10" t="str">
        <x:v>&gt; 120 dias</x:v>
      </x:c>
      <x:c r="V371" s="10" t="str">
        <x:v>Alto</x:v>
      </x:c>
      <x:c r="W371" s="10" t="str">
        <x:v>Saúde</x:v>
      </x:c>
      <x:c r="X371" s="10" t="str">
        <x:v>UND001</x:v>
      </x:c>
    </x:row>
    <x:row r="372" ht="18" customHeight="1">
      <x:c r="A372" s="10" t="str">
        <x:v>REC00371</x:v>
      </x:c>
      <x:c r="B372" s="10" t="str">
        <x:v>EMP001</x:v>
      </x:c>
      <x:c r="C372" s="10" t="str">
        <x:v>CLI039</x:v>
      </x:c>
      <x:c r="D372" s="10" t="str">
        <x:v>CC001</x:v>
      </x:c>
      <x:c r="E372" s="10" t="str">
        <x:v>CAT001</x:v>
      </x:c>
      <x:c r="F372" s="10" t="str">
        <x:v>CTA002</x:v>
      </x:c>
      <x:c r="G372" s="10" t="str">
        <x:v>FAT-200371</x:v>
      </x:c>
      <x:c r="H372" s="10" t="str">
        <x:v>Venda de produtos</x:v>
      </x:c>
      <x:c r="I372" s="16" t="n">
        <x:v>45580.40545471065</x:v>
      </x:c>
      <x:c r="J372" s="16" t="n">
        <x:v>45640.40545471065</x:v>
      </x:c>
      <x:c r="K372" s="16"/>
      <x:c r="L372" s="20" t="n">
        <x:v>131336.59</x:v>
      </x:c>
      <x:c r="M372" s="20" t="n">
        <x:v>0</x:v>
      </x:c>
      <x:c r="N372" s="20" t="n">
        <x:v>0</x:v>
      </x:c>
      <x:c r="O372" s="20" t="n">
        <x:v>0</x:v>
      </x:c>
      <x:c r="P372" s="20" t="n">
        <x:v>131336.59</x:v>
      </x:c>
      <x:c r="Q372" s="10" t="str">
        <x:v>Vencido</x:v>
      </x:c>
      <x:c r="R372" s="10" t="str">
        <x:v>TED</x:v>
      </x:c>
      <x:c r="S372" s="10" t="str">
        <x:v>2024-10</x:v>
      </x:c>
      <x:c r="T372" s="10" t="n">
        <x:v>381</x:v>
      </x:c>
      <x:c r="U372" s="10" t="str">
        <x:v>&gt; 120 dias</x:v>
      </x:c>
      <x:c r="V372" s="10" t="str">
        <x:v>Alto</x:v>
      </x:c>
      <x:c r="W372" s="10" t="str">
        <x:v>Saúde</x:v>
      </x:c>
      <x:c r="X372" s="10" t="str">
        <x:v>UND002</x:v>
      </x:c>
    </x:row>
    <x:row r="373" ht="18" customHeight="1">
      <x:c r="A373" s="10" t="str">
        <x:v>REC00372</x:v>
      </x:c>
      <x:c r="B373" s="10" t="str">
        <x:v>EMP001</x:v>
      </x:c>
      <x:c r="C373" s="10" t="str">
        <x:v>CLI007</x:v>
      </x:c>
      <x:c r="D373" s="10" t="str">
        <x:v>CC008</x:v>
      </x:c>
      <x:c r="E373" s="10" t="str">
        <x:v>CAT002</x:v>
      </x:c>
      <x:c r="F373" s="10" t="str">
        <x:v>CTA002</x:v>
      </x:c>
      <x:c r="G373" s="10" t="str">
        <x:v>FAT-200372</x:v>
      </x:c>
      <x:c r="H373" s="10" t="str">
        <x:v>Venda de produtos</x:v>
      </x:c>
      <x:c r="I373" s="16" t="n">
        <x:v>45312.543873344905</x:v>
      </x:c>
      <x:c r="J373" s="16" t="n">
        <x:v>45340.543873344905</x:v>
      </x:c>
      <x:c r="K373" s="16" t="n">
        <x:v>45342.543873344905</x:v>
      </x:c>
      <x:c r="L373" s="20" t="n">
        <x:v>17550.44</x:v>
      </x:c>
      <x:c r="M373" s="20" t="n">
        <x:v>28.08</x:v>
      </x:c>
      <x:c r="N373" s="20" t="n">
        <x:v>0</x:v>
      </x:c>
      <x:c r="O373" s="20" t="n">
        <x:v>17578.52</x:v>
      </x:c>
      <x:c r="P373" s="20" t="n">
        <x:v>0</x:v>
      </x:c>
      <x:c r="Q373" s="10" t="str">
        <x:v>Recebido</x:v>
      </x:c>
      <x:c r="R373" s="10" t="str">
        <x:v>TED</x:v>
      </x:c>
      <x:c r="S373" s="10" t="str">
        <x:v>2024-01</x:v>
      </x:c>
      <x:c r="T373" s="10" t="n">
        <x:v>0</x:v>
      </x:c>
      <x:c r="U373" s="10" t="str">
        <x:v>Liquidado</x:v>
      </x:c>
      <x:c r="V373" s="10" t="str">
        <x:v>Baixo</x:v>
      </x:c>
      <x:c r="W373" s="10" t="str">
        <x:v>Atacado</x:v>
      </x:c>
      <x:c r="X373" s="10" t="str">
        <x:v>UND001</x:v>
      </x:c>
    </x:row>
    <x:row r="374" ht="18" customHeight="1">
      <x:c r="A374" s="10" t="str">
        <x:v>REC00373</x:v>
      </x:c>
      <x:c r="B374" s="10" t="str">
        <x:v>EMP002</x:v>
      </x:c>
      <x:c r="C374" s="10" t="str">
        <x:v>CLI004</x:v>
      </x:c>
      <x:c r="D374" s="10" t="str">
        <x:v>CC003</x:v>
      </x:c>
      <x:c r="E374" s="10" t="str">
        <x:v>CAT004</x:v>
      </x:c>
      <x:c r="F374" s="10" t="str">
        <x:v>CTA003</x:v>
      </x:c>
      <x:c r="G374" s="10" t="str">
        <x:v>FAT-200373</x:v>
      </x:c>
      <x:c r="H374" s="10" t="str">
        <x:v>Venda de produtos</x:v>
      </x:c>
      <x:c r="I374" s="16" t="n">
        <x:v>45927.85057126157</x:v>
      </x:c>
      <x:c r="J374" s="16" t="n">
        <x:v>45987.85057126157</x:v>
      </x:c>
      <x:c r="K374" s="16"/>
      <x:c r="L374" s="20" t="n">
        <x:v>16620.58</x:v>
      </x:c>
      <x:c r="M374" s="20" t="n">
        <x:v>0</x:v>
      </x:c>
      <x:c r="N374" s="20" t="n">
        <x:v>0</x:v>
      </x:c>
      <x:c r="O374" s="20" t="n">
        <x:v>0</x:v>
      </x:c>
      <x:c r="P374" s="20" t="n">
        <x:v>16620.58</x:v>
      </x:c>
      <x:c r="Q374" s="10" t="str">
        <x:v>Vencido</x:v>
      </x:c>
      <x:c r="R374" s="10" t="str">
        <x:v>Cartão</x:v>
      </x:c>
      <x:c r="S374" s="10" t="str">
        <x:v>2025-09</x:v>
      </x:c>
      <x:c r="T374" s="10" t="n">
        <x:v>34</x:v>
      </x:c>
      <x:c r="U374" s="10" t="str">
        <x:v>31 a 60 dias</x:v>
      </x:c>
      <x:c r="V374" s="10" t="str">
        <x:v>Alto</x:v>
      </x:c>
      <x:c r="W374" s="10" t="str">
        <x:v>Varejo</x:v>
      </x:c>
      <x:c r="X374" s="10" t="str">
        <x:v>UND003</x:v>
      </x:c>
    </x:row>
    <x:row r="375" ht="18" customHeight="1">
      <x:c r="A375" s="10" t="str">
        <x:v>REC00374</x:v>
      </x:c>
      <x:c r="B375" s="10" t="str">
        <x:v>EMP003</x:v>
      </x:c>
      <x:c r="C375" s="10" t="str">
        <x:v>CLI009</x:v>
      </x:c>
      <x:c r="D375" s="10" t="str">
        <x:v>CC005</x:v>
      </x:c>
      <x:c r="E375" s="10" t="str">
        <x:v>CAT002</x:v>
      </x:c>
      <x:c r="F375" s="10" t="str">
        <x:v>CTA005</x:v>
      </x:c>
      <x:c r="G375" s="10" t="str">
        <x:v>FAT-200374</x:v>
      </x:c>
      <x:c r="H375" s="10" t="str">
        <x:v>Frete faturado</x:v>
      </x:c>
      <x:c r="I375" s="16" t="n">
        <x:v>45514.6218808912</x:v>
      </x:c>
      <x:c r="J375" s="16" t="n">
        <x:v>45574.6218808912</x:v>
      </x:c>
      <x:c r="K375" s="16" t="n">
        <x:v>45578.6218808912</x:v>
      </x:c>
      <x:c r="L375" s="20" t="n">
        <x:v>106156.68</x:v>
      </x:c>
      <x:c r="M375" s="20" t="n">
        <x:v>339.7</x:v>
      </x:c>
      <x:c r="N375" s="20" t="n">
        <x:v>0</x:v>
      </x:c>
      <x:c r="O375" s="20" t="n">
        <x:v>106496.38</x:v>
      </x:c>
      <x:c r="P375" s="20" t="n">
        <x:v>0</x:v>
      </x:c>
      <x:c r="Q375" s="10" t="str">
        <x:v>Recebido</x:v>
      </x:c>
      <x:c r="R375" s="10" t="str">
        <x:v>Débito em Conta</x:v>
      </x:c>
      <x:c r="S375" s="10" t="str">
        <x:v>2024-08</x:v>
      </x:c>
      <x:c r="T375" s="10" t="n">
        <x:v>0</x:v>
      </x:c>
      <x:c r="U375" s="10" t="str">
        <x:v>Liquidado</x:v>
      </x:c>
      <x:c r="V375" s="10" t="str">
        <x:v>Médio</x:v>
      </x:c>
      <x:c r="W375" s="10" t="str">
        <x:v>Saúde</x:v>
      </x:c>
      <x:c r="X375" s="10" t="str">
        <x:v>UND004</x:v>
      </x:c>
    </x:row>
    <x:row r="376" ht="18" customHeight="1">
      <x:c r="A376" s="10" t="str">
        <x:v>REC00375</x:v>
      </x:c>
      <x:c r="B376" s="10" t="str">
        <x:v>EMP003</x:v>
      </x:c>
      <x:c r="C376" s="10" t="str">
        <x:v>CLI044</x:v>
      </x:c>
      <x:c r="D376" s="10" t="str">
        <x:v>CC004</x:v>
      </x:c>
      <x:c r="E376" s="10" t="str">
        <x:v>CAT001</x:v>
      </x:c>
      <x:c r="F376" s="10" t="str">
        <x:v>CTA005</x:v>
      </x:c>
      <x:c r="G376" s="10" t="str">
        <x:v>FAT-200375</x:v>
      </x:c>
      <x:c r="H376" s="10" t="str">
        <x:v>Frete faturado</x:v>
      </x:c>
      <x:c r="I376" s="16" t="n">
        <x:v>45687.772037407405</x:v>
      </x:c>
      <x:c r="J376" s="16" t="n">
        <x:v>45717.772037407405</x:v>
      </x:c>
      <x:c r="K376" s="16" t="n">
        <x:v>45728.772037407405</x:v>
      </x:c>
      <x:c r="L376" s="20" t="n">
        <x:v>114972.82</x:v>
      </x:c>
      <x:c r="M376" s="20" t="n">
        <x:v>1011.76</x:v>
      </x:c>
      <x:c r="N376" s="20" t="n">
        <x:v>0</x:v>
      </x:c>
      <x:c r="O376" s="20" t="n">
        <x:v>115984.58</x:v>
      </x:c>
      <x:c r="P376" s="20" t="n">
        <x:v>0</x:v>
      </x:c>
      <x:c r="Q376" s="10" t="str">
        <x:v>Recebido</x:v>
      </x:c>
      <x:c r="R376" s="10" t="str">
        <x:v>Boleto</x:v>
      </x:c>
      <x:c r="S376" s="10" t="str">
        <x:v>2025-01</x:v>
      </x:c>
      <x:c r="T376" s="10" t="n">
        <x:v>0</x:v>
      </x:c>
      <x:c r="U376" s="10" t="str">
        <x:v>Liquidado</x:v>
      </x:c>
      <x:c r="V376" s="10" t="str">
        <x:v>Alto</x:v>
      </x:c>
      <x:c r="W376" s="10" t="str">
        <x:v>Varejo</x:v>
      </x:c>
      <x:c r="X376" s="10" t="str">
        <x:v>UND004</x:v>
      </x:c>
    </x:row>
    <x:row r="377" ht="18" customHeight="1">
      <x:c r="A377" s="10" t="str">
        <x:v>REC00376</x:v>
      </x:c>
      <x:c r="B377" s="10" t="str">
        <x:v>EMP002</x:v>
      </x:c>
      <x:c r="C377" s="10" t="str">
        <x:v>CLI038</x:v>
      </x:c>
      <x:c r="D377" s="10" t="str">
        <x:v>CC005</x:v>
      </x:c>
      <x:c r="E377" s="10" t="str">
        <x:v>CAT002</x:v>
      </x:c>
      <x:c r="F377" s="10" t="str">
        <x:v>CTA003</x:v>
      </x:c>
      <x:c r="G377" s="10" t="str">
        <x:v>FAT-200376</x:v>
      </x:c>
      <x:c r="H377" s="10" t="str">
        <x:v>Prestação de serviços</x:v>
      </x:c>
      <x:c r="I377" s="16" t="n">
        <x:v>45961.950863391205</x:v>
      </x:c>
      <x:c r="J377" s="16" t="n">
        <x:v>45976.950863391205</x:v>
      </x:c>
      <x:c r="K377" s="16" t="n">
        <x:v>45976.950863391205</x:v>
      </x:c>
      <x:c r="L377" s="20" t="n">
        <x:v>6356.53</x:v>
      </x:c>
      <x:c r="M377" s="20" t="n">
        <x:v>0</x:v>
      </x:c>
      <x:c r="N377" s="20" t="n">
        <x:v>0</x:v>
      </x:c>
      <x:c r="O377" s="20" t="n">
        <x:v>6356.53</x:v>
      </x:c>
      <x:c r="P377" s="20" t="n">
        <x:v>0</x:v>
      </x:c>
      <x:c r="Q377" s="10" t="str">
        <x:v>Recebido</x:v>
      </x:c>
      <x:c r="R377" s="10" t="str">
        <x:v>TED</x:v>
      </x:c>
      <x:c r="S377" s="10" t="str">
        <x:v>2025-10</x:v>
      </x:c>
      <x:c r="T377" s="10" t="n">
        <x:v>0</x:v>
      </x:c>
      <x:c r="U377" s="10" t="str">
        <x:v>Liquidado</x:v>
      </x:c>
      <x:c r="V377" s="10" t="str">
        <x:v>Baixo</x:v>
      </x:c>
      <x:c r="W377" s="10" t="str">
        <x:v>Varejo</x:v>
      </x:c>
      <x:c r="X377" s="10" t="str">
        <x:v>UND003</x:v>
      </x:c>
    </x:row>
    <x:row r="378" ht="18" customHeight="1">
      <x:c r="A378" s="10" t="str">
        <x:v>REC00377</x:v>
      </x:c>
      <x:c r="B378" s="10" t="str">
        <x:v>EMP003</x:v>
      </x:c>
      <x:c r="C378" s="10" t="str">
        <x:v>CLI003</x:v>
      </x:c>
      <x:c r="D378" s="10" t="str">
        <x:v>CC002</x:v>
      </x:c>
      <x:c r="E378" s="10" t="str">
        <x:v>CAT001</x:v>
      </x:c>
      <x:c r="F378" s="10" t="str">
        <x:v>CTA005</x:v>
      </x:c>
      <x:c r="G378" s="10" t="str">
        <x:v>FAT-200377</x:v>
      </x:c>
      <x:c r="H378" s="10" t="str">
        <x:v>Prestação de serviços</x:v>
      </x:c>
      <x:c r="I378" s="16" t="n">
        <x:v>45920.74273614583</x:v>
      </x:c>
      <x:c r="J378" s="16" t="n">
        <x:v>45950.74273614583</x:v>
      </x:c>
      <x:c r="K378" s="16"/>
      <x:c r="L378" s="20" t="n">
        <x:v>87873.34</x:v>
      </x:c>
      <x:c r="M378" s="20" t="n">
        <x:v>0</x:v>
      </x:c>
      <x:c r="N378" s="20" t="n">
        <x:v>0</x:v>
      </x:c>
      <x:c r="O378" s="20" t="n">
        <x:v>0</x:v>
      </x:c>
      <x:c r="P378" s="20" t="n">
        <x:v>87873.34</x:v>
      </x:c>
      <x:c r="Q378" s="10" t="str">
        <x:v>Vencido</x:v>
      </x:c>
      <x:c r="R378" s="10" t="str">
        <x:v>Cartão</x:v>
      </x:c>
      <x:c r="S378" s="10" t="str">
        <x:v>2025-09</x:v>
      </x:c>
      <x:c r="T378" s="10" t="n">
        <x:v>71</x:v>
      </x:c>
      <x:c r="U378" s="10" t="str">
        <x:v>61 a 90 dias</x:v>
      </x:c>
      <x:c r="V378" s="10" t="str">
        <x:v>Médio</x:v>
      </x:c>
      <x:c r="W378" s="10" t="str">
        <x:v>Saúde</x:v>
      </x:c>
      <x:c r="X378" s="10" t="str">
        <x:v>UND004</x:v>
      </x:c>
    </x:row>
    <x:row r="379" ht="18" customHeight="1">
      <x:c r="A379" s="10" t="str">
        <x:v>REC00378</x:v>
      </x:c>
      <x:c r="B379" s="10" t="str">
        <x:v>EMP001</x:v>
      </x:c>
      <x:c r="C379" s="10" t="str">
        <x:v>CLI016</x:v>
      </x:c>
      <x:c r="D379" s="10" t="str">
        <x:v>CC008</x:v>
      </x:c>
      <x:c r="E379" s="10" t="str">
        <x:v>CAT002</x:v>
      </x:c>
      <x:c r="F379" s="10" t="str">
        <x:v>CTA002</x:v>
      </x:c>
      <x:c r="G379" s="10" t="str">
        <x:v>FAT-200378</x:v>
      </x:c>
      <x:c r="H379" s="10" t="str">
        <x:v>Projeto especial</x:v>
      </x:c>
      <x:c r="I379" s="16" t="n">
        <x:v>45303.80522061342</x:v>
      </x:c>
      <x:c r="J379" s="16" t="n">
        <x:v>45348.80522061342</x:v>
      </x:c>
      <x:c r="K379" s="16" t="n">
        <x:v>45352.80522061342</x:v>
      </x:c>
      <x:c r="L379" s="20" t="n">
        <x:v>32024.62</x:v>
      </x:c>
      <x:c r="M379" s="20" t="n">
        <x:v>102.48</x:v>
      </x:c>
      <x:c r="N379" s="20" t="n">
        <x:v>0</x:v>
      </x:c>
      <x:c r="O379" s="20" t="n">
        <x:v>32127.1</x:v>
      </x:c>
      <x:c r="P379" s="20" t="n">
        <x:v>0</x:v>
      </x:c>
      <x:c r="Q379" s="10" t="str">
        <x:v>Recebido</x:v>
      </x:c>
      <x:c r="R379" s="10" t="str">
        <x:v>Débito em Conta</x:v>
      </x:c>
      <x:c r="S379" s="10" t="str">
        <x:v>2024-01</x:v>
      </x:c>
      <x:c r="T379" s="10" t="n">
        <x:v>0</x:v>
      </x:c>
      <x:c r="U379" s="10" t="str">
        <x:v>Liquidado</x:v>
      </x:c>
      <x:c r="V379" s="10" t="str">
        <x:v>Baixo</x:v>
      </x:c>
      <x:c r="W379" s="10" t="str">
        <x:v>Serviços</x:v>
      </x:c>
      <x:c r="X379" s="10" t="str">
        <x:v>UND001</x:v>
      </x:c>
    </x:row>
    <x:row r="380" ht="18" customHeight="1">
      <x:c r="A380" s="10" t="str">
        <x:v>REC00379</x:v>
      </x:c>
      <x:c r="B380" s="10" t="str">
        <x:v>EMP001</x:v>
      </x:c>
      <x:c r="C380" s="10" t="str">
        <x:v>CLI075</x:v>
      </x:c>
      <x:c r="D380" s="10" t="str">
        <x:v>CC008</x:v>
      </x:c>
      <x:c r="E380" s="10" t="str">
        <x:v>CAT002</x:v>
      </x:c>
      <x:c r="F380" s="10" t="str">
        <x:v>CTA002</x:v>
      </x:c>
      <x:c r="G380" s="10" t="str">
        <x:v>FAT-200379</x:v>
      </x:c>
      <x:c r="H380" s="10" t="str">
        <x:v>Contrato mensal</x:v>
      </x:c>
      <x:c r="I380" s="16" t="n">
        <x:v>45952.03526892361</x:v>
      </x:c>
      <x:c r="J380" s="16" t="n">
        <x:v>45987.03526892361</x:v>
      </x:c>
      <x:c r="K380" s="16" t="n">
        <x:v>45990.03526892361</x:v>
      </x:c>
      <x:c r="L380" s="20" t="n">
        <x:v>96002.88</x:v>
      </x:c>
      <x:c r="M380" s="20" t="n">
        <x:v>230.41</x:v>
      </x:c>
      <x:c r="N380" s="20" t="n">
        <x:v>0</x:v>
      </x:c>
      <x:c r="O380" s="20" t="n">
        <x:v>96233.29</x:v>
      </x:c>
      <x:c r="P380" s="20" t="n">
        <x:v>0</x:v>
      </x:c>
      <x:c r="Q380" s="10" t="str">
        <x:v>Recebido</x:v>
      </x:c>
      <x:c r="R380" s="10" t="str">
        <x:v>Débito em Conta</x:v>
      </x:c>
      <x:c r="S380" s="10" t="str">
        <x:v>2025-10</x:v>
      </x:c>
      <x:c r="T380" s="10" t="n">
        <x:v>0</x:v>
      </x:c>
      <x:c r="U380" s="10" t="str">
        <x:v>Liquidado</x:v>
      </x:c>
      <x:c r="V380" s="10" t="str">
        <x:v>Médio</x:v>
      </x:c>
      <x:c r="W380" s="10" t="str">
        <x:v>Varejo</x:v>
      </x:c>
      <x:c r="X380" s="10" t="str">
        <x:v>UND002</x:v>
      </x:c>
    </x:row>
    <x:row r="381" ht="18" customHeight="1">
      <x:c r="A381" s="10" t="str">
        <x:v>REC00380</x:v>
      </x:c>
      <x:c r="B381" s="10" t="str">
        <x:v>EMP003</x:v>
      </x:c>
      <x:c r="C381" s="10" t="str">
        <x:v>CLI031</x:v>
      </x:c>
      <x:c r="D381" s="10" t="str">
        <x:v>CC005</x:v>
      </x:c>
      <x:c r="E381" s="10" t="str">
        <x:v>CAT001</x:v>
      </x:c>
      <x:c r="F381" s="10" t="str">
        <x:v>CTA005</x:v>
      </x:c>
      <x:c r="G381" s="10" t="str">
        <x:v>FAT-200380</x:v>
      </x:c>
      <x:c r="H381" s="10" t="str">
        <x:v>Projeto especial</x:v>
      </x:c>
      <x:c r="I381" s="16" t="n">
        <x:v>45756.83593625</x:v>
      </x:c>
      <x:c r="J381" s="16" t="n">
        <x:v>45784.83593625</x:v>
      </x:c>
      <x:c r="K381" s="16" t="n">
        <x:v>45785.83593625</x:v>
      </x:c>
      <x:c r="L381" s="20" t="n">
        <x:v>8823.61</x:v>
      </x:c>
      <x:c r="M381" s="20" t="n">
        <x:v>7.06</x:v>
      </x:c>
      <x:c r="N381" s="20" t="n">
        <x:v>0</x:v>
      </x:c>
      <x:c r="O381" s="20" t="n">
        <x:v>8830.67</x:v>
      </x:c>
      <x:c r="P381" s="20" t="n">
        <x:v>0</x:v>
      </x:c>
      <x:c r="Q381" s="10" t="str">
        <x:v>Recebido</x:v>
      </x:c>
      <x:c r="R381" s="10" t="str">
        <x:v>Boleto</x:v>
      </x:c>
      <x:c r="S381" s="10" t="str">
        <x:v>2025-04</x:v>
      </x:c>
      <x:c r="T381" s="10" t="n">
        <x:v>0</x:v>
      </x:c>
      <x:c r="U381" s="10" t="str">
        <x:v>Liquidado</x:v>
      </x:c>
      <x:c r="V381" s="10" t="str">
        <x:v>Baixo</x:v>
      </x:c>
      <x:c r="W381" s="10" t="str">
        <x:v>Serviços</x:v>
      </x:c>
      <x:c r="X381" s="10" t="str">
        <x:v>UND004</x:v>
      </x:c>
    </x:row>
    <x:row r="382" ht="18" customHeight="1">
      <x:c r="A382" s="10" t="str">
        <x:v>REC00381</x:v>
      </x:c>
      <x:c r="B382" s="10" t="str">
        <x:v>EMP003</x:v>
      </x:c>
      <x:c r="C382" s="10" t="str">
        <x:v>CLI044</x:v>
      </x:c>
      <x:c r="D382" s="10" t="str">
        <x:v>CC006</x:v>
      </x:c>
      <x:c r="E382" s="10" t="str">
        <x:v>CAT003</x:v>
      </x:c>
      <x:c r="F382" s="10" t="str">
        <x:v>CTA006</x:v>
      </x:c>
      <x:c r="G382" s="10" t="str">
        <x:v>FAT-200381</x:v>
      </x:c>
      <x:c r="H382" s="10" t="str">
        <x:v>Projeto especial</x:v>
      </x:c>
      <x:c r="I382" s="16" t="n">
        <x:v>45347.88235664352</x:v>
      </x:c>
      <x:c r="J382" s="16" t="n">
        <x:v>45377.88235664352</x:v>
      </x:c>
      <x:c r="K382" s="16" t="n">
        <x:v>45388.88235664352</x:v>
      </x:c>
      <x:c r="L382" s="20" t="n">
        <x:v>18877.21</x:v>
      </x:c>
      <x:c r="M382" s="20" t="n">
        <x:v>166.12</x:v>
      </x:c>
      <x:c r="N382" s="20" t="n">
        <x:v>0</x:v>
      </x:c>
      <x:c r="O382" s="20" t="n">
        <x:v>19043.33</x:v>
      </x:c>
      <x:c r="P382" s="20" t="n">
        <x:v>0</x:v>
      </x:c>
      <x:c r="Q382" s="10" t="str">
        <x:v>Recebido</x:v>
      </x:c>
      <x:c r="R382" s="10" t="str">
        <x:v>Cartão</x:v>
      </x:c>
      <x:c r="S382" s="10" t="str">
        <x:v>2024-02</x:v>
      </x:c>
      <x:c r="T382" s="10" t="n">
        <x:v>0</x:v>
      </x:c>
      <x:c r="U382" s="10" t="str">
        <x:v>Liquidado</x:v>
      </x:c>
      <x:c r="V382" s="10" t="str">
        <x:v>Alto</x:v>
      </x:c>
      <x:c r="W382" s="10" t="str">
        <x:v>Varejo</x:v>
      </x:c>
      <x:c r="X382" s="10" t="str">
        <x:v>UND004</x:v>
      </x:c>
    </x:row>
    <x:row r="383" ht="18" customHeight="1">
      <x:c r="A383" s="10" t="str">
        <x:v>REC00382</x:v>
      </x:c>
      <x:c r="B383" s="10" t="str">
        <x:v>EMP003</x:v>
      </x:c>
      <x:c r="C383" s="10" t="str">
        <x:v>CLI065</x:v>
      </x:c>
      <x:c r="D383" s="10" t="str">
        <x:v>CC008</x:v>
      </x:c>
      <x:c r="E383" s="10" t="str">
        <x:v>CAT002</x:v>
      </x:c>
      <x:c r="F383" s="10" t="str">
        <x:v>CTA005</x:v>
      </x:c>
      <x:c r="G383" s="10" t="str">
        <x:v>FAT-200382</x:v>
      </x:c>
      <x:c r="H383" s="10" t="str">
        <x:v>Frete faturado</x:v>
      </x:c>
      <x:c r="I383" s="16" t="n">
        <x:v>45997.21724222222</x:v>
      </x:c>
      <x:c r="J383" s="16" t="n">
        <x:v>46027.21724222222</x:v>
      </x:c>
      <x:c r="K383" s="16"/>
      <x:c r="L383" s="20" t="n">
        <x:v>117029.92</x:v>
      </x:c>
      <x:c r="M383" s="20" t="n">
        <x:v>0</x:v>
      </x:c>
      <x:c r="N383" s="20" t="n">
        <x:v>0</x:v>
      </x:c>
      <x:c r="O383" s="20" t="n">
        <x:v>0</x:v>
      </x:c>
      <x:c r="P383" s="20" t="n">
        <x:v>117029.92</x:v>
      </x:c>
      <x:c r="Q383" s="10" t="str">
        <x:v>A vencer</x:v>
      </x:c>
      <x:c r="R383" s="10" t="str">
        <x:v>Cartão</x:v>
      </x:c>
      <x:c r="S383" s="10" t="str">
        <x:v>2025-12</x:v>
      </x:c>
      <x:c r="T383" s="10" t="n">
        <x:v>0</x:v>
      </x:c>
      <x:c r="U383" s="10" t="str">
        <x:v>A vencer</x:v>
      </x:c>
      <x:c r="V383" s="10" t="str">
        <x:v>Médio</x:v>
      </x:c>
      <x:c r="W383" s="10" t="str">
        <x:v>Serviços</x:v>
      </x:c>
      <x:c r="X383" s="10" t="str">
        <x:v>UND004</x:v>
      </x:c>
    </x:row>
    <x:row r="384" ht="18" customHeight="1">
      <x:c r="A384" s="10" t="str">
        <x:v>REC00383</x:v>
      </x:c>
      <x:c r="B384" s="10" t="str">
        <x:v>EMP003</x:v>
      </x:c>
      <x:c r="C384" s="10" t="str">
        <x:v>CLI057</x:v>
      </x:c>
      <x:c r="D384" s="10" t="str">
        <x:v>CC007</x:v>
      </x:c>
      <x:c r="E384" s="10" t="str">
        <x:v>CAT004</x:v>
      </x:c>
      <x:c r="F384" s="10" t="str">
        <x:v>CTA005</x:v>
      </x:c>
      <x:c r="G384" s="10" t="str">
        <x:v>FAT-200383</x:v>
      </x:c>
      <x:c r="H384" s="10" t="str">
        <x:v>Prestação de serviços</x:v>
      </x:c>
      <x:c r="I384" s="16" t="n">
        <x:v>45343.76302372685</x:v>
      </x:c>
      <x:c r="J384" s="16" t="n">
        <x:v>45373.76302372685</x:v>
      </x:c>
      <x:c r="K384" s="16" t="n">
        <x:v>45370.76302372685</x:v>
      </x:c>
      <x:c r="L384" s="20" t="n">
        <x:v>7830.2</x:v>
      </x:c>
      <x:c r="M384" s="20" t="n">
        <x:v>0</x:v>
      </x:c>
      <x:c r="N384" s="20" t="n">
        <x:v>0</x:v>
      </x:c>
      <x:c r="O384" s="20" t="n">
        <x:v>7830.2</x:v>
      </x:c>
      <x:c r="P384" s="20" t="n">
        <x:v>0</x:v>
      </x:c>
      <x:c r="Q384" s="10" t="str">
        <x:v>Recebido</x:v>
      </x:c>
      <x:c r="R384" s="10" t="str">
        <x:v>PIX</x:v>
      </x:c>
      <x:c r="S384" s="10" t="str">
        <x:v>2024-02</x:v>
      </x:c>
      <x:c r="T384" s="10" t="n">
        <x:v>0</x:v>
      </x:c>
      <x:c r="U384" s="10" t="str">
        <x:v>Liquidado</x:v>
      </x:c>
      <x:c r="V384" s="10" t="str">
        <x:v>Alto</x:v>
      </x:c>
      <x:c r="W384" s="10" t="str">
        <x:v>Saúde</x:v>
      </x:c>
      <x:c r="X384" s="10" t="str">
        <x:v>UND004</x:v>
      </x:c>
    </x:row>
    <x:row r="385" ht="18" customHeight="1">
      <x:c r="A385" s="10" t="str">
        <x:v>REC00384</x:v>
      </x:c>
      <x:c r="B385" s="10" t="str">
        <x:v>EMP001</x:v>
      </x:c>
      <x:c r="C385" s="10" t="str">
        <x:v>CLI062</x:v>
      </x:c>
      <x:c r="D385" s="10" t="str">
        <x:v>CC001</x:v>
      </x:c>
      <x:c r="E385" s="10" t="str">
        <x:v>CAT002</x:v>
      </x:c>
      <x:c r="F385" s="10" t="str">
        <x:v>CTA001</x:v>
      </x:c>
      <x:c r="G385" s="10" t="str">
        <x:v>FAT-200384</x:v>
      </x:c>
      <x:c r="H385" s="10" t="str">
        <x:v>Venda de produtos</x:v>
      </x:c>
      <x:c r="I385" s="16" t="n">
        <x:v>45842.97109652778</x:v>
      </x:c>
      <x:c r="J385" s="16" t="n">
        <x:v>45902.97109652778</x:v>
      </x:c>
      <x:c r="K385" s="16"/>
      <x:c r="L385" s="20" t="n">
        <x:v>105316.46</x:v>
      </x:c>
      <x:c r="M385" s="20" t="n">
        <x:v>0</x:v>
      </x:c>
      <x:c r="N385" s="20" t="n">
        <x:v>0</x:v>
      </x:c>
      <x:c r="O385" s="20" t="n">
        <x:v>0</x:v>
      </x:c>
      <x:c r="P385" s="20" t="n">
        <x:v>105316.46</x:v>
      </x:c>
      <x:c r="Q385" s="10" t="str">
        <x:v>Vencido</x:v>
      </x:c>
      <x:c r="R385" s="10" t="str">
        <x:v>Cartão</x:v>
      </x:c>
      <x:c r="S385" s="10" t="str">
        <x:v>2025-07</x:v>
      </x:c>
      <x:c r="T385" s="10" t="n">
        <x:v>119</x:v>
      </x:c>
      <x:c r="U385" s="10" t="str">
        <x:v>91 a 120 dias</x:v>
      </x:c>
      <x:c r="V385" s="10" t="str">
        <x:v>Baixo</x:v>
      </x:c>
      <x:c r="W385" s="10" t="str">
        <x:v>Saúde</x:v>
      </x:c>
      <x:c r="X385" s="10" t="str">
        <x:v>UND002</x:v>
      </x:c>
    </x:row>
    <x:row r="386" ht="18" customHeight="1">
      <x:c r="A386" s="10" t="str">
        <x:v>REC00385</x:v>
      </x:c>
      <x:c r="B386" s="10" t="str">
        <x:v>EMP003</x:v>
      </x:c>
      <x:c r="C386" s="10" t="str">
        <x:v>CLI062</x:v>
      </x:c>
      <x:c r="D386" s="10" t="str">
        <x:v>CC005</x:v>
      </x:c>
      <x:c r="E386" s="10" t="str">
        <x:v>CAT003</x:v>
      </x:c>
      <x:c r="F386" s="10" t="str">
        <x:v>CTA005</x:v>
      </x:c>
      <x:c r="G386" s="10" t="str">
        <x:v>FAT-200385</x:v>
      </x:c>
      <x:c r="H386" s="10" t="str">
        <x:v>Contrato mensal</x:v>
      </x:c>
      <x:c r="I386" s="16" t="n">
        <x:v>45721.27094258102</x:v>
      </x:c>
      <x:c r="J386" s="16" t="n">
        <x:v>45736.27094258102</x:v>
      </x:c>
      <x:c r="K386" s="16" t="n">
        <x:v>45730.27094258102</x:v>
      </x:c>
      <x:c r="L386" s="20" t="n">
        <x:v>9452.83</x:v>
      </x:c>
      <x:c r="M386" s="20" t="n">
        <x:v>0</x:v>
      </x:c>
      <x:c r="N386" s="20" t="n">
        <x:v>47.26</x:v>
      </x:c>
      <x:c r="O386" s="20" t="n">
        <x:v>9405.57</x:v>
      </x:c>
      <x:c r="P386" s="20" t="n">
        <x:v>0</x:v>
      </x:c>
      <x:c r="Q386" s="10" t="str">
        <x:v>Recebido</x:v>
      </x:c>
      <x:c r="R386" s="10" t="str">
        <x:v>PIX</x:v>
      </x:c>
      <x:c r="S386" s="10" t="str">
        <x:v>2025-03</x:v>
      </x:c>
      <x:c r="T386" s="10" t="n">
        <x:v>0</x:v>
      </x:c>
      <x:c r="U386" s="10" t="str">
        <x:v>Liquidado</x:v>
      </x:c>
      <x:c r="V386" s="10" t="str">
        <x:v>Baixo</x:v>
      </x:c>
      <x:c r="W386" s="10" t="str">
        <x:v>Saúde</x:v>
      </x:c>
      <x:c r="X386" s="10" t="str">
        <x:v>UND004</x:v>
      </x:c>
    </x:row>
    <x:row r="387" ht="18" customHeight="1">
      <x:c r="A387" s="10" t="str">
        <x:v>REC00386</x:v>
      </x:c>
      <x:c r="B387" s="10" t="str">
        <x:v>EMP002</x:v>
      </x:c>
      <x:c r="C387" s="10" t="str">
        <x:v>CLI023</x:v>
      </x:c>
      <x:c r="D387" s="10" t="str">
        <x:v>CC003</x:v>
      </x:c>
      <x:c r="E387" s="10" t="str">
        <x:v>CAT002</x:v>
      </x:c>
      <x:c r="F387" s="10" t="str">
        <x:v>CTA003</x:v>
      </x:c>
      <x:c r="G387" s="10" t="str">
        <x:v>FAT-200386</x:v>
      </x:c>
      <x:c r="H387" s="10" t="str">
        <x:v>Projeto especial</x:v>
      </x:c>
      <x:c r="I387" s="16" t="n">
        <x:v>45810.19023195602</x:v>
      </x:c>
      <x:c r="J387" s="16" t="n">
        <x:v>45825.19023195602</x:v>
      </x:c>
      <x:c r="K387" s="16" t="n">
        <x:v>45837.19023195602</x:v>
      </x:c>
      <x:c r="L387" s="20" t="n">
        <x:v>89020.4</x:v>
      </x:c>
      <x:c r="M387" s="20" t="n">
        <x:v>854.6</x:v>
      </x:c>
      <x:c r="N387" s="20" t="n">
        <x:v>0</x:v>
      </x:c>
      <x:c r="O387" s="20" t="n">
        <x:v>89875</x:v>
      </x:c>
      <x:c r="P387" s="20" t="n">
        <x:v>0</x:v>
      </x:c>
      <x:c r="Q387" s="10" t="str">
        <x:v>Recebido</x:v>
      </x:c>
      <x:c r="R387" s="10" t="str">
        <x:v>Boleto</x:v>
      </x:c>
      <x:c r="S387" s="10" t="str">
        <x:v>2025-06</x:v>
      </x:c>
      <x:c r="T387" s="10" t="n">
        <x:v>0</x:v>
      </x:c>
      <x:c r="U387" s="10" t="str">
        <x:v>Liquidado</x:v>
      </x:c>
      <x:c r="V387" s="10" t="str">
        <x:v>Médio</x:v>
      </x:c>
      <x:c r="W387" s="10" t="str">
        <x:v>Atacado</x:v>
      </x:c>
      <x:c r="X387" s="10" t="str">
        <x:v>UND003</x:v>
      </x:c>
    </x:row>
    <x:row r="388" ht="18" customHeight="1">
      <x:c r="A388" s="10" t="str">
        <x:v>REC00387</x:v>
      </x:c>
      <x:c r="B388" s="10" t="str">
        <x:v>EMP001</x:v>
      </x:c>
      <x:c r="C388" s="10" t="str">
        <x:v>CLI025</x:v>
      </x:c>
      <x:c r="D388" s="10" t="str">
        <x:v>CC001</x:v>
      </x:c>
      <x:c r="E388" s="10" t="str">
        <x:v>CAT002</x:v>
      </x:c>
      <x:c r="F388" s="10" t="str">
        <x:v>CTA002</x:v>
      </x:c>
      <x:c r="G388" s="10" t="str">
        <x:v>FAT-200387</x:v>
      </x:c>
      <x:c r="H388" s="10" t="str">
        <x:v>Venda de produtos</x:v>
      </x:c>
      <x:c r="I388" s="16" t="n">
        <x:v>45647.2407330787</x:v>
      </x:c>
      <x:c r="J388" s="16" t="n">
        <x:v>45692.2407330787</x:v>
      </x:c>
      <x:c r="K388" s="16" t="n">
        <x:v>45701.2407330787</x:v>
      </x:c>
      <x:c r="L388" s="20" t="n">
        <x:v>23541.5</x:v>
      </x:c>
      <x:c r="M388" s="20" t="n">
        <x:v>169.5</x:v>
      </x:c>
      <x:c r="N388" s="20" t="n">
        <x:v>0</x:v>
      </x:c>
      <x:c r="O388" s="20" t="n">
        <x:v>23711</x:v>
      </x:c>
      <x:c r="P388" s="20" t="n">
        <x:v>0</x:v>
      </x:c>
      <x:c r="Q388" s="10" t="str">
        <x:v>Recebido</x:v>
      </x:c>
      <x:c r="R388" s="10" t="str">
        <x:v>Boleto</x:v>
      </x:c>
      <x:c r="S388" s="10" t="str">
        <x:v>2024-12</x:v>
      </x:c>
      <x:c r="T388" s="10" t="n">
        <x:v>0</x:v>
      </x:c>
      <x:c r="U388" s="10" t="str">
        <x:v>Liquidado</x:v>
      </x:c>
      <x:c r="V388" s="10" t="str">
        <x:v>Médio</x:v>
      </x:c>
      <x:c r="W388" s="10" t="str">
        <x:v>Indústria</x:v>
      </x:c>
      <x:c r="X388" s="10" t="str">
        <x:v>UND001</x:v>
      </x:c>
    </x:row>
    <x:row r="389" ht="18" customHeight="1">
      <x:c r="A389" s="10" t="str">
        <x:v>REC00388</x:v>
      </x:c>
      <x:c r="B389" s="10" t="str">
        <x:v>EMP002</x:v>
      </x:c>
      <x:c r="C389" s="10" t="str">
        <x:v>CLI032</x:v>
      </x:c>
      <x:c r="D389" s="10" t="str">
        <x:v>CC002</x:v>
      </x:c>
      <x:c r="E389" s="10" t="str">
        <x:v>CAT001</x:v>
      </x:c>
      <x:c r="F389" s="10" t="str">
        <x:v>CTA003</x:v>
      </x:c>
      <x:c r="G389" s="10" t="str">
        <x:v>FAT-200388</x:v>
      </x:c>
      <x:c r="H389" s="10" t="str">
        <x:v>Projeto especial</x:v>
      </x:c>
      <x:c r="I389" s="16" t="n">
        <x:v>45478.55564002315</x:v>
      </x:c>
      <x:c r="J389" s="16" t="n">
        <x:v>45508.55564002315</x:v>
      </x:c>
      <x:c r="K389" s="16"/>
      <x:c r="L389" s="20" t="n">
        <x:v>105060.36</x:v>
      </x:c>
      <x:c r="M389" s="20" t="n">
        <x:v>0</x:v>
      </x:c>
      <x:c r="N389" s="20" t="n">
        <x:v>0</x:v>
      </x:c>
      <x:c r="O389" s="20" t="n">
        <x:v>0</x:v>
      </x:c>
      <x:c r="P389" s="20" t="n">
        <x:v>105060.36</x:v>
      </x:c>
      <x:c r="Q389" s="10" t="str">
        <x:v>Vencido</x:v>
      </x:c>
      <x:c r="R389" s="10" t="str">
        <x:v>Boleto</x:v>
      </x:c>
      <x:c r="S389" s="10" t="str">
        <x:v>2024-07</x:v>
      </x:c>
      <x:c r="T389" s="10" t="n">
        <x:v>513</x:v>
      </x:c>
      <x:c r="U389" s="10" t="str">
        <x:v>&gt; 120 dias</x:v>
      </x:c>
      <x:c r="V389" s="10" t="str">
        <x:v>Baixo</x:v>
      </x:c>
      <x:c r="W389" s="10" t="str">
        <x:v>Tecnologia</x:v>
      </x:c>
      <x:c r="X389" s="10" t="str">
        <x:v>UND003</x:v>
      </x:c>
    </x:row>
    <x:row r="390" ht="18" customHeight="1">
      <x:c r="A390" s="10" t="str">
        <x:v>REC00389</x:v>
      </x:c>
      <x:c r="B390" s="10" t="str">
        <x:v>EMP001</x:v>
      </x:c>
      <x:c r="C390" s="10" t="str">
        <x:v>CLI013</x:v>
      </x:c>
      <x:c r="D390" s="10" t="str">
        <x:v>CC006</x:v>
      </x:c>
      <x:c r="E390" s="10" t="str">
        <x:v>CAT002</x:v>
      </x:c>
      <x:c r="F390" s="10" t="str">
        <x:v>CTA002</x:v>
      </x:c>
      <x:c r="G390" s="10" t="str">
        <x:v>FAT-200389</x:v>
      </x:c>
      <x:c r="H390" s="10" t="str">
        <x:v>Contrato mensal</x:v>
      </x:c>
      <x:c r="I390" s="16" t="n">
        <x:v>45423.48105056713</x:v>
      </x:c>
      <x:c r="J390" s="16" t="n">
        <x:v>45453.48105056713</x:v>
      </x:c>
      <x:c r="K390" s="16" t="n">
        <x:v>45458.48105056713</x:v>
      </x:c>
      <x:c r="L390" s="20" t="n">
        <x:v>136192.18</x:v>
      </x:c>
      <x:c r="M390" s="20" t="n">
        <x:v>544.77</x:v>
      </x:c>
      <x:c r="N390" s="20" t="n">
        <x:v>0</x:v>
      </x:c>
      <x:c r="O390" s="20" t="n">
        <x:v>136736.95</x:v>
      </x:c>
      <x:c r="P390" s="20" t="n">
        <x:v>0</x:v>
      </x:c>
      <x:c r="Q390" s="10" t="str">
        <x:v>Recebido</x:v>
      </x:c>
      <x:c r="R390" s="10" t="str">
        <x:v>TED</x:v>
      </x:c>
      <x:c r="S390" s="10" t="str">
        <x:v>2024-05</x:v>
      </x:c>
      <x:c r="T390" s="10" t="n">
        <x:v>0</x:v>
      </x:c>
      <x:c r="U390" s="10" t="str">
        <x:v>Liquidado</x:v>
      </x:c>
      <x:c r="V390" s="10" t="str">
        <x:v>Baixo</x:v>
      </x:c>
      <x:c r="W390" s="10" t="str">
        <x:v>Serviços</x:v>
      </x:c>
      <x:c r="X390" s="10" t="str">
        <x:v>UND002</x:v>
      </x:c>
    </x:row>
    <x:row r="391" ht="18" customHeight="1">
      <x:c r="A391" s="10" t="str">
        <x:v>REC00390</x:v>
      </x:c>
      <x:c r="B391" s="10" t="str">
        <x:v>EMP001</x:v>
      </x:c>
      <x:c r="C391" s="10" t="str">
        <x:v>CLI011</x:v>
      </x:c>
      <x:c r="D391" s="10" t="str">
        <x:v>CC007</x:v>
      </x:c>
      <x:c r="E391" s="10" t="str">
        <x:v>CAT004</x:v>
      </x:c>
      <x:c r="F391" s="10" t="str">
        <x:v>CTA001</x:v>
      </x:c>
      <x:c r="G391" s="10" t="str">
        <x:v>FAT-200390</x:v>
      </x:c>
      <x:c r="H391" s="10" t="str">
        <x:v>Prestação de serviços</x:v>
      </x:c>
      <x:c r="I391" s="16" t="n">
        <x:v>45555.76839730324</x:v>
      </x:c>
      <x:c r="J391" s="16" t="n">
        <x:v>45583.76839730324</x:v>
      </x:c>
      <x:c r="K391" s="16" t="n">
        <x:v>45608.76839730324</x:v>
      </x:c>
      <x:c r="L391" s="20" t="n">
        <x:v>56998.84</x:v>
      </x:c>
      <x:c r="M391" s="20" t="n">
        <x:v>1139.98</x:v>
      </x:c>
      <x:c r="N391" s="20" t="n">
        <x:v>0</x:v>
      </x:c>
      <x:c r="O391" s="20" t="n">
        <x:v>58138.82</x:v>
      </x:c>
      <x:c r="P391" s="20" t="n">
        <x:v>0</x:v>
      </x:c>
      <x:c r="Q391" s="10" t="str">
        <x:v>Recebido</x:v>
      </x:c>
      <x:c r="R391" s="10" t="str">
        <x:v>TED</x:v>
      </x:c>
      <x:c r="S391" s="10" t="str">
        <x:v>2024-09</x:v>
      </x:c>
      <x:c r="T391" s="10" t="n">
        <x:v>0</x:v>
      </x:c>
      <x:c r="U391" s="10" t="str">
        <x:v>Liquidado</x:v>
      </x:c>
      <x:c r="V391" s="10" t="str">
        <x:v>Alto</x:v>
      </x:c>
      <x:c r="W391" s="10" t="str">
        <x:v>Serviços</x:v>
      </x:c>
      <x:c r="X391" s="10" t="str">
        <x:v>UND002</x:v>
      </x:c>
    </x:row>
    <x:row r="392" ht="18" customHeight="1">
      <x:c r="A392" s="10" t="str">
        <x:v>REC00391</x:v>
      </x:c>
      <x:c r="B392" s="10" t="str">
        <x:v>EMP002</x:v>
      </x:c>
      <x:c r="C392" s="10" t="str">
        <x:v>CLI018</x:v>
      </x:c>
      <x:c r="D392" s="10" t="str">
        <x:v>CC004</x:v>
      </x:c>
      <x:c r="E392" s="10" t="str">
        <x:v>CAT004</x:v>
      </x:c>
      <x:c r="F392" s="10" t="str">
        <x:v>CTA004</x:v>
      </x:c>
      <x:c r="G392" s="10" t="str">
        <x:v>FAT-200391</x:v>
      </x:c>
      <x:c r="H392" s="10" t="str">
        <x:v>Projeto especial</x:v>
      </x:c>
      <x:c r="I392" s="16" t="n">
        <x:v>45347.382425578704</x:v>
      </x:c>
      <x:c r="J392" s="16" t="n">
        <x:v>45375.382425578704</x:v>
      </x:c>
      <x:c r="K392" s="16"/>
      <x:c r="L392" s="20" t="n">
        <x:v>2179.3</x:v>
      </x:c>
      <x:c r="M392" s="20" t="n">
        <x:v>0</x:v>
      </x:c>
      <x:c r="N392" s="20" t="n">
        <x:v>0</x:v>
      </x:c>
      <x:c r="O392" s="20" t="n">
        <x:v>0</x:v>
      </x:c>
      <x:c r="P392" s="20" t="n">
        <x:v>0</x:v>
      </x:c>
      <x:c r="Q392" s="10" t="str">
        <x:v>Cancelado</x:v>
      </x:c>
      <x:c r="R392" s="10" t="str">
        <x:v>TED</x:v>
      </x:c>
      <x:c r="S392" s="10" t="str">
        <x:v>2024-02</x:v>
      </x:c>
      <x:c r="T392" s="10" t="n">
        <x:v>0</x:v>
      </x:c>
      <x:c r="U392" s="10" t="str">
        <x:v>Cancelado</x:v>
      </x:c>
      <x:c r="V392" s="10" t="str">
        <x:v>Médio</x:v>
      </x:c>
      <x:c r="W392" s="10" t="str">
        <x:v>Indústria</x:v>
      </x:c>
      <x:c r="X392" s="10" t="str">
        <x:v>UND003</x:v>
      </x:c>
    </x:row>
    <x:row r="393" ht="18" customHeight="1">
      <x:c r="A393" s="10" t="str">
        <x:v>REC00392</x:v>
      </x:c>
      <x:c r="B393" s="10" t="str">
        <x:v>EMP002</x:v>
      </x:c>
      <x:c r="C393" s="10" t="str">
        <x:v>CLI009</x:v>
      </x:c>
      <x:c r="D393" s="10" t="str">
        <x:v>CC001</x:v>
      </x:c>
      <x:c r="E393" s="10" t="str">
        <x:v>CAT002</x:v>
      </x:c>
      <x:c r="F393" s="10" t="str">
        <x:v>CTA003</x:v>
      </x:c>
      <x:c r="G393" s="10" t="str">
        <x:v>FAT-200392</x:v>
      </x:c>
      <x:c r="H393" s="10" t="str">
        <x:v>Venda de produtos</x:v>
      </x:c>
      <x:c r="I393" s="16" t="n">
        <x:v>45860.36460021991</x:v>
      </x:c>
      <x:c r="J393" s="16" t="n">
        <x:v>45920.36460021991</x:v>
      </x:c>
      <x:c r="K393" s="16" t="n">
        <x:v>45933.36460021991</x:v>
      </x:c>
      <x:c r="L393" s="20" t="n">
        <x:v>5508.53</x:v>
      </x:c>
      <x:c r="M393" s="20" t="n">
        <x:v>57.29</x:v>
      </x:c>
      <x:c r="N393" s="20" t="n">
        <x:v>0</x:v>
      </x:c>
      <x:c r="O393" s="20" t="n">
        <x:v>5565.82</x:v>
      </x:c>
      <x:c r="P393" s="20" t="n">
        <x:v>0</x:v>
      </x:c>
      <x:c r="Q393" s="10" t="str">
        <x:v>Recebido</x:v>
      </x:c>
      <x:c r="R393" s="10" t="str">
        <x:v>Débito em Conta</x:v>
      </x:c>
      <x:c r="S393" s="10" t="str">
        <x:v>2025-07</x:v>
      </x:c>
      <x:c r="T393" s="10" t="n">
        <x:v>0</x:v>
      </x:c>
      <x:c r="U393" s="10" t="str">
        <x:v>Liquidado</x:v>
      </x:c>
      <x:c r="V393" s="10" t="str">
        <x:v>Médio</x:v>
      </x:c>
      <x:c r="W393" s="10" t="str">
        <x:v>Saúde</x:v>
      </x:c>
      <x:c r="X393" s="10" t="str">
        <x:v>UND003</x:v>
      </x:c>
    </x:row>
    <x:row r="394" ht="18" customHeight="1">
      <x:c r="A394" s="10" t="str">
        <x:v>REC00393</x:v>
      </x:c>
      <x:c r="B394" s="10" t="str">
        <x:v>EMP002</x:v>
      </x:c>
      <x:c r="C394" s="10" t="str">
        <x:v>CLI009</x:v>
      </x:c>
      <x:c r="D394" s="10" t="str">
        <x:v>CC005</x:v>
      </x:c>
      <x:c r="E394" s="10" t="str">
        <x:v>CAT002</x:v>
      </x:c>
      <x:c r="F394" s="10" t="str">
        <x:v>CTA003</x:v>
      </x:c>
      <x:c r="G394" s="10" t="str">
        <x:v>FAT-200393</x:v>
      </x:c>
      <x:c r="H394" s="10" t="str">
        <x:v>Prestação de serviços</x:v>
      </x:c>
      <x:c r="I394" s="16" t="n">
        <x:v>45747.940893136576</x:v>
      </x:c>
      <x:c r="J394" s="16" t="n">
        <x:v>45768.940893136576</x:v>
      </x:c>
      <x:c r="K394" s="16" t="n">
        <x:v>45775.940893136576</x:v>
      </x:c>
      <x:c r="L394" s="20" t="n">
        <x:v>14303.93</x:v>
      </x:c>
      <x:c r="M394" s="20" t="n">
        <x:v>80.1</x:v>
      </x:c>
      <x:c r="N394" s="20" t="n">
        <x:v>0</x:v>
      </x:c>
      <x:c r="O394" s="20" t="n">
        <x:v>14384.03</x:v>
      </x:c>
      <x:c r="P394" s="20" t="n">
        <x:v>0</x:v>
      </x:c>
      <x:c r="Q394" s="10" t="str">
        <x:v>Recebido</x:v>
      </x:c>
      <x:c r="R394" s="10" t="str">
        <x:v>TED</x:v>
      </x:c>
      <x:c r="S394" s="10" t="str">
        <x:v>2025-03</x:v>
      </x:c>
      <x:c r="T394" s="10" t="n">
        <x:v>0</x:v>
      </x:c>
      <x:c r="U394" s="10" t="str">
        <x:v>Liquidado</x:v>
      </x:c>
      <x:c r="V394" s="10" t="str">
        <x:v>Médio</x:v>
      </x:c>
      <x:c r="W394" s="10" t="str">
        <x:v>Saúde</x:v>
      </x:c>
      <x:c r="X394" s="10" t="str">
        <x:v>UND003</x:v>
      </x:c>
    </x:row>
    <x:row r="395" ht="18" customHeight="1">
      <x:c r="A395" s="10" t="str">
        <x:v>REC00394</x:v>
      </x:c>
      <x:c r="B395" s="10" t="str">
        <x:v>EMP002</x:v>
      </x:c>
      <x:c r="C395" s="10" t="str">
        <x:v>CLI005</x:v>
      </x:c>
      <x:c r="D395" s="10" t="str">
        <x:v>CC002</x:v>
      </x:c>
      <x:c r="E395" s="10" t="str">
        <x:v>CAT004</x:v>
      </x:c>
      <x:c r="F395" s="10" t="str">
        <x:v>CTA003</x:v>
      </x:c>
      <x:c r="G395" s="10" t="str">
        <x:v>FAT-200394</x:v>
      </x:c>
      <x:c r="H395" s="10" t="str">
        <x:v>Prestação de serviços</x:v>
      </x:c>
      <x:c r="I395" s="16" t="n">
        <x:v>45416.49442145833</x:v>
      </x:c>
      <x:c r="J395" s="16" t="n">
        <x:v>45446.49442145833</x:v>
      </x:c>
      <x:c r="K395" s="16" t="n">
        <x:v>45451.49442145833</x:v>
      </x:c>
      <x:c r="L395" s="20" t="n">
        <x:v>53704.26</x:v>
      </x:c>
      <x:c r="M395" s="20" t="n">
        <x:v>214.82</x:v>
      </x:c>
      <x:c r="N395" s="20" t="n">
        <x:v>0</x:v>
      </x:c>
      <x:c r="O395" s="20" t="n">
        <x:v>53919.08</x:v>
      </x:c>
      <x:c r="P395" s="20" t="n">
        <x:v>0</x:v>
      </x:c>
      <x:c r="Q395" s="10" t="str">
        <x:v>Recebido</x:v>
      </x:c>
      <x:c r="R395" s="10" t="str">
        <x:v>PIX</x:v>
      </x:c>
      <x:c r="S395" s="10" t="str">
        <x:v>2024-05</x:v>
      </x:c>
      <x:c r="T395" s="10" t="n">
        <x:v>0</x:v>
      </x:c>
      <x:c r="U395" s="10" t="str">
        <x:v>Liquidado</x:v>
      </x:c>
      <x:c r="V395" s="10" t="str">
        <x:v>Baixo</x:v>
      </x:c>
      <x:c r="W395" s="10" t="str">
        <x:v>Atacado</x:v>
      </x:c>
      <x:c r="X395" s="10" t="str">
        <x:v>UND003</x:v>
      </x:c>
    </x:row>
    <x:row r="396" ht="18" customHeight="1">
      <x:c r="A396" s="10" t="str">
        <x:v>REC00395</x:v>
      </x:c>
      <x:c r="B396" s="10" t="str">
        <x:v>EMP003</x:v>
      </x:c>
      <x:c r="C396" s="10" t="str">
        <x:v>CLI079</x:v>
      </x:c>
      <x:c r="D396" s="10" t="str">
        <x:v>CC001</x:v>
      </x:c>
      <x:c r="E396" s="10" t="str">
        <x:v>CAT002</x:v>
      </x:c>
      <x:c r="F396" s="10" t="str">
        <x:v>CTA006</x:v>
      </x:c>
      <x:c r="G396" s="10" t="str">
        <x:v>FAT-200395</x:v>
      </x:c>
      <x:c r="H396" s="10" t="str">
        <x:v>Contrato mensal</x:v>
      </x:c>
      <x:c r="I396" s="16" t="n">
        <x:v>45393.915204930556</x:v>
      </x:c>
      <x:c r="J396" s="16" t="n">
        <x:v>45453.915204930556</x:v>
      </x:c>
      <x:c r="K396" s="16" t="n">
        <x:v>45460.915204930556</x:v>
      </x:c>
      <x:c r="L396" s="20" t="n">
        <x:v>37765.76</x:v>
      </x:c>
      <x:c r="M396" s="20" t="n">
        <x:v>211.49</x:v>
      </x:c>
      <x:c r="N396" s="20" t="n">
        <x:v>0</x:v>
      </x:c>
      <x:c r="O396" s="20" t="n">
        <x:v>37977.25</x:v>
      </x:c>
      <x:c r="P396" s="20" t="n">
        <x:v>0</x:v>
      </x:c>
      <x:c r="Q396" s="10" t="str">
        <x:v>Recebido</x:v>
      </x:c>
      <x:c r="R396" s="10" t="str">
        <x:v>Boleto</x:v>
      </x:c>
      <x:c r="S396" s="10" t="str">
        <x:v>2024-04</x:v>
      </x:c>
      <x:c r="T396" s="10" t="n">
        <x:v>0</x:v>
      </x:c>
      <x:c r="U396" s="10" t="str">
        <x:v>Liquidado</x:v>
      </x:c>
      <x:c r="V396" s="10" t="str">
        <x:v>Baixo</x:v>
      </x:c>
      <x:c r="W396" s="10" t="str">
        <x:v>Tecnologia</x:v>
      </x:c>
      <x:c r="X396" s="10" t="str">
        <x:v>UND004</x:v>
      </x:c>
    </x:row>
    <x:row r="397" ht="18" customHeight="1">
      <x:c r="A397" s="10" t="str">
        <x:v>REC00396</x:v>
      </x:c>
      <x:c r="B397" s="10" t="str">
        <x:v>EMP003</x:v>
      </x:c>
      <x:c r="C397" s="10" t="str">
        <x:v>CLI039</x:v>
      </x:c>
      <x:c r="D397" s="10" t="str">
        <x:v>CC008</x:v>
      </x:c>
      <x:c r="E397" s="10" t="str">
        <x:v>CAT003</x:v>
      </x:c>
      <x:c r="F397" s="10" t="str">
        <x:v>CTA005</x:v>
      </x:c>
      <x:c r="G397" s="10" t="str">
        <x:v>FAT-200396</x:v>
      </x:c>
      <x:c r="H397" s="10" t="str">
        <x:v>Contrato mensal</x:v>
      </x:c>
      <x:c r="I397" s="16" t="n">
        <x:v>45626.04238245371</x:v>
      </x:c>
      <x:c r="J397" s="16" t="n">
        <x:v>45641.04238245371</x:v>
      </x:c>
      <x:c r="K397" s="16" t="n">
        <x:v>45657.04238245371</x:v>
      </x:c>
      <x:c r="L397" s="20" t="n">
        <x:v>138579.85</x:v>
      </x:c>
      <x:c r="M397" s="20" t="n">
        <x:v>1773.82</x:v>
      </x:c>
      <x:c r="N397" s="20" t="n">
        <x:v>0</x:v>
      </x:c>
      <x:c r="O397" s="20" t="n">
        <x:v>140353.67</x:v>
      </x:c>
      <x:c r="P397" s="20" t="n">
        <x:v>0</x:v>
      </x:c>
      <x:c r="Q397" s="10" t="str">
        <x:v>Recebido</x:v>
      </x:c>
      <x:c r="R397" s="10" t="str">
        <x:v>Cartão</x:v>
      </x:c>
      <x:c r="S397" s="10" t="str">
        <x:v>2024-11</x:v>
      </x:c>
      <x:c r="T397" s="10" t="n">
        <x:v>0</x:v>
      </x:c>
      <x:c r="U397" s="10" t="str">
        <x:v>Liquidado</x:v>
      </x:c>
      <x:c r="V397" s="10" t="str">
        <x:v>Alto</x:v>
      </x:c>
      <x:c r="W397" s="10" t="str">
        <x:v>Saúde</x:v>
      </x:c>
      <x:c r="X397" s="10" t="str">
        <x:v>UND004</x:v>
      </x:c>
    </x:row>
    <x:row r="398" ht="18" customHeight="1">
      <x:c r="A398" s="10" t="str">
        <x:v>REC00397</x:v>
      </x:c>
      <x:c r="B398" s="10" t="str">
        <x:v>EMP001</x:v>
      </x:c>
      <x:c r="C398" s="10" t="str">
        <x:v>CLI060</x:v>
      </x:c>
      <x:c r="D398" s="10" t="str">
        <x:v>CC008</x:v>
      </x:c>
      <x:c r="E398" s="10" t="str">
        <x:v>CAT003</x:v>
      </x:c>
      <x:c r="F398" s="10" t="str">
        <x:v>CTA001</x:v>
      </x:c>
      <x:c r="G398" s="10" t="str">
        <x:v>FAT-200397</x:v>
      </x:c>
      <x:c r="H398" s="10" t="str">
        <x:v>Prestação de serviços</x:v>
      </x:c>
      <x:c r="I398" s="16" t="n">
        <x:v>45368.69730811343</x:v>
      </x:c>
      <x:c r="J398" s="16" t="n">
        <x:v>45403.69730811343</x:v>
      </x:c>
      <x:c r="K398" s="16" t="n">
        <x:v>45400.69730811343</x:v>
      </x:c>
      <x:c r="L398" s="20" t="n">
        <x:v>32572.05</x:v>
      </x:c>
      <x:c r="M398" s="20" t="n">
        <x:v>0</x:v>
      </x:c>
      <x:c r="N398" s="20" t="n">
        <x:v>0</x:v>
      </x:c>
      <x:c r="O398" s="20" t="n">
        <x:v>32572.05</x:v>
      </x:c>
      <x:c r="P398" s="20" t="n">
        <x:v>0</x:v>
      </x:c>
      <x:c r="Q398" s="10" t="str">
        <x:v>Recebido</x:v>
      </x:c>
      <x:c r="R398" s="10" t="str">
        <x:v>Boleto</x:v>
      </x:c>
      <x:c r="S398" s="10" t="str">
        <x:v>2024-03</x:v>
      </x:c>
      <x:c r="T398" s="10" t="n">
        <x:v>0</x:v>
      </x:c>
      <x:c r="U398" s="10" t="str">
        <x:v>Liquidado</x:v>
      </x:c>
      <x:c r="V398" s="10" t="str">
        <x:v>Baixo</x:v>
      </x:c>
      <x:c r="W398" s="10" t="str">
        <x:v>Atacado</x:v>
      </x:c>
      <x:c r="X398" s="10" t="str">
        <x:v>UND002</x:v>
      </x:c>
    </x:row>
    <x:row r="399" ht="18" customHeight="1">
      <x:c r="A399" s="10" t="str">
        <x:v>REC00398</x:v>
      </x:c>
      <x:c r="B399" s="10" t="str">
        <x:v>EMP003</x:v>
      </x:c>
      <x:c r="C399" s="10" t="str">
        <x:v>CLI039</x:v>
      </x:c>
      <x:c r="D399" s="10" t="str">
        <x:v>CC002</x:v>
      </x:c>
      <x:c r="E399" s="10" t="str">
        <x:v>CAT003</x:v>
      </x:c>
      <x:c r="F399" s="10" t="str">
        <x:v>CTA005</x:v>
      </x:c>
      <x:c r="G399" s="10" t="str">
        <x:v>FAT-200398</x:v>
      </x:c>
      <x:c r="H399" s="10" t="str">
        <x:v>Frete faturado</x:v>
      </x:c>
      <x:c r="I399" s="16" t="n">
        <x:v>45462.82793582176</x:v>
      </x:c>
      <x:c r="J399" s="16" t="n">
        <x:v>45522.82793582176</x:v>
      </x:c>
      <x:c r="K399" s="16" t="n">
        <x:v>45543.82793582176</x:v>
      </x:c>
      <x:c r="L399" s="20" t="n">
        <x:v>66289.18</x:v>
      </x:c>
      <x:c r="M399" s="20" t="n">
        <x:v>1113.66</x:v>
      </x:c>
      <x:c r="N399" s="20" t="n">
        <x:v>0</x:v>
      </x:c>
      <x:c r="O399" s="20" t="n">
        <x:v>67402.84</x:v>
      </x:c>
      <x:c r="P399" s="20" t="n">
        <x:v>0</x:v>
      </x:c>
      <x:c r="Q399" s="10" t="str">
        <x:v>Recebido</x:v>
      </x:c>
      <x:c r="R399" s="10" t="str">
        <x:v>Débito em Conta</x:v>
      </x:c>
      <x:c r="S399" s="10" t="str">
        <x:v>2024-06</x:v>
      </x:c>
      <x:c r="T399" s="10" t="n">
        <x:v>0</x:v>
      </x:c>
      <x:c r="U399" s="10" t="str">
        <x:v>Liquidado</x:v>
      </x:c>
      <x:c r="V399" s="10" t="str">
        <x:v>Alto</x:v>
      </x:c>
      <x:c r="W399" s="10" t="str">
        <x:v>Saúde</x:v>
      </x:c>
      <x:c r="X399" s="10" t="str">
        <x:v>UND004</x:v>
      </x:c>
    </x:row>
    <x:row r="400" ht="18" customHeight="1">
      <x:c r="A400" s="10" t="str">
        <x:v>REC00399</x:v>
      </x:c>
      <x:c r="B400" s="10" t="str">
        <x:v>EMP001</x:v>
      </x:c>
      <x:c r="C400" s="10" t="str">
        <x:v>CLI073</x:v>
      </x:c>
      <x:c r="D400" s="10" t="str">
        <x:v>CC006</x:v>
      </x:c>
      <x:c r="E400" s="10" t="str">
        <x:v>CAT002</x:v>
      </x:c>
      <x:c r="F400" s="10" t="str">
        <x:v>CTA001</x:v>
      </x:c>
      <x:c r="G400" s="10" t="str">
        <x:v>FAT-200399</x:v>
      </x:c>
      <x:c r="H400" s="10" t="str">
        <x:v>Venda de produtos</x:v>
      </x:c>
      <x:c r="I400" s="16" t="n">
        <x:v>45618.04275274306</x:v>
      </x:c>
      <x:c r="J400" s="16" t="n">
        <x:v>45678.04275274306</x:v>
      </x:c>
      <x:c r="K400" s="16" t="n">
        <x:v>45683.04275274306</x:v>
      </x:c>
      <x:c r="L400" s="20" t="n">
        <x:v>86094.83</x:v>
      </x:c>
      <x:c r="M400" s="20" t="n">
        <x:v>344.38</x:v>
      </x:c>
      <x:c r="N400" s="20" t="n">
        <x:v>0</x:v>
      </x:c>
      <x:c r="O400" s="20" t="n">
        <x:v>86439.21</x:v>
      </x:c>
      <x:c r="P400" s="20" t="n">
        <x:v>0</x:v>
      </x:c>
      <x:c r="Q400" s="10" t="str">
        <x:v>Recebido</x:v>
      </x:c>
      <x:c r="R400" s="10" t="str">
        <x:v>TED</x:v>
      </x:c>
      <x:c r="S400" s="10" t="str">
        <x:v>2024-11</x:v>
      </x:c>
      <x:c r="T400" s="10" t="n">
        <x:v>0</x:v>
      </x:c>
      <x:c r="U400" s="10" t="str">
        <x:v>Liquidado</x:v>
      </x:c>
      <x:c r="V400" s="10" t="str">
        <x:v>Alto</x:v>
      </x:c>
      <x:c r="W400" s="10" t="str">
        <x:v>Tecnologia</x:v>
      </x:c>
      <x:c r="X400" s="10" t="str">
        <x:v>UND002</x:v>
      </x:c>
    </x:row>
    <x:row r="401" ht="18" customHeight="1">
      <x:c r="A401" s="10" t="str">
        <x:v>REC00400</x:v>
      </x:c>
      <x:c r="B401" s="10" t="str">
        <x:v>EMP002</x:v>
      </x:c>
      <x:c r="C401" s="10" t="str">
        <x:v>CLI032</x:v>
      </x:c>
      <x:c r="D401" s="10" t="str">
        <x:v>CC001</x:v>
      </x:c>
      <x:c r="E401" s="10" t="str">
        <x:v>CAT003</x:v>
      </x:c>
      <x:c r="F401" s="10" t="str">
        <x:v>CTA003</x:v>
      </x:c>
      <x:c r="G401" s="10" t="str">
        <x:v>FAT-200400</x:v>
      </x:c>
      <x:c r="H401" s="10" t="str">
        <x:v>Venda de produtos</x:v>
      </x:c>
      <x:c r="I401" s="16" t="n">
        <x:v>45361.677293217595</x:v>
      </x:c>
      <x:c r="J401" s="16" t="n">
        <x:v>45376.677293217595</x:v>
      </x:c>
      <x:c r="K401" s="16" t="n">
        <x:v>45381.677293217595</x:v>
      </x:c>
      <x:c r="L401" s="20" t="n">
        <x:v>11618.72</x:v>
      </x:c>
      <x:c r="M401" s="20" t="n">
        <x:v>46.47</x:v>
      </x:c>
      <x:c r="N401" s="20" t="n">
        <x:v>0</x:v>
      </x:c>
      <x:c r="O401" s="20" t="n">
        <x:v>11665.19</x:v>
      </x:c>
      <x:c r="P401" s="20" t="n">
        <x:v>0</x:v>
      </x:c>
      <x:c r="Q401" s="10" t="str">
        <x:v>Recebido</x:v>
      </x:c>
      <x:c r="R401" s="10" t="str">
        <x:v>Boleto</x:v>
      </x:c>
      <x:c r="S401" s="10" t="str">
        <x:v>2024-03</x:v>
      </x:c>
      <x:c r="T401" s="10" t="n">
        <x:v>0</x:v>
      </x:c>
      <x:c r="U401" s="10" t="str">
        <x:v>Liquidado</x:v>
      </x:c>
      <x:c r="V401" s="10" t="str">
        <x:v>Baixo</x:v>
      </x:c>
      <x:c r="W401" s="10" t="str">
        <x:v>Tecnologia</x:v>
      </x:c>
      <x:c r="X401" s="10" t="str">
        <x:v>UND003</x:v>
      </x:c>
    </x:row>
    <x:row r="402" ht="18" customHeight="1">
      <x:c r="A402" s="10" t="str">
        <x:v>REC00401</x:v>
      </x:c>
      <x:c r="B402" s="10" t="str">
        <x:v>EMP003</x:v>
      </x:c>
      <x:c r="C402" s="10" t="str">
        <x:v>CLI039</x:v>
      </x:c>
      <x:c r="D402" s="10" t="str">
        <x:v>CC004</x:v>
      </x:c>
      <x:c r="E402" s="10" t="str">
        <x:v>CAT002</x:v>
      </x:c>
      <x:c r="F402" s="10" t="str">
        <x:v>CTA006</x:v>
      </x:c>
      <x:c r="G402" s="10" t="str">
        <x:v>FAT-200401</x:v>
      </x:c>
      <x:c r="H402" s="10" t="str">
        <x:v>Prestação de serviços</x:v>
      </x:c>
      <x:c r="I402" s="16" t="n">
        <x:v>45848.27083710648</x:v>
      </x:c>
      <x:c r="J402" s="16" t="n">
        <x:v>45876.27083710648</x:v>
      </x:c>
      <x:c r="K402" s="16" t="n">
        <x:v>45871.27083710648</x:v>
      </x:c>
      <x:c r="L402" s="20" t="n">
        <x:v>124827.68</x:v>
      </x:c>
      <x:c r="M402" s="20" t="n">
        <x:v>0</x:v>
      </x:c>
      <x:c r="N402" s="20" t="n">
        <x:v>1248.28</x:v>
      </x:c>
      <x:c r="O402" s="20" t="n">
        <x:v>123579.4</x:v>
      </x:c>
      <x:c r="P402" s="20" t="n">
        <x:v>0</x:v>
      </x:c>
      <x:c r="Q402" s="10" t="str">
        <x:v>Recebido</x:v>
      </x:c>
      <x:c r="R402" s="10" t="str">
        <x:v>TED</x:v>
      </x:c>
      <x:c r="S402" s="10" t="str">
        <x:v>2025-07</x:v>
      </x:c>
      <x:c r="T402" s="10" t="n">
        <x:v>0</x:v>
      </x:c>
      <x:c r="U402" s="10" t="str">
        <x:v>Liquidado</x:v>
      </x:c>
      <x:c r="V402" s="10" t="str">
        <x:v>Alto</x:v>
      </x:c>
      <x:c r="W402" s="10" t="str">
        <x:v>Saúde</x:v>
      </x:c>
      <x:c r="X402" s="10" t="str">
        <x:v>UND004</x:v>
      </x:c>
    </x:row>
    <x:row r="403" ht="18" customHeight="1">
      <x:c r="A403" s="10" t="str">
        <x:v>REC00402</x:v>
      </x:c>
      <x:c r="B403" s="10" t="str">
        <x:v>EMP001</x:v>
      </x:c>
      <x:c r="C403" s="10" t="str">
        <x:v>CLI065</x:v>
      </x:c>
      <x:c r="D403" s="10" t="str">
        <x:v>CC008</x:v>
      </x:c>
      <x:c r="E403" s="10" t="str">
        <x:v>CAT002</x:v>
      </x:c>
      <x:c r="F403" s="10" t="str">
        <x:v>CTA002</x:v>
      </x:c>
      <x:c r="G403" s="10" t="str">
        <x:v>FAT-200402</x:v>
      </x:c>
      <x:c r="H403" s="10" t="str">
        <x:v>Contrato mensal</x:v>
      </x:c>
      <x:c r="I403" s="16" t="n">
        <x:v>45589.330311921294</x:v>
      </x:c>
      <x:c r="J403" s="16" t="n">
        <x:v>45604.330311921294</x:v>
      </x:c>
      <x:c r="K403" s="16" t="n">
        <x:v>45612.330311921294</x:v>
      </x:c>
      <x:c r="L403" s="20" t="n">
        <x:v>88771.66</x:v>
      </x:c>
      <x:c r="M403" s="20" t="n">
        <x:v>568.14</x:v>
      </x:c>
      <x:c r="N403" s="20" t="n">
        <x:v>0</x:v>
      </x:c>
      <x:c r="O403" s="20" t="n">
        <x:v>89339.8</x:v>
      </x:c>
      <x:c r="P403" s="20" t="n">
        <x:v>0</x:v>
      </x:c>
      <x:c r="Q403" s="10" t="str">
        <x:v>Recebido</x:v>
      </x:c>
      <x:c r="R403" s="10" t="str">
        <x:v>Boleto</x:v>
      </x:c>
      <x:c r="S403" s="10" t="str">
        <x:v>2024-10</x:v>
      </x:c>
      <x:c r="T403" s="10" t="n">
        <x:v>0</x:v>
      </x:c>
      <x:c r="U403" s="10" t="str">
        <x:v>Liquidado</x:v>
      </x:c>
      <x:c r="V403" s="10" t="str">
        <x:v>Médio</x:v>
      </x:c>
      <x:c r="W403" s="10" t="str">
        <x:v>Serviços</x:v>
      </x:c>
      <x:c r="X403" s="10" t="str">
        <x:v>UND002</x:v>
      </x:c>
    </x:row>
    <x:row r="404" ht="18" customHeight="1">
      <x:c r="A404" s="10" t="str">
        <x:v>REC00403</x:v>
      </x:c>
      <x:c r="B404" s="10" t="str">
        <x:v>EMP002</x:v>
      </x:c>
      <x:c r="C404" s="10" t="str">
        <x:v>CLI042</x:v>
      </x:c>
      <x:c r="D404" s="10" t="str">
        <x:v>CC003</x:v>
      </x:c>
      <x:c r="E404" s="10" t="str">
        <x:v>CAT003</x:v>
      </x:c>
      <x:c r="F404" s="10" t="str">
        <x:v>CTA003</x:v>
      </x:c>
      <x:c r="G404" s="10" t="str">
        <x:v>FAT-200403</x:v>
      </x:c>
      <x:c r="H404" s="10" t="str">
        <x:v>Frete faturado</x:v>
      </x:c>
      <x:c r="I404" s="16" t="n">
        <x:v>45991.283288287035</x:v>
      </x:c>
      <x:c r="J404" s="16" t="n">
        <x:v>46012.283288287035</x:v>
      </x:c>
      <x:c r="K404" s="16" t="n">
        <x:v>46019.283288287035</x:v>
      </x:c>
      <x:c r="L404" s="20" t="n">
        <x:v>140612.92</x:v>
      </x:c>
      <x:c r="M404" s="20" t="n">
        <x:v>787.43</x:v>
      </x:c>
      <x:c r="N404" s="20" t="n">
        <x:v>0</x:v>
      </x:c>
      <x:c r="O404" s="20" t="n">
        <x:v>141400.35</x:v>
      </x:c>
      <x:c r="P404" s="20" t="n">
        <x:v>0</x:v>
      </x:c>
      <x:c r="Q404" s="10" t="str">
        <x:v>Recebido</x:v>
      </x:c>
      <x:c r="R404" s="10" t="str">
        <x:v>Débito em Conta</x:v>
      </x:c>
      <x:c r="S404" s="10" t="str">
        <x:v>2025-11</x:v>
      </x:c>
      <x:c r="T404" s="10" t="n">
        <x:v>0</x:v>
      </x:c>
      <x:c r="U404" s="10" t="str">
        <x:v>Liquidado</x:v>
      </x:c>
      <x:c r="V404" s="10" t="str">
        <x:v>Baixo</x:v>
      </x:c>
      <x:c r="W404" s="10" t="str">
        <x:v>Varejo</x:v>
      </x:c>
      <x:c r="X404" s="10" t="str">
        <x:v>UND003</x:v>
      </x:c>
    </x:row>
    <x:row r="405" ht="18" customHeight="1">
      <x:c r="A405" s="10" t="str">
        <x:v>REC00404</x:v>
      </x:c>
      <x:c r="B405" s="10" t="str">
        <x:v>EMP002</x:v>
      </x:c>
      <x:c r="C405" s="10" t="str">
        <x:v>CLI064</x:v>
      </x:c>
      <x:c r="D405" s="10" t="str">
        <x:v>CC005</x:v>
      </x:c>
      <x:c r="E405" s="10" t="str">
        <x:v>CAT003</x:v>
      </x:c>
      <x:c r="F405" s="10" t="str">
        <x:v>CTA003</x:v>
      </x:c>
      <x:c r="G405" s="10" t="str">
        <x:v>FAT-200404</x:v>
      </x:c>
      <x:c r="H405" s="10" t="str">
        <x:v>Projeto especial</x:v>
      </x:c>
      <x:c r="I405" s="16" t="n">
        <x:v>45390.18496850695</x:v>
      </x:c>
      <x:c r="J405" s="16" t="n">
        <x:v>45405.18496850695</x:v>
      </x:c>
      <x:c r="K405" s="16" t="n">
        <x:v>45407.18496850695</x:v>
      </x:c>
      <x:c r="L405" s="20" t="n">
        <x:v>40625.54</x:v>
      </x:c>
      <x:c r="M405" s="20" t="n">
        <x:v>65</x:v>
      </x:c>
      <x:c r="N405" s="20" t="n">
        <x:v>0</x:v>
      </x:c>
      <x:c r="O405" s="20" t="n">
        <x:v>40690.54</x:v>
      </x:c>
      <x:c r="P405" s="20" t="n">
        <x:v>0</x:v>
      </x:c>
      <x:c r="Q405" s="10" t="str">
        <x:v>Recebido</x:v>
      </x:c>
      <x:c r="R405" s="10" t="str">
        <x:v>PIX</x:v>
      </x:c>
      <x:c r="S405" s="10" t="str">
        <x:v>2024-04</x:v>
      </x:c>
      <x:c r="T405" s="10" t="n">
        <x:v>0</x:v>
      </x:c>
      <x:c r="U405" s="10" t="str">
        <x:v>Liquidado</x:v>
      </x:c>
      <x:c r="V405" s="10" t="str">
        <x:v>Médio</x:v>
      </x:c>
      <x:c r="W405" s="10" t="str">
        <x:v>Atacado</x:v>
      </x:c>
      <x:c r="X405" s="10" t="str">
        <x:v>UND003</x:v>
      </x:c>
    </x:row>
    <x:row r="406" ht="18" customHeight="1">
      <x:c r="A406" s="10" t="str">
        <x:v>REC00405</x:v>
      </x:c>
      <x:c r="B406" s="10" t="str">
        <x:v>EMP001</x:v>
      </x:c>
      <x:c r="C406" s="10" t="str">
        <x:v>CLI019</x:v>
      </x:c>
      <x:c r="D406" s="10" t="str">
        <x:v>CC002</x:v>
      </x:c>
      <x:c r="E406" s="10" t="str">
        <x:v>CAT001</x:v>
      </x:c>
      <x:c r="F406" s="10" t="str">
        <x:v>CTA001</x:v>
      </x:c>
      <x:c r="G406" s="10" t="str">
        <x:v>FAT-200405</x:v>
      </x:c>
      <x:c r="H406" s="10" t="str">
        <x:v>Contrato mensal</x:v>
      </x:c>
      <x:c r="I406" s="16" t="n">
        <x:v>45821.45156696759</x:v>
      </x:c>
      <x:c r="J406" s="16" t="n">
        <x:v>45849.45156696759</x:v>
      </x:c>
      <x:c r="K406" s="16"/>
      <x:c r="L406" s="20" t="n">
        <x:v>40841.12</x:v>
      </x:c>
      <x:c r="M406" s="20" t="n">
        <x:v>0</x:v>
      </x:c>
      <x:c r="N406" s="20" t="n">
        <x:v>0</x:v>
      </x:c>
      <x:c r="O406" s="20" t="n">
        <x:v>0</x:v>
      </x:c>
      <x:c r="P406" s="20" t="n">
        <x:v>40841.12</x:v>
      </x:c>
      <x:c r="Q406" s="10" t="str">
        <x:v>Vencido</x:v>
      </x:c>
      <x:c r="R406" s="10" t="str">
        <x:v>TED</x:v>
      </x:c>
      <x:c r="S406" s="10" t="str">
        <x:v>2025-06</x:v>
      </x:c>
      <x:c r="T406" s="10" t="n">
        <x:v>172</x:v>
      </x:c>
      <x:c r="U406" s="10" t="str">
        <x:v>&gt; 120 dias</x:v>
      </x:c>
      <x:c r="V406" s="10" t="str">
        <x:v>Alto</x:v>
      </x:c>
      <x:c r="W406" s="10" t="str">
        <x:v>Saúde</x:v>
      </x:c>
      <x:c r="X406" s="10" t="str">
        <x:v>UND002</x:v>
      </x:c>
    </x:row>
    <x:row r="407" ht="18" customHeight="1">
      <x:c r="A407" s="10" t="str">
        <x:v>REC00406</x:v>
      </x:c>
      <x:c r="B407" s="10" t="str">
        <x:v>EMP003</x:v>
      </x:c>
      <x:c r="C407" s="10" t="str">
        <x:v>CLI031</x:v>
      </x:c>
      <x:c r="D407" s="10" t="str">
        <x:v>CC007</x:v>
      </x:c>
      <x:c r="E407" s="10" t="str">
        <x:v>CAT002</x:v>
      </x:c>
      <x:c r="F407" s="10" t="str">
        <x:v>CTA005</x:v>
      </x:c>
      <x:c r="G407" s="10" t="str">
        <x:v>FAT-200406</x:v>
      </x:c>
      <x:c r="H407" s="10" t="str">
        <x:v>Venda de produtos</x:v>
      </x:c>
      <x:c r="I407" s="16" t="n">
        <x:v>45507.051335729164</x:v>
      </x:c>
      <x:c r="J407" s="16" t="n">
        <x:v>45537.051335729164</x:v>
      </x:c>
      <x:c r="K407" s="16" t="n">
        <x:v>45544.051335729164</x:v>
      </x:c>
      <x:c r="L407" s="20" t="n">
        <x:v>39114.12</x:v>
      </x:c>
      <x:c r="M407" s="20" t="n">
        <x:v>219.04</x:v>
      </x:c>
      <x:c r="N407" s="20" t="n">
        <x:v>0</x:v>
      </x:c>
      <x:c r="O407" s="20" t="n">
        <x:v>39333.16</x:v>
      </x:c>
      <x:c r="P407" s="20" t="n">
        <x:v>0</x:v>
      </x:c>
      <x:c r="Q407" s="10" t="str">
        <x:v>Recebido</x:v>
      </x:c>
      <x:c r="R407" s="10" t="str">
        <x:v>PIX</x:v>
      </x:c>
      <x:c r="S407" s="10" t="str">
        <x:v>2024-08</x:v>
      </x:c>
      <x:c r="T407" s="10" t="n">
        <x:v>0</x:v>
      </x:c>
      <x:c r="U407" s="10" t="str">
        <x:v>Liquidado</x:v>
      </x:c>
      <x:c r="V407" s="10" t="str">
        <x:v>Baixo</x:v>
      </x:c>
      <x:c r="W407" s="10" t="str">
        <x:v>Serviços</x:v>
      </x:c>
      <x:c r="X407" s="10" t="str">
        <x:v>UND004</x:v>
      </x:c>
    </x:row>
    <x:row r="408" ht="18" customHeight="1">
      <x:c r="A408" s="10" t="str">
        <x:v>REC00407</x:v>
      </x:c>
      <x:c r="B408" s="10" t="str">
        <x:v>EMP002</x:v>
      </x:c>
      <x:c r="C408" s="10" t="str">
        <x:v>CLI061</x:v>
      </x:c>
      <x:c r="D408" s="10" t="str">
        <x:v>CC008</x:v>
      </x:c>
      <x:c r="E408" s="10" t="str">
        <x:v>CAT004</x:v>
      </x:c>
      <x:c r="F408" s="10" t="str">
        <x:v>CTA003</x:v>
      </x:c>
      <x:c r="G408" s="10" t="str">
        <x:v>FAT-200407</x:v>
      </x:c>
      <x:c r="H408" s="10" t="str">
        <x:v>Prestação de serviços</x:v>
      </x:c>
      <x:c r="I408" s="16" t="n">
        <x:v>45364.84581438657</x:v>
      </x:c>
      <x:c r="J408" s="16" t="n">
        <x:v>45399.84581438657</x:v>
      </x:c>
      <x:c r="K408" s="16" t="n">
        <x:v>45397.84581438657</x:v>
      </x:c>
      <x:c r="L408" s="20" t="n">
        <x:v>22137.75</x:v>
      </x:c>
      <x:c r="M408" s="20" t="n">
        <x:v>0</x:v>
      </x:c>
      <x:c r="N408" s="20" t="n">
        <x:v>0</x:v>
      </x:c>
      <x:c r="O408" s="20" t="n">
        <x:v>22137.75</x:v>
      </x:c>
      <x:c r="P408" s="20" t="n">
        <x:v>0</x:v>
      </x:c>
      <x:c r="Q408" s="10" t="str">
        <x:v>Recebido</x:v>
      </x:c>
      <x:c r="R408" s="10" t="str">
        <x:v>Cartão</x:v>
      </x:c>
      <x:c r="S408" s="10" t="str">
        <x:v>2024-03</x:v>
      </x:c>
      <x:c r="T408" s="10" t="n">
        <x:v>0</x:v>
      </x:c>
      <x:c r="U408" s="10" t="str">
        <x:v>Liquidado</x:v>
      </x:c>
      <x:c r="V408" s="10" t="str">
        <x:v>Baixo</x:v>
      </x:c>
      <x:c r="W408" s="10" t="str">
        <x:v>Serviços</x:v>
      </x:c>
      <x:c r="X408" s="10" t="str">
        <x:v>UND003</x:v>
      </x:c>
    </x:row>
    <x:row r="409" ht="18" customHeight="1">
      <x:c r="A409" s="10" t="str">
        <x:v>REC00408</x:v>
      </x:c>
      <x:c r="B409" s="10" t="str">
        <x:v>EMP003</x:v>
      </x:c>
      <x:c r="C409" s="10" t="str">
        <x:v>CLI005</x:v>
      </x:c>
      <x:c r="D409" s="10" t="str">
        <x:v>CC001</x:v>
      </x:c>
      <x:c r="E409" s="10" t="str">
        <x:v>CAT001</x:v>
      </x:c>
      <x:c r="F409" s="10" t="str">
        <x:v>CTA005</x:v>
      </x:c>
      <x:c r="G409" s="10" t="str">
        <x:v>FAT-200408</x:v>
      </x:c>
      <x:c r="H409" s="10" t="str">
        <x:v>Projeto especial</x:v>
      </x:c>
      <x:c r="I409" s="16" t="n">
        <x:v>45923.13779775463</x:v>
      </x:c>
      <x:c r="J409" s="16" t="n">
        <x:v>45983.13779775463</x:v>
      </x:c>
      <x:c r="K409" s="16"/>
      <x:c r="L409" s="20" t="n">
        <x:v>30108.01</x:v>
      </x:c>
      <x:c r="M409" s="20" t="n">
        <x:v>0</x:v>
      </x:c>
      <x:c r="N409" s="20" t="n">
        <x:v>0</x:v>
      </x:c>
      <x:c r="O409" s="20" t="n">
        <x:v>0</x:v>
      </x:c>
      <x:c r="P409" s="20" t="n">
        <x:v>30108.01</x:v>
      </x:c>
      <x:c r="Q409" s="10" t="str">
        <x:v>Vencido</x:v>
      </x:c>
      <x:c r="R409" s="10" t="str">
        <x:v>Boleto</x:v>
      </x:c>
      <x:c r="S409" s="10" t="str">
        <x:v>2025-09</x:v>
      </x:c>
      <x:c r="T409" s="10" t="n">
        <x:v>38</x:v>
      </x:c>
      <x:c r="U409" s="10" t="str">
        <x:v>31 a 60 dias</x:v>
      </x:c>
      <x:c r="V409" s="10" t="str">
        <x:v>Baixo</x:v>
      </x:c>
      <x:c r="W409" s="10" t="str">
        <x:v>Atacado</x:v>
      </x:c>
      <x:c r="X409" s="10" t="str">
        <x:v>UND004</x:v>
      </x:c>
    </x:row>
    <x:row r="410" ht="18" customHeight="1">
      <x:c r="A410" s="10" t="str">
        <x:v>REC00409</x:v>
      </x:c>
      <x:c r="B410" s="10" t="str">
        <x:v>EMP001</x:v>
      </x:c>
      <x:c r="C410" s="10" t="str">
        <x:v>CLI004</x:v>
      </x:c>
      <x:c r="D410" s="10" t="str">
        <x:v>CC007</x:v>
      </x:c>
      <x:c r="E410" s="10" t="str">
        <x:v>CAT003</x:v>
      </x:c>
      <x:c r="F410" s="10" t="str">
        <x:v>CTA001</x:v>
      </x:c>
      <x:c r="G410" s="10" t="str">
        <x:v>FAT-200409</x:v>
      </x:c>
      <x:c r="H410" s="10" t="str">
        <x:v>Prestação de serviços</x:v>
      </x:c>
      <x:c r="I410" s="16" t="n">
        <x:v>45325.500571655095</x:v>
      </x:c>
      <x:c r="J410" s="16" t="n">
        <x:v>45340.500571655095</x:v>
      </x:c>
      <x:c r="K410" s="16" t="n">
        <x:v>45351.500571655095</x:v>
      </x:c>
      <x:c r="L410" s="20" t="n">
        <x:v>136419.56</x:v>
      </x:c>
      <x:c r="M410" s="20" t="n">
        <x:v>1200.49</x:v>
      </x:c>
      <x:c r="N410" s="20" t="n">
        <x:v>0</x:v>
      </x:c>
      <x:c r="O410" s="20" t="n">
        <x:v>137620.05</x:v>
      </x:c>
      <x:c r="P410" s="20" t="n">
        <x:v>0</x:v>
      </x:c>
      <x:c r="Q410" s="10" t="str">
        <x:v>Recebido</x:v>
      </x:c>
      <x:c r="R410" s="10" t="str">
        <x:v>Débito em Conta</x:v>
      </x:c>
      <x:c r="S410" s="10" t="str">
        <x:v>2024-02</x:v>
      </x:c>
      <x:c r="T410" s="10" t="n">
        <x:v>0</x:v>
      </x:c>
      <x:c r="U410" s="10" t="str">
        <x:v>Liquidado</x:v>
      </x:c>
      <x:c r="V410" s="10" t="str">
        <x:v>Alto</x:v>
      </x:c>
      <x:c r="W410" s="10" t="str">
        <x:v>Varejo</x:v>
      </x:c>
      <x:c r="X410" s="10" t="str">
        <x:v>UND001</x:v>
      </x:c>
    </x:row>
    <x:row r="411" ht="18" customHeight="1">
      <x:c r="A411" s="10" t="str">
        <x:v>REC00410</x:v>
      </x:c>
      <x:c r="B411" s="10" t="str">
        <x:v>EMP001</x:v>
      </x:c>
      <x:c r="C411" s="10" t="str">
        <x:v>CLI003</x:v>
      </x:c>
      <x:c r="D411" s="10" t="str">
        <x:v>CC001</x:v>
      </x:c>
      <x:c r="E411" s="10" t="str">
        <x:v>CAT001</x:v>
      </x:c>
      <x:c r="F411" s="10" t="str">
        <x:v>CTA002</x:v>
      </x:c>
      <x:c r="G411" s="10" t="str">
        <x:v>FAT-200410</x:v>
      </x:c>
      <x:c r="H411" s="10" t="str">
        <x:v>Projeto especial</x:v>
      </x:c>
      <x:c r="I411" s="16" t="n">
        <x:v>45488.01184921296</x:v>
      </x:c>
      <x:c r="J411" s="16" t="n">
        <x:v>45518.01184921296</x:v>
      </x:c>
      <x:c r="K411" s="16" t="n">
        <x:v>45522.01184921296</x:v>
      </x:c>
      <x:c r="L411" s="20" t="n">
        <x:v>34255.53</x:v>
      </x:c>
      <x:c r="M411" s="20" t="n">
        <x:v>109.62</x:v>
      </x:c>
      <x:c r="N411" s="20" t="n">
        <x:v>0</x:v>
      </x:c>
      <x:c r="O411" s="20" t="n">
        <x:v>34365.15</x:v>
      </x:c>
      <x:c r="P411" s="20" t="n">
        <x:v>0</x:v>
      </x:c>
      <x:c r="Q411" s="10" t="str">
        <x:v>Recebido</x:v>
      </x:c>
      <x:c r="R411" s="10" t="str">
        <x:v>Boleto</x:v>
      </x:c>
      <x:c r="S411" s="10" t="str">
        <x:v>2024-07</x:v>
      </x:c>
      <x:c r="T411" s="10" t="n">
        <x:v>0</x:v>
      </x:c>
      <x:c r="U411" s="10" t="str">
        <x:v>Liquidado</x:v>
      </x:c>
      <x:c r="V411" s="10" t="str">
        <x:v>Médio</x:v>
      </x:c>
      <x:c r="W411" s="10" t="str">
        <x:v>Saúde</x:v>
      </x:c>
      <x:c r="X411" s="10" t="str">
        <x:v>UND002</x:v>
      </x:c>
    </x:row>
    <x:row r="412" ht="18" customHeight="1">
      <x:c r="A412" s="10" t="str">
        <x:v>REC00411</x:v>
      </x:c>
      <x:c r="B412" s="10" t="str">
        <x:v>EMP001</x:v>
      </x:c>
      <x:c r="C412" s="10" t="str">
        <x:v>CLI057</x:v>
      </x:c>
      <x:c r="D412" s="10" t="str">
        <x:v>CC007</x:v>
      </x:c>
      <x:c r="E412" s="10" t="str">
        <x:v>CAT003</x:v>
      </x:c>
      <x:c r="F412" s="10" t="str">
        <x:v>CTA001</x:v>
      </x:c>
      <x:c r="G412" s="10" t="str">
        <x:v>FAT-200411</x:v>
      </x:c>
      <x:c r="H412" s="10" t="str">
        <x:v>Venda de produtos</x:v>
      </x:c>
      <x:c r="I412" s="16" t="n">
        <x:v>45719.45176398148</x:v>
      </x:c>
      <x:c r="J412" s="16" t="n">
        <x:v>45749.45176398148</x:v>
      </x:c>
      <x:c r="K412" s="16" t="n">
        <x:v>45770.45176398148</x:v>
      </x:c>
      <x:c r="L412" s="20" t="n">
        <x:v>37416.28</x:v>
      </x:c>
      <x:c r="M412" s="20" t="n">
        <x:v>628.59</x:v>
      </x:c>
      <x:c r="N412" s="20" t="n">
        <x:v>0</x:v>
      </x:c>
      <x:c r="O412" s="20" t="n">
        <x:v>38044.87</x:v>
      </x:c>
      <x:c r="P412" s="20" t="n">
        <x:v>0</x:v>
      </x:c>
      <x:c r="Q412" s="10" t="str">
        <x:v>Recebido</x:v>
      </x:c>
      <x:c r="R412" s="10" t="str">
        <x:v>TED</x:v>
      </x:c>
      <x:c r="S412" s="10" t="str">
        <x:v>2025-03</x:v>
      </x:c>
      <x:c r="T412" s="10" t="n">
        <x:v>0</x:v>
      </x:c>
      <x:c r="U412" s="10" t="str">
        <x:v>Liquidado</x:v>
      </x:c>
      <x:c r="V412" s="10" t="str">
        <x:v>Alto</x:v>
      </x:c>
      <x:c r="W412" s="10" t="str">
        <x:v>Saúde</x:v>
      </x:c>
      <x:c r="X412" s="10" t="str">
        <x:v>UND001</x:v>
      </x:c>
    </x:row>
    <x:row r="413" ht="18" customHeight="1">
      <x:c r="A413" s="10" t="str">
        <x:v>REC00412</x:v>
      </x:c>
      <x:c r="B413" s="10" t="str">
        <x:v>EMP001</x:v>
      </x:c>
      <x:c r="C413" s="10" t="str">
        <x:v>CLI069</x:v>
      </x:c>
      <x:c r="D413" s="10" t="str">
        <x:v>CC004</x:v>
      </x:c>
      <x:c r="E413" s="10" t="str">
        <x:v>CAT003</x:v>
      </x:c>
      <x:c r="F413" s="10" t="str">
        <x:v>CTA001</x:v>
      </x:c>
      <x:c r="G413" s="10" t="str">
        <x:v>FAT-200412</x:v>
      </x:c>
      <x:c r="H413" s="10" t="str">
        <x:v>Frete faturado</x:v>
      </x:c>
      <x:c r="I413" s="16" t="n">
        <x:v>45751.81677921296</x:v>
      </x:c>
      <x:c r="J413" s="16" t="n">
        <x:v>45796.81677921296</x:v>
      </x:c>
      <x:c r="K413" s="16" t="n">
        <x:v>45794.81677921296</x:v>
      </x:c>
      <x:c r="L413" s="20" t="n">
        <x:v>134811.61</x:v>
      </x:c>
      <x:c r="M413" s="20" t="n">
        <x:v>0</x:v>
      </x:c>
      <x:c r="N413" s="20" t="n">
        <x:v>0</x:v>
      </x:c>
      <x:c r="O413" s="20" t="n">
        <x:v>134811.61</x:v>
      </x:c>
      <x:c r="P413" s="20" t="n">
        <x:v>0</x:v>
      </x:c>
      <x:c r="Q413" s="10" t="str">
        <x:v>Recebido</x:v>
      </x:c>
      <x:c r="R413" s="10" t="str">
        <x:v>Cartão</x:v>
      </x:c>
      <x:c r="S413" s="10" t="str">
        <x:v>2025-04</x:v>
      </x:c>
      <x:c r="T413" s="10" t="n">
        <x:v>0</x:v>
      </x:c>
      <x:c r="U413" s="10" t="str">
        <x:v>Liquidado</x:v>
      </x:c>
      <x:c r="V413" s="10" t="str">
        <x:v>Alto</x:v>
      </x:c>
      <x:c r="W413" s="10" t="str">
        <x:v>Tecnologia</x:v>
      </x:c>
      <x:c r="X413" s="10" t="str">
        <x:v>UND002</x:v>
      </x:c>
    </x:row>
    <x:row r="414" ht="18" customHeight="1">
      <x:c r="A414" s="10" t="str">
        <x:v>REC00413</x:v>
      </x:c>
      <x:c r="B414" s="10" t="str">
        <x:v>EMP002</x:v>
      </x:c>
      <x:c r="C414" s="10" t="str">
        <x:v>CLI026</x:v>
      </x:c>
      <x:c r="D414" s="10" t="str">
        <x:v>CC003</x:v>
      </x:c>
      <x:c r="E414" s="10" t="str">
        <x:v>CAT002</x:v>
      </x:c>
      <x:c r="F414" s="10" t="str">
        <x:v>CTA003</x:v>
      </x:c>
      <x:c r="G414" s="10" t="str">
        <x:v>FAT-200413</x:v>
      </x:c>
      <x:c r="H414" s="10" t="str">
        <x:v>Contrato mensal</x:v>
      </x:c>
      <x:c r="I414" s="16" t="n">
        <x:v>45652.97986542824</x:v>
      </x:c>
      <x:c r="J414" s="16" t="n">
        <x:v>45680.97986542824</x:v>
      </x:c>
      <x:c r="K414" s="16" t="n">
        <x:v>45692.97986542824</x:v>
      </x:c>
      <x:c r="L414" s="20" t="n">
        <x:v>119265.01</x:v>
      </x:c>
      <x:c r="M414" s="20" t="n">
        <x:v>1144.94</x:v>
      </x:c>
      <x:c r="N414" s="20" t="n">
        <x:v>0</x:v>
      </x:c>
      <x:c r="O414" s="20" t="n">
        <x:v>120409.95</x:v>
      </x:c>
      <x:c r="P414" s="20" t="n">
        <x:v>0</x:v>
      </x:c>
      <x:c r="Q414" s="10" t="str">
        <x:v>Recebido</x:v>
      </x:c>
      <x:c r="R414" s="10" t="str">
        <x:v>Cartão</x:v>
      </x:c>
      <x:c r="S414" s="10" t="str">
        <x:v>2024-12</x:v>
      </x:c>
      <x:c r="T414" s="10" t="n">
        <x:v>0</x:v>
      </x:c>
      <x:c r="U414" s="10" t="str">
        <x:v>Liquidado</x:v>
      </x:c>
      <x:c r="V414" s="10" t="str">
        <x:v>Médio</x:v>
      </x:c>
      <x:c r="W414" s="10" t="str">
        <x:v>Atacado</x:v>
      </x:c>
      <x:c r="X414" s="10" t="str">
        <x:v>UND003</x:v>
      </x:c>
    </x:row>
    <x:row r="415" ht="18" customHeight="1">
      <x:c r="A415" s="10" t="str">
        <x:v>REC00414</x:v>
      </x:c>
      <x:c r="B415" s="10" t="str">
        <x:v>EMP002</x:v>
      </x:c>
      <x:c r="C415" s="10" t="str">
        <x:v>CLI050</x:v>
      </x:c>
      <x:c r="D415" s="10" t="str">
        <x:v>CC008</x:v>
      </x:c>
      <x:c r="E415" s="10" t="str">
        <x:v>CAT003</x:v>
      </x:c>
      <x:c r="F415" s="10" t="str">
        <x:v>CTA003</x:v>
      </x:c>
      <x:c r="G415" s="10" t="str">
        <x:v>FAT-200414</x:v>
      </x:c>
      <x:c r="H415" s="10" t="str">
        <x:v>Venda de produtos</x:v>
      </x:c>
      <x:c r="I415" s="16" t="n">
        <x:v>45934.76329964121</x:v>
      </x:c>
      <x:c r="J415" s="16" t="n">
        <x:v>45955.76329964121</x:v>
      </x:c>
      <x:c r="K415" s="16" t="n">
        <x:v>45952.76329964121</x:v>
      </x:c>
      <x:c r="L415" s="20" t="n">
        <x:v>69368.68</x:v>
      </x:c>
      <x:c r="M415" s="20" t="n">
        <x:v>0</x:v>
      </x:c>
      <x:c r="N415" s="20" t="n">
        <x:v>693.69</x:v>
      </x:c>
      <x:c r="O415" s="20" t="n">
        <x:v>68674.99</x:v>
      </x:c>
      <x:c r="P415" s="20" t="n">
        <x:v>0</x:v>
      </x:c>
      <x:c r="Q415" s="10" t="str">
        <x:v>Recebido</x:v>
      </x:c>
      <x:c r="R415" s="10" t="str">
        <x:v>Boleto</x:v>
      </x:c>
      <x:c r="S415" s="10" t="str">
        <x:v>2025-10</x:v>
      </x:c>
      <x:c r="T415" s="10" t="n">
        <x:v>0</x:v>
      </x:c>
      <x:c r="U415" s="10" t="str">
        <x:v>Liquidado</x:v>
      </x:c>
      <x:c r="V415" s="10" t="str">
        <x:v>Baixo</x:v>
      </x:c>
      <x:c r="W415" s="10" t="str">
        <x:v>Tecnologia</x:v>
      </x:c>
      <x:c r="X415" s="10" t="str">
        <x:v>UND003</x:v>
      </x:c>
    </x:row>
    <x:row r="416" ht="18" customHeight="1">
      <x:c r="A416" s="10" t="str">
        <x:v>REC00415</x:v>
      </x:c>
      <x:c r="B416" s="10" t="str">
        <x:v>EMP003</x:v>
      </x:c>
      <x:c r="C416" s="10" t="str">
        <x:v>CLI049</x:v>
      </x:c>
      <x:c r="D416" s="10" t="str">
        <x:v>CC002</x:v>
      </x:c>
      <x:c r="E416" s="10" t="str">
        <x:v>CAT004</x:v>
      </x:c>
      <x:c r="F416" s="10" t="str">
        <x:v>CTA006</x:v>
      </x:c>
      <x:c r="G416" s="10" t="str">
        <x:v>FAT-200415</x:v>
      </x:c>
      <x:c r="H416" s="10" t="str">
        <x:v>Contrato mensal</x:v>
      </x:c>
      <x:c r="I416" s="16" t="n">
        <x:v>45973.07181863426</x:v>
      </x:c>
      <x:c r="J416" s="16" t="n">
        <x:v>46018.07181863426</x:v>
      </x:c>
      <x:c r="K416" s="16"/>
      <x:c r="L416" s="20" t="n">
        <x:v>56561.29</x:v>
      </x:c>
      <x:c r="M416" s="20" t="n">
        <x:v>0</x:v>
      </x:c>
      <x:c r="N416" s="20" t="n">
        <x:v>0</x:v>
      </x:c>
      <x:c r="O416" s="20" t="n">
        <x:v>0</x:v>
      </x:c>
      <x:c r="P416" s="20" t="n">
        <x:v>56561.29</x:v>
      </x:c>
      <x:c r="Q416" s="10" t="str">
        <x:v>Vencido</x:v>
      </x:c>
      <x:c r="R416" s="10" t="str">
        <x:v>Boleto</x:v>
      </x:c>
      <x:c r="S416" s="10" t="str">
        <x:v>2025-11</x:v>
      </x:c>
      <x:c r="T416" s="10" t="n">
        <x:v>3</x:v>
      </x:c>
      <x:c r="U416" s="10" t="str">
        <x:v>1 a 30 dias</x:v>
      </x:c>
      <x:c r="V416" s="10" t="str">
        <x:v>Médio</x:v>
      </x:c>
      <x:c r="W416" s="10" t="str">
        <x:v>Serviços</x:v>
      </x:c>
      <x:c r="X416" s="10" t="str">
        <x:v>UND004</x:v>
      </x:c>
    </x:row>
    <x:row r="417" ht="18" customHeight="1">
      <x:c r="A417" s="10" t="str">
        <x:v>REC00416</x:v>
      </x:c>
      <x:c r="B417" s="10" t="str">
        <x:v>EMP003</x:v>
      </x:c>
      <x:c r="C417" s="10" t="str">
        <x:v>CLI014</x:v>
      </x:c>
      <x:c r="D417" s="10" t="str">
        <x:v>CC004</x:v>
      </x:c>
      <x:c r="E417" s="10" t="str">
        <x:v>CAT002</x:v>
      </x:c>
      <x:c r="F417" s="10" t="str">
        <x:v>CTA005</x:v>
      </x:c>
      <x:c r="G417" s="10" t="str">
        <x:v>FAT-200416</x:v>
      </x:c>
      <x:c r="H417" s="10" t="str">
        <x:v>Projeto especial</x:v>
      </x:c>
      <x:c r="I417" s="16" t="n">
        <x:v>45571.97984930556</x:v>
      </x:c>
      <x:c r="J417" s="16" t="n">
        <x:v>45606.97984930556</x:v>
      </x:c>
      <x:c r="K417" s="16" t="n">
        <x:v>45611.97984930556</x:v>
      </x:c>
      <x:c r="L417" s="20" t="n">
        <x:v>112420.12</x:v>
      </x:c>
      <x:c r="M417" s="20" t="n">
        <x:v>449.68</x:v>
      </x:c>
      <x:c r="N417" s="20" t="n">
        <x:v>0</x:v>
      </x:c>
      <x:c r="O417" s="20" t="n">
        <x:v>112869.8</x:v>
      </x:c>
      <x:c r="P417" s="20" t="n">
        <x:v>0</x:v>
      </x:c>
      <x:c r="Q417" s="10" t="str">
        <x:v>Recebido</x:v>
      </x:c>
      <x:c r="R417" s="10" t="str">
        <x:v>TED</x:v>
      </x:c>
      <x:c r="S417" s="10" t="str">
        <x:v>2024-10</x:v>
      </x:c>
      <x:c r="T417" s="10" t="n">
        <x:v>0</x:v>
      </x:c>
      <x:c r="U417" s="10" t="str">
        <x:v>Liquidado</x:v>
      </x:c>
      <x:c r="V417" s="10" t="str">
        <x:v>Médio</x:v>
      </x:c>
      <x:c r="W417" s="10" t="str">
        <x:v>Saúde</x:v>
      </x:c>
      <x:c r="X417" s="10" t="str">
        <x:v>UND004</x:v>
      </x:c>
    </x:row>
    <x:row r="418" ht="18" customHeight="1">
      <x:c r="A418" s="10" t="str">
        <x:v>REC00417</x:v>
      </x:c>
      <x:c r="B418" s="10" t="str">
        <x:v>EMP001</x:v>
      </x:c>
      <x:c r="C418" s="10" t="str">
        <x:v>CLI054</x:v>
      </x:c>
      <x:c r="D418" s="10" t="str">
        <x:v>CC008</x:v>
      </x:c>
      <x:c r="E418" s="10" t="str">
        <x:v>CAT001</x:v>
      </x:c>
      <x:c r="F418" s="10" t="str">
        <x:v>CTA001</x:v>
      </x:c>
      <x:c r="G418" s="10" t="str">
        <x:v>FAT-200417</x:v>
      </x:c>
      <x:c r="H418" s="10" t="str">
        <x:v>Frete faturado</x:v>
      </x:c>
      <x:c r="I418" s="16" t="n">
        <x:v>45772.60778726852</x:v>
      </x:c>
      <x:c r="J418" s="16" t="n">
        <x:v>45800.60778726852</x:v>
      </x:c>
      <x:c r="K418" s="16" t="n">
        <x:v>45803.60778726852</x:v>
      </x:c>
      <x:c r="L418" s="20" t="n">
        <x:v>138773.4</x:v>
      </x:c>
      <x:c r="M418" s="20" t="n">
        <x:v>333.06</x:v>
      </x:c>
      <x:c r="N418" s="20" t="n">
        <x:v>0</x:v>
      </x:c>
      <x:c r="O418" s="20" t="n">
        <x:v>139106.46</x:v>
      </x:c>
      <x:c r="P418" s="20" t="n">
        <x:v>0</x:v>
      </x:c>
      <x:c r="Q418" s="10" t="str">
        <x:v>Recebido</x:v>
      </x:c>
      <x:c r="R418" s="10" t="str">
        <x:v>PIX</x:v>
      </x:c>
      <x:c r="S418" s="10" t="str">
        <x:v>2025-04</x:v>
      </x:c>
      <x:c r="T418" s="10" t="n">
        <x:v>0</x:v>
      </x:c>
      <x:c r="U418" s="10" t="str">
        <x:v>Liquidado</x:v>
      </x:c>
      <x:c r="V418" s="10" t="str">
        <x:v>Médio</x:v>
      </x:c>
      <x:c r="W418" s="10" t="str">
        <x:v>Indústria</x:v>
      </x:c>
      <x:c r="X418" s="10" t="str">
        <x:v>UND002</x:v>
      </x:c>
    </x:row>
    <x:row r="419" ht="18" customHeight="1">
      <x:c r="A419" s="10" t="str">
        <x:v>REC00418</x:v>
      </x:c>
      <x:c r="B419" s="10" t="str">
        <x:v>EMP001</x:v>
      </x:c>
      <x:c r="C419" s="10" t="str">
        <x:v>CLI069</x:v>
      </x:c>
      <x:c r="D419" s="10" t="str">
        <x:v>CC004</x:v>
      </x:c>
      <x:c r="E419" s="10" t="str">
        <x:v>CAT003</x:v>
      </x:c>
      <x:c r="F419" s="10" t="str">
        <x:v>CTA002</x:v>
      </x:c>
      <x:c r="G419" s="10" t="str">
        <x:v>FAT-200418</x:v>
      </x:c>
      <x:c r="H419" s="10" t="str">
        <x:v>Venda de produtos</x:v>
      </x:c>
      <x:c r="I419" s="16" t="n">
        <x:v>45824.58404025463</x:v>
      </x:c>
      <x:c r="J419" s="16" t="n">
        <x:v>45852.58404025463</x:v>
      </x:c>
      <x:c r="K419" s="16" t="n">
        <x:v>45865.58404025463</x:v>
      </x:c>
      <x:c r="L419" s="20" t="n">
        <x:v>51981.97</x:v>
      </x:c>
      <x:c r="M419" s="20" t="n">
        <x:v>540.61</x:v>
      </x:c>
      <x:c r="N419" s="20" t="n">
        <x:v>0</x:v>
      </x:c>
      <x:c r="O419" s="20" t="n">
        <x:v>52522.58</x:v>
      </x:c>
      <x:c r="P419" s="20" t="n">
        <x:v>0</x:v>
      </x:c>
      <x:c r="Q419" s="10" t="str">
        <x:v>Recebido</x:v>
      </x:c>
      <x:c r="R419" s="10" t="str">
        <x:v>TED</x:v>
      </x:c>
      <x:c r="S419" s="10" t="str">
        <x:v>2025-06</x:v>
      </x:c>
      <x:c r="T419" s="10" t="n">
        <x:v>0</x:v>
      </x:c>
      <x:c r="U419" s="10" t="str">
        <x:v>Liquidado</x:v>
      </x:c>
      <x:c r="V419" s="10" t="str">
        <x:v>Alto</x:v>
      </x:c>
      <x:c r="W419" s="10" t="str">
        <x:v>Tecnologia</x:v>
      </x:c>
      <x:c r="X419" s="10" t="str">
        <x:v>UND001</x:v>
      </x:c>
    </x:row>
    <x:row r="420" ht="18" customHeight="1">
      <x:c r="A420" s="10" t="str">
        <x:v>REC00419</x:v>
      </x:c>
      <x:c r="B420" s="10" t="str">
        <x:v>EMP002</x:v>
      </x:c>
      <x:c r="C420" s="10" t="str">
        <x:v>CLI067</x:v>
      </x:c>
      <x:c r="D420" s="10" t="str">
        <x:v>CC001</x:v>
      </x:c>
      <x:c r="E420" s="10" t="str">
        <x:v>CAT001</x:v>
      </x:c>
      <x:c r="F420" s="10" t="str">
        <x:v>CTA003</x:v>
      </x:c>
      <x:c r="G420" s="10" t="str">
        <x:v>FAT-200419</x:v>
      </x:c>
      <x:c r="H420" s="10" t="str">
        <x:v>Frete faturado</x:v>
      </x:c>
      <x:c r="I420" s="16" t="n">
        <x:v>45875.73881173611</x:v>
      </x:c>
      <x:c r="J420" s="16" t="n">
        <x:v>45935.73881173611</x:v>
      </x:c>
      <x:c r="K420" s="16"/>
      <x:c r="L420" s="20" t="n">
        <x:v>22127.75</x:v>
      </x:c>
      <x:c r="M420" s="20" t="n">
        <x:v>0</x:v>
      </x:c>
      <x:c r="N420" s="20" t="n">
        <x:v>0</x:v>
      </x:c>
      <x:c r="O420" s="20" t="n">
        <x:v>0</x:v>
      </x:c>
      <x:c r="P420" s="20" t="n">
        <x:v>22127.75</x:v>
      </x:c>
      <x:c r="Q420" s="10" t="str">
        <x:v>Vencido</x:v>
      </x:c>
      <x:c r="R420" s="10" t="str">
        <x:v>Débito em Conta</x:v>
      </x:c>
      <x:c r="S420" s="10" t="str">
        <x:v>2025-08</x:v>
      </x:c>
      <x:c r="T420" s="10" t="n">
        <x:v>86</x:v>
      </x:c>
      <x:c r="U420" s="10" t="str">
        <x:v>61 a 90 dias</x:v>
      </x:c>
      <x:c r="V420" s="10" t="str">
        <x:v>Alto</x:v>
      </x:c>
      <x:c r="W420" s="10" t="str">
        <x:v>Varejo</x:v>
      </x:c>
      <x:c r="X420" s="10" t="str">
        <x:v>UND003</x:v>
      </x:c>
    </x:row>
    <x:row r="421" ht="18" customHeight="1">
      <x:c r="A421" s="10" t="str">
        <x:v>REC00420</x:v>
      </x:c>
      <x:c r="B421" s="10" t="str">
        <x:v>EMP003</x:v>
      </x:c>
      <x:c r="C421" s="10" t="str">
        <x:v>CLI069</x:v>
      </x:c>
      <x:c r="D421" s="10" t="str">
        <x:v>CC004</x:v>
      </x:c>
      <x:c r="E421" s="10" t="str">
        <x:v>CAT002</x:v>
      </x:c>
      <x:c r="F421" s="10" t="str">
        <x:v>CTA006</x:v>
      </x:c>
      <x:c r="G421" s="10" t="str">
        <x:v>FAT-200420</x:v>
      </x:c>
      <x:c r="H421" s="10" t="str">
        <x:v>Projeto especial</x:v>
      </x:c>
      <x:c r="I421" s="16" t="n">
        <x:v>45907.11258962963</x:v>
      </x:c>
      <x:c r="J421" s="16" t="n">
        <x:v>45935.11258962963</x:v>
      </x:c>
      <x:c r="K421" s="16" t="n">
        <x:v>45945.11258962963</x:v>
      </x:c>
      <x:c r="L421" s="20" t="n">
        <x:v>27581.66</x:v>
      </x:c>
      <x:c r="M421" s="20" t="n">
        <x:v>220.65</x:v>
      </x:c>
      <x:c r="N421" s="20" t="n">
        <x:v>0</x:v>
      </x:c>
      <x:c r="O421" s="20" t="n">
        <x:v>27802.31</x:v>
      </x:c>
      <x:c r="P421" s="20" t="n">
        <x:v>0</x:v>
      </x:c>
      <x:c r="Q421" s="10" t="str">
        <x:v>Recebido</x:v>
      </x:c>
      <x:c r="R421" s="10" t="str">
        <x:v>TED</x:v>
      </x:c>
      <x:c r="S421" s="10" t="str">
        <x:v>2025-09</x:v>
      </x:c>
      <x:c r="T421" s="10" t="n">
        <x:v>0</x:v>
      </x:c>
      <x:c r="U421" s="10" t="str">
        <x:v>Liquidado</x:v>
      </x:c>
      <x:c r="V421" s="10" t="str">
        <x:v>Alto</x:v>
      </x:c>
      <x:c r="W421" s="10" t="str">
        <x:v>Tecnologia</x:v>
      </x:c>
      <x:c r="X421" s="10" t="str">
        <x:v>UND004</x:v>
      </x:c>
    </x:row>
    <x:row r="422" ht="18" customHeight="1">
      <x:c r="A422" s="10" t="str">
        <x:v>REC00421</x:v>
      </x:c>
      <x:c r="B422" s="10" t="str">
        <x:v>EMP002</x:v>
      </x:c>
      <x:c r="C422" s="10" t="str">
        <x:v>CLI013</x:v>
      </x:c>
      <x:c r="D422" s="10" t="str">
        <x:v>CC004</x:v>
      </x:c>
      <x:c r="E422" s="10" t="str">
        <x:v>CAT002</x:v>
      </x:c>
      <x:c r="F422" s="10" t="str">
        <x:v>CTA003</x:v>
      </x:c>
      <x:c r="G422" s="10" t="str">
        <x:v>FAT-200421</x:v>
      </x:c>
      <x:c r="H422" s="10" t="str">
        <x:v>Prestação de serviços</x:v>
      </x:c>
      <x:c r="I422" s="16" t="n">
        <x:v>45939.42542516204</x:v>
      </x:c>
      <x:c r="J422" s="16" t="n">
        <x:v>45967.42542516204</x:v>
      </x:c>
      <x:c r="K422" s="16" t="n">
        <x:v>45968.42542516204</x:v>
      </x:c>
      <x:c r="L422" s="20" t="n">
        <x:v>136345.29</x:v>
      </x:c>
      <x:c r="M422" s="20" t="n">
        <x:v>109.08</x:v>
      </x:c>
      <x:c r="N422" s="20" t="n">
        <x:v>0</x:v>
      </x:c>
      <x:c r="O422" s="20" t="n">
        <x:v>136454.37</x:v>
      </x:c>
      <x:c r="P422" s="20" t="n">
        <x:v>0</x:v>
      </x:c>
      <x:c r="Q422" s="10" t="str">
        <x:v>Recebido</x:v>
      </x:c>
      <x:c r="R422" s="10" t="str">
        <x:v>TED</x:v>
      </x:c>
      <x:c r="S422" s="10" t="str">
        <x:v>2025-10</x:v>
      </x:c>
      <x:c r="T422" s="10" t="n">
        <x:v>0</x:v>
      </x:c>
      <x:c r="U422" s="10" t="str">
        <x:v>Liquidado</x:v>
      </x:c>
      <x:c r="V422" s="10" t="str">
        <x:v>Baixo</x:v>
      </x:c>
      <x:c r="W422" s="10" t="str">
        <x:v>Serviços</x:v>
      </x:c>
      <x:c r="X422" s="10" t="str">
        <x:v>UND003</x:v>
      </x:c>
    </x:row>
    <x:row r="423" ht="18" customHeight="1">
      <x:c r="A423" s="10" t="str">
        <x:v>REC00422</x:v>
      </x:c>
      <x:c r="B423" s="10" t="str">
        <x:v>EMP001</x:v>
      </x:c>
      <x:c r="C423" s="10" t="str">
        <x:v>CLI044</x:v>
      </x:c>
      <x:c r="D423" s="10" t="str">
        <x:v>CC002</x:v>
      </x:c>
      <x:c r="E423" s="10" t="str">
        <x:v>CAT002</x:v>
      </x:c>
      <x:c r="F423" s="10" t="str">
        <x:v>CTA001</x:v>
      </x:c>
      <x:c r="G423" s="10" t="str">
        <x:v>FAT-200422</x:v>
      </x:c>
      <x:c r="H423" s="10" t="str">
        <x:v>Projeto especial</x:v>
      </x:c>
      <x:c r="I423" s="16" t="n">
        <x:v>45568.40509400463</x:v>
      </x:c>
      <x:c r="J423" s="16" t="n">
        <x:v>45589.40509400463</x:v>
      </x:c>
      <x:c r="K423" s="16"/>
      <x:c r="L423" s="20" t="n">
        <x:v>4209.57</x:v>
      </x:c>
      <x:c r="M423" s="20" t="n">
        <x:v>0</x:v>
      </x:c>
      <x:c r="N423" s="20" t="n">
        <x:v>0</x:v>
      </x:c>
      <x:c r="O423" s="20" t="n">
        <x:v>0</x:v>
      </x:c>
      <x:c r="P423" s="20" t="n">
        <x:v>4209.57</x:v>
      </x:c>
      <x:c r="Q423" s="10" t="str">
        <x:v>Vencido</x:v>
      </x:c>
      <x:c r="R423" s="10" t="str">
        <x:v>PIX</x:v>
      </x:c>
      <x:c r="S423" s="10" t="str">
        <x:v>2024-10</x:v>
      </x:c>
      <x:c r="T423" s="10" t="n">
        <x:v>432</x:v>
      </x:c>
      <x:c r="U423" s="10" t="str">
        <x:v>&gt; 120 dias</x:v>
      </x:c>
      <x:c r="V423" s="10" t="str">
        <x:v>Alto</x:v>
      </x:c>
      <x:c r="W423" s="10" t="str">
        <x:v>Varejo</x:v>
      </x:c>
      <x:c r="X423" s="10" t="str">
        <x:v>UND001</x:v>
      </x:c>
    </x:row>
    <x:row r="424" ht="18" customHeight="1">
      <x:c r="A424" s="10" t="str">
        <x:v>REC00423</x:v>
      </x:c>
      <x:c r="B424" s="10" t="str">
        <x:v>EMP002</x:v>
      </x:c>
      <x:c r="C424" s="10" t="str">
        <x:v>CLI032</x:v>
      </x:c>
      <x:c r="D424" s="10" t="str">
        <x:v>CC003</x:v>
      </x:c>
      <x:c r="E424" s="10" t="str">
        <x:v>CAT002</x:v>
      </x:c>
      <x:c r="F424" s="10" t="str">
        <x:v>CTA004</x:v>
      </x:c>
      <x:c r="G424" s="10" t="str">
        <x:v>FAT-200423</x:v>
      </x:c>
      <x:c r="H424" s="10" t="str">
        <x:v>Venda de produtos</x:v>
      </x:c>
      <x:c r="I424" s="16" t="n">
        <x:v>45622.18067706018</x:v>
      </x:c>
      <x:c r="J424" s="16" t="n">
        <x:v>45643.18067706018</x:v>
      </x:c>
      <x:c r="K424" s="16" t="n">
        <x:v>45650.18067706018</x:v>
      </x:c>
      <x:c r="L424" s="20" t="n">
        <x:v>70433.09</x:v>
      </x:c>
      <x:c r="M424" s="20" t="n">
        <x:v>394.43</x:v>
      </x:c>
      <x:c r="N424" s="20" t="n">
        <x:v>0</x:v>
      </x:c>
      <x:c r="O424" s="20" t="n">
        <x:v>70827.52</x:v>
      </x:c>
      <x:c r="P424" s="20" t="n">
        <x:v>0</x:v>
      </x:c>
      <x:c r="Q424" s="10" t="str">
        <x:v>Recebido</x:v>
      </x:c>
      <x:c r="R424" s="10" t="str">
        <x:v>Débito em Conta</x:v>
      </x:c>
      <x:c r="S424" s="10" t="str">
        <x:v>2024-11</x:v>
      </x:c>
      <x:c r="T424" s="10" t="n">
        <x:v>0</x:v>
      </x:c>
      <x:c r="U424" s="10" t="str">
        <x:v>Liquidado</x:v>
      </x:c>
      <x:c r="V424" s="10" t="str">
        <x:v>Baixo</x:v>
      </x:c>
      <x:c r="W424" s="10" t="str">
        <x:v>Tecnologia</x:v>
      </x:c>
      <x:c r="X424" s="10" t="str">
        <x:v>UND003</x:v>
      </x:c>
    </x:row>
    <x:row r="425" ht="18" customHeight="1">
      <x:c r="A425" s="10" t="str">
        <x:v>REC00424</x:v>
      </x:c>
      <x:c r="B425" s="10" t="str">
        <x:v>EMP003</x:v>
      </x:c>
      <x:c r="C425" s="10" t="str">
        <x:v>CLI072</x:v>
      </x:c>
      <x:c r="D425" s="10" t="str">
        <x:v>CC001</x:v>
      </x:c>
      <x:c r="E425" s="10" t="str">
        <x:v>CAT004</x:v>
      </x:c>
      <x:c r="F425" s="10" t="str">
        <x:v>CTA005</x:v>
      </x:c>
      <x:c r="G425" s="10" t="str">
        <x:v>FAT-200424</x:v>
      </x:c>
      <x:c r="H425" s="10" t="str">
        <x:v>Venda de produtos</x:v>
      </x:c>
      <x:c r="I425" s="16" t="n">
        <x:v>45344.196867847226</x:v>
      </x:c>
      <x:c r="J425" s="16" t="n">
        <x:v>45359.196867847226</x:v>
      </x:c>
      <x:c r="K425" s="16" t="n">
        <x:v>45383.196867847226</x:v>
      </x:c>
      <x:c r="L425" s="20" t="n">
        <x:v>27401.99</x:v>
      </x:c>
      <x:c r="M425" s="20" t="n">
        <x:v>526.12</x:v>
      </x:c>
      <x:c r="N425" s="20" t="n">
        <x:v>0</x:v>
      </x:c>
      <x:c r="O425" s="20" t="n">
        <x:v>27928.11</x:v>
      </x:c>
      <x:c r="P425" s="20" t="n">
        <x:v>0</x:v>
      </x:c>
      <x:c r="Q425" s="10" t="str">
        <x:v>Recebido</x:v>
      </x:c>
      <x:c r="R425" s="10" t="str">
        <x:v>Débito em Conta</x:v>
      </x:c>
      <x:c r="S425" s="10" t="str">
        <x:v>2024-02</x:v>
      </x:c>
      <x:c r="T425" s="10" t="n">
        <x:v>0</x:v>
      </x:c>
      <x:c r="U425" s="10" t="str">
        <x:v>Liquidado</x:v>
      </x:c>
      <x:c r="V425" s="10" t="str">
        <x:v>Alto</x:v>
      </x:c>
      <x:c r="W425" s="10" t="str">
        <x:v>Varejo</x:v>
      </x:c>
      <x:c r="X425" s="10" t="str">
        <x:v>UND004</x:v>
      </x:c>
    </x:row>
    <x:row r="426" ht="18" customHeight="1">
      <x:c r="A426" s="10" t="str">
        <x:v>REC00425</x:v>
      </x:c>
      <x:c r="B426" s="10" t="str">
        <x:v>EMP003</x:v>
      </x:c>
      <x:c r="C426" s="10" t="str">
        <x:v>CLI075</x:v>
      </x:c>
      <x:c r="D426" s="10" t="str">
        <x:v>CC003</x:v>
      </x:c>
      <x:c r="E426" s="10" t="str">
        <x:v>CAT002</x:v>
      </x:c>
      <x:c r="F426" s="10" t="str">
        <x:v>CTA005</x:v>
      </x:c>
      <x:c r="G426" s="10" t="str">
        <x:v>FAT-200425</x:v>
      </x:c>
      <x:c r="H426" s="10" t="str">
        <x:v>Contrato mensal</x:v>
      </x:c>
      <x:c r="I426" s="16" t="n">
        <x:v>45727.36064384259</x:v>
      </x:c>
      <x:c r="J426" s="16" t="n">
        <x:v>45748.36064384259</x:v>
      </x:c>
      <x:c r="K426" s="16" t="n">
        <x:v>45756.36064384259</x:v>
      </x:c>
      <x:c r="L426" s="20" t="n">
        <x:v>22154.21</x:v>
      </x:c>
      <x:c r="M426" s="20" t="n">
        <x:v>141.79</x:v>
      </x:c>
      <x:c r="N426" s="20" t="n">
        <x:v>0</x:v>
      </x:c>
      <x:c r="O426" s="20" t="n">
        <x:v>22296</x:v>
      </x:c>
      <x:c r="P426" s="20" t="n">
        <x:v>0</x:v>
      </x:c>
      <x:c r="Q426" s="10" t="str">
        <x:v>Recebido</x:v>
      </x:c>
      <x:c r="R426" s="10" t="str">
        <x:v>Boleto</x:v>
      </x:c>
      <x:c r="S426" s="10" t="str">
        <x:v>2025-03</x:v>
      </x:c>
      <x:c r="T426" s="10" t="n">
        <x:v>0</x:v>
      </x:c>
      <x:c r="U426" s="10" t="str">
        <x:v>Liquidado</x:v>
      </x:c>
      <x:c r="V426" s="10" t="str">
        <x:v>Médio</x:v>
      </x:c>
      <x:c r="W426" s="10" t="str">
        <x:v>Varejo</x:v>
      </x:c>
      <x:c r="X426" s="10" t="str">
        <x:v>UND004</x:v>
      </x:c>
    </x:row>
    <x:row r="427" ht="18" customHeight="1">
      <x:c r="A427" s="10" t="str">
        <x:v>REC00426</x:v>
      </x:c>
      <x:c r="B427" s="10" t="str">
        <x:v>EMP002</x:v>
      </x:c>
      <x:c r="C427" s="10" t="str">
        <x:v>CLI069</x:v>
      </x:c>
      <x:c r="D427" s="10" t="str">
        <x:v>CC008</x:v>
      </x:c>
      <x:c r="E427" s="10" t="str">
        <x:v>CAT003</x:v>
      </x:c>
      <x:c r="F427" s="10" t="str">
        <x:v>CTA003</x:v>
      </x:c>
      <x:c r="G427" s="10" t="str">
        <x:v>FAT-200426</x:v>
      </x:c>
      <x:c r="H427" s="10" t="str">
        <x:v>Projeto especial</x:v>
      </x:c>
      <x:c r="I427" s="16" t="n">
        <x:v>45601.14482219907</x:v>
      </x:c>
      <x:c r="J427" s="16" t="n">
        <x:v>45616.14482219907</x:v>
      </x:c>
      <x:c r="K427" s="16" t="n">
        <x:v>45631.14482219907</x:v>
      </x:c>
      <x:c r="L427" s="20" t="n">
        <x:v>1606.34</x:v>
      </x:c>
      <x:c r="M427" s="20" t="n">
        <x:v>19.28</x:v>
      </x:c>
      <x:c r="N427" s="20" t="n">
        <x:v>0</x:v>
      </x:c>
      <x:c r="O427" s="20" t="n">
        <x:v>1625.62</x:v>
      </x:c>
      <x:c r="P427" s="20" t="n">
        <x:v>0</x:v>
      </x:c>
      <x:c r="Q427" s="10" t="str">
        <x:v>Recebido</x:v>
      </x:c>
      <x:c r="R427" s="10" t="str">
        <x:v>TED</x:v>
      </x:c>
      <x:c r="S427" s="10" t="str">
        <x:v>2024-11</x:v>
      </x:c>
      <x:c r="T427" s="10" t="n">
        <x:v>0</x:v>
      </x:c>
      <x:c r="U427" s="10" t="str">
        <x:v>Liquidado</x:v>
      </x:c>
      <x:c r="V427" s="10" t="str">
        <x:v>Alto</x:v>
      </x:c>
      <x:c r="W427" s="10" t="str">
        <x:v>Tecnologia</x:v>
      </x:c>
      <x:c r="X427" s="10" t="str">
        <x:v>UND003</x:v>
      </x:c>
    </x:row>
    <x:row r="428" ht="18" customHeight="1">
      <x:c r="A428" s="10" t="str">
        <x:v>REC00427</x:v>
      </x:c>
      <x:c r="B428" s="10" t="str">
        <x:v>EMP002</x:v>
      </x:c>
      <x:c r="C428" s="10" t="str">
        <x:v>CLI027</x:v>
      </x:c>
      <x:c r="D428" s="10" t="str">
        <x:v>CC003</x:v>
      </x:c>
      <x:c r="E428" s="10" t="str">
        <x:v>CAT004</x:v>
      </x:c>
      <x:c r="F428" s="10" t="str">
        <x:v>CTA004</x:v>
      </x:c>
      <x:c r="G428" s="10" t="str">
        <x:v>FAT-200427</x:v>
      </x:c>
      <x:c r="H428" s="10" t="str">
        <x:v>Frete faturado</x:v>
      </x:c>
      <x:c r="I428" s="16" t="n">
        <x:v>45423.02758574074</x:v>
      </x:c>
      <x:c r="J428" s="16" t="n">
        <x:v>45451.02758574074</x:v>
      </x:c>
      <x:c r="K428" s="16" t="n">
        <x:v>45455.02758574074</x:v>
      </x:c>
      <x:c r="L428" s="20" t="n">
        <x:v>119182.02</x:v>
      </x:c>
      <x:c r="M428" s="20" t="n">
        <x:v>381.38</x:v>
      </x:c>
      <x:c r="N428" s="20" t="n">
        <x:v>0</x:v>
      </x:c>
      <x:c r="O428" s="20" t="n">
        <x:v>119563.4</x:v>
      </x:c>
      <x:c r="P428" s="20" t="n">
        <x:v>0</x:v>
      </x:c>
      <x:c r="Q428" s="10" t="str">
        <x:v>Recebido</x:v>
      </x:c>
      <x:c r="R428" s="10" t="str">
        <x:v>TED</x:v>
      </x:c>
      <x:c r="S428" s="10" t="str">
        <x:v>2024-05</x:v>
      </x:c>
      <x:c r="T428" s="10" t="n">
        <x:v>0</x:v>
      </x:c>
      <x:c r="U428" s="10" t="str">
        <x:v>Liquidado</x:v>
      </x:c>
      <x:c r="V428" s="10" t="str">
        <x:v>Alto</x:v>
      </x:c>
      <x:c r="W428" s="10" t="str">
        <x:v>Serviços</x:v>
      </x:c>
      <x:c r="X428" s="10" t="str">
        <x:v>UND003</x:v>
      </x:c>
    </x:row>
    <x:row r="429" ht="18" customHeight="1">
      <x:c r="A429" s="10" t="str">
        <x:v>REC00428</x:v>
      </x:c>
      <x:c r="B429" s="10" t="str">
        <x:v>EMP003</x:v>
      </x:c>
      <x:c r="C429" s="10" t="str">
        <x:v>CLI038</x:v>
      </x:c>
      <x:c r="D429" s="10" t="str">
        <x:v>CC001</x:v>
      </x:c>
      <x:c r="E429" s="10" t="str">
        <x:v>CAT001</x:v>
      </x:c>
      <x:c r="F429" s="10" t="str">
        <x:v>CTA005</x:v>
      </x:c>
      <x:c r="G429" s="10" t="str">
        <x:v>FAT-200428</x:v>
      </x:c>
      <x:c r="H429" s="10" t="str">
        <x:v>Contrato mensal</x:v>
      </x:c>
      <x:c r="I429" s="16" t="n">
        <x:v>45508.673589212965</x:v>
      </x:c>
      <x:c r="J429" s="16" t="n">
        <x:v>45568.673589212965</x:v>
      </x:c>
      <x:c r="K429" s="16" t="n">
        <x:v>45562.673589212965</x:v>
      </x:c>
      <x:c r="L429" s="20" t="n">
        <x:v>131259.85</x:v>
      </x:c>
      <x:c r="M429" s="20" t="n">
        <x:v>0</x:v>
      </x:c>
      <x:c r="N429" s="20" t="n">
        <x:v>0</x:v>
      </x:c>
      <x:c r="O429" s="20" t="n">
        <x:v>131259.85</x:v>
      </x:c>
      <x:c r="P429" s="20" t="n">
        <x:v>0</x:v>
      </x:c>
      <x:c r="Q429" s="10" t="str">
        <x:v>Recebido</x:v>
      </x:c>
      <x:c r="R429" s="10" t="str">
        <x:v>PIX</x:v>
      </x:c>
      <x:c r="S429" s="10" t="str">
        <x:v>2024-08</x:v>
      </x:c>
      <x:c r="T429" s="10" t="n">
        <x:v>0</x:v>
      </x:c>
      <x:c r="U429" s="10" t="str">
        <x:v>Liquidado</x:v>
      </x:c>
      <x:c r="V429" s="10" t="str">
        <x:v>Baixo</x:v>
      </x:c>
      <x:c r="W429" s="10" t="str">
        <x:v>Varejo</x:v>
      </x:c>
      <x:c r="X429" s="10" t="str">
        <x:v>UND004</x:v>
      </x:c>
    </x:row>
    <x:row r="430" ht="18" customHeight="1">
      <x:c r="A430" s="10" t="str">
        <x:v>REC00429</x:v>
      </x:c>
      <x:c r="B430" s="10" t="str">
        <x:v>EMP003</x:v>
      </x:c>
      <x:c r="C430" s="10" t="str">
        <x:v>CLI002</x:v>
      </x:c>
      <x:c r="D430" s="10" t="str">
        <x:v>CC003</x:v>
      </x:c>
      <x:c r="E430" s="10" t="str">
        <x:v>CAT004</x:v>
      </x:c>
      <x:c r="F430" s="10" t="str">
        <x:v>CTA006</x:v>
      </x:c>
      <x:c r="G430" s="10" t="str">
        <x:v>FAT-200429</x:v>
      </x:c>
      <x:c r="H430" s="10" t="str">
        <x:v>Contrato mensal</x:v>
      </x:c>
      <x:c r="I430" s="16" t="n">
        <x:v>45869.633543599535</x:v>
      </x:c>
      <x:c r="J430" s="16" t="n">
        <x:v>45897.633543599535</x:v>
      </x:c>
      <x:c r="K430" s="16" t="n">
        <x:v>45897.633543599535</x:v>
      </x:c>
      <x:c r="L430" s="20" t="n">
        <x:v>70385.48</x:v>
      </x:c>
      <x:c r="M430" s="20" t="n">
        <x:v>0</x:v>
      </x:c>
      <x:c r="N430" s="20" t="n">
        <x:v>0</x:v>
      </x:c>
      <x:c r="O430" s="20" t="n">
        <x:v>70385.48</x:v>
      </x:c>
      <x:c r="P430" s="20" t="n">
        <x:v>0</x:v>
      </x:c>
      <x:c r="Q430" s="10" t="str">
        <x:v>Recebido</x:v>
      </x:c>
      <x:c r="R430" s="10" t="str">
        <x:v>TED</x:v>
      </x:c>
      <x:c r="S430" s="10" t="str">
        <x:v>2025-07</x:v>
      </x:c>
      <x:c r="T430" s="10" t="n">
        <x:v>0</x:v>
      </x:c>
      <x:c r="U430" s="10" t="str">
        <x:v>Liquidado</x:v>
      </x:c>
      <x:c r="V430" s="10" t="str">
        <x:v>Alto</x:v>
      </x:c>
      <x:c r="W430" s="10" t="str">
        <x:v>Serviços</x:v>
      </x:c>
      <x:c r="X430" s="10" t="str">
        <x:v>UND004</x:v>
      </x:c>
    </x:row>
    <x:row r="431" ht="18" customHeight="1">
      <x:c r="A431" s="10" t="str">
        <x:v>REC00430</x:v>
      </x:c>
      <x:c r="B431" s="10" t="str">
        <x:v>EMP003</x:v>
      </x:c>
      <x:c r="C431" s="10" t="str">
        <x:v>CLI042</x:v>
      </x:c>
      <x:c r="D431" s="10" t="str">
        <x:v>CC003</x:v>
      </x:c>
      <x:c r="E431" s="10" t="str">
        <x:v>CAT002</x:v>
      </x:c>
      <x:c r="F431" s="10" t="str">
        <x:v>CTA006</x:v>
      </x:c>
      <x:c r="G431" s="10" t="str">
        <x:v>FAT-200430</x:v>
      </x:c>
      <x:c r="H431" s="10" t="str">
        <x:v>Venda de produtos</x:v>
      </x:c>
      <x:c r="I431" s="16" t="n">
        <x:v>45799.06309037037</x:v>
      </x:c>
      <x:c r="J431" s="16" t="n">
        <x:v>45829.06309037037</x:v>
      </x:c>
      <x:c r="K431" s="16" t="n">
        <x:v>45830.06309037037</x:v>
      </x:c>
      <x:c r="L431" s="20" t="n">
        <x:v>103319.26</x:v>
      </x:c>
      <x:c r="M431" s="20" t="n">
        <x:v>82.66</x:v>
      </x:c>
      <x:c r="N431" s="20" t="n">
        <x:v>0</x:v>
      </x:c>
      <x:c r="O431" s="20" t="n">
        <x:v>103401.92</x:v>
      </x:c>
      <x:c r="P431" s="20" t="n">
        <x:v>0</x:v>
      </x:c>
      <x:c r="Q431" s="10" t="str">
        <x:v>Recebido</x:v>
      </x:c>
      <x:c r="R431" s="10" t="str">
        <x:v>Débito em Conta</x:v>
      </x:c>
      <x:c r="S431" s="10" t="str">
        <x:v>2025-05</x:v>
      </x:c>
      <x:c r="T431" s="10" t="n">
        <x:v>0</x:v>
      </x:c>
      <x:c r="U431" s="10" t="str">
        <x:v>Liquidado</x:v>
      </x:c>
      <x:c r="V431" s="10" t="str">
        <x:v>Baixo</x:v>
      </x:c>
      <x:c r="W431" s="10" t="str">
        <x:v>Varejo</x:v>
      </x:c>
      <x:c r="X431" s="10" t="str">
        <x:v>UND004</x:v>
      </x:c>
    </x:row>
    <x:row r="432" ht="18" customHeight="1">
      <x:c r="A432" s="10" t="str">
        <x:v>REC00431</x:v>
      </x:c>
      <x:c r="B432" s="10" t="str">
        <x:v>EMP002</x:v>
      </x:c>
      <x:c r="C432" s="10" t="str">
        <x:v>CLI080</x:v>
      </x:c>
      <x:c r="D432" s="10" t="str">
        <x:v>CC006</x:v>
      </x:c>
      <x:c r="E432" s="10" t="str">
        <x:v>CAT004</x:v>
      </x:c>
      <x:c r="F432" s="10" t="str">
        <x:v>CTA003</x:v>
      </x:c>
      <x:c r="G432" s="10" t="str">
        <x:v>FAT-200431</x:v>
      </x:c>
      <x:c r="H432" s="10" t="str">
        <x:v>Prestação de serviços</x:v>
      </x:c>
      <x:c r="I432" s="16" t="n">
        <x:v>45844.020055497684</x:v>
      </x:c>
      <x:c r="J432" s="16" t="n">
        <x:v>45879.020055497684</x:v>
      </x:c>
      <x:c r="K432" s="16" t="n">
        <x:v>45884.020055497684</x:v>
      </x:c>
      <x:c r="L432" s="20" t="n">
        <x:v>75119.39</x:v>
      </x:c>
      <x:c r="M432" s="20" t="n">
        <x:v>300.48</x:v>
      </x:c>
      <x:c r="N432" s="20" t="n">
        <x:v>0</x:v>
      </x:c>
      <x:c r="O432" s="20" t="n">
        <x:v>75419.87</x:v>
      </x:c>
      <x:c r="P432" s="20" t="n">
        <x:v>0</x:v>
      </x:c>
      <x:c r="Q432" s="10" t="str">
        <x:v>Recebido</x:v>
      </x:c>
      <x:c r="R432" s="10" t="str">
        <x:v>TED</x:v>
      </x:c>
      <x:c r="S432" s="10" t="str">
        <x:v>2025-07</x:v>
      </x:c>
      <x:c r="T432" s="10" t="n">
        <x:v>0</x:v>
      </x:c>
      <x:c r="U432" s="10" t="str">
        <x:v>Liquidado</x:v>
      </x:c>
      <x:c r="V432" s="10" t="str">
        <x:v>Médio</x:v>
      </x:c>
      <x:c r="W432" s="10" t="str">
        <x:v>Atacado</x:v>
      </x:c>
      <x:c r="X432" s="10" t="str">
        <x:v>UND003</x:v>
      </x:c>
    </x:row>
    <x:row r="433" ht="18" customHeight="1">
      <x:c r="A433" s="10" t="str">
        <x:v>REC00432</x:v>
      </x:c>
      <x:c r="B433" s="10" t="str">
        <x:v>EMP001</x:v>
      </x:c>
      <x:c r="C433" s="10" t="str">
        <x:v>CLI035</x:v>
      </x:c>
      <x:c r="D433" s="10" t="str">
        <x:v>CC006</x:v>
      </x:c>
      <x:c r="E433" s="10" t="str">
        <x:v>CAT004</x:v>
      </x:c>
      <x:c r="F433" s="10" t="str">
        <x:v>CTA002</x:v>
      </x:c>
      <x:c r="G433" s="10" t="str">
        <x:v>FAT-200432</x:v>
      </x:c>
      <x:c r="H433" s="10" t="str">
        <x:v>Prestação de serviços</x:v>
      </x:c>
      <x:c r="I433" s="16" t="n">
        <x:v>45452.02578659722</x:v>
      </x:c>
      <x:c r="J433" s="16" t="n">
        <x:v>45487.02578659722</x:v>
      </x:c>
      <x:c r="K433" s="16" t="n">
        <x:v>45491.02578659722</x:v>
      </x:c>
      <x:c r="L433" s="20" t="n">
        <x:v>7007.25</x:v>
      </x:c>
      <x:c r="M433" s="20" t="n">
        <x:v>22.42</x:v>
      </x:c>
      <x:c r="N433" s="20" t="n">
        <x:v>0</x:v>
      </x:c>
      <x:c r="O433" s="20" t="n">
        <x:v>7029.67</x:v>
      </x:c>
      <x:c r="P433" s="20" t="n">
        <x:v>0</x:v>
      </x:c>
      <x:c r="Q433" s="10" t="str">
        <x:v>Recebido</x:v>
      </x:c>
      <x:c r="R433" s="10" t="str">
        <x:v>Cartão</x:v>
      </x:c>
      <x:c r="S433" s="10" t="str">
        <x:v>2024-06</x:v>
      </x:c>
      <x:c r="T433" s="10" t="n">
        <x:v>0</x:v>
      </x:c>
      <x:c r="U433" s="10" t="str">
        <x:v>Liquidado</x:v>
      </x:c>
      <x:c r="V433" s="10" t="str">
        <x:v>Médio</x:v>
      </x:c>
      <x:c r="W433" s="10" t="str">
        <x:v>Varejo</x:v>
      </x:c>
      <x:c r="X433" s="10" t="str">
        <x:v>UND001</x:v>
      </x:c>
    </x:row>
    <x:row r="434" ht="18" customHeight="1">
      <x:c r="A434" s="10" t="str">
        <x:v>REC00433</x:v>
      </x:c>
      <x:c r="B434" s="10" t="str">
        <x:v>EMP003</x:v>
      </x:c>
      <x:c r="C434" s="10" t="str">
        <x:v>CLI023</x:v>
      </x:c>
      <x:c r="D434" s="10" t="str">
        <x:v>CC003</x:v>
      </x:c>
      <x:c r="E434" s="10" t="str">
        <x:v>CAT002</x:v>
      </x:c>
      <x:c r="F434" s="10" t="str">
        <x:v>CTA006</x:v>
      </x:c>
      <x:c r="G434" s="10" t="str">
        <x:v>FAT-200433</x:v>
      </x:c>
      <x:c r="H434" s="10" t="str">
        <x:v>Frete faturado</x:v>
      </x:c>
      <x:c r="I434" s="16" t="n">
        <x:v>45519.618695300924</x:v>
      </x:c>
      <x:c r="J434" s="16" t="n">
        <x:v>45579.618695300924</x:v>
      </x:c>
      <x:c r="K434" s="16" t="n">
        <x:v>45591.618695300924</x:v>
      </x:c>
      <x:c r="L434" s="20" t="n">
        <x:v>27334.34</x:v>
      </x:c>
      <x:c r="M434" s="20" t="n">
        <x:v>262.41</x:v>
      </x:c>
      <x:c r="N434" s="20" t="n">
        <x:v>0</x:v>
      </x:c>
      <x:c r="O434" s="20" t="n">
        <x:v>27596.75</x:v>
      </x:c>
      <x:c r="P434" s="20" t="n">
        <x:v>0</x:v>
      </x:c>
      <x:c r="Q434" s="10" t="str">
        <x:v>Recebido</x:v>
      </x:c>
      <x:c r="R434" s="10" t="str">
        <x:v>PIX</x:v>
      </x:c>
      <x:c r="S434" s="10" t="str">
        <x:v>2024-08</x:v>
      </x:c>
      <x:c r="T434" s="10" t="n">
        <x:v>0</x:v>
      </x:c>
      <x:c r="U434" s="10" t="str">
        <x:v>Liquidado</x:v>
      </x:c>
      <x:c r="V434" s="10" t="str">
        <x:v>Médio</x:v>
      </x:c>
      <x:c r="W434" s="10" t="str">
        <x:v>Atacado</x:v>
      </x:c>
      <x:c r="X434" s="10" t="str">
        <x:v>UND004</x:v>
      </x:c>
    </x:row>
    <x:row r="435" ht="18" customHeight="1">
      <x:c r="A435" s="10" t="str">
        <x:v>REC00434</x:v>
      </x:c>
      <x:c r="B435" s="10" t="str">
        <x:v>EMP001</x:v>
      </x:c>
      <x:c r="C435" s="10" t="str">
        <x:v>CLI056</x:v>
      </x:c>
      <x:c r="D435" s="10" t="str">
        <x:v>CC002</x:v>
      </x:c>
      <x:c r="E435" s="10" t="str">
        <x:v>CAT004</x:v>
      </x:c>
      <x:c r="F435" s="10" t="str">
        <x:v>CTA001</x:v>
      </x:c>
      <x:c r="G435" s="10" t="str">
        <x:v>FAT-200434</x:v>
      </x:c>
      <x:c r="H435" s="10" t="str">
        <x:v>Venda de produtos</x:v>
      </x:c>
      <x:c r="I435" s="16" t="n">
        <x:v>45837.45858803241</x:v>
      </x:c>
      <x:c r="J435" s="16" t="n">
        <x:v>45897.45858803241</x:v>
      </x:c>
      <x:c r="K435" s="16" t="n">
        <x:v>45894.45858803241</x:v>
      </x:c>
      <x:c r="L435" s="20" t="n">
        <x:v>46099.12</x:v>
      </x:c>
      <x:c r="M435" s="20" t="n">
        <x:v>0</x:v>
      </x:c>
      <x:c r="N435" s="20" t="n">
        <x:v>921.98</x:v>
      </x:c>
      <x:c r="O435" s="20" t="n">
        <x:v>45177.14</x:v>
      </x:c>
      <x:c r="P435" s="20" t="n">
        <x:v>0</x:v>
      </x:c>
      <x:c r="Q435" s="10" t="str">
        <x:v>Recebido</x:v>
      </x:c>
      <x:c r="R435" s="10" t="str">
        <x:v>Boleto</x:v>
      </x:c>
      <x:c r="S435" s="10" t="str">
        <x:v>2025-06</x:v>
      </x:c>
      <x:c r="T435" s="10" t="n">
        <x:v>0</x:v>
      </x:c>
      <x:c r="U435" s="10" t="str">
        <x:v>Liquidado</x:v>
      </x:c>
      <x:c r="V435" s="10" t="str">
        <x:v>Baixo</x:v>
      </x:c>
      <x:c r="W435" s="10" t="str">
        <x:v>Tecnologia</x:v>
      </x:c>
      <x:c r="X435" s="10" t="str">
        <x:v>UND002</x:v>
      </x:c>
    </x:row>
    <x:row r="436" ht="18" customHeight="1">
      <x:c r="A436" s="10" t="str">
        <x:v>REC00435</x:v>
      </x:c>
      <x:c r="B436" s="10" t="str">
        <x:v>EMP002</x:v>
      </x:c>
      <x:c r="C436" s="10" t="str">
        <x:v>CLI003</x:v>
      </x:c>
      <x:c r="D436" s="10" t="str">
        <x:v>CC001</x:v>
      </x:c>
      <x:c r="E436" s="10" t="str">
        <x:v>CAT001</x:v>
      </x:c>
      <x:c r="F436" s="10" t="str">
        <x:v>CTA004</x:v>
      </x:c>
      <x:c r="G436" s="10" t="str">
        <x:v>FAT-200435</x:v>
      </x:c>
      <x:c r="H436" s="10" t="str">
        <x:v>Projeto especial</x:v>
      </x:c>
      <x:c r="I436" s="16" t="n">
        <x:v>45991.005979560185</x:v>
      </x:c>
      <x:c r="J436" s="16" t="n">
        <x:v>46012.005979560185</x:v>
      </x:c>
      <x:c r="K436" s="16" t="n">
        <x:v>46012.005979560185</x:v>
      </x:c>
      <x:c r="L436" s="20" t="n">
        <x:v>136281.55</x:v>
      </x:c>
      <x:c r="M436" s="20" t="n">
        <x:v>0</x:v>
      </x:c>
      <x:c r="N436" s="20" t="n">
        <x:v>0</x:v>
      </x:c>
      <x:c r="O436" s="20" t="n">
        <x:v>136281.55</x:v>
      </x:c>
      <x:c r="P436" s="20" t="n">
        <x:v>0</x:v>
      </x:c>
      <x:c r="Q436" s="10" t="str">
        <x:v>Recebido</x:v>
      </x:c>
      <x:c r="R436" s="10" t="str">
        <x:v>Débito em Conta</x:v>
      </x:c>
      <x:c r="S436" s="10" t="str">
        <x:v>2025-11</x:v>
      </x:c>
      <x:c r="T436" s="10" t="n">
        <x:v>0</x:v>
      </x:c>
      <x:c r="U436" s="10" t="str">
        <x:v>Liquidado</x:v>
      </x:c>
      <x:c r="V436" s="10" t="str">
        <x:v>Médio</x:v>
      </x:c>
      <x:c r="W436" s="10" t="str">
        <x:v>Saúde</x:v>
      </x:c>
      <x:c r="X436" s="10" t="str">
        <x:v>UND003</x:v>
      </x:c>
    </x:row>
    <x:row r="437" ht="18" customHeight="1">
      <x:c r="A437" s="10" t="str">
        <x:v>REC00436</x:v>
      </x:c>
      <x:c r="B437" s="10" t="str">
        <x:v>EMP001</x:v>
      </x:c>
      <x:c r="C437" s="10" t="str">
        <x:v>CLI028</x:v>
      </x:c>
      <x:c r="D437" s="10" t="str">
        <x:v>CC002</x:v>
      </x:c>
      <x:c r="E437" s="10" t="str">
        <x:v>CAT004</x:v>
      </x:c>
      <x:c r="F437" s="10" t="str">
        <x:v>CTA001</x:v>
      </x:c>
      <x:c r="G437" s="10" t="str">
        <x:v>FAT-200436</x:v>
      </x:c>
      <x:c r="H437" s="10" t="str">
        <x:v>Contrato mensal</x:v>
      </x:c>
      <x:c r="I437" s="16" t="n">
        <x:v>45616.29495678241</x:v>
      </x:c>
      <x:c r="J437" s="16" t="n">
        <x:v>45651.29495678241</x:v>
      </x:c>
      <x:c r="K437" s="16" t="n">
        <x:v>45650.29495678241</x:v>
      </x:c>
      <x:c r="L437" s="20" t="n">
        <x:v>17890.43</x:v>
      </x:c>
      <x:c r="M437" s="20" t="n">
        <x:v>0</x:v>
      </x:c>
      <x:c r="N437" s="20" t="n">
        <x:v>0</x:v>
      </x:c>
      <x:c r="O437" s="20" t="n">
        <x:v>17890.43</x:v>
      </x:c>
      <x:c r="P437" s="20" t="n">
        <x:v>0</x:v>
      </x:c>
      <x:c r="Q437" s="10" t="str">
        <x:v>Recebido</x:v>
      </x:c>
      <x:c r="R437" s="10" t="str">
        <x:v>Boleto</x:v>
      </x:c>
      <x:c r="S437" s="10" t="str">
        <x:v>2024-11</x:v>
      </x:c>
      <x:c r="T437" s="10" t="n">
        <x:v>0</x:v>
      </x:c>
      <x:c r="U437" s="10" t="str">
        <x:v>Liquidado</x:v>
      </x:c>
      <x:c r="V437" s="10" t="str">
        <x:v>Baixo</x:v>
      </x:c>
      <x:c r="W437" s="10" t="str">
        <x:v>Serviços</x:v>
      </x:c>
      <x:c r="X437" s="10" t="str">
        <x:v>UND002</x:v>
      </x:c>
    </x:row>
    <x:row r="438" ht="18" customHeight="1">
      <x:c r="A438" s="10" t="str">
        <x:v>REC00437</x:v>
      </x:c>
      <x:c r="B438" s="10" t="str">
        <x:v>EMP003</x:v>
      </x:c>
      <x:c r="C438" s="10" t="str">
        <x:v>CLI063</x:v>
      </x:c>
      <x:c r="D438" s="10" t="str">
        <x:v>CC002</x:v>
      </x:c>
      <x:c r="E438" s="10" t="str">
        <x:v>CAT002</x:v>
      </x:c>
      <x:c r="F438" s="10" t="str">
        <x:v>CTA005</x:v>
      </x:c>
      <x:c r="G438" s="10" t="str">
        <x:v>FAT-200437</x:v>
      </x:c>
      <x:c r="H438" s="10" t="str">
        <x:v>Projeto especial</x:v>
      </x:c>
      <x:c r="I438" s="16" t="n">
        <x:v>45478.4135246875</x:v>
      </x:c>
      <x:c r="J438" s="16" t="n">
        <x:v>45523.4135246875</x:v>
      </x:c>
      <x:c r="K438" s="16" t="n">
        <x:v>45519.4135246875</x:v>
      </x:c>
      <x:c r="L438" s="20" t="n">
        <x:v>48118.95</x:v>
      </x:c>
      <x:c r="M438" s="20" t="n">
        <x:v>0</x:v>
      </x:c>
      <x:c r="N438" s="20" t="n">
        <x:v>481.19</x:v>
      </x:c>
      <x:c r="O438" s="20" t="n">
        <x:v>47637.76</x:v>
      </x:c>
      <x:c r="P438" s="20" t="n">
        <x:v>0</x:v>
      </x:c>
      <x:c r="Q438" s="10" t="str">
        <x:v>Recebido</x:v>
      </x:c>
      <x:c r="R438" s="10" t="str">
        <x:v>TED</x:v>
      </x:c>
      <x:c r="S438" s="10" t="str">
        <x:v>2024-07</x:v>
      </x:c>
      <x:c r="T438" s="10" t="n">
        <x:v>0</x:v>
      </x:c>
      <x:c r="U438" s="10" t="str">
        <x:v>Liquidado</x:v>
      </x:c>
      <x:c r="V438" s="10" t="str">
        <x:v>Baixo</x:v>
      </x:c>
      <x:c r="W438" s="10" t="str">
        <x:v>Serviços</x:v>
      </x:c>
      <x:c r="X438" s="10" t="str">
        <x:v>UND004</x:v>
      </x:c>
    </x:row>
    <x:row r="439" ht="18" customHeight="1">
      <x:c r="A439" s="10" t="str">
        <x:v>REC00438</x:v>
      </x:c>
      <x:c r="B439" s="10" t="str">
        <x:v>EMP002</x:v>
      </x:c>
      <x:c r="C439" s="10" t="str">
        <x:v>CLI054</x:v>
      </x:c>
      <x:c r="D439" s="10" t="str">
        <x:v>CC001</x:v>
      </x:c>
      <x:c r="E439" s="10" t="str">
        <x:v>CAT002</x:v>
      </x:c>
      <x:c r="F439" s="10" t="str">
        <x:v>CTA004</x:v>
      </x:c>
      <x:c r="G439" s="10" t="str">
        <x:v>FAT-200438</x:v>
      </x:c>
      <x:c r="H439" s="10" t="str">
        <x:v>Venda de produtos</x:v>
      </x:c>
      <x:c r="I439" s="16" t="n">
        <x:v>45619.49962357639</x:v>
      </x:c>
      <x:c r="J439" s="16" t="n">
        <x:v>45634.49962357639</x:v>
      </x:c>
      <x:c r="K439" s="16" t="n">
        <x:v>45648.49962357639</x:v>
      </x:c>
      <x:c r="L439" s="20" t="n">
        <x:v>89416.66</x:v>
      </x:c>
      <x:c r="M439" s="20" t="n">
        <x:v>1001.47</x:v>
      </x:c>
      <x:c r="N439" s="20" t="n">
        <x:v>0</x:v>
      </x:c>
      <x:c r="O439" s="20" t="n">
        <x:v>90418.13</x:v>
      </x:c>
      <x:c r="P439" s="20" t="n">
        <x:v>0</x:v>
      </x:c>
      <x:c r="Q439" s="10" t="str">
        <x:v>Recebido</x:v>
      </x:c>
      <x:c r="R439" s="10" t="str">
        <x:v>PIX</x:v>
      </x:c>
      <x:c r="S439" s="10" t="str">
        <x:v>2024-11</x:v>
      </x:c>
      <x:c r="T439" s="10" t="n">
        <x:v>0</x:v>
      </x:c>
      <x:c r="U439" s="10" t="str">
        <x:v>Liquidado</x:v>
      </x:c>
      <x:c r="V439" s="10" t="str">
        <x:v>Médio</x:v>
      </x:c>
      <x:c r="W439" s="10" t="str">
        <x:v>Indústria</x:v>
      </x:c>
      <x:c r="X439" s="10" t="str">
        <x:v>UND003</x:v>
      </x:c>
    </x:row>
    <x:row r="440" ht="18" customHeight="1">
      <x:c r="A440" s="10" t="str">
        <x:v>REC00439</x:v>
      </x:c>
      <x:c r="B440" s="10" t="str">
        <x:v>EMP003</x:v>
      </x:c>
      <x:c r="C440" s="10" t="str">
        <x:v>CLI020</x:v>
      </x:c>
      <x:c r="D440" s="10" t="str">
        <x:v>CC002</x:v>
      </x:c>
      <x:c r="E440" s="10" t="str">
        <x:v>CAT001</x:v>
      </x:c>
      <x:c r="F440" s="10" t="str">
        <x:v>CTA005</x:v>
      </x:c>
      <x:c r="G440" s="10" t="str">
        <x:v>FAT-200439</x:v>
      </x:c>
      <x:c r="H440" s="10" t="str">
        <x:v>Frete faturado</x:v>
      </x:c>
      <x:c r="I440" s="16" t="n">
        <x:v>45996.056319965275</x:v>
      </x:c>
      <x:c r="J440" s="16" t="n">
        <x:v>46024.056319965275</x:v>
      </x:c>
      <x:c r="K440" s="16"/>
      <x:c r="L440" s="20" t="n">
        <x:v>12590.75</x:v>
      </x:c>
      <x:c r="M440" s="20" t="n">
        <x:v>0</x:v>
      </x:c>
      <x:c r="N440" s="20" t="n">
        <x:v>0</x:v>
      </x:c>
      <x:c r="O440" s="20" t="n">
        <x:v>0</x:v>
      </x:c>
      <x:c r="P440" s="20" t="n">
        <x:v>12590.75</x:v>
      </x:c>
      <x:c r="Q440" s="10" t="str">
        <x:v>A vencer</x:v>
      </x:c>
      <x:c r="R440" s="10" t="str">
        <x:v>Débito em Conta</x:v>
      </x:c>
      <x:c r="S440" s="10" t="str">
        <x:v>2025-12</x:v>
      </x:c>
      <x:c r="T440" s="10" t="n">
        <x:v>0</x:v>
      </x:c>
      <x:c r="U440" s="10" t="str">
        <x:v>A vencer</x:v>
      </x:c>
      <x:c r="V440" s="10" t="str">
        <x:v>Médio</x:v>
      </x:c>
      <x:c r="W440" s="10" t="str">
        <x:v>Atacado</x:v>
      </x:c>
      <x:c r="X440" s="10" t="str">
        <x:v>UND004</x:v>
      </x:c>
    </x:row>
    <x:row r="441" ht="18" customHeight="1">
      <x:c r="A441" s="10" t="str">
        <x:v>REC00440</x:v>
      </x:c>
      <x:c r="B441" s="10" t="str">
        <x:v>EMP003</x:v>
      </x:c>
      <x:c r="C441" s="10" t="str">
        <x:v>CLI017</x:v>
      </x:c>
      <x:c r="D441" s="10" t="str">
        <x:v>CC004</x:v>
      </x:c>
      <x:c r="E441" s="10" t="str">
        <x:v>CAT002</x:v>
      </x:c>
      <x:c r="F441" s="10" t="str">
        <x:v>CTA006</x:v>
      </x:c>
      <x:c r="G441" s="10" t="str">
        <x:v>FAT-200440</x:v>
      </x:c>
      <x:c r="H441" s="10" t="str">
        <x:v>Venda de produtos</x:v>
      </x:c>
      <x:c r="I441" s="16" t="n">
        <x:v>45453.541166469906</x:v>
      </x:c>
      <x:c r="J441" s="16" t="n">
        <x:v>45483.541166469906</x:v>
      </x:c>
      <x:c r="K441" s="16"/>
      <x:c r="L441" s="20" t="n">
        <x:v>25901.63</x:v>
      </x:c>
      <x:c r="M441" s="20" t="n">
        <x:v>0</x:v>
      </x:c>
      <x:c r="N441" s="20" t="n">
        <x:v>0</x:v>
      </x:c>
      <x:c r="O441" s="20" t="n">
        <x:v>0</x:v>
      </x:c>
      <x:c r="P441" s="20" t="n">
        <x:v>25901.63</x:v>
      </x:c>
      <x:c r="Q441" s="10" t="str">
        <x:v>Vencido</x:v>
      </x:c>
      <x:c r="R441" s="10" t="str">
        <x:v>Cartão</x:v>
      </x:c>
      <x:c r="S441" s="10" t="str">
        <x:v>2024-06</x:v>
      </x:c>
      <x:c r="T441" s="10" t="n">
        <x:v>538</x:v>
      </x:c>
      <x:c r="U441" s="10" t="str">
        <x:v>&gt; 120 dias</x:v>
      </x:c>
      <x:c r="V441" s="10" t="str">
        <x:v>Médio</x:v>
      </x:c>
      <x:c r="W441" s="10" t="str">
        <x:v>Atacado</x:v>
      </x:c>
      <x:c r="X441" s="10" t="str">
        <x:v>UND004</x:v>
      </x:c>
    </x:row>
    <x:row r="442" ht="18" customHeight="1">
      <x:c r="A442" s="10" t="str">
        <x:v>REC00441</x:v>
      </x:c>
      <x:c r="B442" s="10" t="str">
        <x:v>EMP001</x:v>
      </x:c>
      <x:c r="C442" s="10" t="str">
        <x:v>CLI073</x:v>
      </x:c>
      <x:c r="D442" s="10" t="str">
        <x:v>CC002</x:v>
      </x:c>
      <x:c r="E442" s="10" t="str">
        <x:v>CAT001</x:v>
      </x:c>
      <x:c r="F442" s="10" t="str">
        <x:v>CTA001</x:v>
      </x:c>
      <x:c r="G442" s="10" t="str">
        <x:v>FAT-200441</x:v>
      </x:c>
      <x:c r="H442" s="10" t="str">
        <x:v>Prestação de serviços</x:v>
      </x:c>
      <x:c r="I442" s="16" t="n">
        <x:v>45655.64904494213</x:v>
      </x:c>
      <x:c r="J442" s="16" t="n">
        <x:v>45685.64904494213</x:v>
      </x:c>
      <x:c r="K442" s="16" t="n">
        <x:v>45681.64904494213</x:v>
      </x:c>
      <x:c r="L442" s="20" t="n">
        <x:v>31982.3</x:v>
      </x:c>
      <x:c r="M442" s="20" t="n">
        <x:v>0</x:v>
      </x:c>
      <x:c r="N442" s="20" t="n">
        <x:v>0</x:v>
      </x:c>
      <x:c r="O442" s="20" t="n">
        <x:v>31982.3</x:v>
      </x:c>
      <x:c r="P442" s="20" t="n">
        <x:v>0</x:v>
      </x:c>
      <x:c r="Q442" s="10" t="str">
        <x:v>Recebido</x:v>
      </x:c>
      <x:c r="R442" s="10" t="str">
        <x:v>PIX</x:v>
      </x:c>
      <x:c r="S442" s="10" t="str">
        <x:v>2024-12</x:v>
      </x:c>
      <x:c r="T442" s="10" t="n">
        <x:v>0</x:v>
      </x:c>
      <x:c r="U442" s="10" t="str">
        <x:v>Liquidado</x:v>
      </x:c>
      <x:c r="V442" s="10" t="str">
        <x:v>Alto</x:v>
      </x:c>
      <x:c r="W442" s="10" t="str">
        <x:v>Tecnologia</x:v>
      </x:c>
      <x:c r="X442" s="10" t="str">
        <x:v>UND002</x:v>
      </x:c>
    </x:row>
    <x:row r="443" ht="18" customHeight="1">
      <x:c r="A443" s="10" t="str">
        <x:v>REC00442</x:v>
      </x:c>
      <x:c r="B443" s="10" t="str">
        <x:v>EMP003</x:v>
      </x:c>
      <x:c r="C443" s="10" t="str">
        <x:v>CLI062</x:v>
      </x:c>
      <x:c r="D443" s="10" t="str">
        <x:v>CC007</x:v>
      </x:c>
      <x:c r="E443" s="10" t="str">
        <x:v>CAT004</x:v>
      </x:c>
      <x:c r="F443" s="10" t="str">
        <x:v>CTA006</x:v>
      </x:c>
      <x:c r="G443" s="10" t="str">
        <x:v>FAT-200442</x:v>
      </x:c>
      <x:c r="H443" s="10" t="str">
        <x:v>Projeto especial</x:v>
      </x:c>
      <x:c r="I443" s="16" t="n">
        <x:v>45628.26527877315</x:v>
      </x:c>
      <x:c r="J443" s="16" t="n">
        <x:v>45663.26527877315</x:v>
      </x:c>
      <x:c r="K443" s="16"/>
      <x:c r="L443" s="20" t="n">
        <x:v>34825.49</x:v>
      </x:c>
      <x:c r="M443" s="20" t="n">
        <x:v>0</x:v>
      </x:c>
      <x:c r="N443" s="20" t="n">
        <x:v>0</x:v>
      </x:c>
      <x:c r="O443" s="20" t="n">
        <x:v>0</x:v>
      </x:c>
      <x:c r="P443" s="20" t="n">
        <x:v>34825.49</x:v>
      </x:c>
      <x:c r="Q443" s="10" t="str">
        <x:v>Vencido</x:v>
      </x:c>
      <x:c r="R443" s="10" t="str">
        <x:v>Cartão</x:v>
      </x:c>
      <x:c r="S443" s="10" t="str">
        <x:v>2024-12</x:v>
      </x:c>
      <x:c r="T443" s="10" t="n">
        <x:v>358</x:v>
      </x:c>
      <x:c r="U443" s="10" t="str">
        <x:v>&gt; 120 dias</x:v>
      </x:c>
      <x:c r="V443" s="10" t="str">
        <x:v>Baixo</x:v>
      </x:c>
      <x:c r="W443" s="10" t="str">
        <x:v>Saúde</x:v>
      </x:c>
      <x:c r="X443" s="10" t="str">
        <x:v>UND004</x:v>
      </x:c>
    </x:row>
    <x:row r="444" ht="18" customHeight="1">
      <x:c r="A444" s="10" t="str">
        <x:v>REC00443</x:v>
      </x:c>
      <x:c r="B444" s="10" t="str">
        <x:v>EMP003</x:v>
      </x:c>
      <x:c r="C444" s="10" t="str">
        <x:v>CLI071</x:v>
      </x:c>
      <x:c r="D444" s="10" t="str">
        <x:v>CC005</x:v>
      </x:c>
      <x:c r="E444" s="10" t="str">
        <x:v>CAT003</x:v>
      </x:c>
      <x:c r="F444" s="10" t="str">
        <x:v>CTA005</x:v>
      </x:c>
      <x:c r="G444" s="10" t="str">
        <x:v>FAT-200443</x:v>
      </x:c>
      <x:c r="H444" s="10" t="str">
        <x:v>Prestação de serviços</x:v>
      </x:c>
      <x:c r="I444" s="16" t="n">
        <x:v>45520.02508366898</x:v>
      </x:c>
      <x:c r="J444" s="16" t="n">
        <x:v>45555.02508366898</x:v>
      </x:c>
      <x:c r="K444" s="16" t="n">
        <x:v>45559.02508366898</x:v>
      </x:c>
      <x:c r="L444" s="20" t="n">
        <x:v>62642.33</x:v>
      </x:c>
      <x:c r="M444" s="20" t="n">
        <x:v>200.46</x:v>
      </x:c>
      <x:c r="N444" s="20" t="n">
        <x:v>0</x:v>
      </x:c>
      <x:c r="O444" s="20" t="n">
        <x:v>62842.79</x:v>
      </x:c>
      <x:c r="P444" s="20" t="n">
        <x:v>0</x:v>
      </x:c>
      <x:c r="Q444" s="10" t="str">
        <x:v>Recebido</x:v>
      </x:c>
      <x:c r="R444" s="10" t="str">
        <x:v>TED</x:v>
      </x:c>
      <x:c r="S444" s="10" t="str">
        <x:v>2024-08</x:v>
      </x:c>
      <x:c r="T444" s="10" t="n">
        <x:v>0</x:v>
      </x:c>
      <x:c r="U444" s="10" t="str">
        <x:v>Liquidado</x:v>
      </x:c>
      <x:c r="V444" s="10" t="str">
        <x:v>Baixo</x:v>
      </x:c>
      <x:c r="W444" s="10" t="str">
        <x:v>Tecnologia</x:v>
      </x:c>
      <x:c r="X444" s="10" t="str">
        <x:v>UND004</x:v>
      </x:c>
    </x:row>
    <x:row r="445" ht="18" customHeight="1">
      <x:c r="A445" s="10" t="str">
        <x:v>REC00444</x:v>
      </x:c>
      <x:c r="B445" s="10" t="str">
        <x:v>EMP001</x:v>
      </x:c>
      <x:c r="C445" s="10" t="str">
        <x:v>CLI037</x:v>
      </x:c>
      <x:c r="D445" s="10" t="str">
        <x:v>CC005</x:v>
      </x:c>
      <x:c r="E445" s="10" t="str">
        <x:v>CAT004</x:v>
      </x:c>
      <x:c r="F445" s="10" t="str">
        <x:v>CTA001</x:v>
      </x:c>
      <x:c r="G445" s="10" t="str">
        <x:v>FAT-200444</x:v>
      </x:c>
      <x:c r="H445" s="10" t="str">
        <x:v>Venda de produtos</x:v>
      </x:c>
      <x:c r="I445" s="16" t="n">
        <x:v>45333.44917787037</x:v>
      </x:c>
      <x:c r="J445" s="16" t="n">
        <x:v>45363.44917787037</x:v>
      </x:c>
      <x:c r="K445" s="16" t="n">
        <x:v>45357.44917787037</x:v>
      </x:c>
      <x:c r="L445" s="20" t="n">
        <x:v>54943.05</x:v>
      </x:c>
      <x:c r="M445" s="20" t="n">
        <x:v>0</x:v>
      </x:c>
      <x:c r="N445" s="20" t="n">
        <x:v>0</x:v>
      </x:c>
      <x:c r="O445" s="20" t="n">
        <x:v>54943.05</x:v>
      </x:c>
      <x:c r="P445" s="20" t="n">
        <x:v>0</x:v>
      </x:c>
      <x:c r="Q445" s="10" t="str">
        <x:v>Recebido</x:v>
      </x:c>
      <x:c r="R445" s="10" t="str">
        <x:v>PIX</x:v>
      </x:c>
      <x:c r="S445" s="10" t="str">
        <x:v>2024-02</x:v>
      </x:c>
      <x:c r="T445" s="10" t="n">
        <x:v>0</x:v>
      </x:c>
      <x:c r="U445" s="10" t="str">
        <x:v>Liquidado</x:v>
      </x:c>
      <x:c r="V445" s="10" t="str">
        <x:v>Baixo</x:v>
      </x:c>
      <x:c r="W445" s="10" t="str">
        <x:v>Serviços</x:v>
      </x:c>
      <x:c r="X445" s="10" t="str">
        <x:v>UND002</x:v>
      </x:c>
    </x:row>
    <x:row r="446" ht="18" customHeight="1">
      <x:c r="A446" s="10" t="str">
        <x:v>REC00445</x:v>
      </x:c>
      <x:c r="B446" s="10" t="str">
        <x:v>EMP002</x:v>
      </x:c>
      <x:c r="C446" s="10" t="str">
        <x:v>CLI058</x:v>
      </x:c>
      <x:c r="D446" s="10" t="str">
        <x:v>CC001</x:v>
      </x:c>
      <x:c r="E446" s="10" t="str">
        <x:v>CAT002</x:v>
      </x:c>
      <x:c r="F446" s="10" t="str">
        <x:v>CTA004</x:v>
      </x:c>
      <x:c r="G446" s="10" t="str">
        <x:v>FAT-200445</x:v>
      </x:c>
      <x:c r="H446" s="10" t="str">
        <x:v>Projeto especial</x:v>
      </x:c>
      <x:c r="I446" s="16" t="n">
        <x:v>45567.34751826389</x:v>
      </x:c>
      <x:c r="J446" s="16" t="n">
        <x:v>45627.34751826389</x:v>
      </x:c>
      <x:c r="K446" s="16" t="n">
        <x:v>45623.34751826389</x:v>
      </x:c>
      <x:c r="L446" s="20" t="n">
        <x:v>133041.14</x:v>
      </x:c>
      <x:c r="M446" s="20" t="n">
        <x:v>0</x:v>
      </x:c>
      <x:c r="N446" s="20" t="n">
        <x:v>0</x:v>
      </x:c>
      <x:c r="O446" s="20" t="n">
        <x:v>133041.14</x:v>
      </x:c>
      <x:c r="P446" s="20" t="n">
        <x:v>0</x:v>
      </x:c>
      <x:c r="Q446" s="10" t="str">
        <x:v>Recebido</x:v>
      </x:c>
      <x:c r="R446" s="10" t="str">
        <x:v>Boleto</x:v>
      </x:c>
      <x:c r="S446" s="10" t="str">
        <x:v>2024-10</x:v>
      </x:c>
      <x:c r="T446" s="10" t="n">
        <x:v>0</x:v>
      </x:c>
      <x:c r="U446" s="10" t="str">
        <x:v>Liquidado</x:v>
      </x:c>
      <x:c r="V446" s="10" t="str">
        <x:v>Baixo</x:v>
      </x:c>
      <x:c r="W446" s="10" t="str">
        <x:v>Atacado</x:v>
      </x:c>
      <x:c r="X446" s="10" t="str">
        <x:v>UND003</x:v>
      </x:c>
    </x:row>
    <x:row r="447" ht="18" customHeight="1">
      <x:c r="A447" s="10" t="str">
        <x:v>REC00446</x:v>
      </x:c>
      <x:c r="B447" s="10" t="str">
        <x:v>EMP001</x:v>
      </x:c>
      <x:c r="C447" s="10" t="str">
        <x:v>CLI014</x:v>
      </x:c>
      <x:c r="D447" s="10" t="str">
        <x:v>CC004</x:v>
      </x:c>
      <x:c r="E447" s="10" t="str">
        <x:v>CAT004</x:v>
      </x:c>
      <x:c r="F447" s="10" t="str">
        <x:v>CTA001</x:v>
      </x:c>
      <x:c r="G447" s="10" t="str">
        <x:v>FAT-200446</x:v>
      </x:c>
      <x:c r="H447" s="10" t="str">
        <x:v>Frete faturado</x:v>
      </x:c>
      <x:c r="I447" s="16" t="n">
        <x:v>45787.00903769676</x:v>
      </x:c>
      <x:c r="J447" s="16" t="n">
        <x:v>45847.00903769676</x:v>
      </x:c>
      <x:c r="K447" s="16" t="n">
        <x:v>45859.00903769676</x:v>
      </x:c>
      <x:c r="L447" s="20" t="n">
        <x:v>1600.25</x:v>
      </x:c>
      <x:c r="M447" s="20" t="n">
        <x:v>15.36</x:v>
      </x:c>
      <x:c r="N447" s="20" t="n">
        <x:v>0</x:v>
      </x:c>
      <x:c r="O447" s="20" t="n">
        <x:v>1615.61</x:v>
      </x:c>
      <x:c r="P447" s="20" t="n">
        <x:v>0</x:v>
      </x:c>
      <x:c r="Q447" s="10" t="str">
        <x:v>Recebido</x:v>
      </x:c>
      <x:c r="R447" s="10" t="str">
        <x:v>Cartão</x:v>
      </x:c>
      <x:c r="S447" s="10" t="str">
        <x:v>2025-05</x:v>
      </x:c>
      <x:c r="T447" s="10" t="n">
        <x:v>0</x:v>
      </x:c>
      <x:c r="U447" s="10" t="str">
        <x:v>Liquidado</x:v>
      </x:c>
      <x:c r="V447" s="10" t="str">
        <x:v>Médio</x:v>
      </x:c>
      <x:c r="W447" s="10" t="str">
        <x:v>Saúde</x:v>
      </x:c>
      <x:c r="X447" s="10" t="str">
        <x:v>UND002</x:v>
      </x:c>
    </x:row>
    <x:row r="448" ht="18" customHeight="1">
      <x:c r="A448" s="10" t="str">
        <x:v>REC00447</x:v>
      </x:c>
      <x:c r="B448" s="10" t="str">
        <x:v>EMP001</x:v>
      </x:c>
      <x:c r="C448" s="10" t="str">
        <x:v>CLI069</x:v>
      </x:c>
      <x:c r="D448" s="10" t="str">
        <x:v>CC007</x:v>
      </x:c>
      <x:c r="E448" s="10" t="str">
        <x:v>CAT002</x:v>
      </x:c>
      <x:c r="F448" s="10" t="str">
        <x:v>CTA001</x:v>
      </x:c>
      <x:c r="G448" s="10" t="str">
        <x:v>FAT-200447</x:v>
      </x:c>
      <x:c r="H448" s="10" t="str">
        <x:v>Contrato mensal</x:v>
      </x:c>
      <x:c r="I448" s="16" t="n">
        <x:v>45756.83729127315</x:v>
      </x:c>
      <x:c r="J448" s="16" t="n">
        <x:v>45801.83729127315</x:v>
      </x:c>
      <x:c r="K448" s="16" t="n">
        <x:v>45811.83729127315</x:v>
      </x:c>
      <x:c r="L448" s="20" t="n">
        <x:v>86995.13</x:v>
      </x:c>
      <x:c r="M448" s="20" t="n">
        <x:v>695.96</x:v>
      </x:c>
      <x:c r="N448" s="20" t="n">
        <x:v>0</x:v>
      </x:c>
      <x:c r="O448" s="20" t="n">
        <x:v>87691.09</x:v>
      </x:c>
      <x:c r="P448" s="20" t="n">
        <x:v>0</x:v>
      </x:c>
      <x:c r="Q448" s="10" t="str">
        <x:v>Recebido</x:v>
      </x:c>
      <x:c r="R448" s="10" t="str">
        <x:v>TED</x:v>
      </x:c>
      <x:c r="S448" s="10" t="str">
        <x:v>2025-04</x:v>
      </x:c>
      <x:c r="T448" s="10" t="n">
        <x:v>0</x:v>
      </x:c>
      <x:c r="U448" s="10" t="str">
        <x:v>Liquidado</x:v>
      </x:c>
      <x:c r="V448" s="10" t="str">
        <x:v>Alto</x:v>
      </x:c>
      <x:c r="W448" s="10" t="str">
        <x:v>Tecnologia</x:v>
      </x:c>
      <x:c r="X448" s="10" t="str">
        <x:v>UND001</x:v>
      </x:c>
    </x:row>
    <x:row r="449" ht="18" customHeight="1">
      <x:c r="A449" s="10" t="str">
        <x:v>REC00448</x:v>
      </x:c>
      <x:c r="B449" s="10" t="str">
        <x:v>EMP001</x:v>
      </x:c>
      <x:c r="C449" s="10" t="str">
        <x:v>CLI077</x:v>
      </x:c>
      <x:c r="D449" s="10" t="str">
        <x:v>CC004</x:v>
      </x:c>
      <x:c r="E449" s="10" t="str">
        <x:v>CAT003</x:v>
      </x:c>
      <x:c r="F449" s="10" t="str">
        <x:v>CTA001</x:v>
      </x:c>
      <x:c r="G449" s="10" t="str">
        <x:v>FAT-200448</x:v>
      </x:c>
      <x:c r="H449" s="10" t="str">
        <x:v>Frete faturado</x:v>
      </x:c>
      <x:c r="I449" s="16" t="n">
        <x:v>45793.82828371528</x:v>
      </x:c>
      <x:c r="J449" s="16" t="n">
        <x:v>45853.82828371528</x:v>
      </x:c>
      <x:c r="K449" s="16" t="n">
        <x:v>45849.82828371528</x:v>
      </x:c>
      <x:c r="L449" s="20" t="n">
        <x:v>84149.74</x:v>
      </x:c>
      <x:c r="M449" s="20" t="n">
        <x:v>0</x:v>
      </x:c>
      <x:c r="N449" s="20" t="n">
        <x:v>0</x:v>
      </x:c>
      <x:c r="O449" s="20" t="n">
        <x:v>84149.74</x:v>
      </x:c>
      <x:c r="P449" s="20" t="n">
        <x:v>0</x:v>
      </x:c>
      <x:c r="Q449" s="10" t="str">
        <x:v>Recebido</x:v>
      </x:c>
      <x:c r="R449" s="10" t="str">
        <x:v>PIX</x:v>
      </x:c>
      <x:c r="S449" s="10" t="str">
        <x:v>2025-05</x:v>
      </x:c>
      <x:c r="T449" s="10" t="n">
        <x:v>0</x:v>
      </x:c>
      <x:c r="U449" s="10" t="str">
        <x:v>Liquidado</x:v>
      </x:c>
      <x:c r="V449" s="10" t="str">
        <x:v>Médio</x:v>
      </x:c>
      <x:c r="W449" s="10" t="str">
        <x:v>Serviços</x:v>
      </x:c>
      <x:c r="X449" s="10" t="str">
        <x:v>UND002</x:v>
      </x:c>
    </x:row>
    <x:row r="450" ht="18" customHeight="1">
      <x:c r="A450" s="10" t="str">
        <x:v>REC00449</x:v>
      </x:c>
      <x:c r="B450" s="10" t="str">
        <x:v>EMP002</x:v>
      </x:c>
      <x:c r="C450" s="10" t="str">
        <x:v>CLI076</x:v>
      </x:c>
      <x:c r="D450" s="10" t="str">
        <x:v>CC007</x:v>
      </x:c>
      <x:c r="E450" s="10" t="str">
        <x:v>CAT001</x:v>
      </x:c>
      <x:c r="F450" s="10" t="str">
        <x:v>CTA003</x:v>
      </x:c>
      <x:c r="G450" s="10" t="str">
        <x:v>FAT-200449</x:v>
      </x:c>
      <x:c r="H450" s="10" t="str">
        <x:v>Venda de produtos</x:v>
      </x:c>
      <x:c r="I450" s="16" t="n">
        <x:v>45823.103867233796</x:v>
      </x:c>
      <x:c r="J450" s="16" t="n">
        <x:v>45868.103867233796</x:v>
      </x:c>
      <x:c r="K450" s="16" t="n">
        <x:v>45862.103867233796</x:v>
      </x:c>
      <x:c r="L450" s="20" t="n">
        <x:v>34639.11</x:v>
      </x:c>
      <x:c r="M450" s="20" t="n">
        <x:v>0</x:v>
      </x:c>
      <x:c r="N450" s="20" t="n">
        <x:v>0</x:v>
      </x:c>
      <x:c r="O450" s="20" t="n">
        <x:v>34639.11</x:v>
      </x:c>
      <x:c r="P450" s="20" t="n">
        <x:v>0</x:v>
      </x:c>
      <x:c r="Q450" s="10" t="str">
        <x:v>Recebido</x:v>
      </x:c>
      <x:c r="R450" s="10" t="str">
        <x:v>Boleto</x:v>
      </x:c>
      <x:c r="S450" s="10" t="str">
        <x:v>2025-06</x:v>
      </x:c>
      <x:c r="T450" s="10" t="n">
        <x:v>0</x:v>
      </x:c>
      <x:c r="U450" s="10" t="str">
        <x:v>Liquidado</x:v>
      </x:c>
      <x:c r="V450" s="10" t="str">
        <x:v>Baixo</x:v>
      </x:c>
      <x:c r="W450" s="10" t="str">
        <x:v>Tecnologia</x:v>
      </x:c>
      <x:c r="X450" s="10" t="str">
        <x:v>UND003</x:v>
      </x:c>
    </x:row>
    <x:row r="451" ht="18" customHeight="1">
      <x:c r="A451" s="10" t="str">
        <x:v>REC00450</x:v>
      </x:c>
      <x:c r="B451" s="10" t="str">
        <x:v>EMP001</x:v>
      </x:c>
      <x:c r="C451" s="10" t="str">
        <x:v>CLI009</x:v>
      </x:c>
      <x:c r="D451" s="10" t="str">
        <x:v>CC001</x:v>
      </x:c>
      <x:c r="E451" s="10" t="str">
        <x:v>CAT002</x:v>
      </x:c>
      <x:c r="F451" s="10" t="str">
        <x:v>CTA001</x:v>
      </x:c>
      <x:c r="G451" s="10" t="str">
        <x:v>FAT-200450</x:v>
      </x:c>
      <x:c r="H451" s="10" t="str">
        <x:v>Venda de produtos</x:v>
      </x:c>
      <x:c r="I451" s="16" t="n">
        <x:v>45409.361075347224</x:v>
      </x:c>
      <x:c r="J451" s="16" t="n">
        <x:v>45439.361075347224</x:v>
      </x:c>
      <x:c r="K451" s="16" t="n">
        <x:v>45433.361075347224</x:v>
      </x:c>
      <x:c r="L451" s="20" t="n">
        <x:v>142810.39</x:v>
      </x:c>
      <x:c r="M451" s="20" t="n">
        <x:v>0</x:v>
      </x:c>
      <x:c r="N451" s="20" t="n">
        <x:v>0</x:v>
      </x:c>
      <x:c r="O451" s="20" t="n">
        <x:v>142810.39</x:v>
      </x:c>
      <x:c r="P451" s="20" t="n">
        <x:v>0</x:v>
      </x:c>
      <x:c r="Q451" s="10" t="str">
        <x:v>Recebido</x:v>
      </x:c>
      <x:c r="R451" s="10" t="str">
        <x:v>Boleto</x:v>
      </x:c>
      <x:c r="S451" s="10" t="str">
        <x:v>2024-04</x:v>
      </x:c>
      <x:c r="T451" s="10" t="n">
        <x:v>0</x:v>
      </x:c>
      <x:c r="U451" s="10" t="str">
        <x:v>Liquidado</x:v>
      </x:c>
      <x:c r="V451" s="10" t="str">
        <x:v>Médio</x:v>
      </x:c>
      <x:c r="W451" s="10" t="str">
        <x:v>Saúde</x:v>
      </x:c>
      <x:c r="X451" s="10" t="str">
        <x:v>UND001</x:v>
      </x:c>
    </x:row>
    <x:row r="452" ht="18" customHeight="1">
      <x:c r="A452" s="10" t="str">
        <x:v>REC00451</x:v>
      </x:c>
      <x:c r="B452" s="10" t="str">
        <x:v>EMP002</x:v>
      </x:c>
      <x:c r="C452" s="10" t="str">
        <x:v>CLI066</x:v>
      </x:c>
      <x:c r="D452" s="10" t="str">
        <x:v>CC004</x:v>
      </x:c>
      <x:c r="E452" s="10" t="str">
        <x:v>CAT003</x:v>
      </x:c>
      <x:c r="F452" s="10" t="str">
        <x:v>CTA003</x:v>
      </x:c>
      <x:c r="G452" s="10" t="str">
        <x:v>FAT-200451</x:v>
      </x:c>
      <x:c r="H452" s="10" t="str">
        <x:v>Contrato mensal</x:v>
      </x:c>
      <x:c r="I452" s="16" t="n">
        <x:v>45855.780703668985</x:v>
      </x:c>
      <x:c r="J452" s="16" t="n">
        <x:v>45870.780703668985</x:v>
      </x:c>
      <x:c r="K452" s="16" t="n">
        <x:v>45868.780703668985</x:v>
      </x:c>
      <x:c r="L452" s="20" t="n">
        <x:v>53303.93</x:v>
      </x:c>
      <x:c r="M452" s="20" t="n">
        <x:v>0</x:v>
      </x:c>
      <x:c r="N452" s="20" t="n">
        <x:v>0</x:v>
      </x:c>
      <x:c r="O452" s="20" t="n">
        <x:v>53303.93</x:v>
      </x:c>
      <x:c r="P452" s="20" t="n">
        <x:v>0</x:v>
      </x:c>
      <x:c r="Q452" s="10" t="str">
        <x:v>Recebido</x:v>
      </x:c>
      <x:c r="R452" s="10" t="str">
        <x:v>TED</x:v>
      </x:c>
      <x:c r="S452" s="10" t="str">
        <x:v>2025-07</x:v>
      </x:c>
      <x:c r="T452" s="10" t="n">
        <x:v>0</x:v>
      </x:c>
      <x:c r="U452" s="10" t="str">
        <x:v>Liquidado</x:v>
      </x:c>
      <x:c r="V452" s="10" t="str">
        <x:v>Baixo</x:v>
      </x:c>
      <x:c r="W452" s="10" t="str">
        <x:v>Varejo</x:v>
      </x:c>
      <x:c r="X452" s="10" t="str">
        <x:v>UND003</x:v>
      </x:c>
    </x:row>
    <x:row r="453" ht="18" customHeight="1">
      <x:c r="A453" s="10" t="str">
        <x:v>REC00452</x:v>
      </x:c>
      <x:c r="B453" s="10" t="str">
        <x:v>EMP003</x:v>
      </x:c>
      <x:c r="C453" s="10" t="str">
        <x:v>CLI054</x:v>
      </x:c>
      <x:c r="D453" s="10" t="str">
        <x:v>CC007</x:v>
      </x:c>
      <x:c r="E453" s="10" t="str">
        <x:v>CAT002</x:v>
      </x:c>
      <x:c r="F453" s="10" t="str">
        <x:v>CTA005</x:v>
      </x:c>
      <x:c r="G453" s="10" t="str">
        <x:v>FAT-200452</x:v>
      </x:c>
      <x:c r="H453" s="10" t="str">
        <x:v>Prestação de serviços</x:v>
      </x:c>
      <x:c r="I453" s="16" t="n">
        <x:v>45743.72556731482</x:v>
      </x:c>
      <x:c r="J453" s="16" t="n">
        <x:v>45771.72556731482</x:v>
      </x:c>
      <x:c r="K453" s="16" t="n">
        <x:v>45765.72556731482</x:v>
      </x:c>
      <x:c r="L453" s="20" t="n">
        <x:v>4684.48</x:v>
      </x:c>
      <x:c r="M453" s="20" t="n">
        <x:v>0</x:v>
      </x:c>
      <x:c r="N453" s="20" t="n">
        <x:v>0</x:v>
      </x:c>
      <x:c r="O453" s="20" t="n">
        <x:v>4684.48</x:v>
      </x:c>
      <x:c r="P453" s="20" t="n">
        <x:v>0</x:v>
      </x:c>
      <x:c r="Q453" s="10" t="str">
        <x:v>Recebido</x:v>
      </x:c>
      <x:c r="R453" s="10" t="str">
        <x:v>TED</x:v>
      </x:c>
      <x:c r="S453" s="10" t="str">
        <x:v>2025-03</x:v>
      </x:c>
      <x:c r="T453" s="10" t="n">
        <x:v>0</x:v>
      </x:c>
      <x:c r="U453" s="10" t="str">
        <x:v>Liquidado</x:v>
      </x:c>
      <x:c r="V453" s="10" t="str">
        <x:v>Médio</x:v>
      </x:c>
      <x:c r="W453" s="10" t="str">
        <x:v>Indústria</x:v>
      </x:c>
      <x:c r="X453" s="10" t="str">
        <x:v>UND004</x:v>
      </x:c>
    </x:row>
    <x:row r="454" ht="18" customHeight="1">
      <x:c r="A454" s="10" t="str">
        <x:v>REC00453</x:v>
      </x:c>
      <x:c r="B454" s="10" t="str">
        <x:v>EMP002</x:v>
      </x:c>
      <x:c r="C454" s="10" t="str">
        <x:v>CLI007</x:v>
      </x:c>
      <x:c r="D454" s="10" t="str">
        <x:v>CC003</x:v>
      </x:c>
      <x:c r="E454" s="10" t="str">
        <x:v>CAT003</x:v>
      </x:c>
      <x:c r="F454" s="10" t="str">
        <x:v>CTA003</x:v>
      </x:c>
      <x:c r="G454" s="10" t="str">
        <x:v>FAT-200453</x:v>
      </x:c>
      <x:c r="H454" s="10" t="str">
        <x:v>Contrato mensal</x:v>
      </x:c>
      <x:c r="I454" s="16" t="n">
        <x:v>45432.85596501157</x:v>
      </x:c>
      <x:c r="J454" s="16" t="n">
        <x:v>45453.85596501157</x:v>
      </x:c>
      <x:c r="K454" s="16" t="n">
        <x:v>45448.85596501157</x:v>
      </x:c>
      <x:c r="L454" s="20" t="n">
        <x:v>113683.36</x:v>
      </x:c>
      <x:c r="M454" s="20" t="n">
        <x:v>0</x:v>
      </x:c>
      <x:c r="N454" s="20" t="n">
        <x:v>1136.83</x:v>
      </x:c>
      <x:c r="O454" s="20" t="n">
        <x:v>112546.53</x:v>
      </x:c>
      <x:c r="P454" s="20" t="n">
        <x:v>0</x:v>
      </x:c>
      <x:c r="Q454" s="10" t="str">
        <x:v>Recebido</x:v>
      </x:c>
      <x:c r="R454" s="10" t="str">
        <x:v>TED</x:v>
      </x:c>
      <x:c r="S454" s="10" t="str">
        <x:v>2024-05</x:v>
      </x:c>
      <x:c r="T454" s="10" t="n">
        <x:v>0</x:v>
      </x:c>
      <x:c r="U454" s="10" t="str">
        <x:v>Liquidado</x:v>
      </x:c>
      <x:c r="V454" s="10" t="str">
        <x:v>Baixo</x:v>
      </x:c>
      <x:c r="W454" s="10" t="str">
        <x:v>Atacado</x:v>
      </x:c>
      <x:c r="X454" s="10" t="str">
        <x:v>UND003</x:v>
      </x:c>
    </x:row>
    <x:row r="455" ht="18" customHeight="1">
      <x:c r="A455" s="10" t="str">
        <x:v>REC00454</x:v>
      </x:c>
      <x:c r="B455" s="10" t="str">
        <x:v>EMP003</x:v>
      </x:c>
      <x:c r="C455" s="10" t="str">
        <x:v>CLI071</x:v>
      </x:c>
      <x:c r="D455" s="10" t="str">
        <x:v>CC002</x:v>
      </x:c>
      <x:c r="E455" s="10" t="str">
        <x:v>CAT004</x:v>
      </x:c>
      <x:c r="F455" s="10" t="str">
        <x:v>CTA005</x:v>
      </x:c>
      <x:c r="G455" s="10" t="str">
        <x:v>FAT-200454</x:v>
      </x:c>
      <x:c r="H455" s="10" t="str">
        <x:v>Venda de produtos</x:v>
      </x:c>
      <x:c r="I455" s="16" t="n">
        <x:v>45709.85651679398</x:v>
      </x:c>
      <x:c r="J455" s="16" t="n">
        <x:v>45739.85651679398</x:v>
      </x:c>
      <x:c r="K455" s="16" t="n">
        <x:v>45734.85651679398</x:v>
      </x:c>
      <x:c r="L455" s="20" t="n">
        <x:v>10124.25</x:v>
      </x:c>
      <x:c r="M455" s="20" t="n">
        <x:v>0</x:v>
      </x:c>
      <x:c r="N455" s="20" t="n">
        <x:v>0</x:v>
      </x:c>
      <x:c r="O455" s="20" t="n">
        <x:v>10124.25</x:v>
      </x:c>
      <x:c r="P455" s="20" t="n">
        <x:v>0</x:v>
      </x:c>
      <x:c r="Q455" s="10" t="str">
        <x:v>Recebido</x:v>
      </x:c>
      <x:c r="R455" s="10" t="str">
        <x:v>Boleto</x:v>
      </x:c>
      <x:c r="S455" s="10" t="str">
        <x:v>2025-02</x:v>
      </x:c>
      <x:c r="T455" s="10" t="n">
        <x:v>0</x:v>
      </x:c>
      <x:c r="U455" s="10" t="str">
        <x:v>Liquidado</x:v>
      </x:c>
      <x:c r="V455" s="10" t="str">
        <x:v>Baixo</x:v>
      </x:c>
      <x:c r="W455" s="10" t="str">
        <x:v>Tecnologia</x:v>
      </x:c>
      <x:c r="X455" s="10" t="str">
        <x:v>UND004</x:v>
      </x:c>
    </x:row>
    <x:row r="456" ht="18" customHeight="1">
      <x:c r="A456" s="10" t="str">
        <x:v>REC00455</x:v>
      </x:c>
      <x:c r="B456" s="10" t="str">
        <x:v>EMP002</x:v>
      </x:c>
      <x:c r="C456" s="10" t="str">
        <x:v>CLI021</x:v>
      </x:c>
      <x:c r="D456" s="10" t="str">
        <x:v>CC001</x:v>
      </x:c>
      <x:c r="E456" s="10" t="str">
        <x:v>CAT002</x:v>
      </x:c>
      <x:c r="F456" s="10" t="str">
        <x:v>CTA004</x:v>
      </x:c>
      <x:c r="G456" s="10" t="str">
        <x:v>FAT-200455</x:v>
      </x:c>
      <x:c r="H456" s="10" t="str">
        <x:v>Frete faturado</x:v>
      </x:c>
      <x:c r="I456" s="16" t="n">
        <x:v>45992.21191045139</x:v>
      </x:c>
      <x:c r="J456" s="16" t="n">
        <x:v>46020.21191045139</x:v>
      </x:c>
      <x:c r="K456" s="16"/>
      <x:c r="L456" s="20" t="n">
        <x:v>104756.4</x:v>
      </x:c>
      <x:c r="M456" s="20" t="n">
        <x:v>0</x:v>
      </x:c>
      <x:c r="N456" s="20" t="n">
        <x:v>0</x:v>
      </x:c>
      <x:c r="O456" s="20" t="n">
        <x:v>0</x:v>
      </x:c>
      <x:c r="P456" s="20" t="n">
        <x:v>104756.4</x:v>
      </x:c>
      <x:c r="Q456" s="10" t="str">
        <x:v>Vencido</x:v>
      </x:c>
      <x:c r="R456" s="10" t="str">
        <x:v>Boleto</x:v>
      </x:c>
      <x:c r="S456" s="10" t="str">
        <x:v>2025-12</x:v>
      </x:c>
      <x:c r="T456" s="10" t="n">
        <x:v>1</x:v>
      </x:c>
      <x:c r="U456" s="10" t="str">
        <x:v>1 a 30 dias</x:v>
      </x:c>
      <x:c r="V456" s="10" t="str">
        <x:v>Baixo</x:v>
      </x:c>
      <x:c r="W456" s="10" t="str">
        <x:v>Indústria</x:v>
      </x:c>
      <x:c r="X456" s="10" t="str">
        <x:v>UND003</x:v>
      </x:c>
    </x:row>
    <x:row r="457" ht="18" customHeight="1">
      <x:c r="A457" s="10" t="str">
        <x:v>REC00456</x:v>
      </x:c>
      <x:c r="B457" s="10" t="str">
        <x:v>EMP002</x:v>
      </x:c>
      <x:c r="C457" s="10" t="str">
        <x:v>CLI045</x:v>
      </x:c>
      <x:c r="D457" s="10" t="str">
        <x:v>CC006</x:v>
      </x:c>
      <x:c r="E457" s="10" t="str">
        <x:v>CAT003</x:v>
      </x:c>
      <x:c r="F457" s="10" t="str">
        <x:v>CTA004</x:v>
      </x:c>
      <x:c r="G457" s="10" t="str">
        <x:v>FAT-200456</x:v>
      </x:c>
      <x:c r="H457" s="10" t="str">
        <x:v>Venda de produtos</x:v>
      </x:c>
      <x:c r="I457" s="16" t="n">
        <x:v>45600.85202756945</x:v>
      </x:c>
      <x:c r="J457" s="16" t="n">
        <x:v>45635.85202756945</x:v>
      </x:c>
      <x:c r="K457" s="16" t="n">
        <x:v>45637.85202756945</x:v>
      </x:c>
      <x:c r="L457" s="20" t="n">
        <x:v>23418.74</x:v>
      </x:c>
      <x:c r="M457" s="20" t="n">
        <x:v>37.47</x:v>
      </x:c>
      <x:c r="N457" s="20" t="n">
        <x:v>0</x:v>
      </x:c>
      <x:c r="O457" s="20" t="n">
        <x:v>23456.21</x:v>
      </x:c>
      <x:c r="P457" s="20" t="n">
        <x:v>0</x:v>
      </x:c>
      <x:c r="Q457" s="10" t="str">
        <x:v>Recebido</x:v>
      </x:c>
      <x:c r="R457" s="10" t="str">
        <x:v>Débito em Conta</x:v>
      </x:c>
      <x:c r="S457" s="10" t="str">
        <x:v>2024-11</x:v>
      </x:c>
      <x:c r="T457" s="10" t="n">
        <x:v>0</x:v>
      </x:c>
      <x:c r="U457" s="10" t="str">
        <x:v>Liquidado</x:v>
      </x:c>
      <x:c r="V457" s="10" t="str">
        <x:v>Baixo</x:v>
      </x:c>
      <x:c r="W457" s="10" t="str">
        <x:v>Varejo</x:v>
      </x:c>
      <x:c r="X457" s="10" t="str">
        <x:v>UND003</x:v>
      </x:c>
    </x:row>
    <x:row r="458" ht="18" customHeight="1">
      <x:c r="A458" s="10" t="str">
        <x:v>REC00457</x:v>
      </x:c>
      <x:c r="B458" s="10" t="str">
        <x:v>EMP002</x:v>
      </x:c>
      <x:c r="C458" s="10" t="str">
        <x:v>CLI012</x:v>
      </x:c>
      <x:c r="D458" s="10" t="str">
        <x:v>CC003</x:v>
      </x:c>
      <x:c r="E458" s="10" t="str">
        <x:v>CAT004</x:v>
      </x:c>
      <x:c r="F458" s="10" t="str">
        <x:v>CTA003</x:v>
      </x:c>
      <x:c r="G458" s="10" t="str">
        <x:v>FAT-200457</x:v>
      </x:c>
      <x:c r="H458" s="10" t="str">
        <x:v>Projeto especial</x:v>
      </x:c>
      <x:c r="I458" s="16" t="n">
        <x:v>45666.125879085645</x:v>
      </x:c>
      <x:c r="J458" s="16" t="n">
        <x:v>45681.125879085645</x:v>
      </x:c>
      <x:c r="K458" s="16" t="n">
        <x:v>45682.125879085645</x:v>
      </x:c>
      <x:c r="L458" s="20" t="n">
        <x:v>31902.76</x:v>
      </x:c>
      <x:c r="M458" s="20" t="n">
        <x:v>25.52</x:v>
      </x:c>
      <x:c r="N458" s="20" t="n">
        <x:v>0</x:v>
      </x:c>
      <x:c r="O458" s="20" t="n">
        <x:v>31928.28</x:v>
      </x:c>
      <x:c r="P458" s="20" t="n">
        <x:v>0</x:v>
      </x:c>
      <x:c r="Q458" s="10" t="str">
        <x:v>Recebido</x:v>
      </x:c>
      <x:c r="R458" s="10" t="str">
        <x:v>Débito em Conta</x:v>
      </x:c>
      <x:c r="S458" s="10" t="str">
        <x:v>2025-01</x:v>
      </x:c>
      <x:c r="T458" s="10" t="n">
        <x:v>0</x:v>
      </x:c>
      <x:c r="U458" s="10" t="str">
        <x:v>Liquidado</x:v>
      </x:c>
      <x:c r="V458" s="10" t="str">
        <x:v>Baixo</x:v>
      </x:c>
      <x:c r="W458" s="10" t="str">
        <x:v>Tecnologia</x:v>
      </x:c>
      <x:c r="X458" s="10" t="str">
        <x:v>UND003</x:v>
      </x:c>
    </x:row>
    <x:row r="459" ht="18" customHeight="1">
      <x:c r="A459" s="10" t="str">
        <x:v>REC00458</x:v>
      </x:c>
      <x:c r="B459" s="10" t="str">
        <x:v>EMP002</x:v>
      </x:c>
      <x:c r="C459" s="10" t="str">
        <x:v>CLI040</x:v>
      </x:c>
      <x:c r="D459" s="10" t="str">
        <x:v>CC003</x:v>
      </x:c>
      <x:c r="E459" s="10" t="str">
        <x:v>CAT003</x:v>
      </x:c>
      <x:c r="F459" s="10" t="str">
        <x:v>CTA004</x:v>
      </x:c>
      <x:c r="G459" s="10" t="str">
        <x:v>FAT-200458</x:v>
      </x:c>
      <x:c r="H459" s="10" t="str">
        <x:v>Contrato mensal</x:v>
      </x:c>
      <x:c r="I459" s="16" t="n">
        <x:v>45898.34810555555</x:v>
      </x:c>
      <x:c r="J459" s="16" t="n">
        <x:v>45926.34810555555</x:v>
      </x:c>
      <x:c r="K459" s="16"/>
      <x:c r="L459" s="20" t="n">
        <x:v>53918.72</x:v>
      </x:c>
      <x:c r="M459" s="20" t="n">
        <x:v>0</x:v>
      </x:c>
      <x:c r="N459" s="20" t="n">
        <x:v>0</x:v>
      </x:c>
      <x:c r="O459" s="20" t="n">
        <x:v>0</x:v>
      </x:c>
      <x:c r="P459" s="20" t="n">
        <x:v>53918.72</x:v>
      </x:c>
      <x:c r="Q459" s="10" t="str">
        <x:v>Vencido</x:v>
      </x:c>
      <x:c r="R459" s="10" t="str">
        <x:v>Boleto</x:v>
      </x:c>
      <x:c r="S459" s="10" t="str">
        <x:v>2025-08</x:v>
      </x:c>
      <x:c r="T459" s="10" t="n">
        <x:v>95</x:v>
      </x:c>
      <x:c r="U459" s="10" t="str">
        <x:v>91 a 120 dias</x:v>
      </x:c>
      <x:c r="V459" s="10" t="str">
        <x:v>Baixo</x:v>
      </x:c>
      <x:c r="W459" s="10" t="str">
        <x:v>Saúde</x:v>
      </x:c>
      <x:c r="X459" s="10" t="str">
        <x:v>UND003</x:v>
      </x:c>
    </x:row>
    <x:row r="460" ht="18" customHeight="1">
      <x:c r="A460" s="10" t="str">
        <x:v>REC00459</x:v>
      </x:c>
      <x:c r="B460" s="10" t="str">
        <x:v>EMP001</x:v>
      </x:c>
      <x:c r="C460" s="10" t="str">
        <x:v>CLI030</x:v>
      </x:c>
      <x:c r="D460" s="10" t="str">
        <x:v>CC003</x:v>
      </x:c>
      <x:c r="E460" s="10" t="str">
        <x:v>CAT001</x:v>
      </x:c>
      <x:c r="F460" s="10" t="str">
        <x:v>CTA001</x:v>
      </x:c>
      <x:c r="G460" s="10" t="str">
        <x:v>FAT-200459</x:v>
      </x:c>
      <x:c r="H460" s="10" t="str">
        <x:v>Venda de produtos</x:v>
      </x:c>
      <x:c r="I460" s="16" t="n">
        <x:v>45775.24335016204</x:v>
      </x:c>
      <x:c r="J460" s="16" t="n">
        <x:v>45790.24335016204</x:v>
      </x:c>
      <x:c r="K460" s="16" t="n">
        <x:v>45791.24335016204</x:v>
      </x:c>
      <x:c r="L460" s="20" t="n">
        <x:v>45085.59</x:v>
      </x:c>
      <x:c r="M460" s="20" t="n">
        <x:v>36.07</x:v>
      </x:c>
      <x:c r="N460" s="20" t="n">
        <x:v>0</x:v>
      </x:c>
      <x:c r="O460" s="20" t="n">
        <x:v>45121.66</x:v>
      </x:c>
      <x:c r="P460" s="20" t="n">
        <x:v>0</x:v>
      </x:c>
      <x:c r="Q460" s="10" t="str">
        <x:v>Recebido</x:v>
      </x:c>
      <x:c r="R460" s="10" t="str">
        <x:v>Débito em Conta</x:v>
      </x:c>
      <x:c r="S460" s="10" t="str">
        <x:v>2025-04</x:v>
      </x:c>
      <x:c r="T460" s="10" t="n">
        <x:v>0</x:v>
      </x:c>
      <x:c r="U460" s="10" t="str">
        <x:v>Liquidado</x:v>
      </x:c>
      <x:c r="V460" s="10" t="str">
        <x:v>Baixo</x:v>
      </x:c>
      <x:c r="W460" s="10" t="str">
        <x:v>Tecnologia</x:v>
      </x:c>
      <x:c r="X460" s="10" t="str">
        <x:v>UND002</x:v>
      </x:c>
    </x:row>
    <x:row r="461" ht="18" customHeight="1">
      <x:c r="A461" s="10" t="str">
        <x:v>REC00460</x:v>
      </x:c>
      <x:c r="B461" s="10" t="str">
        <x:v>EMP003</x:v>
      </x:c>
      <x:c r="C461" s="10" t="str">
        <x:v>CLI005</x:v>
      </x:c>
      <x:c r="D461" s="10" t="str">
        <x:v>CC004</x:v>
      </x:c>
      <x:c r="E461" s="10" t="str">
        <x:v>CAT001</x:v>
      </x:c>
      <x:c r="F461" s="10" t="str">
        <x:v>CTA006</x:v>
      </x:c>
      <x:c r="G461" s="10" t="str">
        <x:v>FAT-200460</x:v>
      </x:c>
      <x:c r="H461" s="10" t="str">
        <x:v>Frete faturado</x:v>
      </x:c>
      <x:c r="I461" s="16" t="n">
        <x:v>45692.79460403935</x:v>
      </x:c>
      <x:c r="J461" s="16" t="n">
        <x:v>45752.79460403935</x:v>
      </x:c>
      <x:c r="K461" s="16" t="n">
        <x:v>45748.79460403935</x:v>
      </x:c>
      <x:c r="L461" s="20" t="n">
        <x:v>38390.73</x:v>
      </x:c>
      <x:c r="M461" s="20" t="n">
        <x:v>0</x:v>
      </x:c>
      <x:c r="N461" s="20" t="n">
        <x:v>0</x:v>
      </x:c>
      <x:c r="O461" s="20" t="n">
        <x:v>38390.73</x:v>
      </x:c>
      <x:c r="P461" s="20" t="n">
        <x:v>0</x:v>
      </x:c>
      <x:c r="Q461" s="10" t="str">
        <x:v>Recebido</x:v>
      </x:c>
      <x:c r="R461" s="10" t="str">
        <x:v>Cartão</x:v>
      </x:c>
      <x:c r="S461" s="10" t="str">
        <x:v>2025-02</x:v>
      </x:c>
      <x:c r="T461" s="10" t="n">
        <x:v>0</x:v>
      </x:c>
      <x:c r="U461" s="10" t="str">
        <x:v>Liquidado</x:v>
      </x:c>
      <x:c r="V461" s="10" t="str">
        <x:v>Baixo</x:v>
      </x:c>
      <x:c r="W461" s="10" t="str">
        <x:v>Atacado</x:v>
      </x:c>
      <x:c r="X461" s="10" t="str">
        <x:v>UND004</x:v>
      </x:c>
    </x:row>
    <x:row r="462" ht="18" customHeight="1">
      <x:c r="A462" s="10" t="str">
        <x:v>REC00461</x:v>
      </x:c>
      <x:c r="B462" s="10" t="str">
        <x:v>EMP003</x:v>
      </x:c>
      <x:c r="C462" s="10" t="str">
        <x:v>CLI061</x:v>
      </x:c>
      <x:c r="D462" s="10" t="str">
        <x:v>CC005</x:v>
      </x:c>
      <x:c r="E462" s="10" t="str">
        <x:v>CAT001</x:v>
      </x:c>
      <x:c r="F462" s="10" t="str">
        <x:v>CTA005</x:v>
      </x:c>
      <x:c r="G462" s="10" t="str">
        <x:v>FAT-200461</x:v>
      </x:c>
      <x:c r="H462" s="10" t="str">
        <x:v>Projeto especial</x:v>
      </x:c>
      <x:c r="I462" s="16" t="n">
        <x:v>45464.20946556713</x:v>
      </x:c>
      <x:c r="J462" s="16" t="n">
        <x:v>45479.20946556713</x:v>
      </x:c>
      <x:c r="K462" s="16" t="n">
        <x:v>45483.20946556713</x:v>
      </x:c>
      <x:c r="L462" s="20" t="n">
        <x:v>126131.9</x:v>
      </x:c>
      <x:c r="M462" s="20" t="n">
        <x:v>403.62</x:v>
      </x:c>
      <x:c r="N462" s="20" t="n">
        <x:v>0</x:v>
      </x:c>
      <x:c r="O462" s="20" t="n">
        <x:v>126535.52</x:v>
      </x:c>
      <x:c r="P462" s="20" t="n">
        <x:v>0</x:v>
      </x:c>
      <x:c r="Q462" s="10" t="str">
        <x:v>Recebido</x:v>
      </x:c>
      <x:c r="R462" s="10" t="str">
        <x:v>Débito em Conta</x:v>
      </x:c>
      <x:c r="S462" s="10" t="str">
        <x:v>2024-06</x:v>
      </x:c>
      <x:c r="T462" s="10" t="n">
        <x:v>0</x:v>
      </x:c>
      <x:c r="U462" s="10" t="str">
        <x:v>Liquidado</x:v>
      </x:c>
      <x:c r="V462" s="10" t="str">
        <x:v>Baixo</x:v>
      </x:c>
      <x:c r="W462" s="10" t="str">
        <x:v>Serviços</x:v>
      </x:c>
      <x:c r="X462" s="10" t="str">
        <x:v>UND004</x:v>
      </x:c>
    </x:row>
    <x:row r="463" ht="18" customHeight="1">
      <x:c r="A463" s="10" t="str">
        <x:v>REC00462</x:v>
      </x:c>
      <x:c r="B463" s="10" t="str">
        <x:v>EMP002</x:v>
      </x:c>
      <x:c r="C463" s="10" t="str">
        <x:v>CLI018</x:v>
      </x:c>
      <x:c r="D463" s="10" t="str">
        <x:v>CC005</x:v>
      </x:c>
      <x:c r="E463" s="10" t="str">
        <x:v>CAT003</x:v>
      </x:c>
      <x:c r="F463" s="10" t="str">
        <x:v>CTA004</x:v>
      </x:c>
      <x:c r="G463" s="10" t="str">
        <x:v>FAT-200462</x:v>
      </x:c>
      <x:c r="H463" s="10" t="str">
        <x:v>Prestação de serviços</x:v>
      </x:c>
      <x:c r="I463" s="16" t="n">
        <x:v>45828.956743344905</x:v>
      </x:c>
      <x:c r="J463" s="16" t="n">
        <x:v>45856.956743344905</x:v>
      </x:c>
      <x:c r="K463" s="16" t="n">
        <x:v>45855.956743344905</x:v>
      </x:c>
      <x:c r="L463" s="20" t="n">
        <x:v>12015.44</x:v>
      </x:c>
      <x:c r="M463" s="20" t="n">
        <x:v>0</x:v>
      </x:c>
      <x:c r="N463" s="20" t="n">
        <x:v>60.08</x:v>
      </x:c>
      <x:c r="O463" s="20" t="n">
        <x:v>11955.36</x:v>
      </x:c>
      <x:c r="P463" s="20" t="n">
        <x:v>0</x:v>
      </x:c>
      <x:c r="Q463" s="10" t="str">
        <x:v>Recebido</x:v>
      </x:c>
      <x:c r="R463" s="10" t="str">
        <x:v>PIX</x:v>
      </x:c>
      <x:c r="S463" s="10" t="str">
        <x:v>2025-06</x:v>
      </x:c>
      <x:c r="T463" s="10" t="n">
        <x:v>0</x:v>
      </x:c>
      <x:c r="U463" s="10" t="str">
        <x:v>Liquidado</x:v>
      </x:c>
      <x:c r="V463" s="10" t="str">
        <x:v>Médio</x:v>
      </x:c>
      <x:c r="W463" s="10" t="str">
        <x:v>Indústria</x:v>
      </x:c>
      <x:c r="X463" s="10" t="str">
        <x:v>UND003</x:v>
      </x:c>
    </x:row>
    <x:row r="464" ht="18" customHeight="1">
      <x:c r="A464" s="10" t="str">
        <x:v>REC00463</x:v>
      </x:c>
      <x:c r="B464" s="10" t="str">
        <x:v>EMP002</x:v>
      </x:c>
      <x:c r="C464" s="10" t="str">
        <x:v>CLI064</x:v>
      </x:c>
      <x:c r="D464" s="10" t="str">
        <x:v>CC004</x:v>
      </x:c>
      <x:c r="E464" s="10" t="str">
        <x:v>CAT003</x:v>
      </x:c>
      <x:c r="F464" s="10" t="str">
        <x:v>CTA004</x:v>
      </x:c>
      <x:c r="G464" s="10" t="str">
        <x:v>FAT-200463</x:v>
      </x:c>
      <x:c r="H464" s="10" t="str">
        <x:v>Projeto especial</x:v>
      </x:c>
      <x:c r="I464" s="16" t="n">
        <x:v>45899.62261701389</x:v>
      </x:c>
      <x:c r="J464" s="16" t="n">
        <x:v>45944.62261701389</x:v>
      </x:c>
      <x:c r="K464" s="16"/>
      <x:c r="L464" s="20" t="n">
        <x:v>117158.15</x:v>
      </x:c>
      <x:c r="M464" s="20" t="n">
        <x:v>0</x:v>
      </x:c>
      <x:c r="N464" s="20" t="n">
        <x:v>0</x:v>
      </x:c>
      <x:c r="O464" s="20" t="n">
        <x:v>0</x:v>
      </x:c>
      <x:c r="P464" s="20" t="n">
        <x:v>117158.15</x:v>
      </x:c>
      <x:c r="Q464" s="10" t="str">
        <x:v>Vencido</x:v>
      </x:c>
      <x:c r="R464" s="10" t="str">
        <x:v>Boleto</x:v>
      </x:c>
      <x:c r="S464" s="10" t="str">
        <x:v>2025-08</x:v>
      </x:c>
      <x:c r="T464" s="10" t="n">
        <x:v>77</x:v>
      </x:c>
      <x:c r="U464" s="10" t="str">
        <x:v>61 a 90 dias</x:v>
      </x:c>
      <x:c r="V464" s="10" t="str">
        <x:v>Médio</x:v>
      </x:c>
      <x:c r="W464" s="10" t="str">
        <x:v>Atacado</x:v>
      </x:c>
      <x:c r="X464" s="10" t="str">
        <x:v>UND003</x:v>
      </x:c>
    </x:row>
    <x:row r="465" ht="18" customHeight="1">
      <x:c r="A465" s="10" t="str">
        <x:v>REC00464</x:v>
      </x:c>
      <x:c r="B465" s="10" t="str">
        <x:v>EMP001</x:v>
      </x:c>
      <x:c r="C465" s="10" t="str">
        <x:v>CLI044</x:v>
      </x:c>
      <x:c r="D465" s="10" t="str">
        <x:v>CC005</x:v>
      </x:c>
      <x:c r="E465" s="10" t="str">
        <x:v>CAT001</x:v>
      </x:c>
      <x:c r="F465" s="10" t="str">
        <x:v>CTA001</x:v>
      </x:c>
      <x:c r="G465" s="10" t="str">
        <x:v>FAT-200464</x:v>
      </x:c>
      <x:c r="H465" s="10" t="str">
        <x:v>Projeto especial</x:v>
      </x:c>
      <x:c r="I465" s="16" t="n">
        <x:v>45864.32679306713</x:v>
      </x:c>
      <x:c r="J465" s="16" t="n">
        <x:v>45892.32679306713</x:v>
      </x:c>
      <x:c r="K465" s="16" t="n">
        <x:v>45912.32679306713</x:v>
      </x:c>
      <x:c r="L465" s="20" t="n">
        <x:v>20699.01</x:v>
      </x:c>
      <x:c r="M465" s="20" t="n">
        <x:v>331.18</x:v>
      </x:c>
      <x:c r="N465" s="20" t="n">
        <x:v>0</x:v>
      </x:c>
      <x:c r="O465" s="20" t="n">
        <x:v>21030.19</x:v>
      </x:c>
      <x:c r="P465" s="20" t="n">
        <x:v>0</x:v>
      </x:c>
      <x:c r="Q465" s="10" t="str">
        <x:v>Recebido</x:v>
      </x:c>
      <x:c r="R465" s="10" t="str">
        <x:v>Débito em Conta</x:v>
      </x:c>
      <x:c r="S465" s="10" t="str">
        <x:v>2025-07</x:v>
      </x:c>
      <x:c r="T465" s="10" t="n">
        <x:v>0</x:v>
      </x:c>
      <x:c r="U465" s="10" t="str">
        <x:v>Liquidado</x:v>
      </x:c>
      <x:c r="V465" s="10" t="str">
        <x:v>Alto</x:v>
      </x:c>
      <x:c r="W465" s="10" t="str">
        <x:v>Varejo</x:v>
      </x:c>
      <x:c r="X465" s="10" t="str">
        <x:v>UND001</x:v>
      </x:c>
    </x:row>
    <x:row r="466" ht="18" customHeight="1">
      <x:c r="A466" s="10" t="str">
        <x:v>REC00465</x:v>
      </x:c>
      <x:c r="B466" s="10" t="str">
        <x:v>EMP001</x:v>
      </x:c>
      <x:c r="C466" s="10" t="str">
        <x:v>CLI059</x:v>
      </x:c>
      <x:c r="D466" s="10" t="str">
        <x:v>CC008</x:v>
      </x:c>
      <x:c r="E466" s="10" t="str">
        <x:v>CAT003</x:v>
      </x:c>
      <x:c r="F466" s="10" t="str">
        <x:v>CTA001</x:v>
      </x:c>
      <x:c r="G466" s="10" t="str">
        <x:v>FAT-200465</x:v>
      </x:c>
      <x:c r="H466" s="10" t="str">
        <x:v>Projeto especial</x:v>
      </x:c>
      <x:c r="I466" s="16" t="n">
        <x:v>45741.28490111111</x:v>
      </x:c>
      <x:c r="J466" s="16" t="n">
        <x:v>45771.28490111111</x:v>
      </x:c>
      <x:c r="K466" s="16" t="n">
        <x:v>45769.28490111111</x:v>
      </x:c>
      <x:c r="L466" s="20" t="n">
        <x:v>40940.34</x:v>
      </x:c>
      <x:c r="M466" s="20" t="n">
        <x:v>0</x:v>
      </x:c>
      <x:c r="N466" s="20" t="n">
        <x:v>0</x:v>
      </x:c>
      <x:c r="O466" s="20" t="n">
        <x:v>40940.34</x:v>
      </x:c>
      <x:c r="P466" s="20" t="n">
        <x:v>0</x:v>
      </x:c>
      <x:c r="Q466" s="10" t="str">
        <x:v>Recebido</x:v>
      </x:c>
      <x:c r="R466" s="10" t="str">
        <x:v>Cartão</x:v>
      </x:c>
      <x:c r="S466" s="10" t="str">
        <x:v>2025-03</x:v>
      </x:c>
      <x:c r="T466" s="10" t="n">
        <x:v>0</x:v>
      </x:c>
      <x:c r="U466" s="10" t="str">
        <x:v>Liquidado</x:v>
      </x:c>
      <x:c r="V466" s="10" t="str">
        <x:v>Baixo</x:v>
      </x:c>
      <x:c r="W466" s="10" t="str">
        <x:v>Indústria</x:v>
      </x:c>
      <x:c r="X466" s="10" t="str">
        <x:v>UND001</x:v>
      </x:c>
    </x:row>
    <x:row r="467" ht="18" customHeight="1">
      <x:c r="A467" s="10" t="str">
        <x:v>REC00466</x:v>
      </x:c>
      <x:c r="B467" s="10" t="str">
        <x:v>EMP002</x:v>
      </x:c>
      <x:c r="C467" s="10" t="str">
        <x:v>CLI010</x:v>
      </x:c>
      <x:c r="D467" s="10" t="str">
        <x:v>CC002</x:v>
      </x:c>
      <x:c r="E467" s="10" t="str">
        <x:v>CAT004</x:v>
      </x:c>
      <x:c r="F467" s="10" t="str">
        <x:v>CTA004</x:v>
      </x:c>
      <x:c r="G467" s="10" t="str">
        <x:v>FAT-200466</x:v>
      </x:c>
      <x:c r="H467" s="10" t="str">
        <x:v>Prestação de serviços</x:v>
      </x:c>
      <x:c r="I467" s="16" t="n">
        <x:v>45317.6430353125</x:v>
      </x:c>
      <x:c r="J467" s="16" t="n">
        <x:v>45362.6430353125</x:v>
      </x:c>
      <x:c r="K467" s="16" t="n">
        <x:v>45366.6430353125</x:v>
      </x:c>
      <x:c r="L467" s="20" t="n">
        <x:v>97116.06</x:v>
      </x:c>
      <x:c r="M467" s="20" t="n">
        <x:v>310.77</x:v>
      </x:c>
      <x:c r="N467" s="20" t="n">
        <x:v>0</x:v>
      </x:c>
      <x:c r="O467" s="20" t="n">
        <x:v>97426.83</x:v>
      </x:c>
      <x:c r="P467" s="20" t="n">
        <x:v>0</x:v>
      </x:c>
      <x:c r="Q467" s="10" t="str">
        <x:v>Recebido</x:v>
      </x:c>
      <x:c r="R467" s="10" t="str">
        <x:v>PIX</x:v>
      </x:c>
      <x:c r="S467" s="10" t="str">
        <x:v>2024-01</x:v>
      </x:c>
      <x:c r="T467" s="10" t="n">
        <x:v>0</x:v>
      </x:c>
      <x:c r="U467" s="10" t="str">
        <x:v>Liquidado</x:v>
      </x:c>
      <x:c r="V467" s="10" t="str">
        <x:v>Baixo</x:v>
      </x:c>
      <x:c r="W467" s="10" t="str">
        <x:v>Indústria</x:v>
      </x:c>
      <x:c r="X467" s="10" t="str">
        <x:v>UND003</x:v>
      </x:c>
    </x:row>
    <x:row r="468" ht="18" customHeight="1">
      <x:c r="A468" s="10" t="str">
        <x:v>REC00467</x:v>
      </x:c>
      <x:c r="B468" s="10" t="str">
        <x:v>EMP001</x:v>
      </x:c>
      <x:c r="C468" s="10" t="str">
        <x:v>CLI070</x:v>
      </x:c>
      <x:c r="D468" s="10" t="str">
        <x:v>CC006</x:v>
      </x:c>
      <x:c r="E468" s="10" t="str">
        <x:v>CAT001</x:v>
      </x:c>
      <x:c r="F468" s="10" t="str">
        <x:v>CTA001</x:v>
      </x:c>
      <x:c r="G468" s="10" t="str">
        <x:v>FAT-200467</x:v>
      </x:c>
      <x:c r="H468" s="10" t="str">
        <x:v>Frete faturado</x:v>
      </x:c>
      <x:c r="I468" s="16" t="n">
        <x:v>45630.21242790509</x:v>
      </x:c>
      <x:c r="J468" s="16" t="n">
        <x:v>45675.21242790509</x:v>
      </x:c>
      <x:c r="K468" s="16" t="n">
        <x:v>45674.21242790509</x:v>
      </x:c>
      <x:c r="L468" s="20" t="n">
        <x:v>50757.86</x:v>
      </x:c>
      <x:c r="M468" s="20" t="n">
        <x:v>0</x:v>
      </x:c>
      <x:c r="N468" s="20" t="n">
        <x:v>0</x:v>
      </x:c>
      <x:c r="O468" s="20" t="n">
        <x:v>50757.86</x:v>
      </x:c>
      <x:c r="P468" s="20" t="n">
        <x:v>0</x:v>
      </x:c>
      <x:c r="Q468" s="10" t="str">
        <x:v>Recebido</x:v>
      </x:c>
      <x:c r="R468" s="10" t="str">
        <x:v>Débito em Conta</x:v>
      </x:c>
      <x:c r="S468" s="10" t="str">
        <x:v>2024-12</x:v>
      </x:c>
      <x:c r="T468" s="10" t="n">
        <x:v>0</x:v>
      </x:c>
      <x:c r="U468" s="10" t="str">
        <x:v>Liquidado</x:v>
      </x:c>
      <x:c r="V468" s="10" t="str">
        <x:v>Baixo</x:v>
      </x:c>
      <x:c r="W468" s="10" t="str">
        <x:v>Saúde</x:v>
      </x:c>
      <x:c r="X468" s="10" t="str">
        <x:v>UND001</x:v>
      </x:c>
    </x:row>
    <x:row r="469" ht="18" customHeight="1">
      <x:c r="A469" s="10" t="str">
        <x:v>REC00468</x:v>
      </x:c>
      <x:c r="B469" s="10" t="str">
        <x:v>EMP003</x:v>
      </x:c>
      <x:c r="C469" s="10" t="str">
        <x:v>CLI034</x:v>
      </x:c>
      <x:c r="D469" s="10" t="str">
        <x:v>CC004</x:v>
      </x:c>
      <x:c r="E469" s="10" t="str">
        <x:v>CAT004</x:v>
      </x:c>
      <x:c r="F469" s="10" t="str">
        <x:v>CTA006</x:v>
      </x:c>
      <x:c r="G469" s="10" t="str">
        <x:v>FAT-200468</x:v>
      </x:c>
      <x:c r="H469" s="10" t="str">
        <x:v>Contrato mensal</x:v>
      </x:c>
      <x:c r="I469" s="16" t="n">
        <x:v>45825.21638460648</x:v>
      </x:c>
      <x:c r="J469" s="16" t="n">
        <x:v>45840.21638460648</x:v>
      </x:c>
      <x:c r="K469" s="16" t="n">
        <x:v>45834.21638460648</x:v>
      </x:c>
      <x:c r="L469" s="20" t="n">
        <x:v>124801.36</x:v>
      </x:c>
      <x:c r="M469" s="20" t="n">
        <x:v>0</x:v>
      </x:c>
      <x:c r="N469" s="20" t="n">
        <x:v>0</x:v>
      </x:c>
      <x:c r="O469" s="20" t="n">
        <x:v>124801.36</x:v>
      </x:c>
      <x:c r="P469" s="20" t="n">
        <x:v>0</x:v>
      </x:c>
      <x:c r="Q469" s="10" t="str">
        <x:v>Recebido</x:v>
      </x:c>
      <x:c r="R469" s="10" t="str">
        <x:v>Débito em Conta</x:v>
      </x:c>
      <x:c r="S469" s="10" t="str">
        <x:v>2025-06</x:v>
      </x:c>
      <x:c r="T469" s="10" t="n">
        <x:v>0</x:v>
      </x:c>
      <x:c r="U469" s="10" t="str">
        <x:v>Liquidado</x:v>
      </x:c>
      <x:c r="V469" s="10" t="str">
        <x:v>Médio</x:v>
      </x:c>
      <x:c r="W469" s="10" t="str">
        <x:v>Indústria</x:v>
      </x:c>
      <x:c r="X469" s="10" t="str">
        <x:v>UND004</x:v>
      </x:c>
    </x:row>
    <x:row r="470" ht="18" customHeight="1">
      <x:c r="A470" s="10" t="str">
        <x:v>REC00469</x:v>
      </x:c>
      <x:c r="B470" s="10" t="str">
        <x:v>EMP001</x:v>
      </x:c>
      <x:c r="C470" s="10" t="str">
        <x:v>CLI067</x:v>
      </x:c>
      <x:c r="D470" s="10" t="str">
        <x:v>CC002</x:v>
      </x:c>
      <x:c r="E470" s="10" t="str">
        <x:v>CAT002</x:v>
      </x:c>
      <x:c r="F470" s="10" t="str">
        <x:v>CTA002</x:v>
      </x:c>
      <x:c r="G470" s="10" t="str">
        <x:v>FAT-200469</x:v>
      </x:c>
      <x:c r="H470" s="10" t="str">
        <x:v>Prestação de serviços</x:v>
      </x:c>
      <x:c r="I470" s="16" t="n">
        <x:v>45671.875314641205</x:v>
      </x:c>
      <x:c r="J470" s="16" t="n">
        <x:v>45686.875314641205</x:v>
      </x:c>
      <x:c r="K470" s="16" t="n">
        <x:v>45691.875314641205</x:v>
      </x:c>
      <x:c r="L470" s="20" t="n">
        <x:v>22437.25</x:v>
      </x:c>
      <x:c r="M470" s="20" t="n">
        <x:v>89.75</x:v>
      </x:c>
      <x:c r="N470" s="20" t="n">
        <x:v>0</x:v>
      </x:c>
      <x:c r="O470" s="20" t="n">
        <x:v>22527</x:v>
      </x:c>
      <x:c r="P470" s="20" t="n">
        <x:v>0</x:v>
      </x:c>
      <x:c r="Q470" s="10" t="str">
        <x:v>Recebido</x:v>
      </x:c>
      <x:c r="R470" s="10" t="str">
        <x:v>PIX</x:v>
      </x:c>
      <x:c r="S470" s="10" t="str">
        <x:v>2025-01</x:v>
      </x:c>
      <x:c r="T470" s="10" t="n">
        <x:v>0</x:v>
      </x:c>
      <x:c r="U470" s="10" t="str">
        <x:v>Liquidado</x:v>
      </x:c>
      <x:c r="V470" s="10" t="str">
        <x:v>Alto</x:v>
      </x:c>
      <x:c r="W470" s="10" t="str">
        <x:v>Varejo</x:v>
      </x:c>
      <x:c r="X470" s="10" t="str">
        <x:v>UND002</x:v>
      </x:c>
    </x:row>
    <x:row r="471" ht="18" customHeight="1">
      <x:c r="A471" s="10" t="str">
        <x:v>REC00470</x:v>
      </x:c>
      <x:c r="B471" s="10" t="str">
        <x:v>EMP001</x:v>
      </x:c>
      <x:c r="C471" s="10" t="str">
        <x:v>CLI018</x:v>
      </x:c>
      <x:c r="D471" s="10" t="str">
        <x:v>CC008</x:v>
      </x:c>
      <x:c r="E471" s="10" t="str">
        <x:v>CAT001</x:v>
      </x:c>
      <x:c r="F471" s="10" t="str">
        <x:v>CTA002</x:v>
      </x:c>
      <x:c r="G471" s="10" t="str">
        <x:v>FAT-200470</x:v>
      </x:c>
      <x:c r="H471" s="10" t="str">
        <x:v>Prestação de serviços</x:v>
      </x:c>
      <x:c r="I471" s="16" t="n">
        <x:v>45801.20428877315</x:v>
      </x:c>
      <x:c r="J471" s="16" t="n">
        <x:v>45822.20428877315</x:v>
      </x:c>
      <x:c r="K471" s="16" t="n">
        <x:v>45821.20428877315</x:v>
      </x:c>
      <x:c r="L471" s="20" t="n">
        <x:v>11303.23</x:v>
      </x:c>
      <x:c r="M471" s="20" t="n">
        <x:v>0</x:v>
      </x:c>
      <x:c r="N471" s="20" t="n">
        <x:v>0</x:v>
      </x:c>
      <x:c r="O471" s="20" t="n">
        <x:v>11303.23</x:v>
      </x:c>
      <x:c r="P471" s="20" t="n">
        <x:v>0</x:v>
      </x:c>
      <x:c r="Q471" s="10" t="str">
        <x:v>Recebido</x:v>
      </x:c>
      <x:c r="R471" s="10" t="str">
        <x:v>TED</x:v>
      </x:c>
      <x:c r="S471" s="10" t="str">
        <x:v>2025-05</x:v>
      </x:c>
      <x:c r="T471" s="10" t="n">
        <x:v>0</x:v>
      </x:c>
      <x:c r="U471" s="10" t="str">
        <x:v>Liquidado</x:v>
      </x:c>
      <x:c r="V471" s="10" t="str">
        <x:v>Médio</x:v>
      </x:c>
      <x:c r="W471" s="10" t="str">
        <x:v>Indústria</x:v>
      </x:c>
      <x:c r="X471" s="10" t="str">
        <x:v>UND001</x:v>
      </x:c>
    </x:row>
    <x:row r="472" ht="18" customHeight="1">
      <x:c r="A472" s="10" t="str">
        <x:v>REC00471</x:v>
      </x:c>
      <x:c r="B472" s="10" t="str">
        <x:v>EMP003</x:v>
      </x:c>
      <x:c r="C472" s="10" t="str">
        <x:v>CLI044</x:v>
      </x:c>
      <x:c r="D472" s="10" t="str">
        <x:v>CC001</x:v>
      </x:c>
      <x:c r="E472" s="10" t="str">
        <x:v>CAT004</x:v>
      </x:c>
      <x:c r="F472" s="10" t="str">
        <x:v>CTA005</x:v>
      </x:c>
      <x:c r="G472" s="10" t="str">
        <x:v>FAT-200471</x:v>
      </x:c>
      <x:c r="H472" s="10" t="str">
        <x:v>Venda de produtos</x:v>
      </x:c>
      <x:c r="I472" s="16" t="n">
        <x:v>45838.31858706019</x:v>
      </x:c>
      <x:c r="J472" s="16" t="n">
        <x:v>45898.31858706019</x:v>
      </x:c>
      <x:c r="K472" s="16" t="n">
        <x:v>45908.31858706019</x:v>
      </x:c>
      <x:c r="L472" s="20" t="n">
        <x:v>31471.52</x:v>
      </x:c>
      <x:c r="M472" s="20" t="n">
        <x:v>251.77</x:v>
      </x:c>
      <x:c r="N472" s="20" t="n">
        <x:v>0</x:v>
      </x:c>
      <x:c r="O472" s="20" t="n">
        <x:v>31723.29</x:v>
      </x:c>
      <x:c r="P472" s="20" t="n">
        <x:v>0</x:v>
      </x:c>
      <x:c r="Q472" s="10" t="str">
        <x:v>Recebido</x:v>
      </x:c>
      <x:c r="R472" s="10" t="str">
        <x:v>PIX</x:v>
      </x:c>
      <x:c r="S472" s="10" t="str">
        <x:v>2025-06</x:v>
      </x:c>
      <x:c r="T472" s="10" t="n">
        <x:v>0</x:v>
      </x:c>
      <x:c r="U472" s="10" t="str">
        <x:v>Liquidado</x:v>
      </x:c>
      <x:c r="V472" s="10" t="str">
        <x:v>Alto</x:v>
      </x:c>
      <x:c r="W472" s="10" t="str">
        <x:v>Varejo</x:v>
      </x:c>
      <x:c r="X472" s="10" t="str">
        <x:v>UND004</x:v>
      </x:c>
    </x:row>
    <x:row r="473" ht="18" customHeight="1">
      <x:c r="A473" s="10" t="str">
        <x:v>REC00472</x:v>
      </x:c>
      <x:c r="B473" s="10" t="str">
        <x:v>EMP002</x:v>
      </x:c>
      <x:c r="C473" s="10" t="str">
        <x:v>CLI004</x:v>
      </x:c>
      <x:c r="D473" s="10" t="str">
        <x:v>CC005</x:v>
      </x:c>
      <x:c r="E473" s="10" t="str">
        <x:v>CAT004</x:v>
      </x:c>
      <x:c r="F473" s="10" t="str">
        <x:v>CTA004</x:v>
      </x:c>
      <x:c r="G473" s="10" t="str">
        <x:v>FAT-200472</x:v>
      </x:c>
      <x:c r="H473" s="10" t="str">
        <x:v>Contrato mensal</x:v>
      </x:c>
      <x:c r="I473" s="16" t="n">
        <x:v>45893.149421724534</x:v>
      </x:c>
      <x:c r="J473" s="16" t="n">
        <x:v>45953.149421724534</x:v>
      </x:c>
      <x:c r="K473" s="16" t="n">
        <x:v>45948.149421724534</x:v>
      </x:c>
      <x:c r="L473" s="20" t="n">
        <x:v>109198.88</x:v>
      </x:c>
      <x:c r="M473" s="20" t="n">
        <x:v>0</x:v>
      </x:c>
      <x:c r="N473" s="20" t="n">
        <x:v>0</x:v>
      </x:c>
      <x:c r="O473" s="20" t="n">
        <x:v>109198.88</x:v>
      </x:c>
      <x:c r="P473" s="20" t="n">
        <x:v>0</x:v>
      </x:c>
      <x:c r="Q473" s="10" t="str">
        <x:v>Recebido</x:v>
      </x:c>
      <x:c r="R473" s="10" t="str">
        <x:v>PIX</x:v>
      </x:c>
      <x:c r="S473" s="10" t="str">
        <x:v>2025-08</x:v>
      </x:c>
      <x:c r="T473" s="10" t="n">
        <x:v>0</x:v>
      </x:c>
      <x:c r="U473" s="10" t="str">
        <x:v>Liquidado</x:v>
      </x:c>
      <x:c r="V473" s="10" t="str">
        <x:v>Alto</x:v>
      </x:c>
      <x:c r="W473" s="10" t="str">
        <x:v>Varejo</x:v>
      </x:c>
      <x:c r="X473" s="10" t="str">
        <x:v>UND003</x:v>
      </x:c>
    </x:row>
    <x:row r="474" ht="18" customHeight="1">
      <x:c r="A474" s="10" t="str">
        <x:v>REC00473</x:v>
      </x:c>
      <x:c r="B474" s="10" t="str">
        <x:v>EMP003</x:v>
      </x:c>
      <x:c r="C474" s="10" t="str">
        <x:v>CLI007</x:v>
      </x:c>
      <x:c r="D474" s="10" t="str">
        <x:v>CC008</x:v>
      </x:c>
      <x:c r="E474" s="10" t="str">
        <x:v>CAT001</x:v>
      </x:c>
      <x:c r="F474" s="10" t="str">
        <x:v>CTA006</x:v>
      </x:c>
      <x:c r="G474" s="10" t="str">
        <x:v>FAT-200473</x:v>
      </x:c>
      <x:c r="H474" s="10" t="str">
        <x:v>Projeto especial</x:v>
      </x:c>
      <x:c r="I474" s="16" t="n">
        <x:v>45950.11993414352</x:v>
      </x:c>
      <x:c r="J474" s="16" t="n">
        <x:v>45980.11993414352</x:v>
      </x:c>
      <x:c r="K474" s="16" t="n">
        <x:v>45979.11993414352</x:v>
      </x:c>
      <x:c r="L474" s="20" t="n">
        <x:v>18584.26</x:v>
      </x:c>
      <x:c r="M474" s="20" t="n">
        <x:v>0</x:v>
      </x:c>
      <x:c r="N474" s="20" t="n">
        <x:v>0</x:v>
      </x:c>
      <x:c r="O474" s="20" t="n">
        <x:v>18584.26</x:v>
      </x:c>
      <x:c r="P474" s="20" t="n">
        <x:v>0</x:v>
      </x:c>
      <x:c r="Q474" s="10" t="str">
        <x:v>Recebido</x:v>
      </x:c>
      <x:c r="R474" s="10" t="str">
        <x:v>Boleto</x:v>
      </x:c>
      <x:c r="S474" s="10" t="str">
        <x:v>2025-10</x:v>
      </x:c>
      <x:c r="T474" s="10" t="n">
        <x:v>0</x:v>
      </x:c>
      <x:c r="U474" s="10" t="str">
        <x:v>Liquidado</x:v>
      </x:c>
      <x:c r="V474" s="10" t="str">
        <x:v>Baixo</x:v>
      </x:c>
      <x:c r="W474" s="10" t="str">
        <x:v>Atacado</x:v>
      </x:c>
      <x:c r="X474" s="10" t="str">
        <x:v>UND004</x:v>
      </x:c>
    </x:row>
    <x:row r="475" ht="18" customHeight="1">
      <x:c r="A475" s="10" t="str">
        <x:v>REC00474</x:v>
      </x:c>
      <x:c r="B475" s="10" t="str">
        <x:v>EMP002</x:v>
      </x:c>
      <x:c r="C475" s="10" t="str">
        <x:v>CLI053</x:v>
      </x:c>
      <x:c r="D475" s="10" t="str">
        <x:v>CC008</x:v>
      </x:c>
      <x:c r="E475" s="10" t="str">
        <x:v>CAT002</x:v>
      </x:c>
      <x:c r="F475" s="10" t="str">
        <x:v>CTA004</x:v>
      </x:c>
      <x:c r="G475" s="10" t="str">
        <x:v>FAT-200474</x:v>
      </x:c>
      <x:c r="H475" s="10" t="str">
        <x:v>Contrato mensal</x:v>
      </x:c>
      <x:c r="I475" s="16" t="n">
        <x:v>45547.65150526621</x:v>
      </x:c>
      <x:c r="J475" s="16" t="n">
        <x:v>45568.65150526621</x:v>
      </x:c>
      <x:c r="K475" s="16" t="n">
        <x:v>45573.65150526621</x:v>
      </x:c>
      <x:c r="L475" s="20" t="n">
        <x:v>64013.36</x:v>
      </x:c>
      <x:c r="M475" s="20" t="n">
        <x:v>256.05</x:v>
      </x:c>
      <x:c r="N475" s="20" t="n">
        <x:v>0</x:v>
      </x:c>
      <x:c r="O475" s="20" t="n">
        <x:v>64269.41</x:v>
      </x:c>
      <x:c r="P475" s="20" t="n">
        <x:v>0</x:v>
      </x:c>
      <x:c r="Q475" s="10" t="str">
        <x:v>Recebido</x:v>
      </x:c>
      <x:c r="R475" s="10" t="str">
        <x:v>Boleto</x:v>
      </x:c>
      <x:c r="S475" s="10" t="str">
        <x:v>2024-09</x:v>
      </x:c>
      <x:c r="T475" s="10" t="n">
        <x:v>0</x:v>
      </x:c>
      <x:c r="U475" s="10" t="str">
        <x:v>Liquidado</x:v>
      </x:c>
      <x:c r="V475" s="10" t="str">
        <x:v>Baixo</x:v>
      </x:c>
      <x:c r="W475" s="10" t="str">
        <x:v>Saúde</x:v>
      </x:c>
      <x:c r="X475" s="10" t="str">
        <x:v>UND003</x:v>
      </x:c>
    </x:row>
    <x:row r="476" ht="18" customHeight="1">
      <x:c r="A476" s="10" t="str">
        <x:v>REC00475</x:v>
      </x:c>
      <x:c r="B476" s="10" t="str">
        <x:v>EMP003</x:v>
      </x:c>
      <x:c r="C476" s="10" t="str">
        <x:v>CLI049</x:v>
      </x:c>
      <x:c r="D476" s="10" t="str">
        <x:v>CC001</x:v>
      </x:c>
      <x:c r="E476" s="10" t="str">
        <x:v>CAT002</x:v>
      </x:c>
      <x:c r="F476" s="10" t="str">
        <x:v>CTA006</x:v>
      </x:c>
      <x:c r="G476" s="10" t="str">
        <x:v>FAT-200475</x:v>
      </x:c>
      <x:c r="H476" s="10" t="str">
        <x:v>Projeto especial</x:v>
      </x:c>
      <x:c r="I476" s="16" t="n">
        <x:v>45636.25540642361</x:v>
      </x:c>
      <x:c r="J476" s="16" t="n">
        <x:v>45664.25540642361</x:v>
      </x:c>
      <x:c r="K476" s="16" t="n">
        <x:v>45658.25540642361</x:v>
      </x:c>
      <x:c r="L476" s="20" t="n">
        <x:v>29756.9</x:v>
      </x:c>
      <x:c r="M476" s="20" t="n">
        <x:v>0</x:v>
      </x:c>
      <x:c r="N476" s="20" t="n">
        <x:v>0</x:v>
      </x:c>
      <x:c r="O476" s="20" t="n">
        <x:v>29756.9</x:v>
      </x:c>
      <x:c r="P476" s="20" t="n">
        <x:v>0</x:v>
      </x:c>
      <x:c r="Q476" s="10" t="str">
        <x:v>Recebido</x:v>
      </x:c>
      <x:c r="R476" s="10" t="str">
        <x:v>Cartão</x:v>
      </x:c>
      <x:c r="S476" s="10" t="str">
        <x:v>2024-12</x:v>
      </x:c>
      <x:c r="T476" s="10" t="n">
        <x:v>0</x:v>
      </x:c>
      <x:c r="U476" s="10" t="str">
        <x:v>Liquidado</x:v>
      </x:c>
      <x:c r="V476" s="10" t="str">
        <x:v>Médio</x:v>
      </x:c>
      <x:c r="W476" s="10" t="str">
        <x:v>Serviços</x:v>
      </x:c>
      <x:c r="X476" s="10" t="str">
        <x:v>UND004</x:v>
      </x:c>
    </x:row>
    <x:row r="477" ht="18" customHeight="1">
      <x:c r="A477" s="10" t="str">
        <x:v>REC00476</x:v>
      </x:c>
      <x:c r="B477" s="10" t="str">
        <x:v>EMP002</x:v>
      </x:c>
      <x:c r="C477" s="10" t="str">
        <x:v>CLI036</x:v>
      </x:c>
      <x:c r="D477" s="10" t="str">
        <x:v>CC007</x:v>
      </x:c>
      <x:c r="E477" s="10" t="str">
        <x:v>CAT001</x:v>
      </x:c>
      <x:c r="F477" s="10" t="str">
        <x:v>CTA003</x:v>
      </x:c>
      <x:c r="G477" s="10" t="str">
        <x:v>FAT-200476</x:v>
      </x:c>
      <x:c r="H477" s="10" t="str">
        <x:v>Venda de produtos</x:v>
      </x:c>
      <x:c r="I477" s="16" t="n">
        <x:v>45364.75553861111</x:v>
      </x:c>
      <x:c r="J477" s="16" t="n">
        <x:v>45392.75553861111</x:v>
      </x:c>
      <x:c r="K477" s="16" t="n">
        <x:v>45394.75553861111</x:v>
      </x:c>
      <x:c r="L477" s="20" t="n">
        <x:v>85428.87</x:v>
      </x:c>
      <x:c r="M477" s="20" t="n">
        <x:v>136.69</x:v>
      </x:c>
      <x:c r="N477" s="20" t="n">
        <x:v>0</x:v>
      </x:c>
      <x:c r="O477" s="20" t="n">
        <x:v>85565.56</x:v>
      </x:c>
      <x:c r="P477" s="20" t="n">
        <x:v>0</x:v>
      </x:c>
      <x:c r="Q477" s="10" t="str">
        <x:v>Recebido</x:v>
      </x:c>
      <x:c r="R477" s="10" t="str">
        <x:v>Cartão</x:v>
      </x:c>
      <x:c r="S477" s="10" t="str">
        <x:v>2024-03</x:v>
      </x:c>
      <x:c r="T477" s="10" t="n">
        <x:v>0</x:v>
      </x:c>
      <x:c r="U477" s="10" t="str">
        <x:v>Liquidado</x:v>
      </x:c>
      <x:c r="V477" s="10" t="str">
        <x:v>Baixo</x:v>
      </x:c>
      <x:c r="W477" s="10" t="str">
        <x:v>Atacado</x:v>
      </x:c>
      <x:c r="X477" s="10" t="str">
        <x:v>UND003</x:v>
      </x:c>
    </x:row>
    <x:row r="478" ht="18" customHeight="1">
      <x:c r="A478" s="10" t="str">
        <x:v>REC00477</x:v>
      </x:c>
      <x:c r="B478" s="10" t="str">
        <x:v>EMP001</x:v>
      </x:c>
      <x:c r="C478" s="10" t="str">
        <x:v>CLI022</x:v>
      </x:c>
      <x:c r="D478" s="10" t="str">
        <x:v>CC001</x:v>
      </x:c>
      <x:c r="E478" s="10" t="str">
        <x:v>CAT003</x:v>
      </x:c>
      <x:c r="F478" s="10" t="str">
        <x:v>CTA001</x:v>
      </x:c>
      <x:c r="G478" s="10" t="str">
        <x:v>FAT-200477</x:v>
      </x:c>
      <x:c r="H478" s="10" t="str">
        <x:v>Projeto especial</x:v>
      </x:c>
      <x:c r="I478" s="16" t="n">
        <x:v>45662.4884346875</x:v>
      </x:c>
      <x:c r="J478" s="16" t="n">
        <x:v>45722.4884346875</x:v>
      </x:c>
      <x:c r="K478" s="16"/>
      <x:c r="L478" s="20" t="n">
        <x:v>53494.66</x:v>
      </x:c>
      <x:c r="M478" s="20" t="n">
        <x:v>0</x:v>
      </x:c>
      <x:c r="N478" s="20" t="n">
        <x:v>0</x:v>
      </x:c>
      <x:c r="O478" s="20" t="n">
        <x:v>0</x:v>
      </x:c>
      <x:c r="P478" s="20" t="n">
        <x:v>53494.66</x:v>
      </x:c>
      <x:c r="Q478" s="10" t="str">
        <x:v>Vencido</x:v>
      </x:c>
      <x:c r="R478" s="10" t="str">
        <x:v>Boleto</x:v>
      </x:c>
      <x:c r="S478" s="10" t="str">
        <x:v>2025-01</x:v>
      </x:c>
      <x:c r="T478" s="10" t="n">
        <x:v>299</x:v>
      </x:c>
      <x:c r="U478" s="10" t="str">
        <x:v>&gt; 120 dias</x:v>
      </x:c>
      <x:c r="V478" s="10" t="str">
        <x:v>Alto</x:v>
      </x:c>
      <x:c r="W478" s="10" t="str">
        <x:v>Tecnologia</x:v>
      </x:c>
      <x:c r="X478" s="10" t="str">
        <x:v>UND001</x:v>
      </x:c>
    </x:row>
    <x:row r="479" ht="18" customHeight="1">
      <x:c r="A479" s="10" t="str">
        <x:v>REC00478</x:v>
      </x:c>
      <x:c r="B479" s="10" t="str">
        <x:v>EMP003</x:v>
      </x:c>
      <x:c r="C479" s="10" t="str">
        <x:v>CLI080</x:v>
      </x:c>
      <x:c r="D479" s="10" t="str">
        <x:v>CC008</x:v>
      </x:c>
      <x:c r="E479" s="10" t="str">
        <x:v>CAT004</x:v>
      </x:c>
      <x:c r="F479" s="10" t="str">
        <x:v>CTA006</x:v>
      </x:c>
      <x:c r="G479" s="10" t="str">
        <x:v>FAT-200478</x:v>
      </x:c>
      <x:c r="H479" s="10" t="str">
        <x:v>Frete faturado</x:v>
      </x:c>
      <x:c r="I479" s="16" t="n">
        <x:v>45789.75334387732</x:v>
      </x:c>
      <x:c r="J479" s="16" t="n">
        <x:v>45834.75334387732</x:v>
      </x:c>
      <x:c r="K479" s="16" t="n">
        <x:v>45832.75334387732</x:v>
      </x:c>
      <x:c r="L479" s="20" t="n">
        <x:v>48008.01</x:v>
      </x:c>
      <x:c r="M479" s="20" t="n">
        <x:v>0</x:v>
      </x:c>
      <x:c r="N479" s="20" t="n">
        <x:v>960.16</x:v>
      </x:c>
      <x:c r="O479" s="20" t="n">
        <x:v>47047.85</x:v>
      </x:c>
      <x:c r="P479" s="20" t="n">
        <x:v>0</x:v>
      </x:c>
      <x:c r="Q479" s="10" t="str">
        <x:v>Recebido</x:v>
      </x:c>
      <x:c r="R479" s="10" t="str">
        <x:v>PIX</x:v>
      </x:c>
      <x:c r="S479" s="10" t="str">
        <x:v>2025-05</x:v>
      </x:c>
      <x:c r="T479" s="10" t="n">
        <x:v>0</x:v>
      </x:c>
      <x:c r="U479" s="10" t="str">
        <x:v>Liquidado</x:v>
      </x:c>
      <x:c r="V479" s="10" t="str">
        <x:v>Médio</x:v>
      </x:c>
      <x:c r="W479" s="10" t="str">
        <x:v>Atacado</x:v>
      </x:c>
      <x:c r="X479" s="10" t="str">
        <x:v>UND004</x:v>
      </x:c>
    </x:row>
    <x:row r="480" ht="18" customHeight="1">
      <x:c r="A480" s="10" t="str">
        <x:v>REC00479</x:v>
      </x:c>
      <x:c r="B480" s="10" t="str">
        <x:v>EMP001</x:v>
      </x:c>
      <x:c r="C480" s="10" t="str">
        <x:v>CLI023</x:v>
      </x:c>
      <x:c r="D480" s="10" t="str">
        <x:v>CC008</x:v>
      </x:c>
      <x:c r="E480" s="10" t="str">
        <x:v>CAT003</x:v>
      </x:c>
      <x:c r="F480" s="10" t="str">
        <x:v>CTA001</x:v>
      </x:c>
      <x:c r="G480" s="10" t="str">
        <x:v>FAT-200479</x:v>
      </x:c>
      <x:c r="H480" s="10" t="str">
        <x:v>Prestação de serviços</x:v>
      </x:c>
      <x:c r="I480" s="16" t="n">
        <x:v>45720.88453802084</x:v>
      </x:c>
      <x:c r="J480" s="16" t="n">
        <x:v>45748.88453802084</x:v>
      </x:c>
      <x:c r="K480" s="16" t="n">
        <x:v>45755.88453802084</x:v>
      </x:c>
      <x:c r="L480" s="20" t="n">
        <x:v>66326.85</x:v>
      </x:c>
      <x:c r="M480" s="20" t="n">
        <x:v>371.43</x:v>
      </x:c>
      <x:c r="N480" s="20" t="n">
        <x:v>0</x:v>
      </x:c>
      <x:c r="O480" s="20" t="n">
        <x:v>66698.28</x:v>
      </x:c>
      <x:c r="P480" s="20" t="n">
        <x:v>0</x:v>
      </x:c>
      <x:c r="Q480" s="10" t="str">
        <x:v>Recebido</x:v>
      </x:c>
      <x:c r="R480" s="10" t="str">
        <x:v>TED</x:v>
      </x:c>
      <x:c r="S480" s="10" t="str">
        <x:v>2025-03</x:v>
      </x:c>
      <x:c r="T480" s="10" t="n">
        <x:v>0</x:v>
      </x:c>
      <x:c r="U480" s="10" t="str">
        <x:v>Liquidado</x:v>
      </x:c>
      <x:c r="V480" s="10" t="str">
        <x:v>Médio</x:v>
      </x:c>
      <x:c r="W480" s="10" t="str">
        <x:v>Atacado</x:v>
      </x:c>
      <x:c r="X480" s="10" t="str">
        <x:v>UND001</x:v>
      </x:c>
    </x:row>
    <x:row r="481" ht="18" customHeight="1">
      <x:c r="A481" s="10" t="str">
        <x:v>REC00480</x:v>
      </x:c>
      <x:c r="B481" s="10" t="str">
        <x:v>EMP001</x:v>
      </x:c>
      <x:c r="C481" s="10" t="str">
        <x:v>CLI062</x:v>
      </x:c>
      <x:c r="D481" s="10" t="str">
        <x:v>CC002</x:v>
      </x:c>
      <x:c r="E481" s="10" t="str">
        <x:v>CAT003</x:v>
      </x:c>
      <x:c r="F481" s="10" t="str">
        <x:v>CTA002</x:v>
      </x:c>
      <x:c r="G481" s="10" t="str">
        <x:v>FAT-200480</x:v>
      </x:c>
      <x:c r="H481" s="10" t="str">
        <x:v>Projeto especial</x:v>
      </x:c>
      <x:c r="I481" s="16" t="n">
        <x:v>45359.41107638889</x:v>
      </x:c>
      <x:c r="J481" s="16" t="n">
        <x:v>45387.41107638889</x:v>
      </x:c>
      <x:c r="K481" s="16" t="n">
        <x:v>45392.41107638889</x:v>
      </x:c>
      <x:c r="L481" s="20" t="n">
        <x:v>140545.83</x:v>
      </x:c>
      <x:c r="M481" s="20" t="n">
        <x:v>562.18</x:v>
      </x:c>
      <x:c r="N481" s="20" t="n">
        <x:v>0</x:v>
      </x:c>
      <x:c r="O481" s="20" t="n">
        <x:v>141108.01</x:v>
      </x:c>
      <x:c r="P481" s="20" t="n">
        <x:v>0</x:v>
      </x:c>
      <x:c r="Q481" s="10" t="str">
        <x:v>Recebido</x:v>
      </x:c>
      <x:c r="R481" s="10" t="str">
        <x:v>TED</x:v>
      </x:c>
      <x:c r="S481" s="10" t="str">
        <x:v>2024-03</x:v>
      </x:c>
      <x:c r="T481" s="10" t="n">
        <x:v>0</x:v>
      </x:c>
      <x:c r="U481" s="10" t="str">
        <x:v>Liquidado</x:v>
      </x:c>
      <x:c r="V481" s="10" t="str">
        <x:v>Baixo</x:v>
      </x:c>
      <x:c r="W481" s="10" t="str">
        <x:v>Saúde</x:v>
      </x:c>
      <x:c r="X481" s="10" t="str">
        <x:v>UND001</x:v>
      </x:c>
    </x:row>
    <x:row r="482" ht="18" customHeight="1">
      <x:c r="A482" s="10" t="str">
        <x:v>REC00481</x:v>
      </x:c>
      <x:c r="B482" s="10" t="str">
        <x:v>EMP001</x:v>
      </x:c>
      <x:c r="C482" s="10" t="str">
        <x:v>CLI014</x:v>
      </x:c>
      <x:c r="D482" s="10" t="str">
        <x:v>CC003</x:v>
      </x:c>
      <x:c r="E482" s="10" t="str">
        <x:v>CAT002</x:v>
      </x:c>
      <x:c r="F482" s="10" t="str">
        <x:v>CTA001</x:v>
      </x:c>
      <x:c r="G482" s="10" t="str">
        <x:v>FAT-200481</x:v>
      </x:c>
      <x:c r="H482" s="10" t="str">
        <x:v>Venda de produtos</x:v>
      </x:c>
      <x:c r="I482" s="16" t="n">
        <x:v>45547.851376273145</x:v>
      </x:c>
      <x:c r="J482" s="16" t="n">
        <x:v>45562.851376273145</x:v>
      </x:c>
      <x:c r="K482" s="16" t="n">
        <x:v>45562.851376273145</x:v>
      </x:c>
      <x:c r="L482" s="20" t="n">
        <x:v>41951.68</x:v>
      </x:c>
      <x:c r="M482" s="20" t="n">
        <x:v>0</x:v>
      </x:c>
      <x:c r="N482" s="20" t="n">
        <x:v>0</x:v>
      </x:c>
      <x:c r="O482" s="20" t="n">
        <x:v>41951.68</x:v>
      </x:c>
      <x:c r="P482" s="20" t="n">
        <x:v>0</x:v>
      </x:c>
      <x:c r="Q482" s="10" t="str">
        <x:v>Recebido</x:v>
      </x:c>
      <x:c r="R482" s="10" t="str">
        <x:v>TED</x:v>
      </x:c>
      <x:c r="S482" s="10" t="str">
        <x:v>2024-09</x:v>
      </x:c>
      <x:c r="T482" s="10" t="n">
        <x:v>0</x:v>
      </x:c>
      <x:c r="U482" s="10" t="str">
        <x:v>Liquidado</x:v>
      </x:c>
      <x:c r="V482" s="10" t="str">
        <x:v>Médio</x:v>
      </x:c>
      <x:c r="W482" s="10" t="str">
        <x:v>Saúde</x:v>
      </x:c>
      <x:c r="X482" s="10" t="str">
        <x:v>UND001</x:v>
      </x:c>
    </x:row>
    <x:row r="483" ht="18" customHeight="1">
      <x:c r="A483" s="10" t="str">
        <x:v>REC00482</x:v>
      </x:c>
      <x:c r="B483" s="10" t="str">
        <x:v>EMP003</x:v>
      </x:c>
      <x:c r="C483" s="10" t="str">
        <x:v>CLI054</x:v>
      </x:c>
      <x:c r="D483" s="10" t="str">
        <x:v>CC005</x:v>
      </x:c>
      <x:c r="E483" s="10" t="str">
        <x:v>CAT001</x:v>
      </x:c>
      <x:c r="F483" s="10" t="str">
        <x:v>CTA005</x:v>
      </x:c>
      <x:c r="G483" s="10" t="str">
        <x:v>FAT-200482</x:v>
      </x:c>
      <x:c r="H483" s="10" t="str">
        <x:v>Projeto especial</x:v>
      </x:c>
      <x:c r="I483" s="16" t="n">
        <x:v>45526.588886666665</x:v>
      </x:c>
      <x:c r="J483" s="16" t="n">
        <x:v>45541.588886666665</x:v>
      </x:c>
      <x:c r="K483" s="16" t="n">
        <x:v>45538.588886666665</x:v>
      </x:c>
      <x:c r="L483" s="20" t="n">
        <x:v>43769.22</x:v>
      </x:c>
      <x:c r="M483" s="20" t="n">
        <x:v>0</x:v>
      </x:c>
      <x:c r="N483" s="20" t="n">
        <x:v>0</x:v>
      </x:c>
      <x:c r="O483" s="20" t="n">
        <x:v>43769.22</x:v>
      </x:c>
      <x:c r="P483" s="20" t="n">
        <x:v>0</x:v>
      </x:c>
      <x:c r="Q483" s="10" t="str">
        <x:v>Recebido</x:v>
      </x:c>
      <x:c r="R483" s="10" t="str">
        <x:v>TED</x:v>
      </x:c>
      <x:c r="S483" s="10" t="str">
        <x:v>2024-08</x:v>
      </x:c>
      <x:c r="T483" s="10" t="n">
        <x:v>0</x:v>
      </x:c>
      <x:c r="U483" s="10" t="str">
        <x:v>Liquidado</x:v>
      </x:c>
      <x:c r="V483" s="10" t="str">
        <x:v>Médio</x:v>
      </x:c>
      <x:c r="W483" s="10" t="str">
        <x:v>Indústria</x:v>
      </x:c>
      <x:c r="X483" s="10" t="str">
        <x:v>UND004</x:v>
      </x:c>
    </x:row>
    <x:row r="484" ht="18" customHeight="1">
      <x:c r="A484" s="10" t="str">
        <x:v>REC00483</x:v>
      </x:c>
      <x:c r="B484" s="10" t="str">
        <x:v>EMP001</x:v>
      </x:c>
      <x:c r="C484" s="10" t="str">
        <x:v>CLI059</x:v>
      </x:c>
      <x:c r="D484" s="10" t="str">
        <x:v>CC006</x:v>
      </x:c>
      <x:c r="E484" s="10" t="str">
        <x:v>CAT001</x:v>
      </x:c>
      <x:c r="F484" s="10" t="str">
        <x:v>CTA002</x:v>
      </x:c>
      <x:c r="G484" s="10" t="str">
        <x:v>FAT-200483</x:v>
      </x:c>
      <x:c r="H484" s="10" t="str">
        <x:v>Frete faturado</x:v>
      </x:c>
      <x:c r="I484" s="16" t="n">
        <x:v>45964.34409305556</x:v>
      </x:c>
      <x:c r="J484" s="16" t="n">
        <x:v>45985.34409305556</x:v>
      </x:c>
      <x:c r="K484" s="16" t="n">
        <x:v>45979.34409305556</x:v>
      </x:c>
      <x:c r="L484" s="20" t="n">
        <x:v>96755.11</x:v>
      </x:c>
      <x:c r="M484" s="20" t="n">
        <x:v>0</x:v>
      </x:c>
      <x:c r="N484" s="20" t="n">
        <x:v>0</x:v>
      </x:c>
      <x:c r="O484" s="20" t="n">
        <x:v>96755.11</x:v>
      </x:c>
      <x:c r="P484" s="20" t="n">
        <x:v>0</x:v>
      </x:c>
      <x:c r="Q484" s="10" t="str">
        <x:v>Recebido</x:v>
      </x:c>
      <x:c r="R484" s="10" t="str">
        <x:v>Boleto</x:v>
      </x:c>
      <x:c r="S484" s="10" t="str">
        <x:v>2025-11</x:v>
      </x:c>
      <x:c r="T484" s="10" t="n">
        <x:v>0</x:v>
      </x:c>
      <x:c r="U484" s="10" t="str">
        <x:v>Liquidado</x:v>
      </x:c>
      <x:c r="V484" s="10" t="str">
        <x:v>Baixo</x:v>
      </x:c>
      <x:c r="W484" s="10" t="str">
        <x:v>Indústria</x:v>
      </x:c>
      <x:c r="X484" s="10" t="str">
        <x:v>UND002</x:v>
      </x:c>
    </x:row>
    <x:row r="485" ht="18" customHeight="1">
      <x:c r="A485" s="10" t="str">
        <x:v>REC00484</x:v>
      </x:c>
      <x:c r="B485" s="10" t="str">
        <x:v>EMP003</x:v>
      </x:c>
      <x:c r="C485" s="10" t="str">
        <x:v>CLI001</x:v>
      </x:c>
      <x:c r="D485" s="10" t="str">
        <x:v>CC005</x:v>
      </x:c>
      <x:c r="E485" s="10" t="str">
        <x:v>CAT001</x:v>
      </x:c>
      <x:c r="F485" s="10" t="str">
        <x:v>CTA005</x:v>
      </x:c>
      <x:c r="G485" s="10" t="str">
        <x:v>FAT-200484</x:v>
      </x:c>
      <x:c r="H485" s="10" t="str">
        <x:v>Contrato mensal</x:v>
      </x:c>
      <x:c r="I485" s="16" t="n">
        <x:v>45679.22533579861</x:v>
      </x:c>
      <x:c r="J485" s="16" t="n">
        <x:v>45707.22533579861</x:v>
      </x:c>
      <x:c r="K485" s="16" t="n">
        <x:v>45714.22533579861</x:v>
      </x:c>
      <x:c r="L485" s="20" t="n">
        <x:v>55847.47</x:v>
      </x:c>
      <x:c r="M485" s="20" t="n">
        <x:v>312.75</x:v>
      </x:c>
      <x:c r="N485" s="20" t="n">
        <x:v>0</x:v>
      </x:c>
      <x:c r="O485" s="20" t="n">
        <x:v>56160.22</x:v>
      </x:c>
      <x:c r="P485" s="20" t="n">
        <x:v>0</x:v>
      </x:c>
      <x:c r="Q485" s="10" t="str">
        <x:v>Recebido</x:v>
      </x:c>
      <x:c r="R485" s="10" t="str">
        <x:v>Cartão</x:v>
      </x:c>
      <x:c r="S485" s="10" t="str">
        <x:v>2025-01</x:v>
      </x:c>
      <x:c r="T485" s="10" t="n">
        <x:v>0</x:v>
      </x:c>
      <x:c r="U485" s="10" t="str">
        <x:v>Liquidado</x:v>
      </x:c>
      <x:c r="V485" s="10" t="str">
        <x:v>Baixo</x:v>
      </x:c>
      <x:c r="W485" s="10" t="str">
        <x:v>Serviços</x:v>
      </x:c>
      <x:c r="X485" s="10" t="str">
        <x:v>UND004</x:v>
      </x:c>
    </x:row>
    <x:row r="486" ht="18" customHeight="1">
      <x:c r="A486" s="10" t="str">
        <x:v>REC00485</x:v>
      </x:c>
      <x:c r="B486" s="10" t="str">
        <x:v>EMP001</x:v>
      </x:c>
      <x:c r="C486" s="10" t="str">
        <x:v>CLI028</x:v>
      </x:c>
      <x:c r="D486" s="10" t="str">
        <x:v>CC001</x:v>
      </x:c>
      <x:c r="E486" s="10" t="str">
        <x:v>CAT002</x:v>
      </x:c>
      <x:c r="F486" s="10" t="str">
        <x:v>CTA001</x:v>
      </x:c>
      <x:c r="G486" s="10" t="str">
        <x:v>FAT-200485</x:v>
      </x:c>
      <x:c r="H486" s="10" t="str">
        <x:v>Projeto especial</x:v>
      </x:c>
      <x:c r="I486" s="16" t="n">
        <x:v>45513.83905891204</x:v>
      </x:c>
      <x:c r="J486" s="16" t="n">
        <x:v>45543.83905891204</x:v>
      </x:c>
      <x:c r="K486" s="16" t="n">
        <x:v>45541.83905891204</x:v>
      </x:c>
      <x:c r="L486" s="20" t="n">
        <x:v>142269.9</x:v>
      </x:c>
      <x:c r="M486" s="20" t="n">
        <x:v>0</x:v>
      </x:c>
      <x:c r="N486" s="20" t="n">
        <x:v>711.35</x:v>
      </x:c>
      <x:c r="O486" s="20" t="n">
        <x:v>141558.55</x:v>
      </x:c>
      <x:c r="P486" s="20" t="n">
        <x:v>0</x:v>
      </x:c>
      <x:c r="Q486" s="10" t="str">
        <x:v>Recebido</x:v>
      </x:c>
      <x:c r="R486" s="10" t="str">
        <x:v>Débito em Conta</x:v>
      </x:c>
      <x:c r="S486" s="10" t="str">
        <x:v>2024-08</x:v>
      </x:c>
      <x:c r="T486" s="10" t="n">
        <x:v>0</x:v>
      </x:c>
      <x:c r="U486" s="10" t="str">
        <x:v>Liquidado</x:v>
      </x:c>
      <x:c r="V486" s="10" t="str">
        <x:v>Baixo</x:v>
      </x:c>
      <x:c r="W486" s="10" t="str">
        <x:v>Serviços</x:v>
      </x:c>
      <x:c r="X486" s="10" t="str">
        <x:v>UND002</x:v>
      </x:c>
    </x:row>
    <x:row r="487" ht="18" customHeight="1">
      <x:c r="A487" s="10" t="str">
        <x:v>REC00486</x:v>
      </x:c>
      <x:c r="B487" s="10" t="str">
        <x:v>EMP003</x:v>
      </x:c>
      <x:c r="C487" s="10" t="str">
        <x:v>CLI045</x:v>
      </x:c>
      <x:c r="D487" s="10" t="str">
        <x:v>CC008</x:v>
      </x:c>
      <x:c r="E487" s="10" t="str">
        <x:v>CAT003</x:v>
      </x:c>
      <x:c r="F487" s="10" t="str">
        <x:v>CTA006</x:v>
      </x:c>
      <x:c r="G487" s="10" t="str">
        <x:v>FAT-200486</x:v>
      </x:c>
      <x:c r="H487" s="10" t="str">
        <x:v>Prestação de serviços</x:v>
      </x:c>
      <x:c r="I487" s="16" t="n">
        <x:v>45386.52053069444</x:v>
      </x:c>
      <x:c r="J487" s="16" t="n">
        <x:v>45401.52053069444</x:v>
      </x:c>
      <x:c r="K487" s="16" t="n">
        <x:v>45406.52053069444</x:v>
      </x:c>
      <x:c r="L487" s="20" t="n">
        <x:v>118459.49</x:v>
      </x:c>
      <x:c r="M487" s="20" t="n">
        <x:v>473.84</x:v>
      </x:c>
      <x:c r="N487" s="20" t="n">
        <x:v>0</x:v>
      </x:c>
      <x:c r="O487" s="20" t="n">
        <x:v>118933.33</x:v>
      </x:c>
      <x:c r="P487" s="20" t="n">
        <x:v>0</x:v>
      </x:c>
      <x:c r="Q487" s="10" t="str">
        <x:v>Recebido</x:v>
      </x:c>
      <x:c r="R487" s="10" t="str">
        <x:v>Débito em Conta</x:v>
      </x:c>
      <x:c r="S487" s="10" t="str">
        <x:v>2024-04</x:v>
      </x:c>
      <x:c r="T487" s="10" t="n">
        <x:v>0</x:v>
      </x:c>
      <x:c r="U487" s="10" t="str">
        <x:v>Liquidado</x:v>
      </x:c>
      <x:c r="V487" s="10" t="str">
        <x:v>Baixo</x:v>
      </x:c>
      <x:c r="W487" s="10" t="str">
        <x:v>Varejo</x:v>
      </x:c>
      <x:c r="X487" s="10" t="str">
        <x:v>UND004</x:v>
      </x:c>
    </x:row>
    <x:row r="488" ht="18" customHeight="1">
      <x:c r="A488" s="10" t="str">
        <x:v>REC00487</x:v>
      </x:c>
      <x:c r="B488" s="10" t="str">
        <x:v>EMP002</x:v>
      </x:c>
      <x:c r="C488" s="10" t="str">
        <x:v>CLI036</x:v>
      </x:c>
      <x:c r="D488" s="10" t="str">
        <x:v>CC008</x:v>
      </x:c>
      <x:c r="E488" s="10" t="str">
        <x:v>CAT001</x:v>
      </x:c>
      <x:c r="F488" s="10" t="str">
        <x:v>CTA004</x:v>
      </x:c>
      <x:c r="G488" s="10" t="str">
        <x:v>FAT-200487</x:v>
      </x:c>
      <x:c r="H488" s="10" t="str">
        <x:v>Prestação de serviços</x:v>
      </x:c>
      <x:c r="I488" s="16" t="n">
        <x:v>45538.44780913195</x:v>
      </x:c>
      <x:c r="J488" s="16" t="n">
        <x:v>45583.44780913195</x:v>
      </x:c>
      <x:c r="K488" s="16" t="n">
        <x:v>45578.44780913195</x:v>
      </x:c>
      <x:c r="L488" s="20" t="n">
        <x:v>144441.49</x:v>
      </x:c>
      <x:c r="M488" s="20" t="n">
        <x:v>0</x:v>
      </x:c>
      <x:c r="N488" s="20" t="n">
        <x:v>1444.41</x:v>
      </x:c>
      <x:c r="O488" s="20" t="n">
        <x:v>142997.08</x:v>
      </x:c>
      <x:c r="P488" s="20" t="n">
        <x:v>0</x:v>
      </x:c>
      <x:c r="Q488" s="10" t="str">
        <x:v>Recebido</x:v>
      </x:c>
      <x:c r="R488" s="10" t="str">
        <x:v>Débito em Conta</x:v>
      </x:c>
      <x:c r="S488" s="10" t="str">
        <x:v>2024-09</x:v>
      </x:c>
      <x:c r="T488" s="10" t="n">
        <x:v>0</x:v>
      </x:c>
      <x:c r="U488" s="10" t="str">
        <x:v>Liquidado</x:v>
      </x:c>
      <x:c r="V488" s="10" t="str">
        <x:v>Baixo</x:v>
      </x:c>
      <x:c r="W488" s="10" t="str">
        <x:v>Atacado</x:v>
      </x:c>
      <x:c r="X488" s="10" t="str">
        <x:v>UND003</x:v>
      </x:c>
    </x:row>
    <x:row r="489" ht="18" customHeight="1">
      <x:c r="A489" s="10" t="str">
        <x:v>REC00488</x:v>
      </x:c>
      <x:c r="B489" s="10" t="str">
        <x:v>EMP003</x:v>
      </x:c>
      <x:c r="C489" s="10" t="str">
        <x:v>CLI012</x:v>
      </x:c>
      <x:c r="D489" s="10" t="str">
        <x:v>CC003</x:v>
      </x:c>
      <x:c r="E489" s="10" t="str">
        <x:v>CAT003</x:v>
      </x:c>
      <x:c r="F489" s="10" t="str">
        <x:v>CTA006</x:v>
      </x:c>
      <x:c r="G489" s="10" t="str">
        <x:v>FAT-200488</x:v>
      </x:c>
      <x:c r="H489" s="10" t="str">
        <x:v>Prestação de serviços</x:v>
      </x:c>
      <x:c r="I489" s="16" t="n">
        <x:v>45484.37222686342</x:v>
      </x:c>
      <x:c r="J489" s="16" t="n">
        <x:v>45512.37222686342</x:v>
      </x:c>
      <x:c r="K489" s="16" t="n">
        <x:v>45510.37222686342</x:v>
      </x:c>
      <x:c r="L489" s="20" t="n">
        <x:v>12112.93</x:v>
      </x:c>
      <x:c r="M489" s="20" t="n">
        <x:v>0</x:v>
      </x:c>
      <x:c r="N489" s="20" t="n">
        <x:v>0</x:v>
      </x:c>
      <x:c r="O489" s="20" t="n">
        <x:v>12112.93</x:v>
      </x:c>
      <x:c r="P489" s="20" t="n">
        <x:v>0</x:v>
      </x:c>
      <x:c r="Q489" s="10" t="str">
        <x:v>Recebido</x:v>
      </x:c>
      <x:c r="R489" s="10" t="str">
        <x:v>TED</x:v>
      </x:c>
      <x:c r="S489" s="10" t="str">
        <x:v>2024-07</x:v>
      </x:c>
      <x:c r="T489" s="10" t="n">
        <x:v>0</x:v>
      </x:c>
      <x:c r="U489" s="10" t="str">
        <x:v>Liquidado</x:v>
      </x:c>
      <x:c r="V489" s="10" t="str">
        <x:v>Baixo</x:v>
      </x:c>
      <x:c r="W489" s="10" t="str">
        <x:v>Tecnologia</x:v>
      </x:c>
      <x:c r="X489" s="10" t="str">
        <x:v>UND004</x:v>
      </x:c>
    </x:row>
    <x:row r="490" ht="18" customHeight="1">
      <x:c r="A490" s="10" t="str">
        <x:v>REC00489</x:v>
      </x:c>
      <x:c r="B490" s="10" t="str">
        <x:v>EMP001</x:v>
      </x:c>
      <x:c r="C490" s="10" t="str">
        <x:v>CLI054</x:v>
      </x:c>
      <x:c r="D490" s="10" t="str">
        <x:v>CC001</x:v>
      </x:c>
      <x:c r="E490" s="10" t="str">
        <x:v>CAT003</x:v>
      </x:c>
      <x:c r="F490" s="10" t="str">
        <x:v>CTA001</x:v>
      </x:c>
      <x:c r="G490" s="10" t="str">
        <x:v>FAT-200489</x:v>
      </x:c>
      <x:c r="H490" s="10" t="str">
        <x:v>Frete faturado</x:v>
      </x:c>
      <x:c r="I490" s="16" t="n">
        <x:v>45383.11592534722</x:v>
      </x:c>
      <x:c r="J490" s="16" t="n">
        <x:v>45413.11592534722</x:v>
      </x:c>
      <x:c r="K490" s="16" t="n">
        <x:v>45407.11592534722</x:v>
      </x:c>
      <x:c r="L490" s="20" t="n">
        <x:v>58687.23</x:v>
      </x:c>
      <x:c r="M490" s="20" t="n">
        <x:v>0</x:v>
      </x:c>
      <x:c r="N490" s="20" t="n">
        <x:v>0</x:v>
      </x:c>
      <x:c r="O490" s="20" t="n">
        <x:v>58687.23</x:v>
      </x:c>
      <x:c r="P490" s="20" t="n">
        <x:v>0</x:v>
      </x:c>
      <x:c r="Q490" s="10" t="str">
        <x:v>Recebido</x:v>
      </x:c>
      <x:c r="R490" s="10" t="str">
        <x:v>TED</x:v>
      </x:c>
      <x:c r="S490" s="10" t="str">
        <x:v>2024-04</x:v>
      </x:c>
      <x:c r="T490" s="10" t="n">
        <x:v>0</x:v>
      </x:c>
      <x:c r="U490" s="10" t="str">
        <x:v>Liquidado</x:v>
      </x:c>
      <x:c r="V490" s="10" t="str">
        <x:v>Médio</x:v>
      </x:c>
      <x:c r="W490" s="10" t="str">
        <x:v>Indústria</x:v>
      </x:c>
      <x:c r="X490" s="10" t="str">
        <x:v>UND002</x:v>
      </x:c>
    </x:row>
    <x:row r="491" ht="18" customHeight="1">
      <x:c r="A491" s="10" t="str">
        <x:v>REC00490</x:v>
      </x:c>
      <x:c r="B491" s="10" t="str">
        <x:v>EMP001</x:v>
      </x:c>
      <x:c r="C491" s="10" t="str">
        <x:v>CLI018</x:v>
      </x:c>
      <x:c r="D491" s="10" t="str">
        <x:v>CC003</x:v>
      </x:c>
      <x:c r="E491" s="10" t="str">
        <x:v>CAT003</x:v>
      </x:c>
      <x:c r="F491" s="10" t="str">
        <x:v>CTA001</x:v>
      </x:c>
      <x:c r="G491" s="10" t="str">
        <x:v>FAT-200490</x:v>
      </x:c>
      <x:c r="H491" s="10" t="str">
        <x:v>Prestação de serviços</x:v>
      </x:c>
      <x:c r="I491" s="16" t="n">
        <x:v>45835.38654300926</x:v>
      </x:c>
      <x:c r="J491" s="16" t="n">
        <x:v>45865.38654300926</x:v>
      </x:c>
      <x:c r="K491" s="16" t="n">
        <x:v>45876.38654300926</x:v>
      </x:c>
      <x:c r="L491" s="20" t="n">
        <x:v>22066.11</x:v>
      </x:c>
      <x:c r="M491" s="20" t="n">
        <x:v>194.18</x:v>
      </x:c>
      <x:c r="N491" s="20" t="n">
        <x:v>0</x:v>
      </x:c>
      <x:c r="O491" s="20" t="n">
        <x:v>22260.29</x:v>
      </x:c>
      <x:c r="P491" s="20" t="n">
        <x:v>0</x:v>
      </x:c>
      <x:c r="Q491" s="10" t="str">
        <x:v>Recebido</x:v>
      </x:c>
      <x:c r="R491" s="10" t="str">
        <x:v>Débito em Conta</x:v>
      </x:c>
      <x:c r="S491" s="10" t="str">
        <x:v>2025-06</x:v>
      </x:c>
      <x:c r="T491" s="10" t="n">
        <x:v>0</x:v>
      </x:c>
      <x:c r="U491" s="10" t="str">
        <x:v>Liquidado</x:v>
      </x:c>
      <x:c r="V491" s="10" t="str">
        <x:v>Médio</x:v>
      </x:c>
      <x:c r="W491" s="10" t="str">
        <x:v>Indústria</x:v>
      </x:c>
      <x:c r="X491" s="10" t="str">
        <x:v>UND002</x:v>
      </x:c>
    </x:row>
    <x:row r="492" ht="18" customHeight="1">
      <x:c r="A492" s="10" t="str">
        <x:v>REC00491</x:v>
      </x:c>
      <x:c r="B492" s="10" t="str">
        <x:v>EMP002</x:v>
      </x:c>
      <x:c r="C492" s="10" t="str">
        <x:v>CLI050</x:v>
      </x:c>
      <x:c r="D492" s="10" t="str">
        <x:v>CC002</x:v>
      </x:c>
      <x:c r="E492" s="10" t="str">
        <x:v>CAT002</x:v>
      </x:c>
      <x:c r="F492" s="10" t="str">
        <x:v>CTA004</x:v>
      </x:c>
      <x:c r="G492" s="10" t="str">
        <x:v>FAT-200491</x:v>
      </x:c>
      <x:c r="H492" s="10" t="str">
        <x:v>Venda de produtos</x:v>
      </x:c>
      <x:c r="I492" s="16" t="n">
        <x:v>45526.52752912037</x:v>
      </x:c>
      <x:c r="J492" s="16" t="n">
        <x:v>45541.52752912037</x:v>
      </x:c>
      <x:c r="K492" s="16" t="n">
        <x:v>45536.52752912037</x:v>
      </x:c>
      <x:c r="L492" s="20" t="n">
        <x:v>26034.65</x:v>
      </x:c>
      <x:c r="M492" s="20" t="n">
        <x:v>0</x:v>
      </x:c>
      <x:c r="N492" s="20" t="n">
        <x:v>0</x:v>
      </x:c>
      <x:c r="O492" s="20" t="n">
        <x:v>26034.65</x:v>
      </x:c>
      <x:c r="P492" s="20" t="n">
        <x:v>0</x:v>
      </x:c>
      <x:c r="Q492" s="10" t="str">
        <x:v>Recebido</x:v>
      </x:c>
      <x:c r="R492" s="10" t="str">
        <x:v>TED</x:v>
      </x:c>
      <x:c r="S492" s="10" t="str">
        <x:v>2024-08</x:v>
      </x:c>
      <x:c r="T492" s="10" t="n">
        <x:v>0</x:v>
      </x:c>
      <x:c r="U492" s="10" t="str">
        <x:v>Liquidado</x:v>
      </x:c>
      <x:c r="V492" s="10" t="str">
        <x:v>Baixo</x:v>
      </x:c>
      <x:c r="W492" s="10" t="str">
        <x:v>Tecnologia</x:v>
      </x:c>
      <x:c r="X492" s="10" t="str">
        <x:v>UND003</x:v>
      </x:c>
    </x:row>
    <x:row r="493" ht="18" customHeight="1">
      <x:c r="A493" s="10" t="str">
        <x:v>REC00492</x:v>
      </x:c>
      <x:c r="B493" s="10" t="str">
        <x:v>EMP003</x:v>
      </x:c>
      <x:c r="C493" s="10" t="str">
        <x:v>CLI075</x:v>
      </x:c>
      <x:c r="D493" s="10" t="str">
        <x:v>CC005</x:v>
      </x:c>
      <x:c r="E493" s="10" t="str">
        <x:v>CAT004</x:v>
      </x:c>
      <x:c r="F493" s="10" t="str">
        <x:v>CTA005</x:v>
      </x:c>
      <x:c r="G493" s="10" t="str">
        <x:v>FAT-200492</x:v>
      </x:c>
      <x:c r="H493" s="10" t="str">
        <x:v>Prestação de serviços</x:v>
      </x:c>
      <x:c r="I493" s="16" t="n">
        <x:v>45734.981793576386</x:v>
      </x:c>
      <x:c r="J493" s="16" t="n">
        <x:v>45794.981793576386</x:v>
      </x:c>
      <x:c r="K493" s="16" t="n">
        <x:v>45805.981793576386</x:v>
      </x:c>
      <x:c r="L493" s="20" t="n">
        <x:v>29534.43</x:v>
      </x:c>
      <x:c r="M493" s="20" t="n">
        <x:v>259.9</x:v>
      </x:c>
      <x:c r="N493" s="20" t="n">
        <x:v>0</x:v>
      </x:c>
      <x:c r="O493" s="20" t="n">
        <x:v>29794.33</x:v>
      </x:c>
      <x:c r="P493" s="20" t="n">
        <x:v>0</x:v>
      </x:c>
      <x:c r="Q493" s="10" t="str">
        <x:v>Recebido</x:v>
      </x:c>
      <x:c r="R493" s="10" t="str">
        <x:v>Débito em Conta</x:v>
      </x:c>
      <x:c r="S493" s="10" t="str">
        <x:v>2025-03</x:v>
      </x:c>
      <x:c r="T493" s="10" t="n">
        <x:v>0</x:v>
      </x:c>
      <x:c r="U493" s="10" t="str">
        <x:v>Liquidado</x:v>
      </x:c>
      <x:c r="V493" s="10" t="str">
        <x:v>Médio</x:v>
      </x:c>
      <x:c r="W493" s="10" t="str">
        <x:v>Varejo</x:v>
      </x:c>
      <x:c r="X493" s="10" t="str">
        <x:v>UND004</x:v>
      </x:c>
    </x:row>
    <x:row r="494" ht="18" customHeight="1">
      <x:c r="A494" s="10" t="str">
        <x:v>REC00493</x:v>
      </x:c>
      <x:c r="B494" s="10" t="str">
        <x:v>EMP002</x:v>
      </x:c>
      <x:c r="C494" s="10" t="str">
        <x:v>CLI021</x:v>
      </x:c>
      <x:c r="D494" s="10" t="str">
        <x:v>CC006</x:v>
      </x:c>
      <x:c r="E494" s="10" t="str">
        <x:v>CAT004</x:v>
      </x:c>
      <x:c r="F494" s="10" t="str">
        <x:v>CTA003</x:v>
      </x:c>
      <x:c r="G494" s="10" t="str">
        <x:v>FAT-200493</x:v>
      </x:c>
      <x:c r="H494" s="10" t="str">
        <x:v>Prestação de serviços</x:v>
      </x:c>
      <x:c r="I494" s="16" t="n">
        <x:v>45989.12052173611</x:v>
      </x:c>
      <x:c r="J494" s="16" t="n">
        <x:v>46004.12052173611</x:v>
      </x:c>
      <x:c r="K494" s="16" t="n">
        <x:v>46009.12052173611</x:v>
      </x:c>
      <x:c r="L494" s="20" t="n">
        <x:v>22684.77</x:v>
      </x:c>
      <x:c r="M494" s="20" t="n">
        <x:v>90.74</x:v>
      </x:c>
      <x:c r="N494" s="20" t="n">
        <x:v>0</x:v>
      </x:c>
      <x:c r="O494" s="20" t="n">
        <x:v>22775.51</x:v>
      </x:c>
      <x:c r="P494" s="20" t="n">
        <x:v>0</x:v>
      </x:c>
      <x:c r="Q494" s="10" t="str">
        <x:v>Recebido</x:v>
      </x:c>
      <x:c r="R494" s="10" t="str">
        <x:v>TED</x:v>
      </x:c>
      <x:c r="S494" s="10" t="str">
        <x:v>2025-11</x:v>
      </x:c>
      <x:c r="T494" s="10" t="n">
        <x:v>0</x:v>
      </x:c>
      <x:c r="U494" s="10" t="str">
        <x:v>Liquidado</x:v>
      </x:c>
      <x:c r="V494" s="10" t="str">
        <x:v>Baixo</x:v>
      </x:c>
      <x:c r="W494" s="10" t="str">
        <x:v>Indústria</x:v>
      </x:c>
      <x:c r="X494" s="10" t="str">
        <x:v>UND003</x:v>
      </x:c>
    </x:row>
    <x:row r="495" ht="18" customHeight="1">
      <x:c r="A495" s="10" t="str">
        <x:v>REC00494</x:v>
      </x:c>
      <x:c r="B495" s="10" t="str">
        <x:v>EMP002</x:v>
      </x:c>
      <x:c r="C495" s="10" t="str">
        <x:v>CLI031</x:v>
      </x:c>
      <x:c r="D495" s="10" t="str">
        <x:v>CC004</x:v>
      </x:c>
      <x:c r="E495" s="10" t="str">
        <x:v>CAT002</x:v>
      </x:c>
      <x:c r="F495" s="10" t="str">
        <x:v>CTA003</x:v>
      </x:c>
      <x:c r="G495" s="10" t="str">
        <x:v>FAT-200494</x:v>
      </x:c>
      <x:c r="H495" s="10" t="str">
        <x:v>Projeto especial</x:v>
      </x:c>
      <x:c r="I495" s="16" t="n">
        <x:v>45487.3327769213</x:v>
      </x:c>
      <x:c r="J495" s="16" t="n">
        <x:v>45517.3327769213</x:v>
      </x:c>
      <x:c r="K495" s="16" t="n">
        <x:v>45512.3327769213</x:v>
      </x:c>
      <x:c r="L495" s="20" t="n">
        <x:v>879.56</x:v>
      </x:c>
      <x:c r="M495" s="20" t="n">
        <x:v>0</x:v>
      </x:c>
      <x:c r="N495" s="20" t="n">
        <x:v>0</x:v>
      </x:c>
      <x:c r="O495" s="20" t="n">
        <x:v>879.56</x:v>
      </x:c>
      <x:c r="P495" s="20" t="n">
        <x:v>0</x:v>
      </x:c>
      <x:c r="Q495" s="10" t="str">
        <x:v>Recebido</x:v>
      </x:c>
      <x:c r="R495" s="10" t="str">
        <x:v>Boleto</x:v>
      </x:c>
      <x:c r="S495" s="10" t="str">
        <x:v>2024-07</x:v>
      </x:c>
      <x:c r="T495" s="10" t="n">
        <x:v>0</x:v>
      </x:c>
      <x:c r="U495" s="10" t="str">
        <x:v>Liquidado</x:v>
      </x:c>
      <x:c r="V495" s="10" t="str">
        <x:v>Baixo</x:v>
      </x:c>
      <x:c r="W495" s="10" t="str">
        <x:v>Serviços</x:v>
      </x:c>
      <x:c r="X495" s="10" t="str">
        <x:v>UND003</x:v>
      </x:c>
    </x:row>
    <x:row r="496" ht="18" customHeight="1">
      <x:c r="A496" s="10" t="str">
        <x:v>REC00495</x:v>
      </x:c>
      <x:c r="B496" s="10" t="str">
        <x:v>EMP001</x:v>
      </x:c>
      <x:c r="C496" s="10" t="str">
        <x:v>CLI072</x:v>
      </x:c>
      <x:c r="D496" s="10" t="str">
        <x:v>CC005</x:v>
      </x:c>
      <x:c r="E496" s="10" t="str">
        <x:v>CAT002</x:v>
      </x:c>
      <x:c r="F496" s="10" t="str">
        <x:v>CTA001</x:v>
      </x:c>
      <x:c r="G496" s="10" t="str">
        <x:v>FAT-200495</x:v>
      </x:c>
      <x:c r="H496" s="10" t="str">
        <x:v>Contrato mensal</x:v>
      </x:c>
      <x:c r="I496" s="16" t="n">
        <x:v>45762.124457488426</x:v>
      </x:c>
      <x:c r="J496" s="16" t="n">
        <x:v>45783.124457488426</x:v>
      </x:c>
      <x:c r="K496" s="16" t="n">
        <x:v>45780.124457488426</x:v>
      </x:c>
      <x:c r="L496" s="20" t="n">
        <x:v>45751.84</x:v>
      </x:c>
      <x:c r="M496" s="20" t="n">
        <x:v>0</x:v>
      </x:c>
      <x:c r="N496" s="20" t="n">
        <x:v>0</x:v>
      </x:c>
      <x:c r="O496" s="20" t="n">
        <x:v>45751.84</x:v>
      </x:c>
      <x:c r="P496" s="20" t="n">
        <x:v>0</x:v>
      </x:c>
      <x:c r="Q496" s="10" t="str">
        <x:v>Recebido</x:v>
      </x:c>
      <x:c r="R496" s="10" t="str">
        <x:v>PIX</x:v>
      </x:c>
      <x:c r="S496" s="10" t="str">
        <x:v>2025-04</x:v>
      </x:c>
      <x:c r="T496" s="10" t="n">
        <x:v>0</x:v>
      </x:c>
      <x:c r="U496" s="10" t="str">
        <x:v>Liquidado</x:v>
      </x:c>
      <x:c r="V496" s="10" t="str">
        <x:v>Alto</x:v>
      </x:c>
      <x:c r="W496" s="10" t="str">
        <x:v>Varejo</x:v>
      </x:c>
      <x:c r="X496" s="10" t="str">
        <x:v>UND001</x:v>
      </x:c>
    </x:row>
    <x:row r="497" ht="18" customHeight="1">
      <x:c r="A497" s="10" t="str">
        <x:v>REC00496</x:v>
      </x:c>
      <x:c r="B497" s="10" t="str">
        <x:v>EMP001</x:v>
      </x:c>
      <x:c r="C497" s="10" t="str">
        <x:v>CLI025</x:v>
      </x:c>
      <x:c r="D497" s="10" t="str">
        <x:v>CC008</x:v>
      </x:c>
      <x:c r="E497" s="10" t="str">
        <x:v>CAT002</x:v>
      </x:c>
      <x:c r="F497" s="10" t="str">
        <x:v>CTA001</x:v>
      </x:c>
      <x:c r="G497" s="10" t="str">
        <x:v>FAT-200496</x:v>
      </x:c>
      <x:c r="H497" s="10" t="str">
        <x:v>Venda de produtos</x:v>
      </x:c>
      <x:c r="I497" s="16" t="n">
        <x:v>45521.98438454861</x:v>
      </x:c>
      <x:c r="J497" s="16" t="n">
        <x:v>45549.98438454861</x:v>
      </x:c>
      <x:c r="K497" s="16" t="n">
        <x:v>45549.98438454861</x:v>
      </x:c>
      <x:c r="L497" s="20" t="n">
        <x:v>103589.15</x:v>
      </x:c>
      <x:c r="M497" s="20" t="n">
        <x:v>0</x:v>
      </x:c>
      <x:c r="N497" s="20" t="n">
        <x:v>0</x:v>
      </x:c>
      <x:c r="O497" s="20" t="n">
        <x:v>103589.15</x:v>
      </x:c>
      <x:c r="P497" s="20" t="n">
        <x:v>0</x:v>
      </x:c>
      <x:c r="Q497" s="10" t="str">
        <x:v>Recebido</x:v>
      </x:c>
      <x:c r="R497" s="10" t="str">
        <x:v>TED</x:v>
      </x:c>
      <x:c r="S497" s="10" t="str">
        <x:v>2024-08</x:v>
      </x:c>
      <x:c r="T497" s="10" t="n">
        <x:v>0</x:v>
      </x:c>
      <x:c r="U497" s="10" t="str">
        <x:v>Liquidado</x:v>
      </x:c>
      <x:c r="V497" s="10" t="str">
        <x:v>Médio</x:v>
      </x:c>
      <x:c r="W497" s="10" t="str">
        <x:v>Indústria</x:v>
      </x:c>
      <x:c r="X497" s="10" t="str">
        <x:v>UND001</x:v>
      </x:c>
    </x:row>
    <x:row r="498" ht="18" customHeight="1">
      <x:c r="A498" s="10" t="str">
        <x:v>REC00497</x:v>
      </x:c>
      <x:c r="B498" s="10" t="str">
        <x:v>EMP001</x:v>
      </x:c>
      <x:c r="C498" s="10" t="str">
        <x:v>CLI079</x:v>
      </x:c>
      <x:c r="D498" s="10" t="str">
        <x:v>CC004</x:v>
      </x:c>
      <x:c r="E498" s="10" t="str">
        <x:v>CAT004</x:v>
      </x:c>
      <x:c r="F498" s="10" t="str">
        <x:v>CTA002</x:v>
      </x:c>
      <x:c r="G498" s="10" t="str">
        <x:v>FAT-200497</x:v>
      </x:c>
      <x:c r="H498" s="10" t="str">
        <x:v>Frete faturado</x:v>
      </x:c>
      <x:c r="I498" s="16" t="n">
        <x:v>45867.94181671296</x:v>
      </x:c>
      <x:c r="J498" s="16" t="n">
        <x:v>45882.94181671296</x:v>
      </x:c>
      <x:c r="K498" s="16" t="n">
        <x:v>45878.94181671296</x:v>
      </x:c>
      <x:c r="L498" s="20" t="n">
        <x:v>38197.35</x:v>
      </x:c>
      <x:c r="M498" s="20" t="n">
        <x:v>0</x:v>
      </x:c>
      <x:c r="N498" s="20" t="n">
        <x:v>0</x:v>
      </x:c>
      <x:c r="O498" s="20" t="n">
        <x:v>38197.35</x:v>
      </x:c>
      <x:c r="P498" s="20" t="n">
        <x:v>0</x:v>
      </x:c>
      <x:c r="Q498" s="10" t="str">
        <x:v>Recebido</x:v>
      </x:c>
      <x:c r="R498" s="10" t="str">
        <x:v>PIX</x:v>
      </x:c>
      <x:c r="S498" s="10" t="str">
        <x:v>2025-07</x:v>
      </x:c>
      <x:c r="T498" s="10" t="n">
        <x:v>0</x:v>
      </x:c>
      <x:c r="U498" s="10" t="str">
        <x:v>Liquidado</x:v>
      </x:c>
      <x:c r="V498" s="10" t="str">
        <x:v>Baixo</x:v>
      </x:c>
      <x:c r="W498" s="10" t="str">
        <x:v>Tecnologia</x:v>
      </x:c>
      <x:c r="X498" s="10" t="str">
        <x:v>UND001</x:v>
      </x:c>
    </x:row>
    <x:row r="499" ht="18" customHeight="1">
      <x:c r="A499" s="10" t="str">
        <x:v>REC00498</x:v>
      </x:c>
      <x:c r="B499" s="10" t="str">
        <x:v>EMP003</x:v>
      </x:c>
      <x:c r="C499" s="10" t="str">
        <x:v>CLI067</x:v>
      </x:c>
      <x:c r="D499" s="10" t="str">
        <x:v>CC004</x:v>
      </x:c>
      <x:c r="E499" s="10" t="str">
        <x:v>CAT003</x:v>
      </x:c>
      <x:c r="F499" s="10" t="str">
        <x:v>CTA006</x:v>
      </x:c>
      <x:c r="G499" s="10" t="str">
        <x:v>FAT-200498</x:v>
      </x:c>
      <x:c r="H499" s="10" t="str">
        <x:v>Venda de produtos</x:v>
      </x:c>
      <x:c r="I499" s="16" t="n">
        <x:v>45688.24889879629</x:v>
      </x:c>
      <x:c r="J499" s="16" t="n">
        <x:v>45709.24889879629</x:v>
      </x:c>
      <x:c r="K499" s="16" t="n">
        <x:v>45720.24889879629</x:v>
      </x:c>
      <x:c r="L499" s="20" t="n">
        <x:v>64672.29</x:v>
      </x:c>
      <x:c r="M499" s="20" t="n">
        <x:v>569.12</x:v>
      </x:c>
      <x:c r="N499" s="20" t="n">
        <x:v>0</x:v>
      </x:c>
      <x:c r="O499" s="20" t="n">
        <x:v>65241.41</x:v>
      </x:c>
      <x:c r="P499" s="20" t="n">
        <x:v>0</x:v>
      </x:c>
      <x:c r="Q499" s="10" t="str">
        <x:v>Recebido</x:v>
      </x:c>
      <x:c r="R499" s="10" t="str">
        <x:v>TED</x:v>
      </x:c>
      <x:c r="S499" s="10" t="str">
        <x:v>2025-01</x:v>
      </x:c>
      <x:c r="T499" s="10" t="n">
        <x:v>0</x:v>
      </x:c>
      <x:c r="U499" s="10" t="str">
        <x:v>Liquidado</x:v>
      </x:c>
      <x:c r="V499" s="10" t="str">
        <x:v>Alto</x:v>
      </x:c>
      <x:c r="W499" s="10" t="str">
        <x:v>Varejo</x:v>
      </x:c>
      <x:c r="X499" s="10" t="str">
        <x:v>UND004</x:v>
      </x:c>
    </x:row>
    <x:row r="500" ht="18" customHeight="1">
      <x:c r="A500" s="10" t="str">
        <x:v>REC00499</x:v>
      </x:c>
      <x:c r="B500" s="10" t="str">
        <x:v>EMP001</x:v>
      </x:c>
      <x:c r="C500" s="10" t="str">
        <x:v>CLI052</x:v>
      </x:c>
      <x:c r="D500" s="10" t="str">
        <x:v>CC002</x:v>
      </x:c>
      <x:c r="E500" s="10" t="str">
        <x:v>CAT003</x:v>
      </x:c>
      <x:c r="F500" s="10" t="str">
        <x:v>CTA002</x:v>
      </x:c>
      <x:c r="G500" s="10" t="str">
        <x:v>FAT-200499</x:v>
      </x:c>
      <x:c r="H500" s="10" t="str">
        <x:v>Projeto especial</x:v>
      </x:c>
      <x:c r="I500" s="16" t="n">
        <x:v>45993.56393423611</x:v>
      </x:c>
      <x:c r="J500" s="16" t="n">
        <x:v>46021.56393423611</x:v>
      </x:c>
      <x:c r="K500" s="16"/>
      <x:c r="L500" s="20" t="n">
        <x:v>74897.03</x:v>
      </x:c>
      <x:c r="M500" s="20" t="n">
        <x:v>0</x:v>
      </x:c>
      <x:c r="N500" s="20" t="n">
        <x:v>0</x:v>
      </x:c>
      <x:c r="O500" s="20" t="n">
        <x:v>0</x:v>
      </x:c>
      <x:c r="P500" s="20" t="n">
        <x:v>74897.03</x:v>
      </x:c>
      <x:c r="Q500" s="10" t="str">
        <x:v>Vencido</x:v>
      </x:c>
      <x:c r="R500" s="10" t="str">
        <x:v>PIX</x:v>
      </x:c>
      <x:c r="S500" s="10" t="str">
        <x:v>2025-12</x:v>
      </x:c>
      <x:c r="T500" s="10" t="n">
        <x:v>0</x:v>
      </x:c>
      <x:c r="U500" s="10" t="str">
        <x:v>A vencer</x:v>
      </x:c>
      <x:c r="V500" s="10" t="str">
        <x:v>Baixo</x:v>
      </x:c>
      <x:c r="W500" s="10" t="str">
        <x:v>Varejo</x:v>
      </x:c>
      <x:c r="X500" s="10" t="str">
        <x:v>UND001</x:v>
      </x:c>
    </x:row>
    <x:row r="501" ht="18" customHeight="1">
      <x:c r="A501" s="10" t="str">
        <x:v>REC00500</x:v>
      </x:c>
      <x:c r="B501" s="10" t="str">
        <x:v>EMP002</x:v>
      </x:c>
      <x:c r="C501" s="10" t="str">
        <x:v>CLI003</x:v>
      </x:c>
      <x:c r="D501" s="10" t="str">
        <x:v>CC008</x:v>
      </x:c>
      <x:c r="E501" s="10" t="str">
        <x:v>CAT003</x:v>
      </x:c>
      <x:c r="F501" s="10" t="str">
        <x:v>CTA003</x:v>
      </x:c>
      <x:c r="G501" s="10" t="str">
        <x:v>FAT-200500</x:v>
      </x:c>
      <x:c r="H501" s="10" t="str">
        <x:v>Contrato mensal</x:v>
      </x:c>
      <x:c r="I501" s="16" t="n">
        <x:v>45556.3921602662</x:v>
      </x:c>
      <x:c r="J501" s="16" t="n">
        <x:v>45571.3921602662</x:v>
      </x:c>
      <x:c r="K501" s="16" t="n">
        <x:v>45571.3921602662</x:v>
      </x:c>
      <x:c r="L501" s="20" t="n">
        <x:v>13275.72</x:v>
      </x:c>
      <x:c r="M501" s="20" t="n">
        <x:v>0</x:v>
      </x:c>
      <x:c r="N501" s="20" t="n">
        <x:v>0</x:v>
      </x:c>
      <x:c r="O501" s="20" t="n">
        <x:v>13275.72</x:v>
      </x:c>
      <x:c r="P501" s="20" t="n">
        <x:v>0</x:v>
      </x:c>
      <x:c r="Q501" s="10" t="str">
        <x:v>Recebido</x:v>
      </x:c>
      <x:c r="R501" s="10" t="str">
        <x:v>PIX</x:v>
      </x:c>
      <x:c r="S501" s="10" t="str">
        <x:v>2024-09</x:v>
      </x:c>
      <x:c r="T501" s="10" t="n">
        <x:v>0</x:v>
      </x:c>
      <x:c r="U501" s="10" t="str">
        <x:v>Liquidado</x:v>
      </x:c>
      <x:c r="V501" s="10" t="str">
        <x:v>Médio</x:v>
      </x:c>
      <x:c r="W501" s="10" t="str">
        <x:v>Saúde</x:v>
      </x:c>
      <x:c r="X501" s="10" t="str">
        <x:v>UND003</x:v>
      </x:c>
    </x:row>
    <x:row r="502" ht="18" customHeight="1">
      <x:c r="A502" s="10" t="str">
        <x:v>REC00501</x:v>
      </x:c>
      <x:c r="B502" s="10" t="str">
        <x:v>EMP003</x:v>
      </x:c>
      <x:c r="C502" s="10" t="str">
        <x:v>CLI078</x:v>
      </x:c>
      <x:c r="D502" s="10" t="str">
        <x:v>CC006</x:v>
      </x:c>
      <x:c r="E502" s="10" t="str">
        <x:v>CAT004</x:v>
      </x:c>
      <x:c r="F502" s="10" t="str">
        <x:v>CTA006</x:v>
      </x:c>
      <x:c r="G502" s="10" t="str">
        <x:v>FAT-200501</x:v>
      </x:c>
      <x:c r="H502" s="10" t="str">
        <x:v>Prestação de serviços</x:v>
      </x:c>
      <x:c r="I502" s="16" t="n">
        <x:v>45889.70999190972</x:v>
      </x:c>
      <x:c r="J502" s="16" t="n">
        <x:v>45904.70999190972</x:v>
      </x:c>
      <x:c r="K502" s="16" t="n">
        <x:v>45900.70999190972</x:v>
      </x:c>
      <x:c r="L502" s="20" t="n">
        <x:v>8413.72</x:v>
      </x:c>
      <x:c r="M502" s="20" t="n">
        <x:v>0</x:v>
      </x:c>
      <x:c r="N502" s="20" t="n">
        <x:v>0</x:v>
      </x:c>
      <x:c r="O502" s="20" t="n">
        <x:v>8413.72</x:v>
      </x:c>
      <x:c r="P502" s="20" t="n">
        <x:v>0</x:v>
      </x:c>
      <x:c r="Q502" s="10" t="str">
        <x:v>Recebido</x:v>
      </x:c>
      <x:c r="R502" s="10" t="str">
        <x:v>Cartão</x:v>
      </x:c>
      <x:c r="S502" s="10" t="str">
        <x:v>2025-08</x:v>
      </x:c>
      <x:c r="T502" s="10" t="n">
        <x:v>0</x:v>
      </x:c>
      <x:c r="U502" s="10" t="str">
        <x:v>Liquidado</x:v>
      </x:c>
      <x:c r="V502" s="10" t="str">
        <x:v>Médio</x:v>
      </x:c>
      <x:c r="W502" s="10" t="str">
        <x:v>Tecnologia</x:v>
      </x:c>
      <x:c r="X502" s="10" t="str">
        <x:v>UND004</x:v>
      </x:c>
    </x:row>
    <x:row r="503" ht="18" customHeight="1">
      <x:c r="A503" s="10" t="str">
        <x:v>REC00502</x:v>
      </x:c>
      <x:c r="B503" s="10" t="str">
        <x:v>EMP002</x:v>
      </x:c>
      <x:c r="C503" s="10" t="str">
        <x:v>CLI035</x:v>
      </x:c>
      <x:c r="D503" s="10" t="str">
        <x:v>CC006</x:v>
      </x:c>
      <x:c r="E503" s="10" t="str">
        <x:v>CAT003</x:v>
      </x:c>
      <x:c r="F503" s="10" t="str">
        <x:v>CTA004</x:v>
      </x:c>
      <x:c r="G503" s="10" t="str">
        <x:v>FAT-200502</x:v>
      </x:c>
      <x:c r="H503" s="10" t="str">
        <x:v>Frete faturado</x:v>
      </x:c>
      <x:c r="I503" s="16" t="n">
        <x:v>45349.93983811342</x:v>
      </x:c>
      <x:c r="J503" s="16" t="n">
        <x:v>45364.93983811342</x:v>
      </x:c>
      <x:c r="K503" s="16" t="n">
        <x:v>45374.93983811342</x:v>
      </x:c>
      <x:c r="L503" s="20" t="n">
        <x:v>95349.51</x:v>
      </x:c>
      <x:c r="M503" s="20" t="n">
        <x:v>762.8</x:v>
      </x:c>
      <x:c r="N503" s="20" t="n">
        <x:v>0</x:v>
      </x:c>
      <x:c r="O503" s="20" t="n">
        <x:v>96112.31</x:v>
      </x:c>
      <x:c r="P503" s="20" t="n">
        <x:v>0</x:v>
      </x:c>
      <x:c r="Q503" s="10" t="str">
        <x:v>Recebido</x:v>
      </x:c>
      <x:c r="R503" s="10" t="str">
        <x:v>Boleto</x:v>
      </x:c>
      <x:c r="S503" s="10" t="str">
        <x:v>2024-02</x:v>
      </x:c>
      <x:c r="T503" s="10" t="n">
        <x:v>0</x:v>
      </x:c>
      <x:c r="U503" s="10" t="str">
        <x:v>Liquidado</x:v>
      </x:c>
      <x:c r="V503" s="10" t="str">
        <x:v>Médio</x:v>
      </x:c>
      <x:c r="W503" s="10" t="str">
        <x:v>Varejo</x:v>
      </x:c>
      <x:c r="X503" s="10" t="str">
        <x:v>UND003</x:v>
      </x:c>
    </x:row>
    <x:row r="504" ht="18" customHeight="1">
      <x:c r="A504" s="10" t="str">
        <x:v>REC00503</x:v>
      </x:c>
      <x:c r="B504" s="10" t="str">
        <x:v>EMP003</x:v>
      </x:c>
      <x:c r="C504" s="10" t="str">
        <x:v>CLI079</x:v>
      </x:c>
      <x:c r="D504" s="10" t="str">
        <x:v>CC004</x:v>
      </x:c>
      <x:c r="E504" s="10" t="str">
        <x:v>CAT001</x:v>
      </x:c>
      <x:c r="F504" s="10" t="str">
        <x:v>CTA005</x:v>
      </x:c>
      <x:c r="G504" s="10" t="str">
        <x:v>FAT-200503</x:v>
      </x:c>
      <x:c r="H504" s="10" t="str">
        <x:v>Contrato mensal</x:v>
      </x:c>
      <x:c r="I504" s="16" t="n">
        <x:v>45838.17851505787</x:v>
      </x:c>
      <x:c r="J504" s="16" t="n">
        <x:v>45873.17851505787</x:v>
      </x:c>
      <x:c r="K504" s="16" t="n">
        <x:v>45868.17851505787</x:v>
      </x:c>
      <x:c r="L504" s="20" t="n">
        <x:v>109741.51</x:v>
      </x:c>
      <x:c r="M504" s="20" t="n">
        <x:v>0</x:v>
      </x:c>
      <x:c r="N504" s="20" t="n">
        <x:v>0</x:v>
      </x:c>
      <x:c r="O504" s="20" t="n">
        <x:v>109741.51</x:v>
      </x:c>
      <x:c r="P504" s="20" t="n">
        <x:v>0</x:v>
      </x:c>
      <x:c r="Q504" s="10" t="str">
        <x:v>Recebido</x:v>
      </x:c>
      <x:c r="R504" s="10" t="str">
        <x:v>TED</x:v>
      </x:c>
      <x:c r="S504" s="10" t="str">
        <x:v>2025-06</x:v>
      </x:c>
      <x:c r="T504" s="10" t="n">
        <x:v>0</x:v>
      </x:c>
      <x:c r="U504" s="10" t="str">
        <x:v>Liquidado</x:v>
      </x:c>
      <x:c r="V504" s="10" t="str">
        <x:v>Baixo</x:v>
      </x:c>
      <x:c r="W504" s="10" t="str">
        <x:v>Tecnologia</x:v>
      </x:c>
      <x:c r="X504" s="10" t="str">
        <x:v>UND004</x:v>
      </x:c>
    </x:row>
    <x:row r="505" ht="18" customHeight="1">
      <x:c r="A505" s="10" t="str">
        <x:v>REC00504</x:v>
      </x:c>
      <x:c r="B505" s="10" t="str">
        <x:v>EMP003</x:v>
      </x:c>
      <x:c r="C505" s="10" t="str">
        <x:v>CLI002</x:v>
      </x:c>
      <x:c r="D505" s="10" t="str">
        <x:v>CC002</x:v>
      </x:c>
      <x:c r="E505" s="10" t="str">
        <x:v>CAT003</x:v>
      </x:c>
      <x:c r="F505" s="10" t="str">
        <x:v>CTA005</x:v>
      </x:c>
      <x:c r="G505" s="10" t="str">
        <x:v>FAT-200504</x:v>
      </x:c>
      <x:c r="H505" s="10" t="str">
        <x:v>Contrato mensal</x:v>
      </x:c>
      <x:c r="I505" s="16" t="n">
        <x:v>45612.19406825231</x:v>
      </x:c>
      <x:c r="J505" s="16" t="n">
        <x:v>45647.19406825231</x:v>
      </x:c>
      <x:c r="K505" s="16"/>
      <x:c r="L505" s="20" t="n">
        <x:v>57817.84</x:v>
      </x:c>
      <x:c r="M505" s="20" t="n">
        <x:v>0</x:v>
      </x:c>
      <x:c r="N505" s="20" t="n">
        <x:v>0</x:v>
      </x:c>
      <x:c r="O505" s="20" t="n">
        <x:v>0</x:v>
      </x:c>
      <x:c r="P505" s="20" t="n">
        <x:v>57817.84</x:v>
      </x:c>
      <x:c r="Q505" s="10" t="str">
        <x:v>Vencido</x:v>
      </x:c>
      <x:c r="R505" s="10" t="str">
        <x:v>Cartão</x:v>
      </x:c>
      <x:c r="S505" s="10" t="str">
        <x:v>2024-11</x:v>
      </x:c>
      <x:c r="T505" s="10" t="n">
        <x:v>374</x:v>
      </x:c>
      <x:c r="U505" s="10" t="str">
        <x:v>&gt; 120 dias</x:v>
      </x:c>
      <x:c r="V505" s="10" t="str">
        <x:v>Alto</x:v>
      </x:c>
      <x:c r="W505" s="10" t="str">
        <x:v>Serviços</x:v>
      </x:c>
      <x:c r="X505" s="10" t="str">
        <x:v>UND004</x:v>
      </x:c>
    </x:row>
    <x:row r="506" ht="18" customHeight="1">
      <x:c r="A506" s="10" t="str">
        <x:v>REC00505</x:v>
      </x:c>
      <x:c r="B506" s="10" t="str">
        <x:v>EMP003</x:v>
      </x:c>
      <x:c r="C506" s="10" t="str">
        <x:v>CLI025</x:v>
      </x:c>
      <x:c r="D506" s="10" t="str">
        <x:v>CC008</x:v>
      </x:c>
      <x:c r="E506" s="10" t="str">
        <x:v>CAT001</x:v>
      </x:c>
      <x:c r="F506" s="10" t="str">
        <x:v>CTA006</x:v>
      </x:c>
      <x:c r="G506" s="10" t="str">
        <x:v>FAT-200505</x:v>
      </x:c>
      <x:c r="H506" s="10" t="str">
        <x:v>Projeto especial</x:v>
      </x:c>
      <x:c r="I506" s="16" t="n">
        <x:v>45774.7695897338</x:v>
      </x:c>
      <x:c r="J506" s="16" t="n">
        <x:v>45834.7695897338</x:v>
      </x:c>
      <x:c r="K506" s="16" t="n">
        <x:v>45837.7695897338</x:v>
      </x:c>
      <x:c r="L506" s="20" t="n">
        <x:v>8002.95</x:v>
      </x:c>
      <x:c r="M506" s="20" t="n">
        <x:v>19.21</x:v>
      </x:c>
      <x:c r="N506" s="20" t="n">
        <x:v>0</x:v>
      </x:c>
      <x:c r="O506" s="20" t="n">
        <x:v>8022.16</x:v>
      </x:c>
      <x:c r="P506" s="20" t="n">
        <x:v>0</x:v>
      </x:c>
      <x:c r="Q506" s="10" t="str">
        <x:v>Recebido</x:v>
      </x:c>
      <x:c r="R506" s="10" t="str">
        <x:v>Cartão</x:v>
      </x:c>
      <x:c r="S506" s="10" t="str">
        <x:v>2025-04</x:v>
      </x:c>
      <x:c r="T506" s="10" t="n">
        <x:v>0</x:v>
      </x:c>
      <x:c r="U506" s="10" t="str">
        <x:v>Liquidado</x:v>
      </x:c>
      <x:c r="V506" s="10" t="str">
        <x:v>Médio</x:v>
      </x:c>
      <x:c r="W506" s="10" t="str">
        <x:v>Indústria</x:v>
      </x:c>
      <x:c r="X506" s="10" t="str">
        <x:v>UND004</x:v>
      </x:c>
    </x:row>
    <x:row r="507" ht="18" customHeight="1">
      <x:c r="A507" s="10" t="str">
        <x:v>REC00506</x:v>
      </x:c>
      <x:c r="B507" s="10" t="str">
        <x:v>EMP002</x:v>
      </x:c>
      <x:c r="C507" s="10" t="str">
        <x:v>CLI074</x:v>
      </x:c>
      <x:c r="D507" s="10" t="str">
        <x:v>CC001</x:v>
      </x:c>
      <x:c r="E507" s="10" t="str">
        <x:v>CAT002</x:v>
      </x:c>
      <x:c r="F507" s="10" t="str">
        <x:v>CTA003</x:v>
      </x:c>
      <x:c r="G507" s="10" t="str">
        <x:v>FAT-200506</x:v>
      </x:c>
      <x:c r="H507" s="10" t="str">
        <x:v>Prestação de serviços</x:v>
      </x:c>
      <x:c r="I507" s="16" t="n">
        <x:v>45591.778505243055</x:v>
      </x:c>
      <x:c r="J507" s="16" t="n">
        <x:v>45612.778505243055</x:v>
      </x:c>
      <x:c r="K507" s="16" t="n">
        <x:v>45626.778505243055</x:v>
      </x:c>
      <x:c r="L507" s="20" t="n">
        <x:v>3792.98</x:v>
      </x:c>
      <x:c r="M507" s="20" t="n">
        <x:v>42.48</x:v>
      </x:c>
      <x:c r="N507" s="20" t="n">
        <x:v>0</x:v>
      </x:c>
      <x:c r="O507" s="20" t="n">
        <x:v>3835.46</x:v>
      </x:c>
      <x:c r="P507" s="20" t="n">
        <x:v>0</x:v>
      </x:c>
      <x:c r="Q507" s="10" t="str">
        <x:v>Recebido</x:v>
      </x:c>
      <x:c r="R507" s="10" t="str">
        <x:v>TED</x:v>
      </x:c>
      <x:c r="S507" s="10" t="str">
        <x:v>2024-10</x:v>
      </x:c>
      <x:c r="T507" s="10" t="n">
        <x:v>0</x:v>
      </x:c>
      <x:c r="U507" s="10" t="str">
        <x:v>Liquidado</x:v>
      </x:c>
      <x:c r="V507" s="10" t="str">
        <x:v>Médio</x:v>
      </x:c>
      <x:c r="W507" s="10" t="str">
        <x:v>Tecnologia</x:v>
      </x:c>
      <x:c r="X507" s="10" t="str">
        <x:v>UND003</x:v>
      </x:c>
    </x:row>
    <x:row r="508" ht="18" customHeight="1">
      <x:c r="A508" s="10" t="str">
        <x:v>REC00507</x:v>
      </x:c>
      <x:c r="B508" s="10" t="str">
        <x:v>EMP003</x:v>
      </x:c>
      <x:c r="C508" s="10" t="str">
        <x:v>CLI024</x:v>
      </x:c>
      <x:c r="D508" s="10" t="str">
        <x:v>CC007</x:v>
      </x:c>
      <x:c r="E508" s="10" t="str">
        <x:v>CAT001</x:v>
      </x:c>
      <x:c r="F508" s="10" t="str">
        <x:v>CTA005</x:v>
      </x:c>
      <x:c r="G508" s="10" t="str">
        <x:v>FAT-200507</x:v>
      </x:c>
      <x:c r="H508" s="10" t="str">
        <x:v>Venda de produtos</x:v>
      </x:c>
      <x:c r="I508" s="16" t="n">
        <x:v>45435.99535236111</x:v>
      </x:c>
      <x:c r="J508" s="16" t="n">
        <x:v>45480.99535236111</x:v>
      </x:c>
      <x:c r="K508" s="16" t="n">
        <x:v>45475.99535236111</x:v>
      </x:c>
      <x:c r="L508" s="20" t="n">
        <x:v>12464.74</x:v>
      </x:c>
      <x:c r="M508" s="20" t="n">
        <x:v>0</x:v>
      </x:c>
      <x:c r="N508" s="20" t="n">
        <x:v>0</x:v>
      </x:c>
      <x:c r="O508" s="20" t="n">
        <x:v>12464.74</x:v>
      </x:c>
      <x:c r="P508" s="20" t="n">
        <x:v>0</x:v>
      </x:c>
      <x:c r="Q508" s="10" t="str">
        <x:v>Recebido</x:v>
      </x:c>
      <x:c r="R508" s="10" t="str">
        <x:v>PIX</x:v>
      </x:c>
      <x:c r="S508" s="10" t="str">
        <x:v>2024-05</x:v>
      </x:c>
      <x:c r="T508" s="10" t="n">
        <x:v>0</x:v>
      </x:c>
      <x:c r="U508" s="10" t="str">
        <x:v>Liquidado</x:v>
      </x:c>
      <x:c r="V508" s="10" t="str">
        <x:v>Baixo</x:v>
      </x:c>
      <x:c r="W508" s="10" t="str">
        <x:v>Saúde</x:v>
      </x:c>
      <x:c r="X508" s="10" t="str">
        <x:v>UND004</x:v>
      </x:c>
    </x:row>
    <x:row r="509" ht="18" customHeight="1">
      <x:c r="A509" s="10" t="str">
        <x:v>REC00508</x:v>
      </x:c>
      <x:c r="B509" s="10" t="str">
        <x:v>EMP001</x:v>
      </x:c>
      <x:c r="C509" s="10" t="str">
        <x:v>CLI020</x:v>
      </x:c>
      <x:c r="D509" s="10" t="str">
        <x:v>CC007</x:v>
      </x:c>
      <x:c r="E509" s="10" t="str">
        <x:v>CAT004</x:v>
      </x:c>
      <x:c r="F509" s="10" t="str">
        <x:v>CTA002</x:v>
      </x:c>
      <x:c r="G509" s="10" t="str">
        <x:v>FAT-200508</x:v>
      </x:c>
      <x:c r="H509" s="10" t="str">
        <x:v>Contrato mensal</x:v>
      </x:c>
      <x:c r="I509" s="16" t="n">
        <x:v>45488.64325394676</x:v>
      </x:c>
      <x:c r="J509" s="16" t="n">
        <x:v>45533.64325394676</x:v>
      </x:c>
      <x:c r="K509" s="16" t="n">
        <x:v>45547.64325394676</x:v>
      </x:c>
      <x:c r="L509" s="20" t="n">
        <x:v>115282.1</x:v>
      </x:c>
      <x:c r="M509" s="20" t="n">
        <x:v>1291.16</x:v>
      </x:c>
      <x:c r="N509" s="20" t="n">
        <x:v>0</x:v>
      </x:c>
      <x:c r="O509" s="20" t="n">
        <x:v>116573.26</x:v>
      </x:c>
      <x:c r="P509" s="20" t="n">
        <x:v>0</x:v>
      </x:c>
      <x:c r="Q509" s="10" t="str">
        <x:v>Recebido</x:v>
      </x:c>
      <x:c r="R509" s="10" t="str">
        <x:v>Débito em Conta</x:v>
      </x:c>
      <x:c r="S509" s="10" t="str">
        <x:v>2024-07</x:v>
      </x:c>
      <x:c r="T509" s="10" t="n">
        <x:v>0</x:v>
      </x:c>
      <x:c r="U509" s="10" t="str">
        <x:v>Liquidado</x:v>
      </x:c>
      <x:c r="V509" s="10" t="str">
        <x:v>Médio</x:v>
      </x:c>
      <x:c r="W509" s="10" t="str">
        <x:v>Atacado</x:v>
      </x:c>
      <x:c r="X509" s="10" t="str">
        <x:v>UND001</x:v>
      </x:c>
    </x:row>
    <x:row r="510" ht="18" customHeight="1">
      <x:c r="A510" s="10" t="str">
        <x:v>REC00509</x:v>
      </x:c>
      <x:c r="B510" s="10" t="str">
        <x:v>EMP001</x:v>
      </x:c>
      <x:c r="C510" s="10" t="str">
        <x:v>CLI010</x:v>
      </x:c>
      <x:c r="D510" s="10" t="str">
        <x:v>CC001</x:v>
      </x:c>
      <x:c r="E510" s="10" t="str">
        <x:v>CAT004</x:v>
      </x:c>
      <x:c r="F510" s="10" t="str">
        <x:v>CTA001</x:v>
      </x:c>
      <x:c r="G510" s="10" t="str">
        <x:v>FAT-200509</x:v>
      </x:c>
      <x:c r="H510" s="10" t="str">
        <x:v>Prestação de serviços</x:v>
      </x:c>
      <x:c r="I510" s="16" t="n">
        <x:v>45744.75049637732</x:v>
      </x:c>
      <x:c r="J510" s="16" t="n">
        <x:v>45804.75049637732</x:v>
      </x:c>
      <x:c r="K510" s="16" t="n">
        <x:v>45800.75049637732</x:v>
      </x:c>
      <x:c r="L510" s="20" t="n">
        <x:v>76560.32</x:v>
      </x:c>
      <x:c r="M510" s="20" t="n">
        <x:v>0</x:v>
      </x:c>
      <x:c r="N510" s="20" t="n">
        <x:v>0</x:v>
      </x:c>
      <x:c r="O510" s="20" t="n">
        <x:v>76560.32</x:v>
      </x:c>
      <x:c r="P510" s="20" t="n">
        <x:v>0</x:v>
      </x:c>
      <x:c r="Q510" s="10" t="str">
        <x:v>Recebido</x:v>
      </x:c>
      <x:c r="R510" s="10" t="str">
        <x:v>Boleto</x:v>
      </x:c>
      <x:c r="S510" s="10" t="str">
        <x:v>2025-03</x:v>
      </x:c>
      <x:c r="T510" s="10" t="n">
        <x:v>0</x:v>
      </x:c>
      <x:c r="U510" s="10" t="str">
        <x:v>Liquidado</x:v>
      </x:c>
      <x:c r="V510" s="10" t="str">
        <x:v>Baixo</x:v>
      </x:c>
      <x:c r="W510" s="10" t="str">
        <x:v>Indústria</x:v>
      </x:c>
      <x:c r="X510" s="10" t="str">
        <x:v>UND001</x:v>
      </x:c>
    </x:row>
    <x:row r="511" ht="18" customHeight="1">
      <x:c r="A511" s="10" t="str">
        <x:v>REC00510</x:v>
      </x:c>
      <x:c r="B511" s="10" t="str">
        <x:v>EMP003</x:v>
      </x:c>
      <x:c r="C511" s="10" t="str">
        <x:v>CLI013</x:v>
      </x:c>
      <x:c r="D511" s="10" t="str">
        <x:v>CC003</x:v>
      </x:c>
      <x:c r="E511" s="10" t="str">
        <x:v>CAT002</x:v>
      </x:c>
      <x:c r="F511" s="10" t="str">
        <x:v>CTA006</x:v>
      </x:c>
      <x:c r="G511" s="10" t="str">
        <x:v>FAT-200510</x:v>
      </x:c>
      <x:c r="H511" s="10" t="str">
        <x:v>Prestação de serviços</x:v>
      </x:c>
      <x:c r="I511" s="16" t="n">
        <x:v>45468.80609925926</x:v>
      </x:c>
      <x:c r="J511" s="16" t="n">
        <x:v>45489.80609925926</x:v>
      </x:c>
      <x:c r="K511" s="16"/>
      <x:c r="L511" s="20" t="n">
        <x:v>872.4</x:v>
      </x:c>
      <x:c r="M511" s="20" t="n">
        <x:v>0</x:v>
      </x:c>
      <x:c r="N511" s="20" t="n">
        <x:v>0</x:v>
      </x:c>
      <x:c r="O511" s="20" t="n">
        <x:v>0</x:v>
      </x:c>
      <x:c r="P511" s="20" t="n">
        <x:v>872.4</x:v>
      </x:c>
      <x:c r="Q511" s="10" t="str">
        <x:v>Vencido</x:v>
      </x:c>
      <x:c r="R511" s="10" t="str">
        <x:v>PIX</x:v>
      </x:c>
      <x:c r="S511" s="10" t="str">
        <x:v>2024-06</x:v>
      </x:c>
      <x:c r="T511" s="10" t="n">
        <x:v>532</x:v>
      </x:c>
      <x:c r="U511" s="10" t="str">
        <x:v>&gt; 120 dias</x:v>
      </x:c>
      <x:c r="V511" s="10" t="str">
        <x:v>Baixo</x:v>
      </x:c>
      <x:c r="W511" s="10" t="str">
        <x:v>Serviços</x:v>
      </x:c>
      <x:c r="X511" s="10" t="str">
        <x:v>UND004</x:v>
      </x:c>
    </x:row>
    <x:row r="512" ht="18" customHeight="1">
      <x:c r="A512" s="10" t="str">
        <x:v>REC00511</x:v>
      </x:c>
      <x:c r="B512" s="10" t="str">
        <x:v>EMP003</x:v>
      </x:c>
      <x:c r="C512" s="10" t="str">
        <x:v>CLI080</x:v>
      </x:c>
      <x:c r="D512" s="10" t="str">
        <x:v>CC001</x:v>
      </x:c>
      <x:c r="E512" s="10" t="str">
        <x:v>CAT003</x:v>
      </x:c>
      <x:c r="F512" s="10" t="str">
        <x:v>CTA006</x:v>
      </x:c>
      <x:c r="G512" s="10" t="str">
        <x:v>FAT-200511</x:v>
      </x:c>
      <x:c r="H512" s="10" t="str">
        <x:v>Projeto especial</x:v>
      </x:c>
      <x:c r="I512" s="16" t="n">
        <x:v>45428.43164967593</x:v>
      </x:c>
      <x:c r="J512" s="16" t="n">
        <x:v>45449.43164967593</x:v>
      </x:c>
      <x:c r="K512" s="16" t="n">
        <x:v>45449.43164967593</x:v>
      </x:c>
      <x:c r="L512" s="20" t="n">
        <x:v>2064.88</x:v>
      </x:c>
      <x:c r="M512" s="20" t="n">
        <x:v>0</x:v>
      </x:c>
      <x:c r="N512" s="20" t="n">
        <x:v>0</x:v>
      </x:c>
      <x:c r="O512" s="20" t="n">
        <x:v>2064.88</x:v>
      </x:c>
      <x:c r="P512" s="20" t="n">
        <x:v>0</x:v>
      </x:c>
      <x:c r="Q512" s="10" t="str">
        <x:v>Recebido</x:v>
      </x:c>
      <x:c r="R512" s="10" t="str">
        <x:v>Boleto</x:v>
      </x:c>
      <x:c r="S512" s="10" t="str">
        <x:v>2024-05</x:v>
      </x:c>
      <x:c r="T512" s="10" t="n">
        <x:v>0</x:v>
      </x:c>
      <x:c r="U512" s="10" t="str">
        <x:v>Liquidado</x:v>
      </x:c>
      <x:c r="V512" s="10" t="str">
        <x:v>Médio</x:v>
      </x:c>
      <x:c r="W512" s="10" t="str">
        <x:v>Atacado</x:v>
      </x:c>
      <x:c r="X512" s="10" t="str">
        <x:v>UND004</x:v>
      </x:c>
    </x:row>
    <x:row r="513" ht="18" customHeight="1">
      <x:c r="A513" s="10" t="str">
        <x:v>REC00512</x:v>
      </x:c>
      <x:c r="B513" s="10" t="str">
        <x:v>EMP001</x:v>
      </x:c>
      <x:c r="C513" s="10" t="str">
        <x:v>CLI024</x:v>
      </x:c>
      <x:c r="D513" s="10" t="str">
        <x:v>CC003</x:v>
      </x:c>
      <x:c r="E513" s="10" t="str">
        <x:v>CAT003</x:v>
      </x:c>
      <x:c r="F513" s="10" t="str">
        <x:v>CTA002</x:v>
      </x:c>
      <x:c r="G513" s="10" t="str">
        <x:v>FAT-200512</x:v>
      </x:c>
      <x:c r="H513" s="10" t="str">
        <x:v>Contrato mensal</x:v>
      </x:c>
      <x:c r="I513" s="16" t="n">
        <x:v>45489.77666378472</x:v>
      </x:c>
      <x:c r="J513" s="16" t="n">
        <x:v>45534.77666378472</x:v>
      </x:c>
      <x:c r="K513" s="16" t="n">
        <x:v>45531.77666378472</x:v>
      </x:c>
      <x:c r="L513" s="20" t="n">
        <x:v>8453.7</x:v>
      </x:c>
      <x:c r="M513" s="20" t="n">
        <x:v>0</x:v>
      </x:c>
      <x:c r="N513" s="20" t="n">
        <x:v>42.27</x:v>
      </x:c>
      <x:c r="O513" s="20" t="n">
        <x:v>8411.43</x:v>
      </x:c>
      <x:c r="P513" s="20" t="n">
        <x:v>0</x:v>
      </x:c>
      <x:c r="Q513" s="10" t="str">
        <x:v>Recebido</x:v>
      </x:c>
      <x:c r="R513" s="10" t="str">
        <x:v>Débito em Conta</x:v>
      </x:c>
      <x:c r="S513" s="10" t="str">
        <x:v>2024-07</x:v>
      </x:c>
      <x:c r="T513" s="10" t="n">
        <x:v>0</x:v>
      </x:c>
      <x:c r="U513" s="10" t="str">
        <x:v>Liquidado</x:v>
      </x:c>
      <x:c r="V513" s="10" t="str">
        <x:v>Baixo</x:v>
      </x:c>
      <x:c r="W513" s="10" t="str">
        <x:v>Saúde</x:v>
      </x:c>
      <x:c r="X513" s="10" t="str">
        <x:v>UND002</x:v>
      </x:c>
    </x:row>
    <x:row r="514" ht="18" customHeight="1">
      <x:c r="A514" s="10" t="str">
        <x:v>REC00513</x:v>
      </x:c>
      <x:c r="B514" s="10" t="str">
        <x:v>EMP003</x:v>
      </x:c>
      <x:c r="C514" s="10" t="str">
        <x:v>CLI014</x:v>
      </x:c>
      <x:c r="D514" s="10" t="str">
        <x:v>CC007</x:v>
      </x:c>
      <x:c r="E514" s="10" t="str">
        <x:v>CAT001</x:v>
      </x:c>
      <x:c r="F514" s="10" t="str">
        <x:v>CTA006</x:v>
      </x:c>
      <x:c r="G514" s="10" t="str">
        <x:v>FAT-200513</x:v>
      </x:c>
      <x:c r="H514" s="10" t="str">
        <x:v>Projeto especial</x:v>
      </x:c>
      <x:c r="I514" s="16" t="n">
        <x:v>45510.6308346875</x:v>
      </x:c>
      <x:c r="J514" s="16" t="n">
        <x:v>45525.6308346875</x:v>
      </x:c>
      <x:c r="K514" s="16" t="n">
        <x:v>45536.6308346875</x:v>
      </x:c>
      <x:c r="L514" s="20" t="n">
        <x:v>16058.96</x:v>
      </x:c>
      <x:c r="M514" s="20" t="n">
        <x:v>141.32</x:v>
      </x:c>
      <x:c r="N514" s="20" t="n">
        <x:v>0</x:v>
      </x:c>
      <x:c r="O514" s="20" t="n">
        <x:v>16200.28</x:v>
      </x:c>
      <x:c r="P514" s="20" t="n">
        <x:v>0</x:v>
      </x:c>
      <x:c r="Q514" s="10" t="str">
        <x:v>Recebido</x:v>
      </x:c>
      <x:c r="R514" s="10" t="str">
        <x:v>Cartão</x:v>
      </x:c>
      <x:c r="S514" s="10" t="str">
        <x:v>2024-08</x:v>
      </x:c>
      <x:c r="T514" s="10" t="n">
        <x:v>0</x:v>
      </x:c>
      <x:c r="U514" s="10" t="str">
        <x:v>Liquidado</x:v>
      </x:c>
      <x:c r="V514" s="10" t="str">
        <x:v>Médio</x:v>
      </x:c>
      <x:c r="W514" s="10" t="str">
        <x:v>Saúde</x:v>
      </x:c>
      <x:c r="X514" s="10" t="str">
        <x:v>UND004</x:v>
      </x:c>
    </x:row>
    <x:row r="515" ht="18" customHeight="1">
      <x:c r="A515" s="10" t="str">
        <x:v>REC00514</x:v>
      </x:c>
      <x:c r="B515" s="10" t="str">
        <x:v>EMP001</x:v>
      </x:c>
      <x:c r="C515" s="10" t="str">
        <x:v>CLI041</x:v>
      </x:c>
      <x:c r="D515" s="10" t="str">
        <x:v>CC004</x:v>
      </x:c>
      <x:c r="E515" s="10" t="str">
        <x:v>CAT001</x:v>
      </x:c>
      <x:c r="F515" s="10" t="str">
        <x:v>CTA002</x:v>
      </x:c>
      <x:c r="G515" s="10" t="str">
        <x:v>FAT-200514</x:v>
      </x:c>
      <x:c r="H515" s="10" t="str">
        <x:v>Venda de produtos</x:v>
      </x:c>
      <x:c r="I515" s="16" t="n">
        <x:v>45928.5567375463</x:v>
      </x:c>
      <x:c r="J515" s="16" t="n">
        <x:v>45943.5567375463</x:v>
      </x:c>
      <x:c r="K515" s="16"/>
      <x:c r="L515" s="20" t="n">
        <x:v>13980.94</x:v>
      </x:c>
      <x:c r="M515" s="20" t="n">
        <x:v>0</x:v>
      </x:c>
      <x:c r="N515" s="20" t="n">
        <x:v>0</x:v>
      </x:c>
      <x:c r="O515" s="20" t="n">
        <x:v>0</x:v>
      </x:c>
      <x:c r="P515" s="20" t="n">
        <x:v>13980.94</x:v>
      </x:c>
      <x:c r="Q515" s="10" t="str">
        <x:v>Vencido</x:v>
      </x:c>
      <x:c r="R515" s="10" t="str">
        <x:v>PIX</x:v>
      </x:c>
      <x:c r="S515" s="10" t="str">
        <x:v>2025-09</x:v>
      </x:c>
      <x:c r="T515" s="10" t="n">
        <x:v>78</x:v>
      </x:c>
      <x:c r="U515" s="10" t="str">
        <x:v>61 a 90 dias</x:v>
      </x:c>
      <x:c r="V515" s="10" t="str">
        <x:v>Alto</x:v>
      </x:c>
      <x:c r="W515" s="10" t="str">
        <x:v>Indústria</x:v>
      </x:c>
      <x:c r="X515" s="10" t="str">
        <x:v>UND001</x:v>
      </x:c>
    </x:row>
    <x:row r="516" ht="18" customHeight="1">
      <x:c r="A516" s="10" t="str">
        <x:v>REC00515</x:v>
      </x:c>
      <x:c r="B516" s="10" t="str">
        <x:v>EMP001</x:v>
      </x:c>
      <x:c r="C516" s="10" t="str">
        <x:v>CLI020</x:v>
      </x:c>
      <x:c r="D516" s="10" t="str">
        <x:v>CC004</x:v>
      </x:c>
      <x:c r="E516" s="10" t="str">
        <x:v>CAT004</x:v>
      </x:c>
      <x:c r="F516" s="10" t="str">
        <x:v>CTA001</x:v>
      </x:c>
      <x:c r="G516" s="10" t="str">
        <x:v>FAT-200515</x:v>
      </x:c>
      <x:c r="H516" s="10" t="str">
        <x:v>Frete faturado</x:v>
      </x:c>
      <x:c r="I516" s="16" t="n">
        <x:v>45424.93139155093</x:v>
      </x:c>
      <x:c r="J516" s="16" t="n">
        <x:v>45484.93139155093</x:v>
      </x:c>
      <x:c r="K516" s="16" t="n">
        <x:v>45489.93139155093</x:v>
      </x:c>
      <x:c r="L516" s="20" t="n">
        <x:v>61888.5</x:v>
      </x:c>
      <x:c r="M516" s="20" t="n">
        <x:v>247.55</x:v>
      </x:c>
      <x:c r="N516" s="20" t="n">
        <x:v>0</x:v>
      </x:c>
      <x:c r="O516" s="20" t="n">
        <x:v>62136.05</x:v>
      </x:c>
      <x:c r="P516" s="20" t="n">
        <x:v>0</x:v>
      </x:c>
      <x:c r="Q516" s="10" t="str">
        <x:v>Recebido</x:v>
      </x:c>
      <x:c r="R516" s="10" t="str">
        <x:v>Cartão</x:v>
      </x:c>
      <x:c r="S516" s="10" t="str">
        <x:v>2024-05</x:v>
      </x:c>
      <x:c r="T516" s="10" t="n">
        <x:v>0</x:v>
      </x:c>
      <x:c r="U516" s="10" t="str">
        <x:v>Liquidado</x:v>
      </x:c>
      <x:c r="V516" s="10" t="str">
        <x:v>Médio</x:v>
      </x:c>
      <x:c r="W516" s="10" t="str">
        <x:v>Atacado</x:v>
      </x:c>
      <x:c r="X516" s="10" t="str">
        <x:v>UND001</x:v>
      </x:c>
    </x:row>
    <x:row r="517" ht="18" customHeight="1">
      <x:c r="A517" s="10" t="str">
        <x:v>REC00516</x:v>
      </x:c>
      <x:c r="B517" s="10" t="str">
        <x:v>EMP003</x:v>
      </x:c>
      <x:c r="C517" s="10" t="str">
        <x:v>CLI040</x:v>
      </x:c>
      <x:c r="D517" s="10" t="str">
        <x:v>CC001</x:v>
      </x:c>
      <x:c r="E517" s="10" t="str">
        <x:v>CAT003</x:v>
      </x:c>
      <x:c r="F517" s="10" t="str">
        <x:v>CTA006</x:v>
      </x:c>
      <x:c r="G517" s="10" t="str">
        <x:v>FAT-200516</x:v>
      </x:c>
      <x:c r="H517" s="10" t="str">
        <x:v>Prestação de serviços</x:v>
      </x:c>
      <x:c r="I517" s="16" t="n">
        <x:v>45402.93512599537</x:v>
      </x:c>
      <x:c r="J517" s="16" t="n">
        <x:v>45432.93512599537</x:v>
      </x:c>
      <x:c r="K517" s="16" t="n">
        <x:v>45431.93512599537</x:v>
      </x:c>
      <x:c r="L517" s="20" t="n">
        <x:v>24464.6</x:v>
      </x:c>
      <x:c r="M517" s="20" t="n">
        <x:v>0</x:v>
      </x:c>
      <x:c r="N517" s="20" t="n">
        <x:v>0</x:v>
      </x:c>
      <x:c r="O517" s="20" t="n">
        <x:v>24464.6</x:v>
      </x:c>
      <x:c r="P517" s="20" t="n">
        <x:v>0</x:v>
      </x:c>
      <x:c r="Q517" s="10" t="str">
        <x:v>Recebido</x:v>
      </x:c>
      <x:c r="R517" s="10" t="str">
        <x:v>PIX</x:v>
      </x:c>
      <x:c r="S517" s="10" t="str">
        <x:v>2024-04</x:v>
      </x:c>
      <x:c r="T517" s="10" t="n">
        <x:v>0</x:v>
      </x:c>
      <x:c r="U517" s="10" t="str">
        <x:v>Liquidado</x:v>
      </x:c>
      <x:c r="V517" s="10" t="str">
        <x:v>Baixo</x:v>
      </x:c>
      <x:c r="W517" s="10" t="str">
        <x:v>Saúde</x:v>
      </x:c>
      <x:c r="X517" s="10" t="str">
        <x:v>UND004</x:v>
      </x:c>
    </x:row>
    <x:row r="518" ht="18" customHeight="1">
      <x:c r="A518" s="10" t="str">
        <x:v>REC00517</x:v>
      </x:c>
      <x:c r="B518" s="10" t="str">
        <x:v>EMP001</x:v>
      </x:c>
      <x:c r="C518" s="10" t="str">
        <x:v>CLI032</x:v>
      </x:c>
      <x:c r="D518" s="10" t="str">
        <x:v>CC008</x:v>
      </x:c>
      <x:c r="E518" s="10" t="str">
        <x:v>CAT002</x:v>
      </x:c>
      <x:c r="F518" s="10" t="str">
        <x:v>CTA001</x:v>
      </x:c>
      <x:c r="G518" s="10" t="str">
        <x:v>FAT-200517</x:v>
      </x:c>
      <x:c r="H518" s="10" t="str">
        <x:v>Prestação de serviços</x:v>
      </x:c>
      <x:c r="I518" s="16" t="n">
        <x:v>45746.54393615741</x:v>
      </x:c>
      <x:c r="J518" s="16" t="n">
        <x:v>45774.54393615741</x:v>
      </x:c>
      <x:c r="K518" s="16" t="n">
        <x:v>45768.54393615741</x:v>
      </x:c>
      <x:c r="L518" s="20" t="n">
        <x:v>1224.13</x:v>
      </x:c>
      <x:c r="M518" s="20" t="n">
        <x:v>0</x:v>
      </x:c>
      <x:c r="N518" s="20" t="n">
        <x:v>12.24</x:v>
      </x:c>
      <x:c r="O518" s="20" t="n">
        <x:v>1211.89</x:v>
      </x:c>
      <x:c r="P518" s="20" t="n">
        <x:v>0</x:v>
      </x:c>
      <x:c r="Q518" s="10" t="str">
        <x:v>Recebido</x:v>
      </x:c>
      <x:c r="R518" s="10" t="str">
        <x:v>Boleto</x:v>
      </x:c>
      <x:c r="S518" s="10" t="str">
        <x:v>2025-03</x:v>
      </x:c>
      <x:c r="T518" s="10" t="n">
        <x:v>0</x:v>
      </x:c>
      <x:c r="U518" s="10" t="str">
        <x:v>Liquidado</x:v>
      </x:c>
      <x:c r="V518" s="10" t="str">
        <x:v>Baixo</x:v>
      </x:c>
      <x:c r="W518" s="10" t="str">
        <x:v>Tecnologia</x:v>
      </x:c>
      <x:c r="X518" s="10" t="str">
        <x:v>UND002</x:v>
      </x:c>
    </x:row>
    <x:row r="519" ht="18" customHeight="1">
      <x:c r="A519" s="10" t="str">
        <x:v>REC00518</x:v>
      </x:c>
      <x:c r="B519" s="10" t="str">
        <x:v>EMP003</x:v>
      </x:c>
      <x:c r="C519" s="10" t="str">
        <x:v>CLI026</x:v>
      </x:c>
      <x:c r="D519" s="10" t="str">
        <x:v>CC005</x:v>
      </x:c>
      <x:c r="E519" s="10" t="str">
        <x:v>CAT004</x:v>
      </x:c>
      <x:c r="F519" s="10" t="str">
        <x:v>CTA005</x:v>
      </x:c>
      <x:c r="G519" s="10" t="str">
        <x:v>FAT-200518</x:v>
      </x:c>
      <x:c r="H519" s="10" t="str">
        <x:v>Contrato mensal</x:v>
      </x:c>
      <x:c r="I519" s="16" t="n">
        <x:v>45677.899307314816</x:v>
      </x:c>
      <x:c r="J519" s="16" t="n">
        <x:v>45705.899307314816</x:v>
      </x:c>
      <x:c r="K519" s="16" t="n">
        <x:v>45713.899307314816</x:v>
      </x:c>
      <x:c r="L519" s="20" t="n">
        <x:v>106806.25</x:v>
      </x:c>
      <x:c r="M519" s="20" t="n">
        <x:v>683.56</x:v>
      </x:c>
      <x:c r="N519" s="20" t="n">
        <x:v>0</x:v>
      </x:c>
      <x:c r="O519" s="20" t="n">
        <x:v>107489.81</x:v>
      </x:c>
      <x:c r="P519" s="20" t="n">
        <x:v>0</x:v>
      </x:c>
      <x:c r="Q519" s="10" t="str">
        <x:v>Recebido</x:v>
      </x:c>
      <x:c r="R519" s="10" t="str">
        <x:v>Cartão</x:v>
      </x:c>
      <x:c r="S519" s="10" t="str">
        <x:v>2025-01</x:v>
      </x:c>
      <x:c r="T519" s="10" t="n">
        <x:v>0</x:v>
      </x:c>
      <x:c r="U519" s="10" t="str">
        <x:v>Liquidado</x:v>
      </x:c>
      <x:c r="V519" s="10" t="str">
        <x:v>Médio</x:v>
      </x:c>
      <x:c r="W519" s="10" t="str">
        <x:v>Atacado</x:v>
      </x:c>
      <x:c r="X519" s="10" t="str">
        <x:v>UND004</x:v>
      </x:c>
    </x:row>
    <x:row r="520" ht="18" customHeight="1">
      <x:c r="A520" s="10" t="str">
        <x:v>REC00519</x:v>
      </x:c>
      <x:c r="B520" s="10" t="str">
        <x:v>EMP003</x:v>
      </x:c>
      <x:c r="C520" s="10" t="str">
        <x:v>CLI054</x:v>
      </x:c>
      <x:c r="D520" s="10" t="str">
        <x:v>CC004</x:v>
      </x:c>
      <x:c r="E520" s="10" t="str">
        <x:v>CAT001</x:v>
      </x:c>
      <x:c r="F520" s="10" t="str">
        <x:v>CTA005</x:v>
      </x:c>
      <x:c r="G520" s="10" t="str">
        <x:v>FAT-200519</x:v>
      </x:c>
      <x:c r="H520" s="10" t="str">
        <x:v>Venda de produtos</x:v>
      </x:c>
      <x:c r="I520" s="16" t="n">
        <x:v>45489.01332452546</x:v>
      </x:c>
      <x:c r="J520" s="16" t="n">
        <x:v>45519.01332452546</x:v>
      </x:c>
      <x:c r="K520" s="16" t="n">
        <x:v>45531.01332452546</x:v>
      </x:c>
      <x:c r="L520" s="20" t="n">
        <x:v>7687.27</x:v>
      </x:c>
      <x:c r="M520" s="20" t="n">
        <x:v>73.8</x:v>
      </x:c>
      <x:c r="N520" s="20" t="n">
        <x:v>0</x:v>
      </x:c>
      <x:c r="O520" s="20" t="n">
        <x:v>7761.07</x:v>
      </x:c>
      <x:c r="P520" s="20" t="n">
        <x:v>0</x:v>
      </x:c>
      <x:c r="Q520" s="10" t="str">
        <x:v>Recebido</x:v>
      </x:c>
      <x:c r="R520" s="10" t="str">
        <x:v>PIX</x:v>
      </x:c>
      <x:c r="S520" s="10" t="str">
        <x:v>2024-07</x:v>
      </x:c>
      <x:c r="T520" s="10" t="n">
        <x:v>0</x:v>
      </x:c>
      <x:c r="U520" s="10" t="str">
        <x:v>Liquidado</x:v>
      </x:c>
      <x:c r="V520" s="10" t="str">
        <x:v>Médio</x:v>
      </x:c>
      <x:c r="W520" s="10" t="str">
        <x:v>Indústria</x:v>
      </x:c>
      <x:c r="X520" s="10" t="str">
        <x:v>UND004</x:v>
      </x:c>
    </x:row>
    <x:row r="521" ht="18" customHeight="1">
      <x:c r="A521" s="10" t="str">
        <x:v>REC00520</x:v>
      </x:c>
      <x:c r="B521" s="10" t="str">
        <x:v>EMP002</x:v>
      </x:c>
      <x:c r="C521" s="10" t="str">
        <x:v>CLI010</x:v>
      </x:c>
      <x:c r="D521" s="10" t="str">
        <x:v>CC007</x:v>
      </x:c>
      <x:c r="E521" s="10" t="str">
        <x:v>CAT003</x:v>
      </x:c>
      <x:c r="F521" s="10" t="str">
        <x:v>CTA004</x:v>
      </x:c>
      <x:c r="G521" s="10" t="str">
        <x:v>FAT-200520</x:v>
      </x:c>
      <x:c r="H521" s="10" t="str">
        <x:v>Prestação de serviços</x:v>
      </x:c>
      <x:c r="I521" s="16" t="n">
        <x:v>45572.10073528935</x:v>
      </x:c>
      <x:c r="J521" s="16" t="n">
        <x:v>45600.10073528935</x:v>
      </x:c>
      <x:c r="K521" s="16"/>
      <x:c r="L521" s="20" t="n">
        <x:v>23840.33</x:v>
      </x:c>
      <x:c r="M521" s="20" t="n">
        <x:v>0</x:v>
      </x:c>
      <x:c r="N521" s="20" t="n">
        <x:v>0</x:v>
      </x:c>
      <x:c r="O521" s="20" t="n">
        <x:v>0</x:v>
      </x:c>
      <x:c r="P521" s="20" t="n">
        <x:v>23840.33</x:v>
      </x:c>
      <x:c r="Q521" s="10" t="str">
        <x:v>Vencido</x:v>
      </x:c>
      <x:c r="R521" s="10" t="str">
        <x:v>TED</x:v>
      </x:c>
      <x:c r="S521" s="10" t="str">
        <x:v>2024-10</x:v>
      </x:c>
      <x:c r="T521" s="10" t="n">
        <x:v>421</x:v>
      </x:c>
      <x:c r="U521" s="10" t="str">
        <x:v>&gt; 120 dias</x:v>
      </x:c>
      <x:c r="V521" s="10" t="str">
        <x:v>Baixo</x:v>
      </x:c>
      <x:c r="W521" s="10" t="str">
        <x:v>Indústria</x:v>
      </x:c>
      <x:c r="X521" s="10" t="str">
        <x:v>UND003</x:v>
      </x:c>
    </x:row>
    <x:row r="522" ht="18" customHeight="1">
      <x:c r="A522" s="10" t="str">
        <x:v>REC00521</x:v>
      </x:c>
      <x:c r="B522" s="10" t="str">
        <x:v>EMP001</x:v>
      </x:c>
      <x:c r="C522" s="10" t="str">
        <x:v>CLI079</x:v>
      </x:c>
      <x:c r="D522" s="10" t="str">
        <x:v>CC001</x:v>
      </x:c>
      <x:c r="E522" s="10" t="str">
        <x:v>CAT002</x:v>
      </x:c>
      <x:c r="F522" s="10" t="str">
        <x:v>CTA002</x:v>
      </x:c>
      <x:c r="G522" s="10" t="str">
        <x:v>FAT-200521</x:v>
      </x:c>
      <x:c r="H522" s="10" t="str">
        <x:v>Prestação de serviços</x:v>
      </x:c>
      <x:c r="I522" s="16" t="n">
        <x:v>45892.71108707176</x:v>
      </x:c>
      <x:c r="J522" s="16" t="n">
        <x:v>45937.71108707176</x:v>
      </x:c>
      <x:c r="K522" s="16"/>
      <x:c r="L522" s="20" t="n">
        <x:v>106935.42</x:v>
      </x:c>
      <x:c r="M522" s="20" t="n">
        <x:v>0</x:v>
      </x:c>
      <x:c r="N522" s="20" t="n">
        <x:v>0</x:v>
      </x:c>
      <x:c r="O522" s="20" t="n">
        <x:v>0</x:v>
      </x:c>
      <x:c r="P522" s="20" t="n">
        <x:v>106935.42</x:v>
      </x:c>
      <x:c r="Q522" s="10" t="str">
        <x:v>Vencido</x:v>
      </x:c>
      <x:c r="R522" s="10" t="str">
        <x:v>Boleto</x:v>
      </x:c>
      <x:c r="S522" s="10" t="str">
        <x:v>2025-08</x:v>
      </x:c>
      <x:c r="T522" s="10" t="n">
        <x:v>84</x:v>
      </x:c>
      <x:c r="U522" s="10" t="str">
        <x:v>61 a 90 dias</x:v>
      </x:c>
      <x:c r="V522" s="10" t="str">
        <x:v>Baixo</x:v>
      </x:c>
      <x:c r="W522" s="10" t="str">
        <x:v>Tecnologia</x:v>
      </x:c>
      <x:c r="X522" s="10" t="str">
        <x:v>UND002</x:v>
      </x:c>
    </x:row>
    <x:row r="523" ht="18" customHeight="1">
      <x:c r="A523" s="10" t="str">
        <x:v>REC00522</x:v>
      </x:c>
      <x:c r="B523" s="10" t="str">
        <x:v>EMP003</x:v>
      </x:c>
      <x:c r="C523" s="10" t="str">
        <x:v>CLI073</x:v>
      </x:c>
      <x:c r="D523" s="10" t="str">
        <x:v>CC007</x:v>
      </x:c>
      <x:c r="E523" s="10" t="str">
        <x:v>CAT002</x:v>
      </x:c>
      <x:c r="F523" s="10" t="str">
        <x:v>CTA005</x:v>
      </x:c>
      <x:c r="G523" s="10" t="str">
        <x:v>FAT-200522</x:v>
      </x:c>
      <x:c r="H523" s="10" t="str">
        <x:v>Contrato mensal</x:v>
      </x:c>
      <x:c r="I523" s="16" t="n">
        <x:v>45328.93508916667</x:v>
      </x:c>
      <x:c r="J523" s="16" t="n">
        <x:v>45373.93508916667</x:v>
      </x:c>
      <x:c r="K523" s="16"/>
      <x:c r="L523" s="20" t="n">
        <x:v>42629.59</x:v>
      </x:c>
      <x:c r="M523" s="20" t="n">
        <x:v>0</x:v>
      </x:c>
      <x:c r="N523" s="20" t="n">
        <x:v>0</x:v>
      </x:c>
      <x:c r="O523" s="20" t="n">
        <x:v>0</x:v>
      </x:c>
      <x:c r="P523" s="20" t="n">
        <x:v>42629.59</x:v>
      </x:c>
      <x:c r="Q523" s="10" t="str">
        <x:v>Vencido</x:v>
      </x:c>
      <x:c r="R523" s="10" t="str">
        <x:v>PIX</x:v>
      </x:c>
      <x:c r="S523" s="10" t="str">
        <x:v>2024-02</x:v>
      </x:c>
      <x:c r="T523" s="10" t="n">
        <x:v>648</x:v>
      </x:c>
      <x:c r="U523" s="10" t="str">
        <x:v>&gt; 120 dias</x:v>
      </x:c>
      <x:c r="V523" s="10" t="str">
        <x:v>Alto</x:v>
      </x:c>
      <x:c r="W523" s="10" t="str">
        <x:v>Tecnologia</x:v>
      </x:c>
      <x:c r="X523" s="10" t="str">
        <x:v>UND004</x:v>
      </x:c>
    </x:row>
    <x:row r="524" ht="18" customHeight="1">
      <x:c r="A524" s="10" t="str">
        <x:v>REC00523</x:v>
      </x:c>
      <x:c r="B524" s="10" t="str">
        <x:v>EMP001</x:v>
      </x:c>
      <x:c r="C524" s="10" t="str">
        <x:v>CLI019</x:v>
      </x:c>
      <x:c r="D524" s="10" t="str">
        <x:v>CC006</x:v>
      </x:c>
      <x:c r="E524" s="10" t="str">
        <x:v>CAT004</x:v>
      </x:c>
      <x:c r="F524" s="10" t="str">
        <x:v>CTA001</x:v>
      </x:c>
      <x:c r="G524" s="10" t="str">
        <x:v>FAT-200523</x:v>
      </x:c>
      <x:c r="H524" s="10" t="str">
        <x:v>Projeto especial</x:v>
      </x:c>
      <x:c r="I524" s="16" t="n">
        <x:v>45878.69195252315</x:v>
      </x:c>
      <x:c r="J524" s="16" t="n">
        <x:v>45923.69195252315</x:v>
      </x:c>
      <x:c r="K524" s="16" t="n">
        <x:v>45926.69195252315</x:v>
      </x:c>
      <x:c r="L524" s="20" t="n">
        <x:v>109672.22</x:v>
      </x:c>
      <x:c r="M524" s="20" t="n">
        <x:v>263.21</x:v>
      </x:c>
      <x:c r="N524" s="20" t="n">
        <x:v>0</x:v>
      </x:c>
      <x:c r="O524" s="20" t="n">
        <x:v>109935.43</x:v>
      </x:c>
      <x:c r="P524" s="20" t="n">
        <x:v>0</x:v>
      </x:c>
      <x:c r="Q524" s="10" t="str">
        <x:v>Recebido</x:v>
      </x:c>
      <x:c r="R524" s="10" t="str">
        <x:v>Débito em Conta</x:v>
      </x:c>
      <x:c r="S524" s="10" t="str">
        <x:v>2025-08</x:v>
      </x:c>
      <x:c r="T524" s="10" t="n">
        <x:v>0</x:v>
      </x:c>
      <x:c r="U524" s="10" t="str">
        <x:v>Liquidado</x:v>
      </x:c>
      <x:c r="V524" s="10" t="str">
        <x:v>Alto</x:v>
      </x:c>
      <x:c r="W524" s="10" t="str">
        <x:v>Saúde</x:v>
      </x:c>
      <x:c r="X524" s="10" t="str">
        <x:v>UND001</x:v>
      </x:c>
    </x:row>
    <x:row r="525" ht="18" customHeight="1">
      <x:c r="A525" s="10" t="str">
        <x:v>REC00524</x:v>
      </x:c>
      <x:c r="B525" s="10" t="str">
        <x:v>EMP002</x:v>
      </x:c>
      <x:c r="C525" s="10" t="str">
        <x:v>CLI033</x:v>
      </x:c>
      <x:c r="D525" s="10" t="str">
        <x:v>CC004</x:v>
      </x:c>
      <x:c r="E525" s="10" t="str">
        <x:v>CAT001</x:v>
      </x:c>
      <x:c r="F525" s="10" t="str">
        <x:v>CTA004</x:v>
      </x:c>
      <x:c r="G525" s="10" t="str">
        <x:v>FAT-200524</x:v>
      </x:c>
      <x:c r="H525" s="10" t="str">
        <x:v>Prestação de serviços</x:v>
      </x:c>
      <x:c r="I525" s="16" t="n">
        <x:v>45511.54436825232</x:v>
      </x:c>
      <x:c r="J525" s="16" t="n">
        <x:v>45556.54436825232</x:v>
      </x:c>
      <x:c r="K525" s="16" t="n">
        <x:v>45569.54436825232</x:v>
      </x:c>
      <x:c r="L525" s="20" t="n">
        <x:v>56593.19</x:v>
      </x:c>
      <x:c r="M525" s="20" t="n">
        <x:v>588.57</x:v>
      </x:c>
      <x:c r="N525" s="20" t="n">
        <x:v>0</x:v>
      </x:c>
      <x:c r="O525" s="20" t="n">
        <x:v>57181.76</x:v>
      </x:c>
      <x:c r="P525" s="20" t="n">
        <x:v>0</x:v>
      </x:c>
      <x:c r="Q525" s="10" t="str">
        <x:v>Recebido</x:v>
      </x:c>
      <x:c r="R525" s="10" t="str">
        <x:v>Débito em Conta</x:v>
      </x:c>
      <x:c r="S525" s="10" t="str">
        <x:v>2024-08</x:v>
      </x:c>
      <x:c r="T525" s="10" t="n">
        <x:v>0</x:v>
      </x:c>
      <x:c r="U525" s="10" t="str">
        <x:v>Liquidado</x:v>
      </x:c>
      <x:c r="V525" s="10" t="str">
        <x:v>Médio</x:v>
      </x:c>
      <x:c r="W525" s="10" t="str">
        <x:v>Varejo</x:v>
      </x:c>
      <x:c r="X525" s="10" t="str">
        <x:v>UND003</x:v>
      </x:c>
    </x:row>
    <x:row r="526" ht="18" customHeight="1">
      <x:c r="A526" s="10" t="str">
        <x:v>REC00525</x:v>
      </x:c>
      <x:c r="B526" s="10" t="str">
        <x:v>EMP002</x:v>
      </x:c>
      <x:c r="C526" s="10" t="str">
        <x:v>CLI019</x:v>
      </x:c>
      <x:c r="D526" s="10" t="str">
        <x:v>CC008</x:v>
      </x:c>
      <x:c r="E526" s="10" t="str">
        <x:v>CAT004</x:v>
      </x:c>
      <x:c r="F526" s="10" t="str">
        <x:v>CTA003</x:v>
      </x:c>
      <x:c r="G526" s="10" t="str">
        <x:v>FAT-200525</x:v>
      </x:c>
      <x:c r="H526" s="10" t="str">
        <x:v>Projeto especial</x:v>
      </x:c>
      <x:c r="I526" s="16" t="n">
        <x:v>45726.0965896412</x:v>
      </x:c>
      <x:c r="J526" s="16" t="n">
        <x:v>45756.0965896412</x:v>
      </x:c>
      <x:c r="K526" s="16" t="n">
        <x:v>45778.0965896412</x:v>
      </x:c>
      <x:c r="L526" s="20" t="n">
        <x:v>14482.67</x:v>
      </x:c>
      <x:c r="M526" s="20" t="n">
        <x:v>254.89</x:v>
      </x:c>
      <x:c r="N526" s="20" t="n">
        <x:v>0</x:v>
      </x:c>
      <x:c r="O526" s="20" t="n">
        <x:v>14737.56</x:v>
      </x:c>
      <x:c r="P526" s="20" t="n">
        <x:v>0</x:v>
      </x:c>
      <x:c r="Q526" s="10" t="str">
        <x:v>Recebido</x:v>
      </x:c>
      <x:c r="R526" s="10" t="str">
        <x:v>Boleto</x:v>
      </x:c>
      <x:c r="S526" s="10" t="str">
        <x:v>2025-03</x:v>
      </x:c>
      <x:c r="T526" s="10" t="n">
        <x:v>0</x:v>
      </x:c>
      <x:c r="U526" s="10" t="str">
        <x:v>Liquidado</x:v>
      </x:c>
      <x:c r="V526" s="10" t="str">
        <x:v>Alto</x:v>
      </x:c>
      <x:c r="W526" s="10" t="str">
        <x:v>Saúde</x:v>
      </x:c>
      <x:c r="X526" s="10" t="str">
        <x:v>UND003</x:v>
      </x:c>
    </x:row>
    <x:row r="527" ht="18" customHeight="1">
      <x:c r="A527" s="10" t="str">
        <x:v>REC00526</x:v>
      </x:c>
      <x:c r="B527" s="10" t="str">
        <x:v>EMP003</x:v>
      </x:c>
      <x:c r="C527" s="10" t="str">
        <x:v>CLI078</x:v>
      </x:c>
      <x:c r="D527" s="10" t="str">
        <x:v>CC002</x:v>
      </x:c>
      <x:c r="E527" s="10" t="str">
        <x:v>CAT004</x:v>
      </x:c>
      <x:c r="F527" s="10" t="str">
        <x:v>CTA005</x:v>
      </x:c>
      <x:c r="G527" s="10" t="str">
        <x:v>FAT-200526</x:v>
      </x:c>
      <x:c r="H527" s="10" t="str">
        <x:v>Prestação de serviços</x:v>
      </x:c>
      <x:c r="I527" s="16" t="n">
        <x:v>45842.043066956016</x:v>
      </x:c>
      <x:c r="J527" s="16" t="n">
        <x:v>45870.043066956016</x:v>
      </x:c>
      <x:c r="K527" s="16"/>
      <x:c r="L527" s="20" t="n">
        <x:v>21851.35</x:v>
      </x:c>
      <x:c r="M527" s="20" t="n">
        <x:v>0</x:v>
      </x:c>
      <x:c r="N527" s="20" t="n">
        <x:v>0</x:v>
      </x:c>
      <x:c r="O527" s="20" t="n">
        <x:v>0</x:v>
      </x:c>
      <x:c r="P527" s="20" t="n">
        <x:v>21851.35</x:v>
      </x:c>
      <x:c r="Q527" s="10" t="str">
        <x:v>Vencido</x:v>
      </x:c>
      <x:c r="R527" s="10" t="str">
        <x:v>Boleto</x:v>
      </x:c>
      <x:c r="S527" s="10" t="str">
        <x:v>2025-07</x:v>
      </x:c>
      <x:c r="T527" s="10" t="n">
        <x:v>151</x:v>
      </x:c>
      <x:c r="U527" s="10" t="str">
        <x:v>&gt; 120 dias</x:v>
      </x:c>
      <x:c r="V527" s="10" t="str">
        <x:v>Médio</x:v>
      </x:c>
      <x:c r="W527" s="10" t="str">
        <x:v>Tecnologia</x:v>
      </x:c>
      <x:c r="X527" s="10" t="str">
        <x:v>UND004</x:v>
      </x:c>
    </x:row>
    <x:row r="528" ht="18" customHeight="1">
      <x:c r="A528" s="10" t="str">
        <x:v>REC00527</x:v>
      </x:c>
      <x:c r="B528" s="10" t="str">
        <x:v>EMP002</x:v>
      </x:c>
      <x:c r="C528" s="10" t="str">
        <x:v>CLI074</x:v>
      </x:c>
      <x:c r="D528" s="10" t="str">
        <x:v>CC004</x:v>
      </x:c>
      <x:c r="E528" s="10" t="str">
        <x:v>CAT004</x:v>
      </x:c>
      <x:c r="F528" s="10" t="str">
        <x:v>CTA004</x:v>
      </x:c>
      <x:c r="G528" s="10" t="str">
        <x:v>FAT-200527</x:v>
      </x:c>
      <x:c r="H528" s="10" t="str">
        <x:v>Venda de produtos</x:v>
      </x:c>
      <x:c r="I528" s="16" t="n">
        <x:v>45624.14185179398</x:v>
      </x:c>
      <x:c r="J528" s="16" t="n">
        <x:v>45645.14185179398</x:v>
      </x:c>
      <x:c r="K528" s="16" t="n">
        <x:v>45641.14185179398</x:v>
      </x:c>
      <x:c r="L528" s="20" t="n">
        <x:v>971.41</x:v>
      </x:c>
      <x:c r="M528" s="20" t="n">
        <x:v>0</x:v>
      </x:c>
      <x:c r="N528" s="20" t="n">
        <x:v>0</x:v>
      </x:c>
      <x:c r="O528" s="20" t="n">
        <x:v>971.41</x:v>
      </x:c>
      <x:c r="P528" s="20" t="n">
        <x:v>0</x:v>
      </x:c>
      <x:c r="Q528" s="10" t="str">
        <x:v>Recebido</x:v>
      </x:c>
      <x:c r="R528" s="10" t="str">
        <x:v>PIX</x:v>
      </x:c>
      <x:c r="S528" s="10" t="str">
        <x:v>2024-11</x:v>
      </x:c>
      <x:c r="T528" s="10" t="n">
        <x:v>0</x:v>
      </x:c>
      <x:c r="U528" s="10" t="str">
        <x:v>Liquidado</x:v>
      </x:c>
      <x:c r="V528" s="10" t="str">
        <x:v>Médio</x:v>
      </x:c>
      <x:c r="W528" s="10" t="str">
        <x:v>Tecnologia</x:v>
      </x:c>
      <x:c r="X528" s="10" t="str">
        <x:v>UND003</x:v>
      </x:c>
    </x:row>
    <x:row r="529" ht="18" customHeight="1">
      <x:c r="A529" s="10" t="str">
        <x:v>REC00528</x:v>
      </x:c>
      <x:c r="B529" s="10" t="str">
        <x:v>EMP003</x:v>
      </x:c>
      <x:c r="C529" s="10" t="str">
        <x:v>CLI002</x:v>
      </x:c>
      <x:c r="D529" s="10" t="str">
        <x:v>CC007</x:v>
      </x:c>
      <x:c r="E529" s="10" t="str">
        <x:v>CAT003</x:v>
      </x:c>
      <x:c r="F529" s="10" t="str">
        <x:v>CTA006</x:v>
      </x:c>
      <x:c r="G529" s="10" t="str">
        <x:v>FAT-200528</x:v>
      </x:c>
      <x:c r="H529" s="10" t="str">
        <x:v>Venda de produtos</x:v>
      </x:c>
      <x:c r="I529" s="16" t="n">
        <x:v>45548.536758125</x:v>
      </x:c>
      <x:c r="J529" s="16" t="n">
        <x:v>45576.536758125</x:v>
      </x:c>
      <x:c r="K529" s="16" t="n">
        <x:v>45601.536758125</x:v>
      </x:c>
      <x:c r="L529" s="20" t="n">
        <x:v>123647.35</x:v>
      </x:c>
      <x:c r="M529" s="20" t="n">
        <x:v>2472.95</x:v>
      </x:c>
      <x:c r="N529" s="20" t="n">
        <x:v>0</x:v>
      </x:c>
      <x:c r="O529" s="20" t="n">
        <x:v>126120.3</x:v>
      </x:c>
      <x:c r="P529" s="20" t="n">
        <x:v>0</x:v>
      </x:c>
      <x:c r="Q529" s="10" t="str">
        <x:v>Recebido</x:v>
      </x:c>
      <x:c r="R529" s="10" t="str">
        <x:v>Boleto</x:v>
      </x:c>
      <x:c r="S529" s="10" t="str">
        <x:v>2024-09</x:v>
      </x:c>
      <x:c r="T529" s="10" t="n">
        <x:v>0</x:v>
      </x:c>
      <x:c r="U529" s="10" t="str">
        <x:v>Liquidado</x:v>
      </x:c>
      <x:c r="V529" s="10" t="str">
        <x:v>Alto</x:v>
      </x:c>
      <x:c r="W529" s="10" t="str">
        <x:v>Serviços</x:v>
      </x:c>
      <x:c r="X529" s="10" t="str">
        <x:v>UND004</x:v>
      </x:c>
    </x:row>
    <x:row r="530" ht="18" customHeight="1">
      <x:c r="A530" s="10" t="str">
        <x:v>REC00529</x:v>
      </x:c>
      <x:c r="B530" s="10" t="str">
        <x:v>EMP002</x:v>
      </x:c>
      <x:c r="C530" s="10" t="str">
        <x:v>CLI008</x:v>
      </x:c>
      <x:c r="D530" s="10" t="str">
        <x:v>CC008</x:v>
      </x:c>
      <x:c r="E530" s="10" t="str">
        <x:v>CAT004</x:v>
      </x:c>
      <x:c r="F530" s="10" t="str">
        <x:v>CTA004</x:v>
      </x:c>
      <x:c r="G530" s="10" t="str">
        <x:v>FAT-200529</x:v>
      </x:c>
      <x:c r="H530" s="10" t="str">
        <x:v>Venda de produtos</x:v>
      </x:c>
      <x:c r="I530" s="16" t="n">
        <x:v>45771.73186497685</x:v>
      </x:c>
      <x:c r="J530" s="16" t="n">
        <x:v>45816.73186497685</x:v>
      </x:c>
      <x:c r="K530" s="16"/>
      <x:c r="L530" s="20" t="n">
        <x:v>21969.74</x:v>
      </x:c>
      <x:c r="M530" s="20" t="n">
        <x:v>0</x:v>
      </x:c>
      <x:c r="N530" s="20" t="n">
        <x:v>0</x:v>
      </x:c>
      <x:c r="O530" s="20" t="n">
        <x:v>0</x:v>
      </x:c>
      <x:c r="P530" s="20" t="n">
        <x:v>21969.74</x:v>
      </x:c>
      <x:c r="Q530" s="10" t="str">
        <x:v>Vencido</x:v>
      </x:c>
      <x:c r="R530" s="10" t="str">
        <x:v>Débito em Conta</x:v>
      </x:c>
      <x:c r="S530" s="10" t="str">
        <x:v>2025-04</x:v>
      </x:c>
      <x:c r="T530" s="10" t="n">
        <x:v>205</x:v>
      </x:c>
      <x:c r="U530" s="10" t="str">
        <x:v>&gt; 120 dias</x:v>
      </x:c>
      <x:c r="V530" s="10" t="str">
        <x:v>Médio</x:v>
      </x:c>
      <x:c r="W530" s="10" t="str">
        <x:v>Saúde</x:v>
      </x:c>
      <x:c r="X530" s="10" t="str">
        <x:v>UND003</x:v>
      </x:c>
    </x:row>
    <x:row r="531" ht="18" customHeight="1">
      <x:c r="A531" s="10" t="str">
        <x:v>REC00530</x:v>
      </x:c>
      <x:c r="B531" s="10" t="str">
        <x:v>EMP001</x:v>
      </x:c>
      <x:c r="C531" s="10" t="str">
        <x:v>CLI032</x:v>
      </x:c>
      <x:c r="D531" s="10" t="str">
        <x:v>CC008</x:v>
      </x:c>
      <x:c r="E531" s="10" t="str">
        <x:v>CAT003</x:v>
      </x:c>
      <x:c r="F531" s="10" t="str">
        <x:v>CTA002</x:v>
      </x:c>
      <x:c r="G531" s="10" t="str">
        <x:v>FAT-200530</x:v>
      </x:c>
      <x:c r="H531" s="10" t="str">
        <x:v>Venda de produtos</x:v>
      </x:c>
      <x:c r="I531" s="16" t="n">
        <x:v>45667.04044949074</x:v>
      </x:c>
      <x:c r="J531" s="16" t="n">
        <x:v>45712.04044949074</x:v>
      </x:c>
      <x:c r="K531" s="16" t="n">
        <x:v>45707.04044949074</x:v>
      </x:c>
      <x:c r="L531" s="20" t="n">
        <x:v>43785.46</x:v>
      </x:c>
      <x:c r="M531" s="20" t="n">
        <x:v>0</x:v>
      </x:c>
      <x:c r="N531" s="20" t="n">
        <x:v>875.71</x:v>
      </x:c>
      <x:c r="O531" s="20" t="n">
        <x:v>42909.75</x:v>
      </x:c>
      <x:c r="P531" s="20" t="n">
        <x:v>0</x:v>
      </x:c>
      <x:c r="Q531" s="10" t="str">
        <x:v>Recebido</x:v>
      </x:c>
      <x:c r="R531" s="10" t="str">
        <x:v>TED</x:v>
      </x:c>
      <x:c r="S531" s="10" t="str">
        <x:v>2025-01</x:v>
      </x:c>
      <x:c r="T531" s="10" t="n">
        <x:v>0</x:v>
      </x:c>
      <x:c r="U531" s="10" t="str">
        <x:v>Liquidado</x:v>
      </x:c>
      <x:c r="V531" s="10" t="str">
        <x:v>Baixo</x:v>
      </x:c>
      <x:c r="W531" s="10" t="str">
        <x:v>Tecnologia</x:v>
      </x:c>
      <x:c r="X531" s="10" t="str">
        <x:v>UND002</x:v>
      </x:c>
    </x:row>
    <x:row r="532" ht="18" customHeight="1">
      <x:c r="A532" s="10" t="str">
        <x:v>REC00531</x:v>
      </x:c>
      <x:c r="B532" s="10" t="str">
        <x:v>EMP002</x:v>
      </x:c>
      <x:c r="C532" s="10" t="str">
        <x:v>CLI020</x:v>
      </x:c>
      <x:c r="D532" s="10" t="str">
        <x:v>CC001</x:v>
      </x:c>
      <x:c r="E532" s="10" t="str">
        <x:v>CAT004</x:v>
      </x:c>
      <x:c r="F532" s="10" t="str">
        <x:v>CTA004</x:v>
      </x:c>
      <x:c r="G532" s="10" t="str">
        <x:v>FAT-200531</x:v>
      </x:c>
      <x:c r="H532" s="10" t="str">
        <x:v>Frete faturado</x:v>
      </x:c>
      <x:c r="I532" s="16" t="n">
        <x:v>45629.56578670139</x:v>
      </x:c>
      <x:c r="J532" s="16" t="n">
        <x:v>45664.56578670139</x:v>
      </x:c>
      <x:c r="K532" s="16" t="n">
        <x:v>45674.56578670139</x:v>
      </x:c>
      <x:c r="L532" s="20" t="n">
        <x:v>9164.94</x:v>
      </x:c>
      <x:c r="M532" s="20" t="n">
        <x:v>73.32</x:v>
      </x:c>
      <x:c r="N532" s="20" t="n">
        <x:v>0</x:v>
      </x:c>
      <x:c r="O532" s="20" t="n">
        <x:v>9238.26</x:v>
      </x:c>
      <x:c r="P532" s="20" t="n">
        <x:v>0</x:v>
      </x:c>
      <x:c r="Q532" s="10" t="str">
        <x:v>Recebido</x:v>
      </x:c>
      <x:c r="R532" s="10" t="str">
        <x:v>Boleto</x:v>
      </x:c>
      <x:c r="S532" s="10" t="str">
        <x:v>2024-12</x:v>
      </x:c>
      <x:c r="T532" s="10" t="n">
        <x:v>0</x:v>
      </x:c>
      <x:c r="U532" s="10" t="str">
        <x:v>Liquidado</x:v>
      </x:c>
      <x:c r="V532" s="10" t="str">
        <x:v>Médio</x:v>
      </x:c>
      <x:c r="W532" s="10" t="str">
        <x:v>Atacado</x:v>
      </x:c>
      <x:c r="X532" s="10" t="str">
        <x:v>UND003</x:v>
      </x:c>
    </x:row>
    <x:row r="533" ht="18" customHeight="1">
      <x:c r="A533" s="10" t="str">
        <x:v>REC00532</x:v>
      </x:c>
      <x:c r="B533" s="10" t="str">
        <x:v>EMP002</x:v>
      </x:c>
      <x:c r="C533" s="10" t="str">
        <x:v>CLI035</x:v>
      </x:c>
      <x:c r="D533" s="10" t="str">
        <x:v>CC004</x:v>
      </x:c>
      <x:c r="E533" s="10" t="str">
        <x:v>CAT002</x:v>
      </x:c>
      <x:c r="F533" s="10" t="str">
        <x:v>CTA004</x:v>
      </x:c>
      <x:c r="G533" s="10" t="str">
        <x:v>FAT-200532</x:v>
      </x:c>
      <x:c r="H533" s="10" t="str">
        <x:v>Projeto especial</x:v>
      </x:c>
      <x:c r="I533" s="16" t="n">
        <x:v>45800.41029288194</x:v>
      </x:c>
      <x:c r="J533" s="16" t="n">
        <x:v>45860.41029288194</x:v>
      </x:c>
      <x:c r="K533" s="16"/>
      <x:c r="L533" s="20" t="n">
        <x:v>16503.76</x:v>
      </x:c>
      <x:c r="M533" s="20" t="n">
        <x:v>0</x:v>
      </x:c>
      <x:c r="N533" s="20" t="n">
        <x:v>0</x:v>
      </x:c>
      <x:c r="O533" s="20" t="n">
        <x:v>0</x:v>
      </x:c>
      <x:c r="P533" s="20" t="n">
        <x:v>16503.76</x:v>
      </x:c>
      <x:c r="Q533" s="10" t="str">
        <x:v>Vencido</x:v>
      </x:c>
      <x:c r="R533" s="10" t="str">
        <x:v>Débito em Conta</x:v>
      </x:c>
      <x:c r="S533" s="10" t="str">
        <x:v>2025-05</x:v>
      </x:c>
      <x:c r="T533" s="10" t="n">
        <x:v>161</x:v>
      </x:c>
      <x:c r="U533" s="10" t="str">
        <x:v>&gt; 120 dias</x:v>
      </x:c>
      <x:c r="V533" s="10" t="str">
        <x:v>Médio</x:v>
      </x:c>
      <x:c r="W533" s="10" t="str">
        <x:v>Varejo</x:v>
      </x:c>
      <x:c r="X533" s="10" t="str">
        <x:v>UND003</x:v>
      </x:c>
    </x:row>
    <x:row r="534" ht="18" customHeight="1">
      <x:c r="A534" s="10" t="str">
        <x:v>REC00533</x:v>
      </x:c>
      <x:c r="B534" s="10" t="str">
        <x:v>EMP002</x:v>
      </x:c>
      <x:c r="C534" s="10" t="str">
        <x:v>CLI073</x:v>
      </x:c>
      <x:c r="D534" s="10" t="str">
        <x:v>CC001</x:v>
      </x:c>
      <x:c r="E534" s="10" t="str">
        <x:v>CAT002</x:v>
      </x:c>
      <x:c r="F534" s="10" t="str">
        <x:v>CTA003</x:v>
      </x:c>
      <x:c r="G534" s="10" t="str">
        <x:v>FAT-200533</x:v>
      </x:c>
      <x:c r="H534" s="10" t="str">
        <x:v>Prestação de serviços</x:v>
      </x:c>
      <x:c r="I534" s="16" t="n">
        <x:v>45650.57408453704</x:v>
      </x:c>
      <x:c r="J534" s="16" t="n">
        <x:v>45710.57408453704</x:v>
      </x:c>
      <x:c r="K534" s="16" t="n">
        <x:v>45735.57408453704</x:v>
      </x:c>
      <x:c r="L534" s="20" t="n">
        <x:v>64753.82</x:v>
      </x:c>
      <x:c r="M534" s="20" t="n">
        <x:v>1295.08</x:v>
      </x:c>
      <x:c r="N534" s="20" t="n">
        <x:v>0</x:v>
      </x:c>
      <x:c r="O534" s="20" t="n">
        <x:v>66048.9</x:v>
      </x:c>
      <x:c r="P534" s="20" t="n">
        <x:v>0</x:v>
      </x:c>
      <x:c r="Q534" s="10" t="str">
        <x:v>Recebido</x:v>
      </x:c>
      <x:c r="R534" s="10" t="str">
        <x:v>PIX</x:v>
      </x:c>
      <x:c r="S534" s="10" t="str">
        <x:v>2024-12</x:v>
      </x:c>
      <x:c r="T534" s="10" t="n">
        <x:v>0</x:v>
      </x:c>
      <x:c r="U534" s="10" t="str">
        <x:v>Liquidado</x:v>
      </x:c>
      <x:c r="V534" s="10" t="str">
        <x:v>Alto</x:v>
      </x:c>
      <x:c r="W534" s="10" t="str">
        <x:v>Tecnologia</x:v>
      </x:c>
      <x:c r="X534" s="10" t="str">
        <x:v>UND003</x:v>
      </x:c>
    </x:row>
    <x:row r="535" ht="18" customHeight="1">
      <x:c r="A535" s="10" t="str">
        <x:v>REC00534</x:v>
      </x:c>
      <x:c r="B535" s="10" t="str">
        <x:v>EMP001</x:v>
      </x:c>
      <x:c r="C535" s="10" t="str">
        <x:v>CLI068</x:v>
      </x:c>
      <x:c r="D535" s="10" t="str">
        <x:v>CC002</x:v>
      </x:c>
      <x:c r="E535" s="10" t="str">
        <x:v>CAT002</x:v>
      </x:c>
      <x:c r="F535" s="10" t="str">
        <x:v>CTA002</x:v>
      </x:c>
      <x:c r="G535" s="10" t="str">
        <x:v>FAT-200534</x:v>
      </x:c>
      <x:c r="H535" s="10" t="str">
        <x:v>Prestação de serviços</x:v>
      </x:c>
      <x:c r="I535" s="16" t="n">
        <x:v>45928.04540423611</x:v>
      </x:c>
      <x:c r="J535" s="16" t="n">
        <x:v>45973.04540423611</x:v>
      </x:c>
      <x:c r="K535" s="16" t="n">
        <x:v>45972.04540423611</x:v>
      </x:c>
      <x:c r="L535" s="20" t="n">
        <x:v>46605.39</x:v>
      </x:c>
      <x:c r="M535" s="20" t="n">
        <x:v>0</x:v>
      </x:c>
      <x:c r="N535" s="20" t="n">
        <x:v>0</x:v>
      </x:c>
      <x:c r="O535" s="20" t="n">
        <x:v>46605.39</x:v>
      </x:c>
      <x:c r="P535" s="20" t="n">
        <x:v>0</x:v>
      </x:c>
      <x:c r="Q535" s="10" t="str">
        <x:v>Recebido</x:v>
      </x:c>
      <x:c r="R535" s="10" t="str">
        <x:v>Boleto</x:v>
      </x:c>
      <x:c r="S535" s="10" t="str">
        <x:v>2025-09</x:v>
      </x:c>
      <x:c r="T535" s="10" t="n">
        <x:v>0</x:v>
      </x:c>
      <x:c r="U535" s="10" t="str">
        <x:v>Liquidado</x:v>
      </x:c>
      <x:c r="V535" s="10" t="str">
        <x:v>Médio</x:v>
      </x:c>
      <x:c r="W535" s="10" t="str">
        <x:v>Varejo</x:v>
      </x:c>
      <x:c r="X535" s="10" t="str">
        <x:v>UND001</x:v>
      </x:c>
    </x:row>
    <x:row r="536" ht="18" customHeight="1">
      <x:c r="A536" s="10" t="str">
        <x:v>REC00535</x:v>
      </x:c>
      <x:c r="B536" s="10" t="str">
        <x:v>EMP003</x:v>
      </x:c>
      <x:c r="C536" s="10" t="str">
        <x:v>CLI005</x:v>
      </x:c>
      <x:c r="D536" s="10" t="str">
        <x:v>CC005</x:v>
      </x:c>
      <x:c r="E536" s="10" t="str">
        <x:v>CAT002</x:v>
      </x:c>
      <x:c r="F536" s="10" t="str">
        <x:v>CTA006</x:v>
      </x:c>
      <x:c r="G536" s="10" t="str">
        <x:v>FAT-200535</x:v>
      </x:c>
      <x:c r="H536" s="10" t="str">
        <x:v>Venda de produtos</x:v>
      </x:c>
      <x:c r="I536" s="16" t="n">
        <x:v>45650.12155078704</x:v>
      </x:c>
      <x:c r="J536" s="16" t="n">
        <x:v>45710.12155078704</x:v>
      </x:c>
      <x:c r="K536" s="16" t="n">
        <x:v>45711.12155078704</x:v>
      </x:c>
      <x:c r="L536" s="20" t="n">
        <x:v>3853.37</x:v>
      </x:c>
      <x:c r="M536" s="20" t="n">
        <x:v>3.08</x:v>
      </x:c>
      <x:c r="N536" s="20" t="n">
        <x:v>0</x:v>
      </x:c>
      <x:c r="O536" s="20" t="n">
        <x:v>3856.45</x:v>
      </x:c>
      <x:c r="P536" s="20" t="n">
        <x:v>0</x:v>
      </x:c>
      <x:c r="Q536" s="10" t="str">
        <x:v>Recebido</x:v>
      </x:c>
      <x:c r="R536" s="10" t="str">
        <x:v>TED</x:v>
      </x:c>
      <x:c r="S536" s="10" t="str">
        <x:v>2024-12</x:v>
      </x:c>
      <x:c r="T536" s="10" t="n">
        <x:v>0</x:v>
      </x:c>
      <x:c r="U536" s="10" t="str">
        <x:v>Liquidado</x:v>
      </x:c>
      <x:c r="V536" s="10" t="str">
        <x:v>Baixo</x:v>
      </x:c>
      <x:c r="W536" s="10" t="str">
        <x:v>Atacado</x:v>
      </x:c>
      <x:c r="X536" s="10" t="str">
        <x:v>UND004</x:v>
      </x:c>
    </x:row>
    <x:row r="537" ht="18" customHeight="1">
      <x:c r="A537" s="10" t="str">
        <x:v>REC00536</x:v>
      </x:c>
      <x:c r="B537" s="10" t="str">
        <x:v>EMP003</x:v>
      </x:c>
      <x:c r="C537" s="10" t="str">
        <x:v>CLI042</x:v>
      </x:c>
      <x:c r="D537" s="10" t="str">
        <x:v>CC008</x:v>
      </x:c>
      <x:c r="E537" s="10" t="str">
        <x:v>CAT003</x:v>
      </x:c>
      <x:c r="F537" s="10" t="str">
        <x:v>CTA006</x:v>
      </x:c>
      <x:c r="G537" s="10" t="str">
        <x:v>FAT-200536</x:v>
      </x:c>
      <x:c r="H537" s="10" t="str">
        <x:v>Projeto especial</x:v>
      </x:c>
      <x:c r="I537" s="16" t="n">
        <x:v>45792.86227524305</x:v>
      </x:c>
      <x:c r="J537" s="16" t="n">
        <x:v>45827.86227524305</x:v>
      </x:c>
      <x:c r="K537" s="16" t="n">
        <x:v>45822.86227524305</x:v>
      </x:c>
      <x:c r="L537" s="20" t="n">
        <x:v>8376.6</x:v>
      </x:c>
      <x:c r="M537" s="20" t="n">
        <x:v>0</x:v>
      </x:c>
      <x:c r="N537" s="20" t="n">
        <x:v>0</x:v>
      </x:c>
      <x:c r="O537" s="20" t="n">
        <x:v>8376.6</x:v>
      </x:c>
      <x:c r="P537" s="20" t="n">
        <x:v>0</x:v>
      </x:c>
      <x:c r="Q537" s="10" t="str">
        <x:v>Recebido</x:v>
      </x:c>
      <x:c r="R537" s="10" t="str">
        <x:v>PIX</x:v>
      </x:c>
      <x:c r="S537" s="10" t="str">
        <x:v>2025-05</x:v>
      </x:c>
      <x:c r="T537" s="10" t="n">
        <x:v>0</x:v>
      </x:c>
      <x:c r="U537" s="10" t="str">
        <x:v>Liquidado</x:v>
      </x:c>
      <x:c r="V537" s="10" t="str">
        <x:v>Baixo</x:v>
      </x:c>
      <x:c r="W537" s="10" t="str">
        <x:v>Varejo</x:v>
      </x:c>
      <x:c r="X537" s="10" t="str">
        <x:v>UND004</x:v>
      </x:c>
    </x:row>
    <x:row r="538" ht="18" customHeight="1">
      <x:c r="A538" s="10" t="str">
        <x:v>REC00537</x:v>
      </x:c>
      <x:c r="B538" s="10" t="str">
        <x:v>EMP001</x:v>
      </x:c>
      <x:c r="C538" s="10" t="str">
        <x:v>CLI005</x:v>
      </x:c>
      <x:c r="D538" s="10" t="str">
        <x:v>CC002</x:v>
      </x:c>
      <x:c r="E538" s="10" t="str">
        <x:v>CAT002</x:v>
      </x:c>
      <x:c r="F538" s="10" t="str">
        <x:v>CTA002</x:v>
      </x:c>
      <x:c r="G538" s="10" t="str">
        <x:v>FAT-200537</x:v>
      </x:c>
      <x:c r="H538" s="10" t="str">
        <x:v>Frete faturado</x:v>
      </x:c>
      <x:c r="I538" s="16" t="n">
        <x:v>45699.81561638889</x:v>
      </x:c>
      <x:c r="J538" s="16" t="n">
        <x:v>45734.81561638889</x:v>
      </x:c>
      <x:c r="K538" s="16" t="n">
        <x:v>45731.81561638889</x:v>
      </x:c>
      <x:c r="L538" s="20" t="n">
        <x:v>8854.45</x:v>
      </x:c>
      <x:c r="M538" s="20" t="n">
        <x:v>0</x:v>
      </x:c>
      <x:c r="N538" s="20" t="n">
        <x:v>0</x:v>
      </x:c>
      <x:c r="O538" s="20" t="n">
        <x:v>8854.45</x:v>
      </x:c>
      <x:c r="P538" s="20" t="n">
        <x:v>0</x:v>
      </x:c>
      <x:c r="Q538" s="10" t="str">
        <x:v>Recebido</x:v>
      </x:c>
      <x:c r="R538" s="10" t="str">
        <x:v>Cartão</x:v>
      </x:c>
      <x:c r="S538" s="10" t="str">
        <x:v>2025-02</x:v>
      </x:c>
      <x:c r="T538" s="10" t="n">
        <x:v>0</x:v>
      </x:c>
      <x:c r="U538" s="10" t="str">
        <x:v>Liquidado</x:v>
      </x:c>
      <x:c r="V538" s="10" t="str">
        <x:v>Baixo</x:v>
      </x:c>
      <x:c r="W538" s="10" t="str">
        <x:v>Atacado</x:v>
      </x:c>
      <x:c r="X538" s="10" t="str">
        <x:v>UND001</x:v>
      </x:c>
    </x:row>
    <x:row r="539" ht="18" customHeight="1">
      <x:c r="A539" s="10" t="str">
        <x:v>REC00538</x:v>
      </x:c>
      <x:c r="B539" s="10" t="str">
        <x:v>EMP002</x:v>
      </x:c>
      <x:c r="C539" s="10" t="str">
        <x:v>CLI055</x:v>
      </x:c>
      <x:c r="D539" s="10" t="str">
        <x:v>CC006</x:v>
      </x:c>
      <x:c r="E539" s="10" t="str">
        <x:v>CAT003</x:v>
      </x:c>
      <x:c r="F539" s="10" t="str">
        <x:v>CTA004</x:v>
      </x:c>
      <x:c r="G539" s="10" t="str">
        <x:v>FAT-200538</x:v>
      </x:c>
      <x:c r="H539" s="10" t="str">
        <x:v>Projeto especial</x:v>
      </x:c>
      <x:c r="I539" s="16" t="n">
        <x:v>45516.89127547454</x:v>
      </x:c>
      <x:c r="J539" s="16" t="n">
        <x:v>45561.89127547454</x:v>
      </x:c>
      <x:c r="K539" s="16" t="n">
        <x:v>45559.89127547454</x:v>
      </x:c>
      <x:c r="L539" s="20" t="n">
        <x:v>119001.96</x:v>
      </x:c>
      <x:c r="M539" s="20" t="n">
        <x:v>0</x:v>
      </x:c>
      <x:c r="N539" s="20" t="n">
        <x:v>2380.04</x:v>
      </x:c>
      <x:c r="O539" s="20" t="n">
        <x:v>116621.92</x:v>
      </x:c>
      <x:c r="P539" s="20" t="n">
        <x:v>0</x:v>
      </x:c>
      <x:c r="Q539" s="10" t="str">
        <x:v>Recebido</x:v>
      </x:c>
      <x:c r="R539" s="10" t="str">
        <x:v>Boleto</x:v>
      </x:c>
      <x:c r="S539" s="10" t="str">
        <x:v>2024-08</x:v>
      </x:c>
      <x:c r="T539" s="10" t="n">
        <x:v>0</x:v>
      </x:c>
      <x:c r="U539" s="10" t="str">
        <x:v>Liquidado</x:v>
      </x:c>
      <x:c r="V539" s="10" t="str">
        <x:v>Baixo</x:v>
      </x:c>
      <x:c r="W539" s="10" t="str">
        <x:v>Serviços</x:v>
      </x:c>
      <x:c r="X539" s="10" t="str">
        <x:v>UND003</x:v>
      </x:c>
    </x:row>
    <x:row r="540" ht="18" customHeight="1">
      <x:c r="A540" s="10" t="str">
        <x:v>REC00539</x:v>
      </x:c>
      <x:c r="B540" s="10" t="str">
        <x:v>EMP002</x:v>
      </x:c>
      <x:c r="C540" s="10" t="str">
        <x:v>CLI009</x:v>
      </x:c>
      <x:c r="D540" s="10" t="str">
        <x:v>CC003</x:v>
      </x:c>
      <x:c r="E540" s="10" t="str">
        <x:v>CAT004</x:v>
      </x:c>
      <x:c r="F540" s="10" t="str">
        <x:v>CTA003</x:v>
      </x:c>
      <x:c r="G540" s="10" t="str">
        <x:v>FAT-200539</x:v>
      </x:c>
      <x:c r="H540" s="10" t="str">
        <x:v>Frete faturado</x:v>
      </x:c>
      <x:c r="I540" s="16" t="n">
        <x:v>45447.01832549769</x:v>
      </x:c>
      <x:c r="J540" s="16" t="n">
        <x:v>45482.01832549769</x:v>
      </x:c>
      <x:c r="K540" s="16" t="n">
        <x:v>45486.01832549769</x:v>
      </x:c>
      <x:c r="L540" s="20" t="n">
        <x:v>14450.1</x:v>
      </x:c>
      <x:c r="M540" s="20" t="n">
        <x:v>46.24</x:v>
      </x:c>
      <x:c r="N540" s="20" t="n">
        <x:v>0</x:v>
      </x:c>
      <x:c r="O540" s="20" t="n">
        <x:v>14496.34</x:v>
      </x:c>
      <x:c r="P540" s="20" t="n">
        <x:v>0</x:v>
      </x:c>
      <x:c r="Q540" s="10" t="str">
        <x:v>Recebido</x:v>
      </x:c>
      <x:c r="R540" s="10" t="str">
        <x:v>Cartão</x:v>
      </x:c>
      <x:c r="S540" s="10" t="str">
        <x:v>2024-06</x:v>
      </x:c>
      <x:c r="T540" s="10" t="n">
        <x:v>0</x:v>
      </x:c>
      <x:c r="U540" s="10" t="str">
        <x:v>Liquidado</x:v>
      </x:c>
      <x:c r="V540" s="10" t="str">
        <x:v>Médio</x:v>
      </x:c>
      <x:c r="W540" s="10" t="str">
        <x:v>Saúde</x:v>
      </x:c>
      <x:c r="X540" s="10" t="str">
        <x:v>UND003</x:v>
      </x:c>
    </x:row>
    <x:row r="541" ht="18" customHeight="1">
      <x:c r="A541" s="10" t="str">
        <x:v>REC00540</x:v>
      </x:c>
      <x:c r="B541" s="10" t="str">
        <x:v>EMP003</x:v>
      </x:c>
      <x:c r="C541" s="10" t="str">
        <x:v>CLI011</x:v>
      </x:c>
      <x:c r="D541" s="10" t="str">
        <x:v>CC008</x:v>
      </x:c>
      <x:c r="E541" s="10" t="str">
        <x:v>CAT003</x:v>
      </x:c>
      <x:c r="F541" s="10" t="str">
        <x:v>CTA006</x:v>
      </x:c>
      <x:c r="G541" s="10" t="str">
        <x:v>FAT-200540</x:v>
      </x:c>
      <x:c r="H541" s="10" t="str">
        <x:v>Prestação de serviços</x:v>
      </x:c>
      <x:c r="I541" s="16" t="n">
        <x:v>45409.98315857639</x:v>
      </x:c>
      <x:c r="J541" s="16" t="n">
        <x:v>45469.98315857639</x:v>
      </x:c>
      <x:c r="K541" s="16" t="n">
        <x:v>45468.98315857639</x:v>
      </x:c>
      <x:c r="L541" s="20" t="n">
        <x:v>38035.56</x:v>
      </x:c>
      <x:c r="M541" s="20" t="n">
        <x:v>0</x:v>
      </x:c>
      <x:c r="N541" s="20" t="n">
        <x:v>0</x:v>
      </x:c>
      <x:c r="O541" s="20" t="n">
        <x:v>38035.56</x:v>
      </x:c>
      <x:c r="P541" s="20" t="n">
        <x:v>0</x:v>
      </x:c>
      <x:c r="Q541" s="10" t="str">
        <x:v>Recebido</x:v>
      </x:c>
      <x:c r="R541" s="10" t="str">
        <x:v>TED</x:v>
      </x:c>
      <x:c r="S541" s="10" t="str">
        <x:v>2024-04</x:v>
      </x:c>
      <x:c r="T541" s="10" t="n">
        <x:v>0</x:v>
      </x:c>
      <x:c r="U541" s="10" t="str">
        <x:v>Liquidado</x:v>
      </x:c>
      <x:c r="V541" s="10" t="str">
        <x:v>Alto</x:v>
      </x:c>
      <x:c r="W541" s="10" t="str">
        <x:v>Serviços</x:v>
      </x:c>
      <x:c r="X541" s="10" t="str">
        <x:v>UND004</x:v>
      </x:c>
    </x:row>
    <x:row r="542" ht="18" customHeight="1">
      <x:c r="A542" s="10" t="str">
        <x:v>REC00541</x:v>
      </x:c>
      <x:c r="B542" s="10" t="str">
        <x:v>EMP003</x:v>
      </x:c>
      <x:c r="C542" s="10" t="str">
        <x:v>CLI029</x:v>
      </x:c>
      <x:c r="D542" s="10" t="str">
        <x:v>CC001</x:v>
      </x:c>
      <x:c r="E542" s="10" t="str">
        <x:v>CAT003</x:v>
      </x:c>
      <x:c r="F542" s="10" t="str">
        <x:v>CTA005</x:v>
      </x:c>
      <x:c r="G542" s="10" t="str">
        <x:v>FAT-200541</x:v>
      </x:c>
      <x:c r="H542" s="10" t="str">
        <x:v>Prestação de serviços</x:v>
      </x:c>
      <x:c r="I542" s="16" t="n">
        <x:v>45988.15521733796</x:v>
      </x:c>
      <x:c r="J542" s="16" t="n">
        <x:v>46023.15521733796</x:v>
      </x:c>
      <x:c r="K542" s="16"/>
      <x:c r="L542" s="20" t="n">
        <x:v>58454.31</x:v>
      </x:c>
      <x:c r="M542" s="20" t="n">
        <x:v>0</x:v>
      </x:c>
      <x:c r="N542" s="20" t="n">
        <x:v>0</x:v>
      </x:c>
      <x:c r="O542" s="20" t="n">
        <x:v>0</x:v>
      </x:c>
      <x:c r="P542" s="20" t="n">
        <x:v>58454.31</x:v>
      </x:c>
      <x:c r="Q542" s="10" t="str">
        <x:v>A vencer</x:v>
      </x:c>
      <x:c r="R542" s="10" t="str">
        <x:v>Débito em Conta</x:v>
      </x:c>
      <x:c r="S542" s="10" t="str">
        <x:v>2025-11</x:v>
      </x:c>
      <x:c r="T542" s="10" t="n">
        <x:v>0</x:v>
      </x:c>
      <x:c r="U542" s="10" t="str">
        <x:v>A vencer</x:v>
      </x:c>
      <x:c r="V542" s="10" t="str">
        <x:v>Baixo</x:v>
      </x:c>
      <x:c r="W542" s="10" t="str">
        <x:v>Tecnologia</x:v>
      </x:c>
      <x:c r="X542" s="10" t="str">
        <x:v>UND004</x:v>
      </x:c>
    </x:row>
    <x:row r="543" ht="18" customHeight="1">
      <x:c r="A543" s="10" t="str">
        <x:v>REC00542</x:v>
      </x:c>
      <x:c r="B543" s="10" t="str">
        <x:v>EMP003</x:v>
      </x:c>
      <x:c r="C543" s="10" t="str">
        <x:v>CLI017</x:v>
      </x:c>
      <x:c r="D543" s="10" t="str">
        <x:v>CC005</x:v>
      </x:c>
      <x:c r="E543" s="10" t="str">
        <x:v>CAT003</x:v>
      </x:c>
      <x:c r="F543" s="10" t="str">
        <x:v>CTA005</x:v>
      </x:c>
      <x:c r="G543" s="10" t="str">
        <x:v>FAT-200542</x:v>
      </x:c>
      <x:c r="H543" s="10" t="str">
        <x:v>Projeto especial</x:v>
      </x:c>
      <x:c r="I543" s="16" t="n">
        <x:v>45805.79852556713</x:v>
      </x:c>
      <x:c r="J543" s="16" t="n">
        <x:v>45833.79852556713</x:v>
      </x:c>
      <x:c r="K543" s="16" t="n">
        <x:v>45833.79852556713</x:v>
      </x:c>
      <x:c r="L543" s="20" t="n">
        <x:v>10515.14</x:v>
      </x:c>
      <x:c r="M543" s="20" t="n">
        <x:v>0</x:v>
      </x:c>
      <x:c r="N543" s="20" t="n">
        <x:v>0</x:v>
      </x:c>
      <x:c r="O543" s="20" t="n">
        <x:v>10515.14</x:v>
      </x:c>
      <x:c r="P543" s="20" t="n">
        <x:v>0</x:v>
      </x:c>
      <x:c r="Q543" s="10" t="str">
        <x:v>Recebido</x:v>
      </x:c>
      <x:c r="R543" s="10" t="str">
        <x:v>Cartão</x:v>
      </x:c>
      <x:c r="S543" s="10" t="str">
        <x:v>2025-05</x:v>
      </x:c>
      <x:c r="T543" s="10" t="n">
        <x:v>0</x:v>
      </x:c>
      <x:c r="U543" s="10" t="str">
        <x:v>Liquidado</x:v>
      </x:c>
      <x:c r="V543" s="10" t="str">
        <x:v>Médio</x:v>
      </x:c>
      <x:c r="W543" s="10" t="str">
        <x:v>Atacado</x:v>
      </x:c>
      <x:c r="X543" s="10" t="str">
        <x:v>UND004</x:v>
      </x:c>
    </x:row>
    <x:row r="544" ht="18" customHeight="1">
      <x:c r="A544" s="10" t="str">
        <x:v>REC00543</x:v>
      </x:c>
      <x:c r="B544" s="10" t="str">
        <x:v>EMP001</x:v>
      </x:c>
      <x:c r="C544" s="10" t="str">
        <x:v>CLI008</x:v>
      </x:c>
      <x:c r="D544" s="10" t="str">
        <x:v>CC002</x:v>
      </x:c>
      <x:c r="E544" s="10" t="str">
        <x:v>CAT001</x:v>
      </x:c>
      <x:c r="F544" s="10" t="str">
        <x:v>CTA002</x:v>
      </x:c>
      <x:c r="G544" s="10" t="str">
        <x:v>FAT-200543</x:v>
      </x:c>
      <x:c r="H544" s="10" t="str">
        <x:v>Projeto especial</x:v>
      </x:c>
      <x:c r="I544" s="16" t="n">
        <x:v>45910.88065827546</x:v>
      </x:c>
      <x:c r="J544" s="16" t="n">
        <x:v>45931.88065827546</x:v>
      </x:c>
      <x:c r="K544" s="16" t="n">
        <x:v>45926.88065827546</x:v>
      </x:c>
      <x:c r="L544" s="20" t="n">
        <x:v>66539.76</x:v>
      </x:c>
      <x:c r="M544" s="20" t="n">
        <x:v>0</x:v>
      </x:c>
      <x:c r="N544" s="20" t="n">
        <x:v>0</x:v>
      </x:c>
      <x:c r="O544" s="20" t="n">
        <x:v>66539.76</x:v>
      </x:c>
      <x:c r="P544" s="20" t="n">
        <x:v>0</x:v>
      </x:c>
      <x:c r="Q544" s="10" t="str">
        <x:v>Recebido</x:v>
      </x:c>
      <x:c r="R544" s="10" t="str">
        <x:v>Boleto</x:v>
      </x:c>
      <x:c r="S544" s="10" t="str">
        <x:v>2025-09</x:v>
      </x:c>
      <x:c r="T544" s="10" t="n">
        <x:v>0</x:v>
      </x:c>
      <x:c r="U544" s="10" t="str">
        <x:v>Liquidado</x:v>
      </x:c>
      <x:c r="V544" s="10" t="str">
        <x:v>Médio</x:v>
      </x:c>
      <x:c r="W544" s="10" t="str">
        <x:v>Saúde</x:v>
      </x:c>
      <x:c r="X544" s="10" t="str">
        <x:v>UND001</x:v>
      </x:c>
    </x:row>
    <x:row r="545" ht="18" customHeight="1">
      <x:c r="A545" s="10" t="str">
        <x:v>REC00544</x:v>
      </x:c>
      <x:c r="B545" s="10" t="str">
        <x:v>EMP001</x:v>
      </x:c>
      <x:c r="C545" s="10" t="str">
        <x:v>CLI044</x:v>
      </x:c>
      <x:c r="D545" s="10" t="str">
        <x:v>CC003</x:v>
      </x:c>
      <x:c r="E545" s="10" t="str">
        <x:v>CAT004</x:v>
      </x:c>
      <x:c r="F545" s="10" t="str">
        <x:v>CTA002</x:v>
      </x:c>
      <x:c r="G545" s="10" t="str">
        <x:v>FAT-200544</x:v>
      </x:c>
      <x:c r="H545" s="10" t="str">
        <x:v>Venda de produtos</x:v>
      </x:c>
      <x:c r="I545" s="16" t="n">
        <x:v>45384.81162207176</x:v>
      </x:c>
      <x:c r="J545" s="16" t="n">
        <x:v>45399.81162207176</x:v>
      </x:c>
      <x:c r="K545" s="16" t="n">
        <x:v>45406.81162207176</x:v>
      </x:c>
      <x:c r="L545" s="20" t="n">
        <x:v>3377.03</x:v>
      </x:c>
      <x:c r="M545" s="20" t="n">
        <x:v>18.91</x:v>
      </x:c>
      <x:c r="N545" s="20" t="n">
        <x:v>0</x:v>
      </x:c>
      <x:c r="O545" s="20" t="n">
        <x:v>3395.94</x:v>
      </x:c>
      <x:c r="P545" s="20" t="n">
        <x:v>0</x:v>
      </x:c>
      <x:c r="Q545" s="10" t="str">
        <x:v>Recebido</x:v>
      </x:c>
      <x:c r="R545" s="10" t="str">
        <x:v>PIX</x:v>
      </x:c>
      <x:c r="S545" s="10" t="str">
        <x:v>2024-04</x:v>
      </x:c>
      <x:c r="T545" s="10" t="n">
        <x:v>0</x:v>
      </x:c>
      <x:c r="U545" s="10" t="str">
        <x:v>Liquidado</x:v>
      </x:c>
      <x:c r="V545" s="10" t="str">
        <x:v>Alto</x:v>
      </x:c>
      <x:c r="W545" s="10" t="str">
        <x:v>Varejo</x:v>
      </x:c>
      <x:c r="X545" s="10" t="str">
        <x:v>UND002</x:v>
      </x:c>
    </x:row>
    <x:row r="546" ht="18" customHeight="1">
      <x:c r="A546" s="10" t="str">
        <x:v>REC00545</x:v>
      </x:c>
      <x:c r="B546" s="10" t="str">
        <x:v>EMP002</x:v>
      </x:c>
      <x:c r="C546" s="10" t="str">
        <x:v>CLI029</x:v>
      </x:c>
      <x:c r="D546" s="10" t="str">
        <x:v>CC007</x:v>
      </x:c>
      <x:c r="E546" s="10" t="str">
        <x:v>CAT002</x:v>
      </x:c>
      <x:c r="F546" s="10" t="str">
        <x:v>CTA004</x:v>
      </x:c>
      <x:c r="G546" s="10" t="str">
        <x:v>FAT-200545</x:v>
      </x:c>
      <x:c r="H546" s="10" t="str">
        <x:v>Prestação de serviços</x:v>
      </x:c>
      <x:c r="I546" s="16" t="n">
        <x:v>45995.26368193287</x:v>
      </x:c>
      <x:c r="J546" s="16" t="n">
        <x:v>46040.26368193287</x:v>
      </x:c>
      <x:c r="K546" s="16"/>
      <x:c r="L546" s="20" t="n">
        <x:v>35523.25</x:v>
      </x:c>
      <x:c r="M546" s="20" t="n">
        <x:v>0</x:v>
      </x:c>
      <x:c r="N546" s="20" t="n">
        <x:v>0</x:v>
      </x:c>
      <x:c r="O546" s="20" t="n">
        <x:v>0</x:v>
      </x:c>
      <x:c r="P546" s="20" t="n">
        <x:v>35523.25</x:v>
      </x:c>
      <x:c r="Q546" s="10" t="str">
        <x:v>A vencer</x:v>
      </x:c>
      <x:c r="R546" s="10" t="str">
        <x:v>PIX</x:v>
      </x:c>
      <x:c r="S546" s="10" t="str">
        <x:v>2025-12</x:v>
      </x:c>
      <x:c r="T546" s="10" t="n">
        <x:v>0</x:v>
      </x:c>
      <x:c r="U546" s="10" t="str">
        <x:v>A vencer</x:v>
      </x:c>
      <x:c r="V546" s="10" t="str">
        <x:v>Baixo</x:v>
      </x:c>
      <x:c r="W546" s="10" t="str">
        <x:v>Tecnologia</x:v>
      </x:c>
      <x:c r="X546" s="10" t="str">
        <x:v>UND003</x:v>
      </x:c>
    </x:row>
    <x:row r="547" ht="18" customHeight="1">
      <x:c r="A547" s="10" t="str">
        <x:v>REC00546</x:v>
      </x:c>
      <x:c r="B547" s="10" t="str">
        <x:v>EMP002</x:v>
      </x:c>
      <x:c r="C547" s="10" t="str">
        <x:v>CLI036</x:v>
      </x:c>
      <x:c r="D547" s="10" t="str">
        <x:v>CC006</x:v>
      </x:c>
      <x:c r="E547" s="10" t="str">
        <x:v>CAT002</x:v>
      </x:c>
      <x:c r="F547" s="10" t="str">
        <x:v>CTA003</x:v>
      </x:c>
      <x:c r="G547" s="10" t="str">
        <x:v>FAT-200546</x:v>
      </x:c>
      <x:c r="H547" s="10" t="str">
        <x:v>Projeto especial</x:v>
      </x:c>
      <x:c r="I547" s="16" t="n">
        <x:v>45478.36005568287</x:v>
      </x:c>
      <x:c r="J547" s="16" t="n">
        <x:v>45538.36005568287</x:v>
      </x:c>
      <x:c r="K547" s="16" t="n">
        <x:v>45536.36005568287</x:v>
      </x:c>
      <x:c r="L547" s="20" t="n">
        <x:v>52986.41</x:v>
      </x:c>
      <x:c r="M547" s="20" t="n">
        <x:v>0</x:v>
      </x:c>
      <x:c r="N547" s="20" t="n">
        <x:v>0</x:v>
      </x:c>
      <x:c r="O547" s="20" t="n">
        <x:v>52986.41</x:v>
      </x:c>
      <x:c r="P547" s="20" t="n">
        <x:v>0</x:v>
      </x:c>
      <x:c r="Q547" s="10" t="str">
        <x:v>Recebido</x:v>
      </x:c>
      <x:c r="R547" s="10" t="str">
        <x:v>TED</x:v>
      </x:c>
      <x:c r="S547" s="10" t="str">
        <x:v>2024-07</x:v>
      </x:c>
      <x:c r="T547" s="10" t="n">
        <x:v>0</x:v>
      </x:c>
      <x:c r="U547" s="10" t="str">
        <x:v>Liquidado</x:v>
      </x:c>
      <x:c r="V547" s="10" t="str">
        <x:v>Baixo</x:v>
      </x:c>
      <x:c r="W547" s="10" t="str">
        <x:v>Atacado</x:v>
      </x:c>
      <x:c r="X547" s="10" t="str">
        <x:v>UND003</x:v>
      </x:c>
    </x:row>
    <x:row r="548" ht="18" customHeight="1">
      <x:c r="A548" s="10" t="str">
        <x:v>REC00547</x:v>
      </x:c>
      <x:c r="B548" s="10" t="str">
        <x:v>EMP002</x:v>
      </x:c>
      <x:c r="C548" s="10" t="str">
        <x:v>CLI006</x:v>
      </x:c>
      <x:c r="D548" s="10" t="str">
        <x:v>CC001</x:v>
      </x:c>
      <x:c r="E548" s="10" t="str">
        <x:v>CAT004</x:v>
      </x:c>
      <x:c r="F548" s="10" t="str">
        <x:v>CTA003</x:v>
      </x:c>
      <x:c r="G548" s="10" t="str">
        <x:v>FAT-200547</x:v>
      </x:c>
      <x:c r="H548" s="10" t="str">
        <x:v>Prestação de serviços</x:v>
      </x:c>
      <x:c r="I548" s="16" t="n">
        <x:v>45618.769223194446</x:v>
      </x:c>
      <x:c r="J548" s="16" t="n">
        <x:v>45633.769223194446</x:v>
      </x:c>
      <x:c r="K548" s="16" t="n">
        <x:v>45627.769223194446</x:v>
      </x:c>
      <x:c r="L548" s="20" t="n">
        <x:v>71846.19</x:v>
      </x:c>
      <x:c r="M548" s="20" t="n">
        <x:v>0</x:v>
      </x:c>
      <x:c r="N548" s="20" t="n">
        <x:v>0</x:v>
      </x:c>
      <x:c r="O548" s="20" t="n">
        <x:v>71846.19</x:v>
      </x:c>
      <x:c r="P548" s="20" t="n">
        <x:v>0</x:v>
      </x:c>
      <x:c r="Q548" s="10" t="str">
        <x:v>Recebido</x:v>
      </x:c>
      <x:c r="R548" s="10" t="str">
        <x:v>Boleto</x:v>
      </x:c>
      <x:c r="S548" s="10" t="str">
        <x:v>2024-11</x:v>
      </x:c>
      <x:c r="T548" s="10" t="n">
        <x:v>0</x:v>
      </x:c>
      <x:c r="U548" s="10" t="str">
        <x:v>Liquidado</x:v>
      </x:c>
      <x:c r="V548" s="10" t="str">
        <x:v>Baixo</x:v>
      </x:c>
      <x:c r="W548" s="10" t="str">
        <x:v>Varejo</x:v>
      </x:c>
      <x:c r="X548" s="10" t="str">
        <x:v>UND003</x:v>
      </x:c>
    </x:row>
    <x:row r="549" ht="18" customHeight="1">
      <x:c r="A549" s="10" t="str">
        <x:v>REC00548</x:v>
      </x:c>
      <x:c r="B549" s="10" t="str">
        <x:v>EMP001</x:v>
      </x:c>
      <x:c r="C549" s="10" t="str">
        <x:v>CLI004</x:v>
      </x:c>
      <x:c r="D549" s="10" t="str">
        <x:v>CC005</x:v>
      </x:c>
      <x:c r="E549" s="10" t="str">
        <x:v>CAT003</x:v>
      </x:c>
      <x:c r="F549" s="10" t="str">
        <x:v>CTA001</x:v>
      </x:c>
      <x:c r="G549" s="10" t="str">
        <x:v>FAT-200548</x:v>
      </x:c>
      <x:c r="H549" s="10" t="str">
        <x:v>Venda de produtos</x:v>
      </x:c>
      <x:c r="I549" s="16" t="n">
        <x:v>45394.293652546294</x:v>
      </x:c>
      <x:c r="J549" s="16" t="n">
        <x:v>45422.293652546294</x:v>
      </x:c>
      <x:c r="K549" s="16" t="n">
        <x:v>45436.293652546294</x:v>
      </x:c>
      <x:c r="L549" s="20" t="n">
        <x:v>36672.67</x:v>
      </x:c>
      <x:c r="M549" s="20" t="n">
        <x:v>410.73</x:v>
      </x:c>
      <x:c r="N549" s="20" t="n">
        <x:v>0</x:v>
      </x:c>
      <x:c r="O549" s="20" t="n">
        <x:v>37083.4</x:v>
      </x:c>
      <x:c r="P549" s="20" t="n">
        <x:v>0</x:v>
      </x:c>
      <x:c r="Q549" s="10" t="str">
        <x:v>Recebido</x:v>
      </x:c>
      <x:c r="R549" s="10" t="str">
        <x:v>PIX</x:v>
      </x:c>
      <x:c r="S549" s="10" t="str">
        <x:v>2024-04</x:v>
      </x:c>
      <x:c r="T549" s="10" t="n">
        <x:v>0</x:v>
      </x:c>
      <x:c r="U549" s="10" t="str">
        <x:v>Liquidado</x:v>
      </x:c>
      <x:c r="V549" s="10" t="str">
        <x:v>Alto</x:v>
      </x:c>
      <x:c r="W549" s="10" t="str">
        <x:v>Varejo</x:v>
      </x:c>
      <x:c r="X549" s="10" t="str">
        <x:v>UND001</x:v>
      </x:c>
    </x:row>
    <x:row r="550" ht="18" customHeight="1">
      <x:c r="A550" s="10" t="str">
        <x:v>REC00549</x:v>
      </x:c>
      <x:c r="B550" s="10" t="str">
        <x:v>EMP001</x:v>
      </x:c>
      <x:c r="C550" s="10" t="str">
        <x:v>CLI002</x:v>
      </x:c>
      <x:c r="D550" s="10" t="str">
        <x:v>CC001</x:v>
      </x:c>
      <x:c r="E550" s="10" t="str">
        <x:v>CAT003</x:v>
      </x:c>
      <x:c r="F550" s="10" t="str">
        <x:v>CTA002</x:v>
      </x:c>
      <x:c r="G550" s="10" t="str">
        <x:v>FAT-200549</x:v>
      </x:c>
      <x:c r="H550" s="10" t="str">
        <x:v>Projeto especial</x:v>
      </x:c>
      <x:c r="I550" s="16" t="n">
        <x:v>45408.54128415509</x:v>
      </x:c>
      <x:c r="J550" s="16" t="n">
        <x:v>45468.54128415509</x:v>
      </x:c>
      <x:c r="K550" s="16" t="n">
        <x:v>45488.54128415509</x:v>
      </x:c>
      <x:c r="L550" s="20" t="n">
        <x:v>14191.59</x:v>
      </x:c>
      <x:c r="M550" s="20" t="n">
        <x:v>227.07</x:v>
      </x:c>
      <x:c r="N550" s="20" t="n">
        <x:v>0</x:v>
      </x:c>
      <x:c r="O550" s="20" t="n">
        <x:v>14418.66</x:v>
      </x:c>
      <x:c r="P550" s="20" t="n">
        <x:v>0</x:v>
      </x:c>
      <x:c r="Q550" s="10" t="str">
        <x:v>Recebido</x:v>
      </x:c>
      <x:c r="R550" s="10" t="str">
        <x:v>Boleto</x:v>
      </x:c>
      <x:c r="S550" s="10" t="str">
        <x:v>2024-04</x:v>
      </x:c>
      <x:c r="T550" s="10" t="n">
        <x:v>0</x:v>
      </x:c>
      <x:c r="U550" s="10" t="str">
        <x:v>Liquidado</x:v>
      </x:c>
      <x:c r="V550" s="10" t="str">
        <x:v>Alto</x:v>
      </x:c>
      <x:c r="W550" s="10" t="str">
        <x:v>Serviços</x:v>
      </x:c>
      <x:c r="X550" s="10" t="str">
        <x:v>UND002</x:v>
      </x:c>
    </x:row>
    <x:row r="551" ht="18" customHeight="1">
      <x:c r="A551" s="10" t="str">
        <x:v>REC00550</x:v>
      </x:c>
      <x:c r="B551" s="10" t="str">
        <x:v>EMP003</x:v>
      </x:c>
      <x:c r="C551" s="10" t="str">
        <x:v>CLI067</x:v>
      </x:c>
      <x:c r="D551" s="10" t="str">
        <x:v>CC005</x:v>
      </x:c>
      <x:c r="E551" s="10" t="str">
        <x:v>CAT004</x:v>
      </x:c>
      <x:c r="F551" s="10" t="str">
        <x:v>CTA005</x:v>
      </x:c>
      <x:c r="G551" s="10" t="str">
        <x:v>FAT-200550</x:v>
      </x:c>
      <x:c r="H551" s="10" t="str">
        <x:v>Frete faturado</x:v>
      </x:c>
      <x:c r="I551" s="16" t="n">
        <x:v>45434.20096408565</x:v>
      </x:c>
      <x:c r="J551" s="16" t="n">
        <x:v>45449.20096408565</x:v>
      </x:c>
      <x:c r="K551" s="16" t="n">
        <x:v>45458.20096408565</x:v>
      </x:c>
      <x:c r="L551" s="20" t="n">
        <x:v>121041.59</x:v>
      </x:c>
      <x:c r="M551" s="20" t="n">
        <x:v>871.5</x:v>
      </x:c>
      <x:c r="N551" s="20" t="n">
        <x:v>0</x:v>
      </x:c>
      <x:c r="O551" s="20" t="n">
        <x:v>121913.09</x:v>
      </x:c>
      <x:c r="P551" s="20" t="n">
        <x:v>0</x:v>
      </x:c>
      <x:c r="Q551" s="10" t="str">
        <x:v>Recebido</x:v>
      </x:c>
      <x:c r="R551" s="10" t="str">
        <x:v>Débito em Conta</x:v>
      </x:c>
      <x:c r="S551" s="10" t="str">
        <x:v>2024-05</x:v>
      </x:c>
      <x:c r="T551" s="10" t="n">
        <x:v>0</x:v>
      </x:c>
      <x:c r="U551" s="10" t="str">
        <x:v>Liquidado</x:v>
      </x:c>
      <x:c r="V551" s="10" t="str">
        <x:v>Alto</x:v>
      </x:c>
      <x:c r="W551" s="10" t="str">
        <x:v>Varejo</x:v>
      </x:c>
      <x:c r="X551" s="10" t="str">
        <x:v>UND004</x:v>
      </x:c>
    </x:row>
    <x:row r="552" ht="18" customHeight="1">
      <x:c r="A552" s="10" t="str">
        <x:v>REC00551</x:v>
      </x:c>
      <x:c r="B552" s="10" t="str">
        <x:v>EMP002</x:v>
      </x:c>
      <x:c r="C552" s="10" t="str">
        <x:v>CLI063</x:v>
      </x:c>
      <x:c r="D552" s="10" t="str">
        <x:v>CC003</x:v>
      </x:c>
      <x:c r="E552" s="10" t="str">
        <x:v>CAT003</x:v>
      </x:c>
      <x:c r="F552" s="10" t="str">
        <x:v>CTA003</x:v>
      </x:c>
      <x:c r="G552" s="10" t="str">
        <x:v>FAT-200551</x:v>
      </x:c>
      <x:c r="H552" s="10" t="str">
        <x:v>Contrato mensal</x:v>
      </x:c>
      <x:c r="I552" s="16" t="n">
        <x:v>45382.94323802083</x:v>
      </x:c>
      <x:c r="J552" s="16" t="n">
        <x:v>45412.94323802083</x:v>
      </x:c>
      <x:c r="K552" s="16" t="n">
        <x:v>45413.94323802083</x:v>
      </x:c>
      <x:c r="L552" s="20" t="n">
        <x:v>31552.78</x:v>
      </x:c>
      <x:c r="M552" s="20" t="n">
        <x:v>25.24</x:v>
      </x:c>
      <x:c r="N552" s="20" t="n">
        <x:v>0</x:v>
      </x:c>
      <x:c r="O552" s="20" t="n">
        <x:v>31578.02</x:v>
      </x:c>
      <x:c r="P552" s="20" t="n">
        <x:v>0</x:v>
      </x:c>
      <x:c r="Q552" s="10" t="str">
        <x:v>Recebido</x:v>
      </x:c>
      <x:c r="R552" s="10" t="str">
        <x:v>Cartão</x:v>
      </x:c>
      <x:c r="S552" s="10" t="str">
        <x:v>2024-03</x:v>
      </x:c>
      <x:c r="T552" s="10" t="n">
        <x:v>0</x:v>
      </x:c>
      <x:c r="U552" s="10" t="str">
        <x:v>Liquidado</x:v>
      </x:c>
      <x:c r="V552" s="10" t="str">
        <x:v>Baixo</x:v>
      </x:c>
      <x:c r="W552" s="10" t="str">
        <x:v>Serviços</x:v>
      </x:c>
      <x:c r="X552" s="10" t="str">
        <x:v>UND003</x:v>
      </x:c>
    </x:row>
    <x:row r="553" ht="18" customHeight="1">
      <x:c r="A553" s="10" t="str">
        <x:v>REC00552</x:v>
      </x:c>
      <x:c r="B553" s="10" t="str">
        <x:v>EMP003</x:v>
      </x:c>
      <x:c r="C553" s="10" t="str">
        <x:v>CLI072</x:v>
      </x:c>
      <x:c r="D553" s="10" t="str">
        <x:v>CC005</x:v>
      </x:c>
      <x:c r="E553" s="10" t="str">
        <x:v>CAT004</x:v>
      </x:c>
      <x:c r="F553" s="10" t="str">
        <x:v>CTA005</x:v>
      </x:c>
      <x:c r="G553" s="10" t="str">
        <x:v>FAT-200552</x:v>
      </x:c>
      <x:c r="H553" s="10" t="str">
        <x:v>Prestação de serviços</x:v>
      </x:c>
      <x:c r="I553" s="16" t="n">
        <x:v>45532.50363413194</x:v>
      </x:c>
      <x:c r="J553" s="16" t="n">
        <x:v>45577.50363413194</x:v>
      </x:c>
      <x:c r="K553" s="16" t="n">
        <x:v>45578.50363413194</x:v>
      </x:c>
      <x:c r="L553" s="20" t="n">
        <x:v>1587.95</x:v>
      </x:c>
      <x:c r="M553" s="20" t="n">
        <x:v>1.27</x:v>
      </x:c>
      <x:c r="N553" s="20" t="n">
        <x:v>0</x:v>
      </x:c>
      <x:c r="O553" s="20" t="n">
        <x:v>1589.22</x:v>
      </x:c>
      <x:c r="P553" s="20" t="n">
        <x:v>0</x:v>
      </x:c>
      <x:c r="Q553" s="10" t="str">
        <x:v>Recebido</x:v>
      </x:c>
      <x:c r="R553" s="10" t="str">
        <x:v>Boleto</x:v>
      </x:c>
      <x:c r="S553" s="10" t="str">
        <x:v>2024-08</x:v>
      </x:c>
      <x:c r="T553" s="10" t="n">
        <x:v>0</x:v>
      </x:c>
      <x:c r="U553" s="10" t="str">
        <x:v>Liquidado</x:v>
      </x:c>
      <x:c r="V553" s="10" t="str">
        <x:v>Alto</x:v>
      </x:c>
      <x:c r="W553" s="10" t="str">
        <x:v>Varejo</x:v>
      </x:c>
      <x:c r="X553" s="10" t="str">
        <x:v>UND004</x:v>
      </x:c>
    </x:row>
    <x:row r="554" ht="18" customHeight="1">
      <x:c r="A554" s="10" t="str">
        <x:v>REC00553</x:v>
      </x:c>
      <x:c r="B554" s="10" t="str">
        <x:v>EMP003</x:v>
      </x:c>
      <x:c r="C554" s="10" t="str">
        <x:v>CLI057</x:v>
      </x:c>
      <x:c r="D554" s="10" t="str">
        <x:v>CC004</x:v>
      </x:c>
      <x:c r="E554" s="10" t="str">
        <x:v>CAT001</x:v>
      </x:c>
      <x:c r="F554" s="10" t="str">
        <x:v>CTA005</x:v>
      </x:c>
      <x:c r="G554" s="10" t="str">
        <x:v>FAT-200553</x:v>
      </x:c>
      <x:c r="H554" s="10" t="str">
        <x:v>Projeto especial</x:v>
      </x:c>
      <x:c r="I554" s="16" t="n">
        <x:v>45499.60683510417</x:v>
      </x:c>
      <x:c r="J554" s="16" t="n">
        <x:v>45527.60683510417</x:v>
      </x:c>
      <x:c r="K554" s="16" t="n">
        <x:v>45541.60683510417</x:v>
      </x:c>
      <x:c r="L554" s="20" t="n">
        <x:v>69314.21</x:v>
      </x:c>
      <x:c r="M554" s="20" t="n">
        <x:v>776.32</x:v>
      </x:c>
      <x:c r="N554" s="20" t="n">
        <x:v>0</x:v>
      </x:c>
      <x:c r="O554" s="20" t="n">
        <x:v>70090.53</x:v>
      </x:c>
      <x:c r="P554" s="20" t="n">
        <x:v>0</x:v>
      </x:c>
      <x:c r="Q554" s="10" t="str">
        <x:v>Recebido</x:v>
      </x:c>
      <x:c r="R554" s="10" t="str">
        <x:v>TED</x:v>
      </x:c>
      <x:c r="S554" s="10" t="str">
        <x:v>2024-07</x:v>
      </x:c>
      <x:c r="T554" s="10" t="n">
        <x:v>0</x:v>
      </x:c>
      <x:c r="U554" s="10" t="str">
        <x:v>Liquidado</x:v>
      </x:c>
      <x:c r="V554" s="10" t="str">
        <x:v>Alto</x:v>
      </x:c>
      <x:c r="W554" s="10" t="str">
        <x:v>Saúde</x:v>
      </x:c>
      <x:c r="X554" s="10" t="str">
        <x:v>UND004</x:v>
      </x:c>
    </x:row>
    <x:row r="555" ht="18" customHeight="1">
      <x:c r="A555" s="10" t="str">
        <x:v>REC00554</x:v>
      </x:c>
      <x:c r="B555" s="10" t="str">
        <x:v>EMP003</x:v>
      </x:c>
      <x:c r="C555" s="10" t="str">
        <x:v>CLI079</x:v>
      </x:c>
      <x:c r="D555" s="10" t="str">
        <x:v>CC001</x:v>
      </x:c>
      <x:c r="E555" s="10" t="str">
        <x:v>CAT003</x:v>
      </x:c>
      <x:c r="F555" s="10" t="str">
        <x:v>CTA006</x:v>
      </x:c>
      <x:c r="G555" s="10" t="str">
        <x:v>FAT-200554</x:v>
      </x:c>
      <x:c r="H555" s="10" t="str">
        <x:v>Projeto especial</x:v>
      </x:c>
      <x:c r="I555" s="16" t="n">
        <x:v>45872.968851909725</x:v>
      </x:c>
      <x:c r="J555" s="16" t="n">
        <x:v>45932.968851909725</x:v>
      </x:c>
      <x:c r="K555" s="16" t="n">
        <x:v>45934.968851909725</x:v>
      </x:c>
      <x:c r="L555" s="20" t="n">
        <x:v>1741.78</x:v>
      </x:c>
      <x:c r="M555" s="20" t="n">
        <x:v>2.79</x:v>
      </x:c>
      <x:c r="N555" s="20" t="n">
        <x:v>0</x:v>
      </x:c>
      <x:c r="O555" s="20" t="n">
        <x:v>1744.57</x:v>
      </x:c>
      <x:c r="P555" s="20" t="n">
        <x:v>0</x:v>
      </x:c>
      <x:c r="Q555" s="10" t="str">
        <x:v>Recebido</x:v>
      </x:c>
      <x:c r="R555" s="10" t="str">
        <x:v>Cartão</x:v>
      </x:c>
      <x:c r="S555" s="10" t="str">
        <x:v>2025-08</x:v>
      </x:c>
      <x:c r="T555" s="10" t="n">
        <x:v>0</x:v>
      </x:c>
      <x:c r="U555" s="10" t="str">
        <x:v>Liquidado</x:v>
      </x:c>
      <x:c r="V555" s="10" t="str">
        <x:v>Baixo</x:v>
      </x:c>
      <x:c r="W555" s="10" t="str">
        <x:v>Tecnologia</x:v>
      </x:c>
      <x:c r="X555" s="10" t="str">
        <x:v>UND004</x:v>
      </x:c>
    </x:row>
    <x:row r="556" ht="18" customHeight="1">
      <x:c r="A556" s="10" t="str">
        <x:v>REC00555</x:v>
      </x:c>
      <x:c r="B556" s="10" t="str">
        <x:v>EMP002</x:v>
      </x:c>
      <x:c r="C556" s="10" t="str">
        <x:v>CLI016</x:v>
      </x:c>
      <x:c r="D556" s="10" t="str">
        <x:v>CC005</x:v>
      </x:c>
      <x:c r="E556" s="10" t="str">
        <x:v>CAT001</x:v>
      </x:c>
      <x:c r="F556" s="10" t="str">
        <x:v>CTA004</x:v>
      </x:c>
      <x:c r="G556" s="10" t="str">
        <x:v>FAT-200555</x:v>
      </x:c>
      <x:c r="H556" s="10" t="str">
        <x:v>Contrato mensal</x:v>
      </x:c>
      <x:c r="I556" s="16" t="n">
        <x:v>45622.51712027778</x:v>
      </x:c>
      <x:c r="J556" s="16" t="n">
        <x:v>45667.51712027778</x:v>
      </x:c>
      <x:c r="K556" s="16"/>
      <x:c r="L556" s="20" t="n">
        <x:v>77357.99</x:v>
      </x:c>
      <x:c r="M556" s="20" t="n">
        <x:v>0</x:v>
      </x:c>
      <x:c r="N556" s="20" t="n">
        <x:v>0</x:v>
      </x:c>
      <x:c r="O556" s="20" t="n">
        <x:v>0</x:v>
      </x:c>
      <x:c r="P556" s="20" t="n">
        <x:v>77357.99</x:v>
      </x:c>
      <x:c r="Q556" s="10" t="str">
        <x:v>Vencido</x:v>
      </x:c>
      <x:c r="R556" s="10" t="str">
        <x:v>Boleto</x:v>
      </x:c>
      <x:c r="S556" s="10" t="str">
        <x:v>2024-11</x:v>
      </x:c>
      <x:c r="T556" s="10" t="n">
        <x:v>354</x:v>
      </x:c>
      <x:c r="U556" s="10" t="str">
        <x:v>&gt; 120 dias</x:v>
      </x:c>
      <x:c r="V556" s="10" t="str">
        <x:v>Baixo</x:v>
      </x:c>
      <x:c r="W556" s="10" t="str">
        <x:v>Serviços</x:v>
      </x:c>
      <x:c r="X556" s="10" t="str">
        <x:v>UND003</x:v>
      </x:c>
    </x:row>
    <x:row r="557" ht="18" customHeight="1">
      <x:c r="A557" s="10" t="str">
        <x:v>REC00556</x:v>
      </x:c>
      <x:c r="B557" s="10" t="str">
        <x:v>EMP001</x:v>
      </x:c>
      <x:c r="C557" s="10" t="str">
        <x:v>CLI066</x:v>
      </x:c>
      <x:c r="D557" s="10" t="str">
        <x:v>CC007</x:v>
      </x:c>
      <x:c r="E557" s="10" t="str">
        <x:v>CAT002</x:v>
      </x:c>
      <x:c r="F557" s="10" t="str">
        <x:v>CTA001</x:v>
      </x:c>
      <x:c r="G557" s="10" t="str">
        <x:v>FAT-200556</x:v>
      </x:c>
      <x:c r="H557" s="10" t="str">
        <x:v>Frete faturado</x:v>
      </x:c>
      <x:c r="I557" s="16" t="n">
        <x:v>45846.08350018519</x:v>
      </x:c>
      <x:c r="J557" s="16" t="n">
        <x:v>45906.08350018519</x:v>
      </x:c>
      <x:c r="K557" s="16" t="n">
        <x:v>45911.08350018519</x:v>
      </x:c>
      <x:c r="L557" s="20" t="n">
        <x:v>119762.92</x:v>
      </x:c>
      <x:c r="M557" s="20" t="n">
        <x:v>479.05</x:v>
      </x:c>
      <x:c r="N557" s="20" t="n">
        <x:v>0</x:v>
      </x:c>
      <x:c r="O557" s="20" t="n">
        <x:v>120241.97</x:v>
      </x:c>
      <x:c r="P557" s="20" t="n">
        <x:v>0</x:v>
      </x:c>
      <x:c r="Q557" s="10" t="str">
        <x:v>Recebido</x:v>
      </x:c>
      <x:c r="R557" s="10" t="str">
        <x:v>PIX</x:v>
      </x:c>
      <x:c r="S557" s="10" t="str">
        <x:v>2025-07</x:v>
      </x:c>
      <x:c r="T557" s="10" t="n">
        <x:v>0</x:v>
      </x:c>
      <x:c r="U557" s="10" t="str">
        <x:v>Liquidado</x:v>
      </x:c>
      <x:c r="V557" s="10" t="str">
        <x:v>Baixo</x:v>
      </x:c>
      <x:c r="W557" s="10" t="str">
        <x:v>Varejo</x:v>
      </x:c>
      <x:c r="X557" s="10" t="str">
        <x:v>UND001</x:v>
      </x:c>
    </x:row>
    <x:row r="558" ht="18" customHeight="1">
      <x:c r="A558" s="10" t="str">
        <x:v>REC00557</x:v>
      </x:c>
      <x:c r="B558" s="10" t="str">
        <x:v>EMP001</x:v>
      </x:c>
      <x:c r="C558" s="10" t="str">
        <x:v>CLI074</x:v>
      </x:c>
      <x:c r="D558" s="10" t="str">
        <x:v>CC008</x:v>
      </x:c>
      <x:c r="E558" s="10" t="str">
        <x:v>CAT004</x:v>
      </x:c>
      <x:c r="F558" s="10" t="str">
        <x:v>CTA001</x:v>
      </x:c>
      <x:c r="G558" s="10" t="str">
        <x:v>FAT-200557</x:v>
      </x:c>
      <x:c r="H558" s="10" t="str">
        <x:v>Projeto especial</x:v>
      </x:c>
      <x:c r="I558" s="16" t="n">
        <x:v>45562.77177462963</x:v>
      </x:c>
      <x:c r="J558" s="16" t="n">
        <x:v>45583.77177462963</x:v>
      </x:c>
      <x:c r="K558" s="16" t="n">
        <x:v>45582.77177462963</x:v>
      </x:c>
      <x:c r="L558" s="20" t="n">
        <x:v>2628.65</x:v>
      </x:c>
      <x:c r="M558" s="20" t="n">
        <x:v>0</x:v>
      </x:c>
      <x:c r="N558" s="20" t="n">
        <x:v>0</x:v>
      </x:c>
      <x:c r="O558" s="20" t="n">
        <x:v>2628.65</x:v>
      </x:c>
      <x:c r="P558" s="20" t="n">
        <x:v>0</x:v>
      </x:c>
      <x:c r="Q558" s="10" t="str">
        <x:v>Recebido</x:v>
      </x:c>
      <x:c r="R558" s="10" t="str">
        <x:v>Débito em Conta</x:v>
      </x:c>
      <x:c r="S558" s="10" t="str">
        <x:v>2024-09</x:v>
      </x:c>
      <x:c r="T558" s="10" t="n">
        <x:v>0</x:v>
      </x:c>
      <x:c r="U558" s="10" t="str">
        <x:v>Liquidado</x:v>
      </x:c>
      <x:c r="V558" s="10" t="str">
        <x:v>Médio</x:v>
      </x:c>
      <x:c r="W558" s="10" t="str">
        <x:v>Tecnologia</x:v>
      </x:c>
      <x:c r="X558" s="10" t="str">
        <x:v>UND002</x:v>
      </x:c>
    </x:row>
    <x:row r="559" ht="18" customHeight="1">
      <x:c r="A559" s="10" t="str">
        <x:v>REC00558</x:v>
      </x:c>
      <x:c r="B559" s="10" t="str">
        <x:v>EMP001</x:v>
      </x:c>
      <x:c r="C559" s="10" t="str">
        <x:v>CLI030</x:v>
      </x:c>
      <x:c r="D559" s="10" t="str">
        <x:v>CC007</x:v>
      </x:c>
      <x:c r="E559" s="10" t="str">
        <x:v>CAT002</x:v>
      </x:c>
      <x:c r="F559" s="10" t="str">
        <x:v>CTA002</x:v>
      </x:c>
      <x:c r="G559" s="10" t="str">
        <x:v>FAT-200558</x:v>
      </x:c>
      <x:c r="H559" s="10" t="str">
        <x:v>Venda de produtos</x:v>
      </x:c>
      <x:c r="I559" s="16" t="n">
        <x:v>45662.19765054398</x:v>
      </x:c>
      <x:c r="J559" s="16" t="n">
        <x:v>45697.19765054398</x:v>
      </x:c>
      <x:c r="K559" s="16" t="n">
        <x:v>45692.19765054398</x:v>
      </x:c>
      <x:c r="L559" s="20" t="n">
        <x:v>14127.39</x:v>
      </x:c>
      <x:c r="M559" s="20" t="n">
        <x:v>0</x:v>
      </x:c>
      <x:c r="N559" s="20" t="n">
        <x:v>141.27</x:v>
      </x:c>
      <x:c r="O559" s="20" t="n">
        <x:v>13986.12</x:v>
      </x:c>
      <x:c r="P559" s="20" t="n">
        <x:v>0</x:v>
      </x:c>
      <x:c r="Q559" s="10" t="str">
        <x:v>Recebido</x:v>
      </x:c>
      <x:c r="R559" s="10" t="str">
        <x:v>Cartão</x:v>
      </x:c>
      <x:c r="S559" s="10" t="str">
        <x:v>2025-01</x:v>
      </x:c>
      <x:c r="T559" s="10" t="n">
        <x:v>0</x:v>
      </x:c>
      <x:c r="U559" s="10" t="str">
        <x:v>Liquidado</x:v>
      </x:c>
      <x:c r="V559" s="10" t="str">
        <x:v>Baixo</x:v>
      </x:c>
      <x:c r="W559" s="10" t="str">
        <x:v>Tecnologia</x:v>
      </x:c>
      <x:c r="X559" s="10" t="str">
        <x:v>UND001</x:v>
      </x:c>
    </x:row>
    <x:row r="560" ht="18" customHeight="1">
      <x:c r="A560" s="10" t="str">
        <x:v>REC00559</x:v>
      </x:c>
      <x:c r="B560" s="10" t="str">
        <x:v>EMP002</x:v>
      </x:c>
      <x:c r="C560" s="10" t="str">
        <x:v>CLI016</x:v>
      </x:c>
      <x:c r="D560" s="10" t="str">
        <x:v>CC006</x:v>
      </x:c>
      <x:c r="E560" s="10" t="str">
        <x:v>CAT002</x:v>
      </x:c>
      <x:c r="F560" s="10" t="str">
        <x:v>CTA004</x:v>
      </x:c>
      <x:c r="G560" s="10" t="str">
        <x:v>FAT-200559</x:v>
      </x:c>
      <x:c r="H560" s="10" t="str">
        <x:v>Prestação de serviços</x:v>
      </x:c>
      <x:c r="I560" s="16" t="n">
        <x:v>45297.73052111111</x:v>
      </x:c>
      <x:c r="J560" s="16" t="n">
        <x:v>45342.73052111111</x:v>
      </x:c>
      <x:c r="K560" s="16"/>
      <x:c r="L560" s="20" t="n">
        <x:v>14450.83</x:v>
      </x:c>
      <x:c r="M560" s="20" t="n">
        <x:v>0</x:v>
      </x:c>
      <x:c r="N560" s="20" t="n">
        <x:v>0</x:v>
      </x:c>
      <x:c r="O560" s="20" t="n">
        <x:v>0</x:v>
      </x:c>
      <x:c r="P560" s="20" t="n">
        <x:v>14450.83</x:v>
      </x:c>
      <x:c r="Q560" s="10" t="str">
        <x:v>Vencido</x:v>
      </x:c>
      <x:c r="R560" s="10" t="str">
        <x:v>PIX</x:v>
      </x:c>
      <x:c r="S560" s="10" t="str">
        <x:v>2024-01</x:v>
      </x:c>
      <x:c r="T560" s="10" t="n">
        <x:v>679</x:v>
      </x:c>
      <x:c r="U560" s="10" t="str">
        <x:v>&gt; 120 dias</x:v>
      </x:c>
      <x:c r="V560" s="10" t="str">
        <x:v>Baixo</x:v>
      </x:c>
      <x:c r="W560" s="10" t="str">
        <x:v>Serviços</x:v>
      </x:c>
      <x:c r="X560" s="10" t="str">
        <x:v>UND003</x:v>
      </x:c>
    </x:row>
    <x:row r="561" ht="18" customHeight="1">
      <x:c r="A561" s="10" t="str">
        <x:v>REC00560</x:v>
      </x:c>
      <x:c r="B561" s="10" t="str">
        <x:v>EMP001</x:v>
      </x:c>
      <x:c r="C561" s="10" t="str">
        <x:v>CLI015</x:v>
      </x:c>
      <x:c r="D561" s="10" t="str">
        <x:v>CC003</x:v>
      </x:c>
      <x:c r="E561" s="10" t="str">
        <x:v>CAT001</x:v>
      </x:c>
      <x:c r="F561" s="10" t="str">
        <x:v>CTA001</x:v>
      </x:c>
      <x:c r="G561" s="10" t="str">
        <x:v>FAT-200560</x:v>
      </x:c>
      <x:c r="H561" s="10" t="str">
        <x:v>Projeto especial</x:v>
      </x:c>
      <x:c r="I561" s="16" t="n">
        <x:v>45419.03631321759</x:v>
      </x:c>
      <x:c r="J561" s="16" t="n">
        <x:v>45479.03631321759</x:v>
      </x:c>
      <x:c r="K561" s="16"/>
      <x:c r="L561" s="20" t="n">
        <x:v>39754.43</x:v>
      </x:c>
      <x:c r="M561" s="20" t="n">
        <x:v>0</x:v>
      </x:c>
      <x:c r="N561" s="20" t="n">
        <x:v>0</x:v>
      </x:c>
      <x:c r="O561" s="20" t="n">
        <x:v>0</x:v>
      </x:c>
      <x:c r="P561" s="20" t="n">
        <x:v>39754.43</x:v>
      </x:c>
      <x:c r="Q561" s="10" t="str">
        <x:v>Vencido</x:v>
      </x:c>
      <x:c r="R561" s="10" t="str">
        <x:v>PIX</x:v>
      </x:c>
      <x:c r="S561" s="10" t="str">
        <x:v>2024-05</x:v>
      </x:c>
      <x:c r="T561" s="10" t="n">
        <x:v>542</x:v>
      </x:c>
      <x:c r="U561" s="10" t="str">
        <x:v>&gt; 120 dias</x:v>
      </x:c>
      <x:c r="V561" s="10" t="str">
        <x:v>Baixo</x:v>
      </x:c>
      <x:c r="W561" s="10" t="str">
        <x:v>Atacado</x:v>
      </x:c>
      <x:c r="X561" s="10" t="str">
        <x:v>UND002</x:v>
      </x:c>
    </x:row>
    <x:row r="562" ht="18" customHeight="1">
      <x:c r="A562" s="10" t="str">
        <x:v>REC00561</x:v>
      </x:c>
      <x:c r="B562" s="10" t="str">
        <x:v>EMP003</x:v>
      </x:c>
      <x:c r="C562" s="10" t="str">
        <x:v>CLI072</x:v>
      </x:c>
      <x:c r="D562" s="10" t="str">
        <x:v>CC007</x:v>
      </x:c>
      <x:c r="E562" s="10" t="str">
        <x:v>CAT001</x:v>
      </x:c>
      <x:c r="F562" s="10" t="str">
        <x:v>CTA005</x:v>
      </x:c>
      <x:c r="G562" s="10" t="str">
        <x:v>FAT-200561</x:v>
      </x:c>
      <x:c r="H562" s="10" t="str">
        <x:v>Contrato mensal</x:v>
      </x:c>
      <x:c r="I562" s="16" t="n">
        <x:v>45418.41073725694</x:v>
      </x:c>
      <x:c r="J562" s="16" t="n">
        <x:v>45463.41073725694</x:v>
      </x:c>
      <x:c r="K562" s="16" t="n">
        <x:v>45488.41073725694</x:v>
      </x:c>
      <x:c r="L562" s="20" t="n">
        <x:v>50194.46</x:v>
      </x:c>
      <x:c r="M562" s="20" t="n">
        <x:v>1003.89</x:v>
      </x:c>
      <x:c r="N562" s="20" t="n">
        <x:v>0</x:v>
      </x:c>
      <x:c r="O562" s="20" t="n">
        <x:v>51198.35</x:v>
      </x:c>
      <x:c r="P562" s="20" t="n">
        <x:v>0</x:v>
      </x:c>
      <x:c r="Q562" s="10" t="str">
        <x:v>Recebido</x:v>
      </x:c>
      <x:c r="R562" s="10" t="str">
        <x:v>Boleto</x:v>
      </x:c>
      <x:c r="S562" s="10" t="str">
        <x:v>2024-05</x:v>
      </x:c>
      <x:c r="T562" s="10" t="n">
        <x:v>0</x:v>
      </x:c>
      <x:c r="U562" s="10" t="str">
        <x:v>Liquidado</x:v>
      </x:c>
      <x:c r="V562" s="10" t="str">
        <x:v>Alto</x:v>
      </x:c>
      <x:c r="W562" s="10" t="str">
        <x:v>Varejo</x:v>
      </x:c>
      <x:c r="X562" s="10" t="str">
        <x:v>UND004</x:v>
      </x:c>
    </x:row>
    <x:row r="563" ht="18" customHeight="1">
      <x:c r="A563" s="10" t="str">
        <x:v>REC00562</x:v>
      </x:c>
      <x:c r="B563" s="10" t="str">
        <x:v>EMP002</x:v>
      </x:c>
      <x:c r="C563" s="10" t="str">
        <x:v>CLI035</x:v>
      </x:c>
      <x:c r="D563" s="10" t="str">
        <x:v>CC001</x:v>
      </x:c>
      <x:c r="E563" s="10" t="str">
        <x:v>CAT003</x:v>
      </x:c>
      <x:c r="F563" s="10" t="str">
        <x:v>CTA004</x:v>
      </x:c>
      <x:c r="G563" s="10" t="str">
        <x:v>FAT-200562</x:v>
      </x:c>
      <x:c r="H563" s="10" t="str">
        <x:v>Frete faturado</x:v>
      </x:c>
      <x:c r="I563" s="16" t="n">
        <x:v>45484.06360300926</x:v>
      </x:c>
      <x:c r="J563" s="16" t="n">
        <x:v>45544.06360300926</x:v>
      </x:c>
      <x:c r="K563" s="16"/>
      <x:c r="L563" s="20" t="n">
        <x:v>19127.93</x:v>
      </x:c>
      <x:c r="M563" s="20" t="n">
        <x:v>0</x:v>
      </x:c>
      <x:c r="N563" s="20" t="n">
        <x:v>0</x:v>
      </x:c>
      <x:c r="O563" s="20" t="n">
        <x:v>0</x:v>
      </x:c>
      <x:c r="P563" s="20" t="n">
        <x:v>19127.93</x:v>
      </x:c>
      <x:c r="Q563" s="10" t="str">
        <x:v>Vencido</x:v>
      </x:c>
      <x:c r="R563" s="10" t="str">
        <x:v>Débito em Conta</x:v>
      </x:c>
      <x:c r="S563" s="10" t="str">
        <x:v>2024-07</x:v>
      </x:c>
      <x:c r="T563" s="10" t="n">
        <x:v>477</x:v>
      </x:c>
      <x:c r="U563" s="10" t="str">
        <x:v>&gt; 120 dias</x:v>
      </x:c>
      <x:c r="V563" s="10" t="str">
        <x:v>Médio</x:v>
      </x:c>
      <x:c r="W563" s="10" t="str">
        <x:v>Varejo</x:v>
      </x:c>
      <x:c r="X563" s="10" t="str">
        <x:v>UND003</x:v>
      </x:c>
    </x:row>
    <x:row r="564" ht="18" customHeight="1">
      <x:c r="A564" s="10" t="str">
        <x:v>REC00563</x:v>
      </x:c>
      <x:c r="B564" s="10" t="str">
        <x:v>EMP003</x:v>
      </x:c>
      <x:c r="C564" s="10" t="str">
        <x:v>CLI027</x:v>
      </x:c>
      <x:c r="D564" s="10" t="str">
        <x:v>CC008</x:v>
      </x:c>
      <x:c r="E564" s="10" t="str">
        <x:v>CAT003</x:v>
      </x:c>
      <x:c r="F564" s="10" t="str">
        <x:v>CTA006</x:v>
      </x:c>
      <x:c r="G564" s="10" t="str">
        <x:v>FAT-200563</x:v>
      </x:c>
      <x:c r="H564" s="10" t="str">
        <x:v>Projeto especial</x:v>
      </x:c>
      <x:c r="I564" s="16" t="n">
        <x:v>45813.130018194446</x:v>
      </x:c>
      <x:c r="J564" s="16" t="n">
        <x:v>45858.130018194446</x:v>
      </x:c>
      <x:c r="K564" s="16" t="n">
        <x:v>45871.130018194446</x:v>
      </x:c>
      <x:c r="L564" s="20" t="n">
        <x:v>110549.44</x:v>
      </x:c>
      <x:c r="M564" s="20" t="n">
        <x:v>1149.71</x:v>
      </x:c>
      <x:c r="N564" s="20" t="n">
        <x:v>0</x:v>
      </x:c>
      <x:c r="O564" s="20" t="n">
        <x:v>111699.15</x:v>
      </x:c>
      <x:c r="P564" s="20" t="n">
        <x:v>0</x:v>
      </x:c>
      <x:c r="Q564" s="10" t="str">
        <x:v>Recebido</x:v>
      </x:c>
      <x:c r="R564" s="10" t="str">
        <x:v>Boleto</x:v>
      </x:c>
      <x:c r="S564" s="10" t="str">
        <x:v>2025-06</x:v>
      </x:c>
      <x:c r="T564" s="10" t="n">
        <x:v>0</x:v>
      </x:c>
      <x:c r="U564" s="10" t="str">
        <x:v>Liquidado</x:v>
      </x:c>
      <x:c r="V564" s="10" t="str">
        <x:v>Alto</x:v>
      </x:c>
      <x:c r="W564" s="10" t="str">
        <x:v>Serviços</x:v>
      </x:c>
      <x:c r="X564" s="10" t="str">
        <x:v>UND004</x:v>
      </x:c>
    </x:row>
    <x:row r="565" ht="18" customHeight="1">
      <x:c r="A565" s="10" t="str">
        <x:v>REC00564</x:v>
      </x:c>
      <x:c r="B565" s="10" t="str">
        <x:v>EMP001</x:v>
      </x:c>
      <x:c r="C565" s="10" t="str">
        <x:v>CLI040</x:v>
      </x:c>
      <x:c r="D565" s="10" t="str">
        <x:v>CC002</x:v>
      </x:c>
      <x:c r="E565" s="10" t="str">
        <x:v>CAT004</x:v>
      </x:c>
      <x:c r="F565" s="10" t="str">
        <x:v>CTA002</x:v>
      </x:c>
      <x:c r="G565" s="10" t="str">
        <x:v>FAT-200564</x:v>
      </x:c>
      <x:c r="H565" s="10" t="str">
        <x:v>Prestação de serviços</x:v>
      </x:c>
      <x:c r="I565" s="16" t="n">
        <x:v>45848.4461762963</x:v>
      </x:c>
      <x:c r="J565" s="16" t="n">
        <x:v>45908.4461762963</x:v>
      </x:c>
      <x:c r="K565" s="16" t="n">
        <x:v>45915.4461762963</x:v>
      </x:c>
      <x:c r="L565" s="20" t="n">
        <x:v>128212.06</x:v>
      </x:c>
      <x:c r="M565" s="20" t="n">
        <x:v>717.99</x:v>
      </x:c>
      <x:c r="N565" s="20" t="n">
        <x:v>0</x:v>
      </x:c>
      <x:c r="O565" s="20" t="n">
        <x:v>128930.05</x:v>
      </x:c>
      <x:c r="P565" s="20" t="n">
        <x:v>0</x:v>
      </x:c>
      <x:c r="Q565" s="10" t="str">
        <x:v>Recebido</x:v>
      </x:c>
      <x:c r="R565" s="10" t="str">
        <x:v>PIX</x:v>
      </x:c>
      <x:c r="S565" s="10" t="str">
        <x:v>2025-07</x:v>
      </x:c>
      <x:c r="T565" s="10" t="n">
        <x:v>0</x:v>
      </x:c>
      <x:c r="U565" s="10" t="str">
        <x:v>Liquidado</x:v>
      </x:c>
      <x:c r="V565" s="10" t="str">
        <x:v>Baixo</x:v>
      </x:c>
      <x:c r="W565" s="10" t="str">
        <x:v>Saúde</x:v>
      </x:c>
      <x:c r="X565" s="10" t="str">
        <x:v>UND002</x:v>
      </x:c>
    </x:row>
    <x:row r="566" ht="18" customHeight="1">
      <x:c r="A566" s="10" t="str">
        <x:v>REC00565</x:v>
      </x:c>
      <x:c r="B566" s="10" t="str">
        <x:v>EMP003</x:v>
      </x:c>
      <x:c r="C566" s="10" t="str">
        <x:v>CLI069</x:v>
      </x:c>
      <x:c r="D566" s="10" t="str">
        <x:v>CC006</x:v>
      </x:c>
      <x:c r="E566" s="10" t="str">
        <x:v>CAT002</x:v>
      </x:c>
      <x:c r="F566" s="10" t="str">
        <x:v>CTA005</x:v>
      </x:c>
      <x:c r="G566" s="10" t="str">
        <x:v>FAT-200565</x:v>
      </x:c>
      <x:c r="H566" s="10" t="str">
        <x:v>Venda de produtos</x:v>
      </x:c>
      <x:c r="I566" s="16" t="n">
        <x:v>45302.366232071756</x:v>
      </x:c>
      <x:c r="J566" s="16" t="n">
        <x:v>45337.366232071756</x:v>
      </x:c>
      <x:c r="K566" s="16" t="n">
        <x:v>45361.366232071756</x:v>
      </x:c>
      <x:c r="L566" s="20" t="n">
        <x:v>9627.01</x:v>
      </x:c>
      <x:c r="M566" s="20" t="n">
        <x:v>184.84</x:v>
      </x:c>
      <x:c r="N566" s="20" t="n">
        <x:v>0</x:v>
      </x:c>
      <x:c r="O566" s="20" t="n">
        <x:v>9811.85</x:v>
      </x:c>
      <x:c r="P566" s="20" t="n">
        <x:v>0</x:v>
      </x:c>
      <x:c r="Q566" s="10" t="str">
        <x:v>Recebido</x:v>
      </x:c>
      <x:c r="R566" s="10" t="str">
        <x:v>Cartão</x:v>
      </x:c>
      <x:c r="S566" s="10" t="str">
        <x:v>2024-01</x:v>
      </x:c>
      <x:c r="T566" s="10" t="n">
        <x:v>0</x:v>
      </x:c>
      <x:c r="U566" s="10" t="str">
        <x:v>Liquidado</x:v>
      </x:c>
      <x:c r="V566" s="10" t="str">
        <x:v>Alto</x:v>
      </x:c>
      <x:c r="W566" s="10" t="str">
        <x:v>Tecnologia</x:v>
      </x:c>
      <x:c r="X566" s="10" t="str">
        <x:v>UND004</x:v>
      </x:c>
    </x:row>
    <x:row r="567" ht="18" customHeight="1">
      <x:c r="A567" s="10" t="str">
        <x:v>REC00566</x:v>
      </x:c>
      <x:c r="B567" s="10" t="str">
        <x:v>EMP002</x:v>
      </x:c>
      <x:c r="C567" s="10" t="str">
        <x:v>CLI062</x:v>
      </x:c>
      <x:c r="D567" s="10" t="str">
        <x:v>CC007</x:v>
      </x:c>
      <x:c r="E567" s="10" t="str">
        <x:v>CAT003</x:v>
      </x:c>
      <x:c r="F567" s="10" t="str">
        <x:v>CTA003</x:v>
      </x:c>
      <x:c r="G567" s="10" t="str">
        <x:v>FAT-200566</x:v>
      </x:c>
      <x:c r="H567" s="10" t="str">
        <x:v>Projeto especial</x:v>
      </x:c>
      <x:c r="I567" s="16" t="n">
        <x:v>45776.94124244213</x:v>
      </x:c>
      <x:c r="J567" s="16" t="n">
        <x:v>45836.94124244213</x:v>
      </x:c>
      <x:c r="K567" s="16" t="n">
        <x:v>45841.94124244213</x:v>
      </x:c>
      <x:c r="L567" s="20" t="n">
        <x:v>142882.11</x:v>
      </x:c>
      <x:c r="M567" s="20" t="n">
        <x:v>571.53</x:v>
      </x:c>
      <x:c r="N567" s="20" t="n">
        <x:v>0</x:v>
      </x:c>
      <x:c r="O567" s="20" t="n">
        <x:v>143453.64</x:v>
      </x:c>
      <x:c r="P567" s="20" t="n">
        <x:v>0</x:v>
      </x:c>
      <x:c r="Q567" s="10" t="str">
        <x:v>Recebido</x:v>
      </x:c>
      <x:c r="R567" s="10" t="str">
        <x:v>TED</x:v>
      </x:c>
      <x:c r="S567" s="10" t="str">
        <x:v>2025-04</x:v>
      </x:c>
      <x:c r="T567" s="10" t="n">
        <x:v>0</x:v>
      </x:c>
      <x:c r="U567" s="10" t="str">
        <x:v>Liquidado</x:v>
      </x:c>
      <x:c r="V567" s="10" t="str">
        <x:v>Baixo</x:v>
      </x:c>
      <x:c r="W567" s="10" t="str">
        <x:v>Saúde</x:v>
      </x:c>
      <x:c r="X567" s="10" t="str">
        <x:v>UND003</x:v>
      </x:c>
    </x:row>
    <x:row r="568" ht="18" customHeight="1">
      <x:c r="A568" s="10" t="str">
        <x:v>REC00567</x:v>
      </x:c>
      <x:c r="B568" s="10" t="str">
        <x:v>EMP003</x:v>
      </x:c>
      <x:c r="C568" s="10" t="str">
        <x:v>CLI070</x:v>
      </x:c>
      <x:c r="D568" s="10" t="str">
        <x:v>CC002</x:v>
      </x:c>
      <x:c r="E568" s="10" t="str">
        <x:v>CAT004</x:v>
      </x:c>
      <x:c r="F568" s="10" t="str">
        <x:v>CTA005</x:v>
      </x:c>
      <x:c r="G568" s="10" t="str">
        <x:v>FAT-200567</x:v>
      </x:c>
      <x:c r="H568" s="10" t="str">
        <x:v>Frete faturado</x:v>
      </x:c>
      <x:c r="I568" s="16" t="n">
        <x:v>45448.012693969904</x:v>
      </x:c>
      <x:c r="J568" s="16" t="n">
        <x:v>45508.012693969904</x:v>
      </x:c>
      <x:c r="K568" s="16"/>
      <x:c r="L568" s="20" t="n">
        <x:v>60029.3</x:v>
      </x:c>
      <x:c r="M568" s="20" t="n">
        <x:v>0</x:v>
      </x:c>
      <x:c r="N568" s="20" t="n">
        <x:v>0</x:v>
      </x:c>
      <x:c r="O568" s="20" t="n">
        <x:v>0</x:v>
      </x:c>
      <x:c r="P568" s="20" t="n">
        <x:v>60029.3</x:v>
      </x:c>
      <x:c r="Q568" s="10" t="str">
        <x:v>Vencido</x:v>
      </x:c>
      <x:c r="R568" s="10" t="str">
        <x:v>TED</x:v>
      </x:c>
      <x:c r="S568" s="10" t="str">
        <x:v>2024-06</x:v>
      </x:c>
      <x:c r="T568" s="10" t="n">
        <x:v>513</x:v>
      </x:c>
      <x:c r="U568" s="10" t="str">
        <x:v>&gt; 120 dias</x:v>
      </x:c>
      <x:c r="V568" s="10" t="str">
        <x:v>Baixo</x:v>
      </x:c>
      <x:c r="W568" s="10" t="str">
        <x:v>Saúde</x:v>
      </x:c>
      <x:c r="X568" s="10" t="str">
        <x:v>UND004</x:v>
      </x:c>
    </x:row>
    <x:row r="569" ht="18" customHeight="1">
      <x:c r="A569" s="10" t="str">
        <x:v>REC00568</x:v>
      </x:c>
      <x:c r="B569" s="10" t="str">
        <x:v>EMP003</x:v>
      </x:c>
      <x:c r="C569" s="10" t="str">
        <x:v>CLI072</x:v>
      </x:c>
      <x:c r="D569" s="10" t="str">
        <x:v>CC004</x:v>
      </x:c>
      <x:c r="E569" s="10" t="str">
        <x:v>CAT003</x:v>
      </x:c>
      <x:c r="F569" s="10" t="str">
        <x:v>CTA006</x:v>
      </x:c>
      <x:c r="G569" s="10" t="str">
        <x:v>FAT-200568</x:v>
      </x:c>
      <x:c r="H569" s="10" t="str">
        <x:v>Contrato mensal</x:v>
      </x:c>
      <x:c r="I569" s="16" t="n">
        <x:v>45934.0226718287</x:v>
      </x:c>
      <x:c r="J569" s="16" t="n">
        <x:v>45969.0226718287</x:v>
      </x:c>
      <x:c r="K569" s="16" t="n">
        <x:v>45990.0226718287</x:v>
      </x:c>
      <x:c r="L569" s="20" t="n">
        <x:v>2117.73</x:v>
      </x:c>
      <x:c r="M569" s="20" t="n">
        <x:v>35.58</x:v>
      </x:c>
      <x:c r="N569" s="20" t="n">
        <x:v>0</x:v>
      </x:c>
      <x:c r="O569" s="20" t="n">
        <x:v>2153.31</x:v>
      </x:c>
      <x:c r="P569" s="20" t="n">
        <x:v>0</x:v>
      </x:c>
      <x:c r="Q569" s="10" t="str">
        <x:v>Recebido</x:v>
      </x:c>
      <x:c r="R569" s="10" t="str">
        <x:v>PIX</x:v>
      </x:c>
      <x:c r="S569" s="10" t="str">
        <x:v>2025-10</x:v>
      </x:c>
      <x:c r="T569" s="10" t="n">
        <x:v>0</x:v>
      </x:c>
      <x:c r="U569" s="10" t="str">
        <x:v>Liquidado</x:v>
      </x:c>
      <x:c r="V569" s="10" t="str">
        <x:v>Alto</x:v>
      </x:c>
      <x:c r="W569" s="10" t="str">
        <x:v>Varejo</x:v>
      </x:c>
      <x:c r="X569" s="10" t="str">
        <x:v>UND004</x:v>
      </x:c>
    </x:row>
    <x:row r="570" ht="18" customHeight="1">
      <x:c r="A570" s="10" t="str">
        <x:v>REC00569</x:v>
      </x:c>
      <x:c r="B570" s="10" t="str">
        <x:v>EMP002</x:v>
      </x:c>
      <x:c r="C570" s="10" t="str">
        <x:v>CLI071</x:v>
      </x:c>
      <x:c r="D570" s="10" t="str">
        <x:v>CC008</x:v>
      </x:c>
      <x:c r="E570" s="10" t="str">
        <x:v>CAT002</x:v>
      </x:c>
      <x:c r="F570" s="10" t="str">
        <x:v>CTA003</x:v>
      </x:c>
      <x:c r="G570" s="10" t="str">
        <x:v>FAT-200569</x:v>
      </x:c>
      <x:c r="H570" s="10" t="str">
        <x:v>Prestação de serviços</x:v>
      </x:c>
      <x:c r="I570" s="16" t="n">
        <x:v>45884.55115731482</x:v>
      </x:c>
      <x:c r="J570" s="16" t="n">
        <x:v>45912.55115731482</x:v>
      </x:c>
      <x:c r="K570" s="16"/>
      <x:c r="L570" s="20" t="n">
        <x:v>9289.75</x:v>
      </x:c>
      <x:c r="M570" s="20" t="n">
        <x:v>0</x:v>
      </x:c>
      <x:c r="N570" s="20" t="n">
        <x:v>0</x:v>
      </x:c>
      <x:c r="O570" s="20" t="n">
        <x:v>0</x:v>
      </x:c>
      <x:c r="P570" s="20" t="n">
        <x:v>9289.75</x:v>
      </x:c>
      <x:c r="Q570" s="10" t="str">
        <x:v>Vencido</x:v>
      </x:c>
      <x:c r="R570" s="10" t="str">
        <x:v>PIX</x:v>
      </x:c>
      <x:c r="S570" s="10" t="str">
        <x:v>2025-08</x:v>
      </x:c>
      <x:c r="T570" s="10" t="n">
        <x:v>109</x:v>
      </x:c>
      <x:c r="U570" s="10" t="str">
        <x:v>91 a 120 dias</x:v>
      </x:c>
      <x:c r="V570" s="10" t="str">
        <x:v>Baixo</x:v>
      </x:c>
      <x:c r="W570" s="10" t="str">
        <x:v>Tecnologia</x:v>
      </x:c>
      <x:c r="X570" s="10" t="str">
        <x:v>UND003</x:v>
      </x:c>
    </x:row>
    <x:row r="571" ht="18" customHeight="1">
      <x:c r="A571" s="10" t="str">
        <x:v>REC00570</x:v>
      </x:c>
      <x:c r="B571" s="10" t="str">
        <x:v>EMP001</x:v>
      </x:c>
      <x:c r="C571" s="10" t="str">
        <x:v>CLI045</x:v>
      </x:c>
      <x:c r="D571" s="10" t="str">
        <x:v>CC003</x:v>
      </x:c>
      <x:c r="E571" s="10" t="str">
        <x:v>CAT003</x:v>
      </x:c>
      <x:c r="F571" s="10" t="str">
        <x:v>CTA001</x:v>
      </x:c>
      <x:c r="G571" s="10" t="str">
        <x:v>FAT-200570</x:v>
      </x:c>
      <x:c r="H571" s="10" t="str">
        <x:v>Frete faturado</x:v>
      </x:c>
      <x:c r="I571" s="16" t="n">
        <x:v>45459.574489039354</x:v>
      </x:c>
      <x:c r="J571" s="16" t="n">
        <x:v>45504.574489039354</x:v>
      </x:c>
      <x:c r="K571" s="16" t="n">
        <x:v>45502.574489039354</x:v>
      </x:c>
      <x:c r="L571" s="20" t="n">
        <x:v>7461.51</x:v>
      </x:c>
      <x:c r="M571" s="20" t="n">
        <x:v>0</x:v>
      </x:c>
      <x:c r="N571" s="20" t="n">
        <x:v>0</x:v>
      </x:c>
      <x:c r="O571" s="20" t="n">
        <x:v>7461.51</x:v>
      </x:c>
      <x:c r="P571" s="20" t="n">
        <x:v>0</x:v>
      </x:c>
      <x:c r="Q571" s="10" t="str">
        <x:v>Recebido</x:v>
      </x:c>
      <x:c r="R571" s="10" t="str">
        <x:v>Débito em Conta</x:v>
      </x:c>
      <x:c r="S571" s="10" t="str">
        <x:v>2024-06</x:v>
      </x:c>
      <x:c r="T571" s="10" t="n">
        <x:v>0</x:v>
      </x:c>
      <x:c r="U571" s="10" t="str">
        <x:v>Liquidado</x:v>
      </x:c>
      <x:c r="V571" s="10" t="str">
        <x:v>Baixo</x:v>
      </x:c>
      <x:c r="W571" s="10" t="str">
        <x:v>Varejo</x:v>
      </x:c>
      <x:c r="X571" s="10" t="str">
        <x:v>UND002</x:v>
      </x:c>
    </x:row>
    <x:row r="572" ht="18" customHeight="1">
      <x:c r="A572" s="10" t="str">
        <x:v>REC00571</x:v>
      </x:c>
      <x:c r="B572" s="10" t="str">
        <x:v>EMP003</x:v>
      </x:c>
      <x:c r="C572" s="10" t="str">
        <x:v>CLI010</x:v>
      </x:c>
      <x:c r="D572" s="10" t="str">
        <x:v>CC007</x:v>
      </x:c>
      <x:c r="E572" s="10" t="str">
        <x:v>CAT001</x:v>
      </x:c>
      <x:c r="F572" s="10" t="str">
        <x:v>CTA006</x:v>
      </x:c>
      <x:c r="G572" s="10" t="str">
        <x:v>FAT-200571</x:v>
      </x:c>
      <x:c r="H572" s="10" t="str">
        <x:v>Prestação de serviços</x:v>
      </x:c>
      <x:c r="I572" s="16" t="n">
        <x:v>45795.10729642361</x:v>
      </x:c>
      <x:c r="J572" s="16" t="n">
        <x:v>45823.10729642361</x:v>
      </x:c>
      <x:c r="K572" s="16" t="n">
        <x:v>45820.10729642361</x:v>
      </x:c>
      <x:c r="L572" s="20" t="n">
        <x:v>82915.24</x:v>
      </x:c>
      <x:c r="M572" s="20" t="n">
        <x:v>0</x:v>
      </x:c>
      <x:c r="N572" s="20" t="n">
        <x:v>0</x:v>
      </x:c>
      <x:c r="O572" s="20" t="n">
        <x:v>82915.24</x:v>
      </x:c>
      <x:c r="P572" s="20" t="n">
        <x:v>0</x:v>
      </x:c>
      <x:c r="Q572" s="10" t="str">
        <x:v>Recebido</x:v>
      </x:c>
      <x:c r="R572" s="10" t="str">
        <x:v>Boleto</x:v>
      </x:c>
      <x:c r="S572" s="10" t="str">
        <x:v>2025-05</x:v>
      </x:c>
      <x:c r="T572" s="10" t="n">
        <x:v>0</x:v>
      </x:c>
      <x:c r="U572" s="10" t="str">
        <x:v>Liquidado</x:v>
      </x:c>
      <x:c r="V572" s="10" t="str">
        <x:v>Baixo</x:v>
      </x:c>
      <x:c r="W572" s="10" t="str">
        <x:v>Indústria</x:v>
      </x:c>
      <x:c r="X572" s="10" t="str">
        <x:v>UND004</x:v>
      </x:c>
    </x:row>
    <x:row r="573" ht="18" customHeight="1">
      <x:c r="A573" s="10" t="str">
        <x:v>REC00572</x:v>
      </x:c>
      <x:c r="B573" s="10" t="str">
        <x:v>EMP001</x:v>
      </x:c>
      <x:c r="C573" s="10" t="str">
        <x:v>CLI032</x:v>
      </x:c>
      <x:c r="D573" s="10" t="str">
        <x:v>CC004</x:v>
      </x:c>
      <x:c r="E573" s="10" t="str">
        <x:v>CAT003</x:v>
      </x:c>
      <x:c r="F573" s="10" t="str">
        <x:v>CTA002</x:v>
      </x:c>
      <x:c r="G573" s="10" t="str">
        <x:v>FAT-200572</x:v>
      </x:c>
      <x:c r="H573" s="10" t="str">
        <x:v>Projeto especial</x:v>
      </x:c>
      <x:c r="I573" s="16" t="n">
        <x:v>45606.19293134259</x:v>
      </x:c>
      <x:c r="J573" s="16" t="n">
        <x:v>45627.19293134259</x:v>
      </x:c>
      <x:c r="K573" s="16" t="n">
        <x:v>45630.19293134259</x:v>
      </x:c>
      <x:c r="L573" s="20" t="n">
        <x:v>58721.56</x:v>
      </x:c>
      <x:c r="M573" s="20" t="n">
        <x:v>140.93</x:v>
      </x:c>
      <x:c r="N573" s="20" t="n">
        <x:v>0</x:v>
      </x:c>
      <x:c r="O573" s="20" t="n">
        <x:v>58862.49</x:v>
      </x:c>
      <x:c r="P573" s="20" t="n">
        <x:v>0</x:v>
      </x:c>
      <x:c r="Q573" s="10" t="str">
        <x:v>Recebido</x:v>
      </x:c>
      <x:c r="R573" s="10" t="str">
        <x:v>Débito em Conta</x:v>
      </x:c>
      <x:c r="S573" s="10" t="str">
        <x:v>2024-11</x:v>
      </x:c>
      <x:c r="T573" s="10" t="n">
        <x:v>0</x:v>
      </x:c>
      <x:c r="U573" s="10" t="str">
        <x:v>Liquidado</x:v>
      </x:c>
      <x:c r="V573" s="10" t="str">
        <x:v>Baixo</x:v>
      </x:c>
      <x:c r="W573" s="10" t="str">
        <x:v>Tecnologia</x:v>
      </x:c>
      <x:c r="X573" s="10" t="str">
        <x:v>UND001</x:v>
      </x:c>
    </x:row>
    <x:row r="574" ht="18" customHeight="1">
      <x:c r="A574" s="10" t="str">
        <x:v>REC00573</x:v>
      </x:c>
      <x:c r="B574" s="10" t="str">
        <x:v>EMP001</x:v>
      </x:c>
      <x:c r="C574" s="10" t="str">
        <x:v>CLI069</x:v>
      </x:c>
      <x:c r="D574" s="10" t="str">
        <x:v>CC007</x:v>
      </x:c>
      <x:c r="E574" s="10" t="str">
        <x:v>CAT001</x:v>
      </x:c>
      <x:c r="F574" s="10" t="str">
        <x:v>CTA001</x:v>
      </x:c>
      <x:c r="G574" s="10" t="str">
        <x:v>FAT-200573</x:v>
      </x:c>
      <x:c r="H574" s="10" t="str">
        <x:v>Prestação de serviços</x:v>
      </x:c>
      <x:c r="I574" s="16" t="n">
        <x:v>45975.17730024306</x:v>
      </x:c>
      <x:c r="J574" s="16" t="n">
        <x:v>46020.17730024306</x:v>
      </x:c>
      <x:c r="K574" s="16" t="n">
        <x:v>46021.17730024306</x:v>
      </x:c>
      <x:c r="L574" s="20" t="n">
        <x:v>21425.95</x:v>
      </x:c>
      <x:c r="M574" s="20" t="n">
        <x:v>17.14</x:v>
      </x:c>
      <x:c r="N574" s="20" t="n">
        <x:v>0</x:v>
      </x:c>
      <x:c r="O574" s="20" t="n">
        <x:v>21443.09</x:v>
      </x:c>
      <x:c r="P574" s="20" t="n">
        <x:v>0</x:v>
      </x:c>
      <x:c r="Q574" s="10" t="str">
        <x:v>Recebido</x:v>
      </x:c>
      <x:c r="R574" s="10" t="str">
        <x:v>Boleto</x:v>
      </x:c>
      <x:c r="S574" s="10" t="str">
        <x:v>2025-11</x:v>
      </x:c>
      <x:c r="T574" s="10" t="n">
        <x:v>0</x:v>
      </x:c>
      <x:c r="U574" s="10" t="str">
        <x:v>Liquidado</x:v>
      </x:c>
      <x:c r="V574" s="10" t="str">
        <x:v>Alto</x:v>
      </x:c>
      <x:c r="W574" s="10" t="str">
        <x:v>Tecnologia</x:v>
      </x:c>
      <x:c r="X574" s="10" t="str">
        <x:v>UND002</x:v>
      </x:c>
    </x:row>
    <x:row r="575" ht="18" customHeight="1">
      <x:c r="A575" s="10" t="str">
        <x:v>REC00574</x:v>
      </x:c>
      <x:c r="B575" s="10" t="str">
        <x:v>EMP003</x:v>
      </x:c>
      <x:c r="C575" s="10" t="str">
        <x:v>CLI044</x:v>
      </x:c>
      <x:c r="D575" s="10" t="str">
        <x:v>CC006</x:v>
      </x:c>
      <x:c r="E575" s="10" t="str">
        <x:v>CAT001</x:v>
      </x:c>
      <x:c r="F575" s="10" t="str">
        <x:v>CTA006</x:v>
      </x:c>
      <x:c r="G575" s="10" t="str">
        <x:v>FAT-200574</x:v>
      </x:c>
      <x:c r="H575" s="10" t="str">
        <x:v>Venda de produtos</x:v>
      </x:c>
      <x:c r="I575" s="16" t="n">
        <x:v>45763.19190291667</x:v>
      </x:c>
      <x:c r="J575" s="16" t="n">
        <x:v>45808.19190291667</x:v>
      </x:c>
      <x:c r="K575" s="16" t="n">
        <x:v>45816.19190291667</x:v>
      </x:c>
      <x:c r="L575" s="20" t="n">
        <x:v>18713.13</x:v>
      </x:c>
      <x:c r="M575" s="20" t="n">
        <x:v>119.76</x:v>
      </x:c>
      <x:c r="N575" s="20" t="n">
        <x:v>0</x:v>
      </x:c>
      <x:c r="O575" s="20" t="n">
        <x:v>18832.89</x:v>
      </x:c>
      <x:c r="P575" s="20" t="n">
        <x:v>0</x:v>
      </x:c>
      <x:c r="Q575" s="10" t="str">
        <x:v>Recebido</x:v>
      </x:c>
      <x:c r="R575" s="10" t="str">
        <x:v>Cartão</x:v>
      </x:c>
      <x:c r="S575" s="10" t="str">
        <x:v>2025-04</x:v>
      </x:c>
      <x:c r="T575" s="10" t="n">
        <x:v>0</x:v>
      </x:c>
      <x:c r="U575" s="10" t="str">
        <x:v>Liquidado</x:v>
      </x:c>
      <x:c r="V575" s="10" t="str">
        <x:v>Alto</x:v>
      </x:c>
      <x:c r="W575" s="10" t="str">
        <x:v>Varejo</x:v>
      </x:c>
      <x:c r="X575" s="10" t="str">
        <x:v>UND004</x:v>
      </x:c>
    </x:row>
    <x:row r="576" ht="18" customHeight="1">
      <x:c r="A576" s="10" t="str">
        <x:v>REC00575</x:v>
      </x:c>
      <x:c r="B576" s="10" t="str">
        <x:v>EMP001</x:v>
      </x:c>
      <x:c r="C576" s="10" t="str">
        <x:v>CLI056</x:v>
      </x:c>
      <x:c r="D576" s="10" t="str">
        <x:v>CC005</x:v>
      </x:c>
      <x:c r="E576" s="10" t="str">
        <x:v>CAT001</x:v>
      </x:c>
      <x:c r="F576" s="10" t="str">
        <x:v>CTA002</x:v>
      </x:c>
      <x:c r="G576" s="10" t="str">
        <x:v>FAT-200575</x:v>
      </x:c>
      <x:c r="H576" s="10" t="str">
        <x:v>Prestação de serviços</x:v>
      </x:c>
      <x:c r="I576" s="16" t="n">
        <x:v>45725.451009930555</x:v>
      </x:c>
      <x:c r="J576" s="16" t="n">
        <x:v>45755.451009930555</x:v>
      </x:c>
      <x:c r="K576" s="16" t="n">
        <x:v>45752.451009930555</x:v>
      </x:c>
      <x:c r="L576" s="20" t="n">
        <x:v>11922.26</x:v>
      </x:c>
      <x:c r="M576" s="20" t="n">
        <x:v>0</x:v>
      </x:c>
      <x:c r="N576" s="20" t="n">
        <x:v>0</x:v>
      </x:c>
      <x:c r="O576" s="20" t="n">
        <x:v>11922.26</x:v>
      </x:c>
      <x:c r="P576" s="20" t="n">
        <x:v>0</x:v>
      </x:c>
      <x:c r="Q576" s="10" t="str">
        <x:v>Recebido</x:v>
      </x:c>
      <x:c r="R576" s="10" t="str">
        <x:v>Débito em Conta</x:v>
      </x:c>
      <x:c r="S576" s="10" t="str">
        <x:v>2025-03</x:v>
      </x:c>
      <x:c r="T576" s="10" t="n">
        <x:v>0</x:v>
      </x:c>
      <x:c r="U576" s="10" t="str">
        <x:v>Liquidado</x:v>
      </x:c>
      <x:c r="V576" s="10" t="str">
        <x:v>Baixo</x:v>
      </x:c>
      <x:c r="W576" s="10" t="str">
        <x:v>Tecnologia</x:v>
      </x:c>
      <x:c r="X576" s="10" t="str">
        <x:v>UND001</x:v>
      </x:c>
    </x:row>
    <x:row r="577" ht="18" customHeight="1">
      <x:c r="A577" s="10" t="str">
        <x:v>REC00576</x:v>
      </x:c>
      <x:c r="B577" s="10" t="str">
        <x:v>EMP001</x:v>
      </x:c>
      <x:c r="C577" s="10" t="str">
        <x:v>CLI018</x:v>
      </x:c>
      <x:c r="D577" s="10" t="str">
        <x:v>CC001</x:v>
      </x:c>
      <x:c r="E577" s="10" t="str">
        <x:v>CAT004</x:v>
      </x:c>
      <x:c r="F577" s="10" t="str">
        <x:v>CTA001</x:v>
      </x:c>
      <x:c r="G577" s="10" t="str">
        <x:v>FAT-200576</x:v>
      </x:c>
      <x:c r="H577" s="10" t="str">
        <x:v>Prestação de serviços</x:v>
      </x:c>
      <x:c r="I577" s="16" t="n">
        <x:v>45690.404613321756</x:v>
      </x:c>
      <x:c r="J577" s="16" t="n">
        <x:v>45720.404613321756</x:v>
      </x:c>
      <x:c r="K577" s="16"/>
      <x:c r="L577" s="20" t="n">
        <x:v>42673.02</x:v>
      </x:c>
      <x:c r="M577" s="20" t="n">
        <x:v>0</x:v>
      </x:c>
      <x:c r="N577" s="20" t="n">
        <x:v>0</x:v>
      </x:c>
      <x:c r="O577" s="20" t="n">
        <x:v>0</x:v>
      </x:c>
      <x:c r="P577" s="20" t="n">
        <x:v>0</x:v>
      </x:c>
      <x:c r="Q577" s="10" t="str">
        <x:v>Cancelado</x:v>
      </x:c>
      <x:c r="R577" s="10" t="str">
        <x:v>Cartão</x:v>
      </x:c>
      <x:c r="S577" s="10" t="str">
        <x:v>2025-02</x:v>
      </x:c>
      <x:c r="T577" s="10" t="n">
        <x:v>0</x:v>
      </x:c>
      <x:c r="U577" s="10" t="str">
        <x:v>Cancelado</x:v>
      </x:c>
      <x:c r="V577" s="10" t="str">
        <x:v>Médio</x:v>
      </x:c>
      <x:c r="W577" s="10" t="str">
        <x:v>Indústria</x:v>
      </x:c>
      <x:c r="X577" s="10" t="str">
        <x:v>UND002</x:v>
      </x:c>
    </x:row>
    <x:row r="578" ht="18" customHeight="1">
      <x:c r="A578" s="10" t="str">
        <x:v>REC00577</x:v>
      </x:c>
      <x:c r="B578" s="10" t="str">
        <x:v>EMP003</x:v>
      </x:c>
      <x:c r="C578" s="10" t="str">
        <x:v>CLI040</x:v>
      </x:c>
      <x:c r="D578" s="10" t="str">
        <x:v>CC007</x:v>
      </x:c>
      <x:c r="E578" s="10" t="str">
        <x:v>CAT001</x:v>
      </x:c>
      <x:c r="F578" s="10" t="str">
        <x:v>CTA005</x:v>
      </x:c>
      <x:c r="G578" s="10" t="str">
        <x:v>FAT-200577</x:v>
      </x:c>
      <x:c r="H578" s="10" t="str">
        <x:v>Contrato mensal</x:v>
      </x:c>
      <x:c r="I578" s="16" t="n">
        <x:v>45769.04163313657</x:v>
      </x:c>
      <x:c r="J578" s="16" t="n">
        <x:v>45804.04163313657</x:v>
      </x:c>
      <x:c r="K578" s="16" t="n">
        <x:v>45799.04163313657</x:v>
      </x:c>
      <x:c r="L578" s="20" t="n">
        <x:v>132058</x:v>
      </x:c>
      <x:c r="M578" s="20" t="n">
        <x:v>0</x:v>
      </x:c>
      <x:c r="N578" s="20" t="n">
        <x:v>0</x:v>
      </x:c>
      <x:c r="O578" s="20" t="n">
        <x:v>132058</x:v>
      </x:c>
      <x:c r="P578" s="20" t="n">
        <x:v>0</x:v>
      </x:c>
      <x:c r="Q578" s="10" t="str">
        <x:v>Recebido</x:v>
      </x:c>
      <x:c r="R578" s="10" t="str">
        <x:v>Boleto</x:v>
      </x:c>
      <x:c r="S578" s="10" t="str">
        <x:v>2025-04</x:v>
      </x:c>
      <x:c r="T578" s="10" t="n">
        <x:v>0</x:v>
      </x:c>
      <x:c r="U578" s="10" t="str">
        <x:v>Liquidado</x:v>
      </x:c>
      <x:c r="V578" s="10" t="str">
        <x:v>Baixo</x:v>
      </x:c>
      <x:c r="W578" s="10" t="str">
        <x:v>Saúde</x:v>
      </x:c>
      <x:c r="X578" s="10" t="str">
        <x:v>UND004</x:v>
      </x:c>
    </x:row>
    <x:row r="579" ht="18" customHeight="1">
      <x:c r="A579" s="10" t="str">
        <x:v>REC00578</x:v>
      </x:c>
      <x:c r="B579" s="10" t="str">
        <x:v>EMP002</x:v>
      </x:c>
      <x:c r="C579" s="10" t="str">
        <x:v>CLI038</x:v>
      </x:c>
      <x:c r="D579" s="10" t="str">
        <x:v>CC004</x:v>
      </x:c>
      <x:c r="E579" s="10" t="str">
        <x:v>CAT003</x:v>
      </x:c>
      <x:c r="F579" s="10" t="str">
        <x:v>CTA004</x:v>
      </x:c>
      <x:c r="G579" s="10" t="str">
        <x:v>FAT-200578</x:v>
      </x:c>
      <x:c r="H579" s="10" t="str">
        <x:v>Prestação de serviços</x:v>
      </x:c>
      <x:c r="I579" s="16" t="n">
        <x:v>45478.87902172454</x:v>
      </x:c>
      <x:c r="J579" s="16" t="n">
        <x:v>45508.87902172454</x:v>
      </x:c>
      <x:c r="K579" s="16" t="n">
        <x:v>45504.87902172454</x:v>
      </x:c>
      <x:c r="L579" s="20" t="n">
        <x:v>110517.01</x:v>
      </x:c>
      <x:c r="M579" s="20" t="n">
        <x:v>0</x:v>
      </x:c>
      <x:c r="N579" s="20" t="n">
        <x:v>2210.34</x:v>
      </x:c>
      <x:c r="O579" s="20" t="n">
        <x:v>108306.67</x:v>
      </x:c>
      <x:c r="P579" s="20" t="n">
        <x:v>0</x:v>
      </x:c>
      <x:c r="Q579" s="10" t="str">
        <x:v>Recebido</x:v>
      </x:c>
      <x:c r="R579" s="10" t="str">
        <x:v>Débito em Conta</x:v>
      </x:c>
      <x:c r="S579" s="10" t="str">
        <x:v>2024-07</x:v>
      </x:c>
      <x:c r="T579" s="10" t="n">
        <x:v>0</x:v>
      </x:c>
      <x:c r="U579" s="10" t="str">
        <x:v>Liquidado</x:v>
      </x:c>
      <x:c r="V579" s="10" t="str">
        <x:v>Baixo</x:v>
      </x:c>
      <x:c r="W579" s="10" t="str">
        <x:v>Varejo</x:v>
      </x:c>
      <x:c r="X579" s="10" t="str">
        <x:v>UND003</x:v>
      </x:c>
    </x:row>
    <x:row r="580" ht="18" customHeight="1">
      <x:c r="A580" s="10" t="str">
        <x:v>REC00579</x:v>
      </x:c>
      <x:c r="B580" s="10" t="str">
        <x:v>EMP002</x:v>
      </x:c>
      <x:c r="C580" s="10" t="str">
        <x:v>CLI016</x:v>
      </x:c>
      <x:c r="D580" s="10" t="str">
        <x:v>CC004</x:v>
      </x:c>
      <x:c r="E580" s="10" t="str">
        <x:v>CAT002</x:v>
      </x:c>
      <x:c r="F580" s="10" t="str">
        <x:v>CTA003</x:v>
      </x:c>
      <x:c r="G580" s="10" t="str">
        <x:v>FAT-200579</x:v>
      </x:c>
      <x:c r="H580" s="10" t="str">
        <x:v>Contrato mensal</x:v>
      </x:c>
      <x:c r="I580" s="16" t="n">
        <x:v>45661.897027719904</x:v>
      </x:c>
      <x:c r="J580" s="16" t="n">
        <x:v>45682.897027719904</x:v>
      </x:c>
      <x:c r="K580" s="16" t="n">
        <x:v>45682.897027719904</x:v>
      </x:c>
      <x:c r="L580" s="20" t="n">
        <x:v>19597.22</x:v>
      </x:c>
      <x:c r="M580" s="20" t="n">
        <x:v>0</x:v>
      </x:c>
      <x:c r="N580" s="20" t="n">
        <x:v>0</x:v>
      </x:c>
      <x:c r="O580" s="20" t="n">
        <x:v>19597.22</x:v>
      </x:c>
      <x:c r="P580" s="20" t="n">
        <x:v>0</x:v>
      </x:c>
      <x:c r="Q580" s="10" t="str">
        <x:v>Recebido</x:v>
      </x:c>
      <x:c r="R580" s="10" t="str">
        <x:v>PIX</x:v>
      </x:c>
      <x:c r="S580" s="10" t="str">
        <x:v>2025-01</x:v>
      </x:c>
      <x:c r="T580" s="10" t="n">
        <x:v>0</x:v>
      </x:c>
      <x:c r="U580" s="10" t="str">
        <x:v>Liquidado</x:v>
      </x:c>
      <x:c r="V580" s="10" t="str">
        <x:v>Baixo</x:v>
      </x:c>
      <x:c r="W580" s="10" t="str">
        <x:v>Serviços</x:v>
      </x:c>
      <x:c r="X580" s="10" t="str">
        <x:v>UND003</x:v>
      </x:c>
    </x:row>
    <x:row r="581" ht="18" customHeight="1">
      <x:c r="A581" s="10" t="str">
        <x:v>REC00580</x:v>
      </x:c>
      <x:c r="B581" s="10" t="str">
        <x:v>EMP002</x:v>
      </x:c>
      <x:c r="C581" s="10" t="str">
        <x:v>CLI062</x:v>
      </x:c>
      <x:c r="D581" s="10" t="str">
        <x:v>CC006</x:v>
      </x:c>
      <x:c r="E581" s="10" t="str">
        <x:v>CAT004</x:v>
      </x:c>
      <x:c r="F581" s="10" t="str">
        <x:v>CTA003</x:v>
      </x:c>
      <x:c r="G581" s="10" t="str">
        <x:v>FAT-200580</x:v>
      </x:c>
      <x:c r="H581" s="10" t="str">
        <x:v>Prestação de serviços</x:v>
      </x:c>
      <x:c r="I581" s="16" t="n">
        <x:v>45966.08625704861</x:v>
      </x:c>
      <x:c r="J581" s="16" t="n">
        <x:v>46011.08625704861</x:v>
      </x:c>
      <x:c r="K581" s="16" t="n">
        <x:v>46005.08625704861</x:v>
      </x:c>
      <x:c r="L581" s="20" t="n">
        <x:v>36985.96</x:v>
      </x:c>
      <x:c r="M581" s="20" t="n">
        <x:v>0</x:v>
      </x:c>
      <x:c r="N581" s="20" t="n">
        <x:v>369.86</x:v>
      </x:c>
      <x:c r="O581" s="20" t="n">
        <x:v>36616.1</x:v>
      </x:c>
      <x:c r="P581" s="20" t="n">
        <x:v>0</x:v>
      </x:c>
      <x:c r="Q581" s="10" t="str">
        <x:v>Recebido</x:v>
      </x:c>
      <x:c r="R581" s="10" t="str">
        <x:v>Débito em Conta</x:v>
      </x:c>
      <x:c r="S581" s="10" t="str">
        <x:v>2025-11</x:v>
      </x:c>
      <x:c r="T581" s="10" t="n">
        <x:v>0</x:v>
      </x:c>
      <x:c r="U581" s="10" t="str">
        <x:v>Liquidado</x:v>
      </x:c>
      <x:c r="V581" s="10" t="str">
        <x:v>Baixo</x:v>
      </x:c>
      <x:c r="W581" s="10" t="str">
        <x:v>Saúde</x:v>
      </x:c>
      <x:c r="X581" s="10" t="str">
        <x:v>UND003</x:v>
      </x:c>
    </x:row>
    <x:row r="582" ht="18" customHeight="1">
      <x:c r="A582" s="10" t="str">
        <x:v>REC00581</x:v>
      </x:c>
      <x:c r="B582" s="10" t="str">
        <x:v>EMP001</x:v>
      </x:c>
      <x:c r="C582" s="10" t="str">
        <x:v>CLI032</x:v>
      </x:c>
      <x:c r="D582" s="10" t="str">
        <x:v>CC008</x:v>
      </x:c>
      <x:c r="E582" s="10" t="str">
        <x:v>CAT002</x:v>
      </x:c>
      <x:c r="F582" s="10" t="str">
        <x:v>CTA001</x:v>
      </x:c>
      <x:c r="G582" s="10" t="str">
        <x:v>FAT-200581</x:v>
      </x:c>
      <x:c r="H582" s="10" t="str">
        <x:v>Prestação de serviços</x:v>
      </x:c>
      <x:c r="I582" s="16" t="n">
        <x:v>45519.4795590625</x:v>
      </x:c>
      <x:c r="J582" s="16" t="n">
        <x:v>45547.4795590625</x:v>
      </x:c>
      <x:c r="K582" s="16" t="n">
        <x:v>45551.4795590625</x:v>
      </x:c>
      <x:c r="L582" s="20" t="n">
        <x:v>21376.46</x:v>
      </x:c>
      <x:c r="M582" s="20" t="n">
        <x:v>68.4</x:v>
      </x:c>
      <x:c r="N582" s="20" t="n">
        <x:v>0</x:v>
      </x:c>
      <x:c r="O582" s="20" t="n">
        <x:v>21444.86</x:v>
      </x:c>
      <x:c r="P582" s="20" t="n">
        <x:v>0</x:v>
      </x:c>
      <x:c r="Q582" s="10" t="str">
        <x:v>Recebido</x:v>
      </x:c>
      <x:c r="R582" s="10" t="str">
        <x:v>Cartão</x:v>
      </x:c>
      <x:c r="S582" s="10" t="str">
        <x:v>2024-08</x:v>
      </x:c>
      <x:c r="T582" s="10" t="n">
        <x:v>0</x:v>
      </x:c>
      <x:c r="U582" s="10" t="str">
        <x:v>Liquidado</x:v>
      </x:c>
      <x:c r="V582" s="10" t="str">
        <x:v>Baixo</x:v>
      </x:c>
      <x:c r="W582" s="10" t="str">
        <x:v>Tecnologia</x:v>
      </x:c>
      <x:c r="X582" s="10" t="str">
        <x:v>UND001</x:v>
      </x:c>
    </x:row>
    <x:row r="583" ht="18" customHeight="1">
      <x:c r="A583" s="10" t="str">
        <x:v>REC00582</x:v>
      </x:c>
      <x:c r="B583" s="10" t="str">
        <x:v>EMP001</x:v>
      </x:c>
      <x:c r="C583" s="10" t="str">
        <x:v>CLI049</x:v>
      </x:c>
      <x:c r="D583" s="10" t="str">
        <x:v>CC008</x:v>
      </x:c>
      <x:c r="E583" s="10" t="str">
        <x:v>CAT001</x:v>
      </x:c>
      <x:c r="F583" s="10" t="str">
        <x:v>CTA001</x:v>
      </x:c>
      <x:c r="G583" s="10" t="str">
        <x:v>FAT-200582</x:v>
      </x:c>
      <x:c r="H583" s="10" t="str">
        <x:v>Frete faturado</x:v>
      </x:c>
      <x:c r="I583" s="16" t="n">
        <x:v>45853.4837522338</x:v>
      </x:c>
      <x:c r="J583" s="16" t="n">
        <x:v>45874.4837522338</x:v>
      </x:c>
      <x:c r="K583" s="16" t="n">
        <x:v>45876.4837522338</x:v>
      </x:c>
      <x:c r="L583" s="20" t="n">
        <x:v>117736.5</x:v>
      </x:c>
      <x:c r="M583" s="20" t="n">
        <x:v>188.38</x:v>
      </x:c>
      <x:c r="N583" s="20" t="n">
        <x:v>0</x:v>
      </x:c>
      <x:c r="O583" s="20" t="n">
        <x:v>117924.88</x:v>
      </x:c>
      <x:c r="P583" s="20" t="n">
        <x:v>0</x:v>
      </x:c>
      <x:c r="Q583" s="10" t="str">
        <x:v>Recebido</x:v>
      </x:c>
      <x:c r="R583" s="10" t="str">
        <x:v>Débito em Conta</x:v>
      </x:c>
      <x:c r="S583" s="10" t="str">
        <x:v>2025-07</x:v>
      </x:c>
      <x:c r="T583" s="10" t="n">
        <x:v>0</x:v>
      </x:c>
      <x:c r="U583" s="10" t="str">
        <x:v>Liquidado</x:v>
      </x:c>
      <x:c r="V583" s="10" t="str">
        <x:v>Médio</x:v>
      </x:c>
      <x:c r="W583" s="10" t="str">
        <x:v>Serviços</x:v>
      </x:c>
      <x:c r="X583" s="10" t="str">
        <x:v>UND002</x:v>
      </x:c>
    </x:row>
    <x:row r="584" ht="18" customHeight="1">
      <x:c r="A584" s="10" t="str">
        <x:v>REC00583</x:v>
      </x:c>
      <x:c r="B584" s="10" t="str">
        <x:v>EMP002</x:v>
      </x:c>
      <x:c r="C584" s="10" t="str">
        <x:v>CLI075</x:v>
      </x:c>
      <x:c r="D584" s="10" t="str">
        <x:v>CC002</x:v>
      </x:c>
      <x:c r="E584" s="10" t="str">
        <x:v>CAT002</x:v>
      </x:c>
      <x:c r="F584" s="10" t="str">
        <x:v>CTA003</x:v>
      </x:c>
      <x:c r="G584" s="10" t="str">
        <x:v>FAT-200583</x:v>
      </x:c>
      <x:c r="H584" s="10" t="str">
        <x:v>Frete faturado</x:v>
      </x:c>
      <x:c r="I584" s="16" t="n">
        <x:v>45798.06272112268</x:v>
      </x:c>
      <x:c r="J584" s="16" t="n">
        <x:v>45833.06272112268</x:v>
      </x:c>
      <x:c r="K584" s="16" t="n">
        <x:v>45830.06272112268</x:v>
      </x:c>
      <x:c r="L584" s="20" t="n">
        <x:v>132997.41</x:v>
      </x:c>
      <x:c r="M584" s="20" t="n">
        <x:v>0</x:v>
      </x:c>
      <x:c r="N584" s="20" t="n">
        <x:v>0</x:v>
      </x:c>
      <x:c r="O584" s="20" t="n">
        <x:v>132997.41</x:v>
      </x:c>
      <x:c r="P584" s="20" t="n">
        <x:v>0</x:v>
      </x:c>
      <x:c r="Q584" s="10" t="str">
        <x:v>Recebido</x:v>
      </x:c>
      <x:c r="R584" s="10" t="str">
        <x:v>TED</x:v>
      </x:c>
      <x:c r="S584" s="10" t="str">
        <x:v>2025-05</x:v>
      </x:c>
      <x:c r="T584" s="10" t="n">
        <x:v>0</x:v>
      </x:c>
      <x:c r="U584" s="10" t="str">
        <x:v>Liquidado</x:v>
      </x:c>
      <x:c r="V584" s="10" t="str">
        <x:v>Médio</x:v>
      </x:c>
      <x:c r="W584" s="10" t="str">
        <x:v>Varejo</x:v>
      </x:c>
      <x:c r="X584" s="10" t="str">
        <x:v>UND003</x:v>
      </x:c>
    </x:row>
    <x:row r="585" ht="18" customHeight="1">
      <x:c r="A585" s="10" t="str">
        <x:v>REC00584</x:v>
      </x:c>
      <x:c r="B585" s="10" t="str">
        <x:v>EMP003</x:v>
      </x:c>
      <x:c r="C585" s="10" t="str">
        <x:v>CLI069</x:v>
      </x:c>
      <x:c r="D585" s="10" t="str">
        <x:v>CC006</x:v>
      </x:c>
      <x:c r="E585" s="10" t="str">
        <x:v>CAT004</x:v>
      </x:c>
      <x:c r="F585" s="10" t="str">
        <x:v>CTA006</x:v>
      </x:c>
      <x:c r="G585" s="10" t="str">
        <x:v>FAT-200584</x:v>
      </x:c>
      <x:c r="H585" s="10" t="str">
        <x:v>Projeto especial</x:v>
      </x:c>
      <x:c r="I585" s="16" t="n">
        <x:v>45791.17297357639</x:v>
      </x:c>
      <x:c r="J585" s="16" t="n">
        <x:v>45836.17297357639</x:v>
      </x:c>
      <x:c r="K585" s="16" t="n">
        <x:v>45838.17297357639</x:v>
      </x:c>
      <x:c r="L585" s="20" t="n">
        <x:v>67225.3</x:v>
      </x:c>
      <x:c r="M585" s="20" t="n">
        <x:v>107.56</x:v>
      </x:c>
      <x:c r="N585" s="20" t="n">
        <x:v>0</x:v>
      </x:c>
      <x:c r="O585" s="20" t="n">
        <x:v>67332.86</x:v>
      </x:c>
      <x:c r="P585" s="20" t="n">
        <x:v>0</x:v>
      </x:c>
      <x:c r="Q585" s="10" t="str">
        <x:v>Recebido</x:v>
      </x:c>
      <x:c r="R585" s="10" t="str">
        <x:v>TED</x:v>
      </x:c>
      <x:c r="S585" s="10" t="str">
        <x:v>2025-05</x:v>
      </x:c>
      <x:c r="T585" s="10" t="n">
        <x:v>0</x:v>
      </x:c>
      <x:c r="U585" s="10" t="str">
        <x:v>Liquidado</x:v>
      </x:c>
      <x:c r="V585" s="10" t="str">
        <x:v>Alto</x:v>
      </x:c>
      <x:c r="W585" s="10" t="str">
        <x:v>Tecnologia</x:v>
      </x:c>
      <x:c r="X585" s="10" t="str">
        <x:v>UND004</x:v>
      </x:c>
    </x:row>
    <x:row r="586" ht="18" customHeight="1">
      <x:c r="A586" s="10" t="str">
        <x:v>REC00585</x:v>
      </x:c>
      <x:c r="B586" s="10" t="str">
        <x:v>EMP001</x:v>
      </x:c>
      <x:c r="C586" s="10" t="str">
        <x:v>CLI054</x:v>
      </x:c>
      <x:c r="D586" s="10" t="str">
        <x:v>CC007</x:v>
      </x:c>
      <x:c r="E586" s="10" t="str">
        <x:v>CAT002</x:v>
      </x:c>
      <x:c r="F586" s="10" t="str">
        <x:v>CTA001</x:v>
      </x:c>
      <x:c r="G586" s="10" t="str">
        <x:v>FAT-200585</x:v>
      </x:c>
      <x:c r="H586" s="10" t="str">
        <x:v>Frete faturado</x:v>
      </x:c>
      <x:c r="I586" s="16" t="n">
        <x:v>45562.654609537036</x:v>
      </x:c>
      <x:c r="J586" s="16" t="n">
        <x:v>45607.654609537036</x:v>
      </x:c>
      <x:c r="K586" s="16" t="n">
        <x:v>45614.654609537036</x:v>
      </x:c>
      <x:c r="L586" s="20" t="n">
        <x:v>141408.47</x:v>
      </x:c>
      <x:c r="M586" s="20" t="n">
        <x:v>791.89</x:v>
      </x:c>
      <x:c r="N586" s="20" t="n">
        <x:v>0</x:v>
      </x:c>
      <x:c r="O586" s="20" t="n">
        <x:v>142200.36</x:v>
      </x:c>
      <x:c r="P586" s="20" t="n">
        <x:v>0</x:v>
      </x:c>
      <x:c r="Q586" s="10" t="str">
        <x:v>Recebido</x:v>
      </x:c>
      <x:c r="R586" s="10" t="str">
        <x:v>TED</x:v>
      </x:c>
      <x:c r="S586" s="10" t="str">
        <x:v>2024-09</x:v>
      </x:c>
      <x:c r="T586" s="10" t="n">
        <x:v>0</x:v>
      </x:c>
      <x:c r="U586" s="10" t="str">
        <x:v>Liquidado</x:v>
      </x:c>
      <x:c r="V586" s="10" t="str">
        <x:v>Médio</x:v>
      </x:c>
      <x:c r="W586" s="10" t="str">
        <x:v>Indústria</x:v>
      </x:c>
      <x:c r="X586" s="10" t="str">
        <x:v>UND001</x:v>
      </x:c>
    </x:row>
    <x:row r="587" ht="18" customHeight="1">
      <x:c r="A587" s="10" t="str">
        <x:v>REC00586</x:v>
      </x:c>
      <x:c r="B587" s="10" t="str">
        <x:v>EMP003</x:v>
      </x:c>
      <x:c r="C587" s="10" t="str">
        <x:v>CLI078</x:v>
      </x:c>
      <x:c r="D587" s="10" t="str">
        <x:v>CC002</x:v>
      </x:c>
      <x:c r="E587" s="10" t="str">
        <x:v>CAT003</x:v>
      </x:c>
      <x:c r="F587" s="10" t="str">
        <x:v>CTA005</x:v>
      </x:c>
      <x:c r="G587" s="10" t="str">
        <x:v>FAT-200586</x:v>
      </x:c>
      <x:c r="H587" s="10" t="str">
        <x:v>Projeto especial</x:v>
      </x:c>
      <x:c r="I587" s="16" t="n">
        <x:v>45689.40718879629</x:v>
      </x:c>
      <x:c r="J587" s="16" t="n">
        <x:v>45734.40718879629</x:v>
      </x:c>
      <x:c r="K587" s="16" t="n">
        <x:v>45747.40718879629</x:v>
      </x:c>
      <x:c r="L587" s="20" t="n">
        <x:v>33975.03</x:v>
      </x:c>
      <x:c r="M587" s="20" t="n">
        <x:v>353.34</x:v>
      </x:c>
      <x:c r="N587" s="20" t="n">
        <x:v>0</x:v>
      </x:c>
      <x:c r="O587" s="20" t="n">
        <x:v>34328.37</x:v>
      </x:c>
      <x:c r="P587" s="20" t="n">
        <x:v>0</x:v>
      </x:c>
      <x:c r="Q587" s="10" t="str">
        <x:v>Recebido</x:v>
      </x:c>
      <x:c r="R587" s="10" t="str">
        <x:v>Débito em Conta</x:v>
      </x:c>
      <x:c r="S587" s="10" t="str">
        <x:v>2025-02</x:v>
      </x:c>
      <x:c r="T587" s="10" t="n">
        <x:v>0</x:v>
      </x:c>
      <x:c r="U587" s="10" t="str">
        <x:v>Liquidado</x:v>
      </x:c>
      <x:c r="V587" s="10" t="str">
        <x:v>Médio</x:v>
      </x:c>
      <x:c r="W587" s="10" t="str">
        <x:v>Tecnologia</x:v>
      </x:c>
      <x:c r="X587" s="10" t="str">
        <x:v>UND004</x:v>
      </x:c>
    </x:row>
    <x:row r="588" ht="18" customHeight="1">
      <x:c r="A588" s="10" t="str">
        <x:v>REC00587</x:v>
      </x:c>
      <x:c r="B588" s="10" t="str">
        <x:v>EMP002</x:v>
      </x:c>
      <x:c r="C588" s="10" t="str">
        <x:v>CLI025</x:v>
      </x:c>
      <x:c r="D588" s="10" t="str">
        <x:v>CC007</x:v>
      </x:c>
      <x:c r="E588" s="10" t="str">
        <x:v>CAT003</x:v>
      </x:c>
      <x:c r="F588" s="10" t="str">
        <x:v>CTA004</x:v>
      </x:c>
      <x:c r="G588" s="10" t="str">
        <x:v>FAT-200587</x:v>
      </x:c>
      <x:c r="H588" s="10" t="str">
        <x:v>Frete faturado</x:v>
      </x:c>
      <x:c r="I588" s="16" t="n">
        <x:v>45579.657630023146</x:v>
      </x:c>
      <x:c r="J588" s="16" t="n">
        <x:v>45600.657630023146</x:v>
      </x:c>
      <x:c r="K588" s="16" t="n">
        <x:v>45607.657630023146</x:v>
      </x:c>
      <x:c r="L588" s="20" t="n">
        <x:v>13763.9</x:v>
      </x:c>
      <x:c r="M588" s="20" t="n">
        <x:v>77.08</x:v>
      </x:c>
      <x:c r="N588" s="20" t="n">
        <x:v>0</x:v>
      </x:c>
      <x:c r="O588" s="20" t="n">
        <x:v>13840.98</x:v>
      </x:c>
      <x:c r="P588" s="20" t="n">
        <x:v>0</x:v>
      </x:c>
      <x:c r="Q588" s="10" t="str">
        <x:v>Recebido</x:v>
      </x:c>
      <x:c r="R588" s="10" t="str">
        <x:v>TED</x:v>
      </x:c>
      <x:c r="S588" s="10" t="str">
        <x:v>2024-10</x:v>
      </x:c>
      <x:c r="T588" s="10" t="n">
        <x:v>0</x:v>
      </x:c>
      <x:c r="U588" s="10" t="str">
        <x:v>Liquidado</x:v>
      </x:c>
      <x:c r="V588" s="10" t="str">
        <x:v>Médio</x:v>
      </x:c>
      <x:c r="W588" s="10" t="str">
        <x:v>Indústria</x:v>
      </x:c>
      <x:c r="X588" s="10" t="str">
        <x:v>UND003</x:v>
      </x:c>
    </x:row>
    <x:row r="589" ht="18" customHeight="1">
      <x:c r="A589" s="10" t="str">
        <x:v>REC00588</x:v>
      </x:c>
      <x:c r="B589" s="10" t="str">
        <x:v>EMP001</x:v>
      </x:c>
      <x:c r="C589" s="10" t="str">
        <x:v>CLI013</x:v>
      </x:c>
      <x:c r="D589" s="10" t="str">
        <x:v>CC005</x:v>
      </x:c>
      <x:c r="E589" s="10" t="str">
        <x:v>CAT004</x:v>
      </x:c>
      <x:c r="F589" s="10" t="str">
        <x:v>CTA001</x:v>
      </x:c>
      <x:c r="G589" s="10" t="str">
        <x:v>FAT-200588</x:v>
      </x:c>
      <x:c r="H589" s="10" t="str">
        <x:v>Prestação de serviços</x:v>
      </x:c>
      <x:c r="I589" s="16" t="n">
        <x:v>45599.27568428241</x:v>
      </x:c>
      <x:c r="J589" s="16" t="n">
        <x:v>45614.27568428241</x:v>
      </x:c>
      <x:c r="K589" s="16" t="n">
        <x:v>45609.27568428241</x:v>
      </x:c>
      <x:c r="L589" s="20" t="n">
        <x:v>64220.41</x:v>
      </x:c>
      <x:c r="M589" s="20" t="n">
        <x:v>0</x:v>
      </x:c>
      <x:c r="N589" s="20" t="n">
        <x:v>0</x:v>
      </x:c>
      <x:c r="O589" s="20" t="n">
        <x:v>64220.41</x:v>
      </x:c>
      <x:c r="P589" s="20" t="n">
        <x:v>0</x:v>
      </x:c>
      <x:c r="Q589" s="10" t="str">
        <x:v>Recebido</x:v>
      </x:c>
      <x:c r="R589" s="10" t="str">
        <x:v>Cartão</x:v>
      </x:c>
      <x:c r="S589" s="10" t="str">
        <x:v>2024-11</x:v>
      </x:c>
      <x:c r="T589" s="10" t="n">
        <x:v>0</x:v>
      </x:c>
      <x:c r="U589" s="10" t="str">
        <x:v>Liquidado</x:v>
      </x:c>
      <x:c r="V589" s="10" t="str">
        <x:v>Baixo</x:v>
      </x:c>
      <x:c r="W589" s="10" t="str">
        <x:v>Serviços</x:v>
      </x:c>
      <x:c r="X589" s="10" t="str">
        <x:v>UND002</x:v>
      </x:c>
    </x:row>
    <x:row r="590" ht="18" customHeight="1">
      <x:c r="A590" s="10" t="str">
        <x:v>REC00589</x:v>
      </x:c>
      <x:c r="B590" s="10" t="str">
        <x:v>EMP002</x:v>
      </x:c>
      <x:c r="C590" s="10" t="str">
        <x:v>CLI047</x:v>
      </x:c>
      <x:c r="D590" s="10" t="str">
        <x:v>CC002</x:v>
      </x:c>
      <x:c r="E590" s="10" t="str">
        <x:v>CAT001</x:v>
      </x:c>
      <x:c r="F590" s="10" t="str">
        <x:v>CTA003</x:v>
      </x:c>
      <x:c r="G590" s="10" t="str">
        <x:v>FAT-200589</x:v>
      </x:c>
      <x:c r="H590" s="10" t="str">
        <x:v>Contrato mensal</x:v>
      </x:c>
      <x:c r="I590" s="16" t="n">
        <x:v>45650.3637415162</x:v>
      </x:c>
      <x:c r="J590" s="16" t="n">
        <x:v>45680.3637415162</x:v>
      </x:c>
      <x:c r="K590" s="16" t="n">
        <x:v>45680.3637415162</x:v>
      </x:c>
      <x:c r="L590" s="20" t="n">
        <x:v>75464.01</x:v>
      </x:c>
      <x:c r="M590" s="20" t="n">
        <x:v>0</x:v>
      </x:c>
      <x:c r="N590" s="20" t="n">
        <x:v>0</x:v>
      </x:c>
      <x:c r="O590" s="20" t="n">
        <x:v>75464.01</x:v>
      </x:c>
      <x:c r="P590" s="20" t="n">
        <x:v>0</x:v>
      </x:c>
      <x:c r="Q590" s="10" t="str">
        <x:v>Recebido</x:v>
      </x:c>
      <x:c r="R590" s="10" t="str">
        <x:v>Boleto</x:v>
      </x:c>
      <x:c r="S590" s="10" t="str">
        <x:v>2024-12</x:v>
      </x:c>
      <x:c r="T590" s="10" t="n">
        <x:v>0</x:v>
      </x:c>
      <x:c r="U590" s="10" t="str">
        <x:v>Liquidado</x:v>
      </x:c>
      <x:c r="V590" s="10" t="str">
        <x:v>Baixo</x:v>
      </x:c>
      <x:c r="W590" s="10" t="str">
        <x:v>Serviços</x:v>
      </x:c>
      <x:c r="X590" s="10" t="str">
        <x:v>UND003</x:v>
      </x:c>
    </x:row>
    <x:row r="591" ht="18" customHeight="1">
      <x:c r="A591" s="10" t="str">
        <x:v>REC00590</x:v>
      </x:c>
      <x:c r="B591" s="10" t="str">
        <x:v>EMP002</x:v>
      </x:c>
      <x:c r="C591" s="10" t="str">
        <x:v>CLI033</x:v>
      </x:c>
      <x:c r="D591" s="10" t="str">
        <x:v>CC008</x:v>
      </x:c>
      <x:c r="E591" s="10" t="str">
        <x:v>CAT001</x:v>
      </x:c>
      <x:c r="F591" s="10" t="str">
        <x:v>CTA004</x:v>
      </x:c>
      <x:c r="G591" s="10" t="str">
        <x:v>FAT-200590</x:v>
      </x:c>
      <x:c r="H591" s="10" t="str">
        <x:v>Frete faturado</x:v>
      </x:c>
      <x:c r="I591" s="16" t="n">
        <x:v>45988.38891300926</x:v>
      </x:c>
      <x:c r="J591" s="16" t="n">
        <x:v>46016.38891300926</x:v>
      </x:c>
      <x:c r="K591" s="16" t="n">
        <x:v>46010.38891300926</x:v>
      </x:c>
      <x:c r="L591" s="20" t="n">
        <x:v>34605.23</x:v>
      </x:c>
      <x:c r="M591" s="20" t="n">
        <x:v>0</x:v>
      </x:c>
      <x:c r="N591" s="20" t="n">
        <x:v>0</x:v>
      </x:c>
      <x:c r="O591" s="20" t="n">
        <x:v>34605.23</x:v>
      </x:c>
      <x:c r="P591" s="20" t="n">
        <x:v>0</x:v>
      </x:c>
      <x:c r="Q591" s="10" t="str">
        <x:v>Recebido</x:v>
      </x:c>
      <x:c r="R591" s="10" t="str">
        <x:v>TED</x:v>
      </x:c>
      <x:c r="S591" s="10" t="str">
        <x:v>2025-11</x:v>
      </x:c>
      <x:c r="T591" s="10" t="n">
        <x:v>0</x:v>
      </x:c>
      <x:c r="U591" s="10" t="str">
        <x:v>Liquidado</x:v>
      </x:c>
      <x:c r="V591" s="10" t="str">
        <x:v>Médio</x:v>
      </x:c>
      <x:c r="W591" s="10" t="str">
        <x:v>Varejo</x:v>
      </x:c>
      <x:c r="X591" s="10" t="str">
        <x:v>UND003</x:v>
      </x:c>
    </x:row>
    <x:row r="592" ht="18" customHeight="1">
      <x:c r="A592" s="10" t="str">
        <x:v>REC00591</x:v>
      </x:c>
      <x:c r="B592" s="10" t="str">
        <x:v>EMP002</x:v>
      </x:c>
      <x:c r="C592" s="10" t="str">
        <x:v>CLI013</x:v>
      </x:c>
      <x:c r="D592" s="10" t="str">
        <x:v>CC008</x:v>
      </x:c>
      <x:c r="E592" s="10" t="str">
        <x:v>CAT003</x:v>
      </x:c>
      <x:c r="F592" s="10" t="str">
        <x:v>CTA004</x:v>
      </x:c>
      <x:c r="G592" s="10" t="str">
        <x:v>FAT-200591</x:v>
      </x:c>
      <x:c r="H592" s="10" t="str">
        <x:v>Projeto especial</x:v>
      </x:c>
      <x:c r="I592" s="16" t="n">
        <x:v>45652.31501890047</x:v>
      </x:c>
      <x:c r="J592" s="16" t="n">
        <x:v>45667.31501890047</x:v>
      </x:c>
      <x:c r="K592" s="16" t="n">
        <x:v>45664.31501890047</x:v>
      </x:c>
      <x:c r="L592" s="20" t="n">
        <x:v>99787.45</x:v>
      </x:c>
      <x:c r="M592" s="20" t="n">
        <x:v>0</x:v>
      </x:c>
      <x:c r="N592" s="20" t="n">
        <x:v>997.87</x:v>
      </x:c>
      <x:c r="O592" s="20" t="n">
        <x:v>98789.58</x:v>
      </x:c>
      <x:c r="P592" s="20" t="n">
        <x:v>0</x:v>
      </x:c>
      <x:c r="Q592" s="10" t="str">
        <x:v>Recebido</x:v>
      </x:c>
      <x:c r="R592" s="10" t="str">
        <x:v>Boleto</x:v>
      </x:c>
      <x:c r="S592" s="10" t="str">
        <x:v>2024-12</x:v>
      </x:c>
      <x:c r="T592" s="10" t="n">
        <x:v>0</x:v>
      </x:c>
      <x:c r="U592" s="10" t="str">
        <x:v>Liquidado</x:v>
      </x:c>
      <x:c r="V592" s="10" t="str">
        <x:v>Baixo</x:v>
      </x:c>
      <x:c r="W592" s="10" t="str">
        <x:v>Serviços</x:v>
      </x:c>
      <x:c r="X592" s="10" t="str">
        <x:v>UND003</x:v>
      </x:c>
    </x:row>
    <x:row r="593" ht="18" customHeight="1">
      <x:c r="A593" s="10" t="str">
        <x:v>REC00592</x:v>
      </x:c>
      <x:c r="B593" s="10" t="str">
        <x:v>EMP003</x:v>
      </x:c>
      <x:c r="C593" s="10" t="str">
        <x:v>CLI046</x:v>
      </x:c>
      <x:c r="D593" s="10" t="str">
        <x:v>CC007</x:v>
      </x:c>
      <x:c r="E593" s="10" t="str">
        <x:v>CAT003</x:v>
      </x:c>
      <x:c r="F593" s="10" t="str">
        <x:v>CTA006</x:v>
      </x:c>
      <x:c r="G593" s="10" t="str">
        <x:v>FAT-200592</x:v>
      </x:c>
      <x:c r="H593" s="10" t="str">
        <x:v>Frete faturado</x:v>
      </x:c>
      <x:c r="I593" s="16" t="n">
        <x:v>45299.041594270835</x:v>
      </x:c>
      <x:c r="J593" s="16" t="n">
        <x:v>45344.041594270835</x:v>
      </x:c>
      <x:c r="K593" s="16" t="n">
        <x:v>45358.041594270835</x:v>
      </x:c>
      <x:c r="L593" s="20" t="n">
        <x:v>51875.23</x:v>
      </x:c>
      <x:c r="M593" s="20" t="n">
        <x:v>581</x:v>
      </x:c>
      <x:c r="N593" s="20" t="n">
        <x:v>0</x:v>
      </x:c>
      <x:c r="O593" s="20" t="n">
        <x:v>52456.23</x:v>
      </x:c>
      <x:c r="P593" s="20" t="n">
        <x:v>0</x:v>
      </x:c>
      <x:c r="Q593" s="10" t="str">
        <x:v>Recebido</x:v>
      </x:c>
      <x:c r="R593" s="10" t="str">
        <x:v>Cartão</x:v>
      </x:c>
      <x:c r="S593" s="10" t="str">
        <x:v>2024-01</x:v>
      </x:c>
      <x:c r="T593" s="10" t="n">
        <x:v>0</x:v>
      </x:c>
      <x:c r="U593" s="10" t="str">
        <x:v>Liquidado</x:v>
      </x:c>
      <x:c r="V593" s="10" t="str">
        <x:v>Alto</x:v>
      </x:c>
      <x:c r="W593" s="10" t="str">
        <x:v>Varejo</x:v>
      </x:c>
      <x:c r="X593" s="10" t="str">
        <x:v>UND004</x:v>
      </x:c>
    </x:row>
    <x:row r="594" ht="18" customHeight="1">
      <x:c r="A594" s="10" t="str">
        <x:v>REC00593</x:v>
      </x:c>
      <x:c r="B594" s="10" t="str">
        <x:v>EMP001</x:v>
      </x:c>
      <x:c r="C594" s="10" t="str">
        <x:v>CLI063</x:v>
      </x:c>
      <x:c r="D594" s="10" t="str">
        <x:v>CC004</x:v>
      </x:c>
      <x:c r="E594" s="10" t="str">
        <x:v>CAT003</x:v>
      </x:c>
      <x:c r="F594" s="10" t="str">
        <x:v>CTA001</x:v>
      </x:c>
      <x:c r="G594" s="10" t="str">
        <x:v>FAT-200593</x:v>
      </x:c>
      <x:c r="H594" s="10" t="str">
        <x:v>Projeto especial</x:v>
      </x:c>
      <x:c r="I594" s="16" t="n">
        <x:v>45620.87252247685</x:v>
      </x:c>
      <x:c r="J594" s="16" t="n">
        <x:v>45680.87252247685</x:v>
      </x:c>
      <x:c r="K594" s="16" t="n">
        <x:v>45675.87252247685</x:v>
      </x:c>
      <x:c r="L594" s="20" t="n">
        <x:v>86272.53</x:v>
      </x:c>
      <x:c r="M594" s="20" t="n">
        <x:v>0</x:v>
      </x:c>
      <x:c r="N594" s="20" t="n">
        <x:v>0</x:v>
      </x:c>
      <x:c r="O594" s="20" t="n">
        <x:v>86272.53</x:v>
      </x:c>
      <x:c r="P594" s="20" t="n">
        <x:v>0</x:v>
      </x:c>
      <x:c r="Q594" s="10" t="str">
        <x:v>Recebido</x:v>
      </x:c>
      <x:c r="R594" s="10" t="str">
        <x:v>Cartão</x:v>
      </x:c>
      <x:c r="S594" s="10" t="str">
        <x:v>2024-11</x:v>
      </x:c>
      <x:c r="T594" s="10" t="n">
        <x:v>0</x:v>
      </x:c>
      <x:c r="U594" s="10" t="str">
        <x:v>Liquidado</x:v>
      </x:c>
      <x:c r="V594" s="10" t="str">
        <x:v>Baixo</x:v>
      </x:c>
      <x:c r="W594" s="10" t="str">
        <x:v>Serviços</x:v>
      </x:c>
      <x:c r="X594" s="10" t="str">
        <x:v>UND001</x:v>
      </x:c>
    </x:row>
    <x:row r="595" ht="18" customHeight="1">
      <x:c r="A595" s="10" t="str">
        <x:v>REC00594</x:v>
      </x:c>
      <x:c r="B595" s="10" t="str">
        <x:v>EMP001</x:v>
      </x:c>
      <x:c r="C595" s="10" t="str">
        <x:v>CLI073</x:v>
      </x:c>
      <x:c r="D595" s="10" t="str">
        <x:v>CC007</x:v>
      </x:c>
      <x:c r="E595" s="10" t="str">
        <x:v>CAT004</x:v>
      </x:c>
      <x:c r="F595" s="10" t="str">
        <x:v>CTA001</x:v>
      </x:c>
      <x:c r="G595" s="10" t="str">
        <x:v>FAT-200594</x:v>
      </x:c>
      <x:c r="H595" s="10" t="str">
        <x:v>Contrato mensal</x:v>
      </x:c>
      <x:c r="I595" s="16" t="n">
        <x:v>45618.60175326389</x:v>
      </x:c>
      <x:c r="J595" s="16" t="n">
        <x:v>45639.60175326389</x:v>
      </x:c>
      <x:c r="K595" s="16" t="n">
        <x:v>45659.60175326389</x:v>
      </x:c>
      <x:c r="L595" s="20" t="n">
        <x:v>52083.48</x:v>
      </x:c>
      <x:c r="M595" s="20" t="n">
        <x:v>833.34</x:v>
      </x:c>
      <x:c r="N595" s="20" t="n">
        <x:v>0</x:v>
      </x:c>
      <x:c r="O595" s="20" t="n">
        <x:v>52916.82</x:v>
      </x:c>
      <x:c r="P595" s="20" t="n">
        <x:v>0</x:v>
      </x:c>
      <x:c r="Q595" s="10" t="str">
        <x:v>Recebido</x:v>
      </x:c>
      <x:c r="R595" s="10" t="str">
        <x:v>Cartão</x:v>
      </x:c>
      <x:c r="S595" s="10" t="str">
        <x:v>2024-11</x:v>
      </x:c>
      <x:c r="T595" s="10" t="n">
        <x:v>0</x:v>
      </x:c>
      <x:c r="U595" s="10" t="str">
        <x:v>Liquidado</x:v>
      </x:c>
      <x:c r="V595" s="10" t="str">
        <x:v>Alto</x:v>
      </x:c>
      <x:c r="W595" s="10" t="str">
        <x:v>Tecnologia</x:v>
      </x:c>
      <x:c r="X595" s="10" t="str">
        <x:v>UND002</x:v>
      </x:c>
    </x:row>
    <x:row r="596" ht="18" customHeight="1">
      <x:c r="A596" s="10" t="str">
        <x:v>REC00595</x:v>
      </x:c>
      <x:c r="B596" s="10" t="str">
        <x:v>EMP003</x:v>
      </x:c>
      <x:c r="C596" s="10" t="str">
        <x:v>CLI042</x:v>
      </x:c>
      <x:c r="D596" s="10" t="str">
        <x:v>CC001</x:v>
      </x:c>
      <x:c r="E596" s="10" t="str">
        <x:v>CAT003</x:v>
      </x:c>
      <x:c r="F596" s="10" t="str">
        <x:v>CTA006</x:v>
      </x:c>
      <x:c r="G596" s="10" t="str">
        <x:v>FAT-200595</x:v>
      </x:c>
      <x:c r="H596" s="10" t="str">
        <x:v>Prestação de serviços</x:v>
      </x:c>
      <x:c r="I596" s="16" t="n">
        <x:v>45955.13191192129</x:v>
      </x:c>
      <x:c r="J596" s="16" t="n">
        <x:v>45976.13191192129</x:v>
      </x:c>
      <x:c r="K596" s="16" t="n">
        <x:v>45981.13191192129</x:v>
      </x:c>
      <x:c r="L596" s="20" t="n">
        <x:v>17080.03</x:v>
      </x:c>
      <x:c r="M596" s="20" t="n">
        <x:v>68.32</x:v>
      </x:c>
      <x:c r="N596" s="20" t="n">
        <x:v>0</x:v>
      </x:c>
      <x:c r="O596" s="20" t="n">
        <x:v>17148.35</x:v>
      </x:c>
      <x:c r="P596" s="20" t="n">
        <x:v>0</x:v>
      </x:c>
      <x:c r="Q596" s="10" t="str">
        <x:v>Recebido</x:v>
      </x:c>
      <x:c r="R596" s="10" t="str">
        <x:v>Boleto</x:v>
      </x:c>
      <x:c r="S596" s="10" t="str">
        <x:v>2025-10</x:v>
      </x:c>
      <x:c r="T596" s="10" t="n">
        <x:v>0</x:v>
      </x:c>
      <x:c r="U596" s="10" t="str">
        <x:v>Liquidado</x:v>
      </x:c>
      <x:c r="V596" s="10" t="str">
        <x:v>Baixo</x:v>
      </x:c>
      <x:c r="W596" s="10" t="str">
        <x:v>Varejo</x:v>
      </x:c>
      <x:c r="X596" s="10" t="str">
        <x:v>UND004</x:v>
      </x:c>
    </x:row>
    <x:row r="597" ht="18" customHeight="1">
      <x:c r="A597" s="10" t="str">
        <x:v>REC00596</x:v>
      </x:c>
      <x:c r="B597" s="10" t="str">
        <x:v>EMP003</x:v>
      </x:c>
      <x:c r="C597" s="10" t="str">
        <x:v>CLI067</x:v>
      </x:c>
      <x:c r="D597" s="10" t="str">
        <x:v>CC006</x:v>
      </x:c>
      <x:c r="E597" s="10" t="str">
        <x:v>CAT001</x:v>
      </x:c>
      <x:c r="F597" s="10" t="str">
        <x:v>CTA006</x:v>
      </x:c>
      <x:c r="G597" s="10" t="str">
        <x:v>FAT-200596</x:v>
      </x:c>
      <x:c r="H597" s="10" t="str">
        <x:v>Prestação de serviços</x:v>
      </x:c>
      <x:c r="I597" s="16" t="n">
        <x:v>45757.69049256945</x:v>
      </x:c>
      <x:c r="J597" s="16" t="n">
        <x:v>45817.69049256945</x:v>
      </x:c>
      <x:c r="K597" s="16" t="n">
        <x:v>45823.69049256945</x:v>
      </x:c>
      <x:c r="L597" s="20" t="n">
        <x:v>2214.04</x:v>
      </x:c>
      <x:c r="M597" s="20" t="n">
        <x:v>10.63</x:v>
      </x:c>
      <x:c r="N597" s="20" t="n">
        <x:v>0</x:v>
      </x:c>
      <x:c r="O597" s="20" t="n">
        <x:v>2224.67</x:v>
      </x:c>
      <x:c r="P597" s="20" t="n">
        <x:v>0</x:v>
      </x:c>
      <x:c r="Q597" s="10" t="str">
        <x:v>Recebido</x:v>
      </x:c>
      <x:c r="R597" s="10" t="str">
        <x:v>Débito em Conta</x:v>
      </x:c>
      <x:c r="S597" s="10" t="str">
        <x:v>2025-04</x:v>
      </x:c>
      <x:c r="T597" s="10" t="n">
        <x:v>0</x:v>
      </x:c>
      <x:c r="U597" s="10" t="str">
        <x:v>Liquidado</x:v>
      </x:c>
      <x:c r="V597" s="10" t="str">
        <x:v>Alto</x:v>
      </x:c>
      <x:c r="W597" s="10" t="str">
        <x:v>Varejo</x:v>
      </x:c>
      <x:c r="X597" s="10" t="str">
        <x:v>UND004</x:v>
      </x:c>
    </x:row>
    <x:row r="598" ht="18" customHeight="1">
      <x:c r="A598" s="10" t="str">
        <x:v>REC00597</x:v>
      </x:c>
      <x:c r="B598" s="10" t="str">
        <x:v>EMP001</x:v>
      </x:c>
      <x:c r="C598" s="10" t="str">
        <x:v>CLI003</x:v>
      </x:c>
      <x:c r="D598" s="10" t="str">
        <x:v>CC007</x:v>
      </x:c>
      <x:c r="E598" s="10" t="str">
        <x:v>CAT001</x:v>
      </x:c>
      <x:c r="F598" s="10" t="str">
        <x:v>CTA002</x:v>
      </x:c>
      <x:c r="G598" s="10" t="str">
        <x:v>FAT-200597</x:v>
      </x:c>
      <x:c r="H598" s="10" t="str">
        <x:v>Venda de produtos</x:v>
      </x:c>
      <x:c r="I598" s="16" t="n">
        <x:v>45650.41208230324</x:v>
      </x:c>
      <x:c r="J598" s="16" t="n">
        <x:v>45685.41208230324</x:v>
      </x:c>
      <x:c r="K598" s="16" t="n">
        <x:v>45697.41208230324</x:v>
      </x:c>
      <x:c r="L598" s="20" t="n">
        <x:v>107180.81</x:v>
      </x:c>
      <x:c r="M598" s="20" t="n">
        <x:v>1028.94</x:v>
      </x:c>
      <x:c r="N598" s="20" t="n">
        <x:v>0</x:v>
      </x:c>
      <x:c r="O598" s="20" t="n">
        <x:v>108209.75</x:v>
      </x:c>
      <x:c r="P598" s="20" t="n">
        <x:v>0</x:v>
      </x:c>
      <x:c r="Q598" s="10" t="str">
        <x:v>Recebido</x:v>
      </x:c>
      <x:c r="R598" s="10" t="str">
        <x:v>Boleto</x:v>
      </x:c>
      <x:c r="S598" s="10" t="str">
        <x:v>2024-12</x:v>
      </x:c>
      <x:c r="T598" s="10" t="n">
        <x:v>0</x:v>
      </x:c>
      <x:c r="U598" s="10" t="str">
        <x:v>Liquidado</x:v>
      </x:c>
      <x:c r="V598" s="10" t="str">
        <x:v>Médio</x:v>
      </x:c>
      <x:c r="W598" s="10" t="str">
        <x:v>Saúde</x:v>
      </x:c>
      <x:c r="X598" s="10" t="str">
        <x:v>UND001</x:v>
      </x:c>
    </x:row>
    <x:row r="599" ht="18" customHeight="1">
      <x:c r="A599" s="10" t="str">
        <x:v>REC00598</x:v>
      </x:c>
      <x:c r="B599" s="10" t="str">
        <x:v>EMP003</x:v>
      </x:c>
      <x:c r="C599" s="10" t="str">
        <x:v>CLI063</x:v>
      </x:c>
      <x:c r="D599" s="10" t="str">
        <x:v>CC004</x:v>
      </x:c>
      <x:c r="E599" s="10" t="str">
        <x:v>CAT002</x:v>
      </x:c>
      <x:c r="F599" s="10" t="str">
        <x:v>CTA005</x:v>
      </x:c>
      <x:c r="G599" s="10" t="str">
        <x:v>FAT-200598</x:v>
      </x:c>
      <x:c r="H599" s="10" t="str">
        <x:v>Frete faturado</x:v>
      </x:c>
      <x:c r="I599" s="16" t="n">
        <x:v>45682.61021953704</x:v>
      </x:c>
      <x:c r="J599" s="16" t="n">
        <x:v>45717.61021953704</x:v>
      </x:c>
      <x:c r="K599" s="16" t="n">
        <x:v>45712.61021953704</x:v>
      </x:c>
      <x:c r="L599" s="20" t="n">
        <x:v>103154.87</x:v>
      </x:c>
      <x:c r="M599" s="20" t="n">
        <x:v>0</x:v>
      </x:c>
      <x:c r="N599" s="20" t="n">
        <x:v>0</x:v>
      </x:c>
      <x:c r="O599" s="20" t="n">
        <x:v>103154.87</x:v>
      </x:c>
      <x:c r="P599" s="20" t="n">
        <x:v>0</x:v>
      </x:c>
      <x:c r="Q599" s="10" t="str">
        <x:v>Recebido</x:v>
      </x:c>
      <x:c r="R599" s="10" t="str">
        <x:v>TED</x:v>
      </x:c>
      <x:c r="S599" s="10" t="str">
        <x:v>2025-01</x:v>
      </x:c>
      <x:c r="T599" s="10" t="n">
        <x:v>0</x:v>
      </x:c>
      <x:c r="U599" s="10" t="str">
        <x:v>Liquidado</x:v>
      </x:c>
      <x:c r="V599" s="10" t="str">
        <x:v>Baixo</x:v>
      </x:c>
      <x:c r="W599" s="10" t="str">
        <x:v>Serviços</x:v>
      </x:c>
      <x:c r="X599" s="10" t="str">
        <x:v>UND004</x:v>
      </x:c>
    </x:row>
    <x:row r="600" ht="18" customHeight="1">
      <x:c r="A600" s="10" t="str">
        <x:v>REC00599</x:v>
      </x:c>
      <x:c r="B600" s="10" t="str">
        <x:v>EMP002</x:v>
      </x:c>
      <x:c r="C600" s="10" t="str">
        <x:v>CLI002</x:v>
      </x:c>
      <x:c r="D600" s="10" t="str">
        <x:v>CC001</x:v>
      </x:c>
      <x:c r="E600" s="10" t="str">
        <x:v>CAT001</x:v>
      </x:c>
      <x:c r="F600" s="10" t="str">
        <x:v>CTA004</x:v>
      </x:c>
      <x:c r="G600" s="10" t="str">
        <x:v>FAT-200599</x:v>
      </x:c>
      <x:c r="H600" s="10" t="str">
        <x:v>Venda de produtos</x:v>
      </x:c>
      <x:c r="I600" s="16" t="n">
        <x:v>45868.663637384256</x:v>
      </x:c>
      <x:c r="J600" s="16" t="n">
        <x:v>45903.663637384256</x:v>
      </x:c>
      <x:c r="K600" s="16" t="n">
        <x:v>45903.663637384256</x:v>
      </x:c>
      <x:c r="L600" s="20" t="n">
        <x:v>72225.81</x:v>
      </x:c>
      <x:c r="M600" s="20" t="n">
        <x:v>0</x:v>
      </x:c>
      <x:c r="N600" s="20" t="n">
        <x:v>0</x:v>
      </x:c>
      <x:c r="O600" s="20" t="n">
        <x:v>72225.81</x:v>
      </x:c>
      <x:c r="P600" s="20" t="n">
        <x:v>0</x:v>
      </x:c>
      <x:c r="Q600" s="10" t="str">
        <x:v>Recebido</x:v>
      </x:c>
      <x:c r="R600" s="10" t="str">
        <x:v>TED</x:v>
      </x:c>
      <x:c r="S600" s="10" t="str">
        <x:v>2025-07</x:v>
      </x:c>
      <x:c r="T600" s="10" t="n">
        <x:v>0</x:v>
      </x:c>
      <x:c r="U600" s="10" t="str">
        <x:v>Liquidado</x:v>
      </x:c>
      <x:c r="V600" s="10" t="str">
        <x:v>Alto</x:v>
      </x:c>
      <x:c r="W600" s="10" t="str">
        <x:v>Serviços</x:v>
      </x:c>
      <x:c r="X600" s="10" t="str">
        <x:v>UND003</x:v>
      </x:c>
    </x:row>
    <x:row r="601" ht="18" customHeight="1">
      <x:c r="A601" s="10" t="str">
        <x:v>REC00600</x:v>
      </x:c>
      <x:c r="B601" s="10" t="str">
        <x:v>EMP002</x:v>
      </x:c>
      <x:c r="C601" s="10" t="str">
        <x:v>CLI074</x:v>
      </x:c>
      <x:c r="D601" s="10" t="str">
        <x:v>CC008</x:v>
      </x:c>
      <x:c r="E601" s="10" t="str">
        <x:v>CAT003</x:v>
      </x:c>
      <x:c r="F601" s="10" t="str">
        <x:v>CTA003</x:v>
      </x:c>
      <x:c r="G601" s="10" t="str">
        <x:v>FAT-200600</x:v>
      </x:c>
      <x:c r="H601" s="10" t="str">
        <x:v>Frete faturado</x:v>
      </x:c>
      <x:c r="I601" s="16" t="n">
        <x:v>45340.974051400466</x:v>
      </x:c>
      <x:c r="J601" s="16" t="n">
        <x:v>45385.974051400466</x:v>
      </x:c>
      <x:c r="K601" s="16"/>
      <x:c r="L601" s="20" t="n">
        <x:v>40527.12</x:v>
      </x:c>
      <x:c r="M601" s="20" t="n">
        <x:v>0</x:v>
      </x:c>
      <x:c r="N601" s="20" t="n">
        <x:v>0</x:v>
      </x:c>
      <x:c r="O601" s="20" t="n">
        <x:v>0</x:v>
      </x:c>
      <x:c r="P601" s="20" t="n">
        <x:v>40527.12</x:v>
      </x:c>
      <x:c r="Q601" s="10" t="str">
        <x:v>Vencido</x:v>
      </x:c>
      <x:c r="R601" s="10" t="str">
        <x:v>Débito em Conta</x:v>
      </x:c>
      <x:c r="S601" s="10" t="str">
        <x:v>2024-02</x:v>
      </x:c>
      <x:c r="T601" s="10" t="n">
        <x:v>636</x:v>
      </x:c>
      <x:c r="U601" s="10" t="str">
        <x:v>&gt; 120 dias</x:v>
      </x:c>
      <x:c r="V601" s="10" t="str">
        <x:v>Médio</x:v>
      </x:c>
      <x:c r="W601" s="10" t="str">
        <x:v>Tecnologia</x:v>
      </x:c>
      <x:c r="X601" s="10" t="str">
        <x:v>UND003</x:v>
      </x:c>
    </x:row>
    <x:row r="602" ht="18" customHeight="1">
      <x:c r="A602" s="10" t="str">
        <x:v>REC00601</x:v>
      </x:c>
      <x:c r="B602" s="10" t="str">
        <x:v>EMP003</x:v>
      </x:c>
      <x:c r="C602" s="10" t="str">
        <x:v>CLI010</x:v>
      </x:c>
      <x:c r="D602" s="10" t="str">
        <x:v>CC005</x:v>
      </x:c>
      <x:c r="E602" s="10" t="str">
        <x:v>CAT003</x:v>
      </x:c>
      <x:c r="F602" s="10" t="str">
        <x:v>CTA005</x:v>
      </x:c>
      <x:c r="G602" s="10" t="str">
        <x:v>FAT-200601</x:v>
      </x:c>
      <x:c r="H602" s="10" t="str">
        <x:v>Prestação de serviços</x:v>
      </x:c>
      <x:c r="I602" s="16" t="n">
        <x:v>45906.70161033565</x:v>
      </x:c>
      <x:c r="J602" s="16" t="n">
        <x:v>45951.70161033565</x:v>
      </x:c>
      <x:c r="K602" s="16" t="n">
        <x:v>45949.70161033565</x:v>
      </x:c>
      <x:c r="L602" s="20" t="n">
        <x:v>112746.05</x:v>
      </x:c>
      <x:c r="M602" s="20" t="n">
        <x:v>0</x:v>
      </x:c>
      <x:c r="N602" s="20" t="n">
        <x:v>0</x:v>
      </x:c>
      <x:c r="O602" s="20" t="n">
        <x:v>112746.05</x:v>
      </x:c>
      <x:c r="P602" s="20" t="n">
        <x:v>0</x:v>
      </x:c>
      <x:c r="Q602" s="10" t="str">
        <x:v>Recebido</x:v>
      </x:c>
      <x:c r="R602" s="10" t="str">
        <x:v>PIX</x:v>
      </x:c>
      <x:c r="S602" s="10" t="str">
        <x:v>2025-09</x:v>
      </x:c>
      <x:c r="T602" s="10" t="n">
        <x:v>0</x:v>
      </x:c>
      <x:c r="U602" s="10" t="str">
        <x:v>Liquidado</x:v>
      </x:c>
      <x:c r="V602" s="10" t="str">
        <x:v>Baixo</x:v>
      </x:c>
      <x:c r="W602" s="10" t="str">
        <x:v>Indústria</x:v>
      </x:c>
      <x:c r="X602" s="10" t="str">
        <x:v>UND004</x:v>
      </x:c>
    </x:row>
    <x:row r="603" ht="18" customHeight="1">
      <x:c r="A603" s="10" t="str">
        <x:v>REC00602</x:v>
      </x:c>
      <x:c r="B603" s="10" t="str">
        <x:v>EMP003</x:v>
      </x:c>
      <x:c r="C603" s="10" t="str">
        <x:v>CLI038</x:v>
      </x:c>
      <x:c r="D603" s="10" t="str">
        <x:v>CC002</x:v>
      </x:c>
      <x:c r="E603" s="10" t="str">
        <x:v>CAT003</x:v>
      </x:c>
      <x:c r="F603" s="10" t="str">
        <x:v>CTA006</x:v>
      </x:c>
      <x:c r="G603" s="10" t="str">
        <x:v>FAT-200602</x:v>
      </x:c>
      <x:c r="H603" s="10" t="str">
        <x:v>Projeto especial</x:v>
      </x:c>
      <x:c r="I603" s="16" t="n">
        <x:v>45378.36058266204</x:v>
      </x:c>
      <x:c r="J603" s="16" t="n">
        <x:v>45406.36058266204</x:v>
      </x:c>
      <x:c r="K603" s="16" t="n">
        <x:v>45409.36058266204</x:v>
      </x:c>
      <x:c r="L603" s="20" t="n">
        <x:v>101336.3</x:v>
      </x:c>
      <x:c r="M603" s="20" t="n">
        <x:v>243.21</x:v>
      </x:c>
      <x:c r="N603" s="20" t="n">
        <x:v>0</x:v>
      </x:c>
      <x:c r="O603" s="20" t="n">
        <x:v>101579.51</x:v>
      </x:c>
      <x:c r="P603" s="20" t="n">
        <x:v>0</x:v>
      </x:c>
      <x:c r="Q603" s="10" t="str">
        <x:v>Recebido</x:v>
      </x:c>
      <x:c r="R603" s="10" t="str">
        <x:v>Débito em Conta</x:v>
      </x:c>
      <x:c r="S603" s="10" t="str">
        <x:v>2024-03</x:v>
      </x:c>
      <x:c r="T603" s="10" t="n">
        <x:v>0</x:v>
      </x:c>
      <x:c r="U603" s="10" t="str">
        <x:v>Liquidado</x:v>
      </x:c>
      <x:c r="V603" s="10" t="str">
        <x:v>Baixo</x:v>
      </x:c>
      <x:c r="W603" s="10" t="str">
        <x:v>Varejo</x:v>
      </x:c>
      <x:c r="X603" s="10" t="str">
        <x:v>UND004</x:v>
      </x:c>
    </x:row>
    <x:row r="604" ht="18" customHeight="1">
      <x:c r="A604" s="10" t="str">
        <x:v>REC00603</x:v>
      </x:c>
      <x:c r="B604" s="10" t="str">
        <x:v>EMP002</x:v>
      </x:c>
      <x:c r="C604" s="10" t="str">
        <x:v>CLI074</x:v>
      </x:c>
      <x:c r="D604" s="10" t="str">
        <x:v>CC006</x:v>
      </x:c>
      <x:c r="E604" s="10" t="str">
        <x:v>CAT004</x:v>
      </x:c>
      <x:c r="F604" s="10" t="str">
        <x:v>CTA003</x:v>
      </x:c>
      <x:c r="G604" s="10" t="str">
        <x:v>FAT-200603</x:v>
      </x:c>
      <x:c r="H604" s="10" t="str">
        <x:v>Contrato mensal</x:v>
      </x:c>
      <x:c r="I604" s="16" t="n">
        <x:v>45815.19450978009</x:v>
      </x:c>
      <x:c r="J604" s="16" t="n">
        <x:v>45845.19450978009</x:v>
      </x:c>
      <x:c r="K604" s="16" t="n">
        <x:v>45851.19450978009</x:v>
      </x:c>
      <x:c r="L604" s="20" t="n">
        <x:v>116095.72</x:v>
      </x:c>
      <x:c r="M604" s="20" t="n">
        <x:v>557.26</x:v>
      </x:c>
      <x:c r="N604" s="20" t="n">
        <x:v>0</x:v>
      </x:c>
      <x:c r="O604" s="20" t="n">
        <x:v>116652.98</x:v>
      </x:c>
      <x:c r="P604" s="20" t="n">
        <x:v>0</x:v>
      </x:c>
      <x:c r="Q604" s="10" t="str">
        <x:v>Recebido</x:v>
      </x:c>
      <x:c r="R604" s="10" t="str">
        <x:v>Débito em Conta</x:v>
      </x:c>
      <x:c r="S604" s="10" t="str">
        <x:v>2025-06</x:v>
      </x:c>
      <x:c r="T604" s="10" t="n">
        <x:v>0</x:v>
      </x:c>
      <x:c r="U604" s="10" t="str">
        <x:v>Liquidado</x:v>
      </x:c>
      <x:c r="V604" s="10" t="str">
        <x:v>Médio</x:v>
      </x:c>
      <x:c r="W604" s="10" t="str">
        <x:v>Tecnologia</x:v>
      </x:c>
      <x:c r="X604" s="10" t="str">
        <x:v>UND003</x:v>
      </x:c>
    </x:row>
    <x:row r="605" ht="18" customHeight="1">
      <x:c r="A605" s="10" t="str">
        <x:v>REC00604</x:v>
      </x:c>
      <x:c r="B605" s="10" t="str">
        <x:v>EMP001</x:v>
      </x:c>
      <x:c r="C605" s="10" t="str">
        <x:v>CLI077</x:v>
      </x:c>
      <x:c r="D605" s="10" t="str">
        <x:v>CC003</x:v>
      </x:c>
      <x:c r="E605" s="10" t="str">
        <x:v>CAT003</x:v>
      </x:c>
      <x:c r="F605" s="10" t="str">
        <x:v>CTA002</x:v>
      </x:c>
      <x:c r="G605" s="10" t="str">
        <x:v>FAT-200604</x:v>
      </x:c>
      <x:c r="H605" s="10" t="str">
        <x:v>Projeto especial</x:v>
      </x:c>
      <x:c r="I605" s="16" t="n">
        <x:v>46002.30346287037</x:v>
      </x:c>
      <x:c r="J605" s="16" t="n">
        <x:v>46037.30346287037</x:v>
      </x:c>
      <x:c r="K605" s="16"/>
      <x:c r="L605" s="20" t="n">
        <x:v>113269.7</x:v>
      </x:c>
      <x:c r="M605" s="20" t="n">
        <x:v>0</x:v>
      </x:c>
      <x:c r="N605" s="20" t="n">
        <x:v>0</x:v>
      </x:c>
      <x:c r="O605" s="20" t="n">
        <x:v>0</x:v>
      </x:c>
      <x:c r="P605" s="20" t="n">
        <x:v>113269.7</x:v>
      </x:c>
      <x:c r="Q605" s="10" t="str">
        <x:v>A vencer</x:v>
      </x:c>
      <x:c r="R605" s="10" t="str">
        <x:v>Boleto</x:v>
      </x:c>
      <x:c r="S605" s="10" t="str">
        <x:v>2025-12</x:v>
      </x:c>
      <x:c r="T605" s="10" t="n">
        <x:v>0</x:v>
      </x:c>
      <x:c r="U605" s="10" t="str">
        <x:v>A vencer</x:v>
      </x:c>
      <x:c r="V605" s="10" t="str">
        <x:v>Médio</x:v>
      </x:c>
      <x:c r="W605" s="10" t="str">
        <x:v>Serviços</x:v>
      </x:c>
      <x:c r="X605" s="10" t="str">
        <x:v>UND001</x:v>
      </x:c>
    </x:row>
    <x:row r="606" ht="18" customHeight="1">
      <x:c r="A606" s="10" t="str">
        <x:v>REC00605</x:v>
      </x:c>
      <x:c r="B606" s="10" t="str">
        <x:v>EMP003</x:v>
      </x:c>
      <x:c r="C606" s="10" t="str">
        <x:v>CLI028</x:v>
      </x:c>
      <x:c r="D606" s="10" t="str">
        <x:v>CC006</x:v>
      </x:c>
      <x:c r="E606" s="10" t="str">
        <x:v>CAT004</x:v>
      </x:c>
      <x:c r="F606" s="10" t="str">
        <x:v>CTA005</x:v>
      </x:c>
      <x:c r="G606" s="10" t="str">
        <x:v>FAT-200605</x:v>
      </x:c>
      <x:c r="H606" s="10" t="str">
        <x:v>Prestação de serviços</x:v>
      </x:c>
      <x:c r="I606" s="16" t="n">
        <x:v>45859.58268532407</x:v>
      </x:c>
      <x:c r="J606" s="16" t="n">
        <x:v>45894.58268532407</x:v>
      </x:c>
      <x:c r="K606" s="16" t="n">
        <x:v>45899.58268532407</x:v>
      </x:c>
      <x:c r="L606" s="20" t="n">
        <x:v>18961.81</x:v>
      </x:c>
      <x:c r="M606" s="20" t="n">
        <x:v>75.85</x:v>
      </x:c>
      <x:c r="N606" s="20" t="n">
        <x:v>0</x:v>
      </x:c>
      <x:c r="O606" s="20" t="n">
        <x:v>19037.66</x:v>
      </x:c>
      <x:c r="P606" s="20" t="n">
        <x:v>0</x:v>
      </x:c>
      <x:c r="Q606" s="10" t="str">
        <x:v>Recebido</x:v>
      </x:c>
      <x:c r="R606" s="10" t="str">
        <x:v>TED</x:v>
      </x:c>
      <x:c r="S606" s="10" t="str">
        <x:v>2025-07</x:v>
      </x:c>
      <x:c r="T606" s="10" t="n">
        <x:v>0</x:v>
      </x:c>
      <x:c r="U606" s="10" t="str">
        <x:v>Liquidado</x:v>
      </x:c>
      <x:c r="V606" s="10" t="str">
        <x:v>Baixo</x:v>
      </x:c>
      <x:c r="W606" s="10" t="str">
        <x:v>Serviços</x:v>
      </x:c>
      <x:c r="X606" s="10" t="str">
        <x:v>UND004</x:v>
      </x:c>
    </x:row>
    <x:row r="607" ht="18" customHeight="1">
      <x:c r="A607" s="10" t="str">
        <x:v>REC00606</x:v>
      </x:c>
      <x:c r="B607" s="10" t="str">
        <x:v>EMP001</x:v>
      </x:c>
      <x:c r="C607" s="10" t="str">
        <x:v>CLI067</x:v>
      </x:c>
      <x:c r="D607" s="10" t="str">
        <x:v>CC003</x:v>
      </x:c>
      <x:c r="E607" s="10" t="str">
        <x:v>CAT001</x:v>
      </x:c>
      <x:c r="F607" s="10" t="str">
        <x:v>CTA002</x:v>
      </x:c>
      <x:c r="G607" s="10" t="str">
        <x:v>FAT-200606</x:v>
      </x:c>
      <x:c r="H607" s="10" t="str">
        <x:v>Frete faturado</x:v>
      </x:c>
      <x:c r="I607" s="16" t="n">
        <x:v>45293.762055914354</x:v>
      </x:c>
      <x:c r="J607" s="16" t="n">
        <x:v>45353.762055914354</x:v>
      </x:c>
      <x:c r="K607" s="16" t="n">
        <x:v>45376.762055914354</x:v>
      </x:c>
      <x:c r="L607" s="20" t="n">
        <x:v>11367.78</x:v>
      </x:c>
      <x:c r="M607" s="20" t="n">
        <x:v>209.17</x:v>
      </x:c>
      <x:c r="N607" s="20" t="n">
        <x:v>0</x:v>
      </x:c>
      <x:c r="O607" s="20" t="n">
        <x:v>11576.95</x:v>
      </x:c>
      <x:c r="P607" s="20" t="n">
        <x:v>0</x:v>
      </x:c>
      <x:c r="Q607" s="10" t="str">
        <x:v>Recebido</x:v>
      </x:c>
      <x:c r="R607" s="10" t="str">
        <x:v>TED</x:v>
      </x:c>
      <x:c r="S607" s="10" t="str">
        <x:v>2024-01</x:v>
      </x:c>
      <x:c r="T607" s="10" t="n">
        <x:v>0</x:v>
      </x:c>
      <x:c r="U607" s="10" t="str">
        <x:v>Liquidado</x:v>
      </x:c>
      <x:c r="V607" s="10" t="str">
        <x:v>Alto</x:v>
      </x:c>
      <x:c r="W607" s="10" t="str">
        <x:v>Varejo</x:v>
      </x:c>
      <x:c r="X607" s="10" t="str">
        <x:v>UND001</x:v>
      </x:c>
    </x:row>
    <x:row r="608" ht="18" customHeight="1">
      <x:c r="A608" s="10" t="str">
        <x:v>REC00607</x:v>
      </x:c>
      <x:c r="B608" s="10" t="str">
        <x:v>EMP003</x:v>
      </x:c>
      <x:c r="C608" s="10" t="str">
        <x:v>CLI017</x:v>
      </x:c>
      <x:c r="D608" s="10" t="str">
        <x:v>CC001</x:v>
      </x:c>
      <x:c r="E608" s="10" t="str">
        <x:v>CAT004</x:v>
      </x:c>
      <x:c r="F608" s="10" t="str">
        <x:v>CTA006</x:v>
      </x:c>
      <x:c r="G608" s="10" t="str">
        <x:v>FAT-200607</x:v>
      </x:c>
      <x:c r="H608" s="10" t="str">
        <x:v>Projeto especial</x:v>
      </x:c>
      <x:c r="I608" s="16" t="n">
        <x:v>45338.76508547454</x:v>
      </x:c>
      <x:c r="J608" s="16" t="n">
        <x:v>45353.76508547454</x:v>
      </x:c>
      <x:c r="K608" s="16" t="n">
        <x:v>45349.76508547454</x:v>
      </x:c>
      <x:c r="L608" s="20" t="n">
        <x:v>107691.93</x:v>
      </x:c>
      <x:c r="M608" s="20" t="n">
        <x:v>0</x:v>
      </x:c>
      <x:c r="N608" s="20" t="n">
        <x:v>0</x:v>
      </x:c>
      <x:c r="O608" s="20" t="n">
        <x:v>107691.93</x:v>
      </x:c>
      <x:c r="P608" s="20" t="n">
        <x:v>0</x:v>
      </x:c>
      <x:c r="Q608" s="10" t="str">
        <x:v>Recebido</x:v>
      </x:c>
      <x:c r="R608" s="10" t="str">
        <x:v>PIX</x:v>
      </x:c>
      <x:c r="S608" s="10" t="str">
        <x:v>2024-02</x:v>
      </x:c>
      <x:c r="T608" s="10" t="n">
        <x:v>0</x:v>
      </x:c>
      <x:c r="U608" s="10" t="str">
        <x:v>Liquidado</x:v>
      </x:c>
      <x:c r="V608" s="10" t="str">
        <x:v>Médio</x:v>
      </x:c>
      <x:c r="W608" s="10" t="str">
        <x:v>Atacado</x:v>
      </x:c>
      <x:c r="X608" s="10" t="str">
        <x:v>UND004</x:v>
      </x:c>
    </x:row>
    <x:row r="609" ht="18" customHeight="1">
      <x:c r="A609" s="10" t="str">
        <x:v>REC00608</x:v>
      </x:c>
      <x:c r="B609" s="10" t="str">
        <x:v>EMP001</x:v>
      </x:c>
      <x:c r="C609" s="10" t="str">
        <x:v>CLI011</x:v>
      </x:c>
      <x:c r="D609" s="10" t="str">
        <x:v>CC008</x:v>
      </x:c>
      <x:c r="E609" s="10" t="str">
        <x:v>CAT004</x:v>
      </x:c>
      <x:c r="F609" s="10" t="str">
        <x:v>CTA001</x:v>
      </x:c>
      <x:c r="G609" s="10" t="str">
        <x:v>FAT-200608</x:v>
      </x:c>
      <x:c r="H609" s="10" t="str">
        <x:v>Projeto especial</x:v>
      </x:c>
      <x:c r="I609" s="16" t="n">
        <x:v>45784.952827430556</x:v>
      </x:c>
      <x:c r="J609" s="16" t="n">
        <x:v>45805.952827430556</x:v>
      </x:c>
      <x:c r="K609" s="16" t="n">
        <x:v>45809.952827430556</x:v>
      </x:c>
      <x:c r="L609" s="20" t="n">
        <x:v>31659.37</x:v>
      </x:c>
      <x:c r="M609" s="20" t="n">
        <x:v>101.31</x:v>
      </x:c>
      <x:c r="N609" s="20" t="n">
        <x:v>0</x:v>
      </x:c>
      <x:c r="O609" s="20" t="n">
        <x:v>31760.68</x:v>
      </x:c>
      <x:c r="P609" s="20" t="n">
        <x:v>0</x:v>
      </x:c>
      <x:c r="Q609" s="10" t="str">
        <x:v>Recebido</x:v>
      </x:c>
      <x:c r="R609" s="10" t="str">
        <x:v>PIX</x:v>
      </x:c>
      <x:c r="S609" s="10" t="str">
        <x:v>2025-05</x:v>
      </x:c>
      <x:c r="T609" s="10" t="n">
        <x:v>0</x:v>
      </x:c>
      <x:c r="U609" s="10" t="str">
        <x:v>Liquidado</x:v>
      </x:c>
      <x:c r="V609" s="10" t="str">
        <x:v>Alto</x:v>
      </x:c>
      <x:c r="W609" s="10" t="str">
        <x:v>Serviços</x:v>
      </x:c>
      <x:c r="X609" s="10" t="str">
        <x:v>UND001</x:v>
      </x:c>
    </x:row>
    <x:row r="610" ht="18" customHeight="1">
      <x:c r="A610" s="10" t="str">
        <x:v>REC00609</x:v>
      </x:c>
      <x:c r="B610" s="10" t="str">
        <x:v>EMP003</x:v>
      </x:c>
      <x:c r="C610" s="10" t="str">
        <x:v>CLI032</x:v>
      </x:c>
      <x:c r="D610" s="10" t="str">
        <x:v>CC003</x:v>
      </x:c>
      <x:c r="E610" s="10" t="str">
        <x:v>CAT004</x:v>
      </x:c>
      <x:c r="F610" s="10" t="str">
        <x:v>CTA006</x:v>
      </x:c>
      <x:c r="G610" s="10" t="str">
        <x:v>FAT-200609</x:v>
      </x:c>
      <x:c r="H610" s="10" t="str">
        <x:v>Venda de produtos</x:v>
      </x:c>
      <x:c r="I610" s="16" t="n">
        <x:v>45522.79573248843</x:v>
      </x:c>
      <x:c r="J610" s="16" t="n">
        <x:v>45543.79573248843</x:v>
      </x:c>
      <x:c r="K610" s="16" t="n">
        <x:v>45537.79573248843</x:v>
      </x:c>
      <x:c r="L610" s="20" t="n">
        <x:v>38627.06</x:v>
      </x:c>
      <x:c r="M610" s="20" t="n">
        <x:v>0</x:v>
      </x:c>
      <x:c r="N610" s="20" t="n">
        <x:v>0</x:v>
      </x:c>
      <x:c r="O610" s="20" t="n">
        <x:v>38627.06</x:v>
      </x:c>
      <x:c r="P610" s="20" t="n">
        <x:v>0</x:v>
      </x:c>
      <x:c r="Q610" s="10" t="str">
        <x:v>Recebido</x:v>
      </x:c>
      <x:c r="R610" s="10" t="str">
        <x:v>TED</x:v>
      </x:c>
      <x:c r="S610" s="10" t="str">
        <x:v>2024-08</x:v>
      </x:c>
      <x:c r="T610" s="10" t="n">
        <x:v>0</x:v>
      </x:c>
      <x:c r="U610" s="10" t="str">
        <x:v>Liquidado</x:v>
      </x:c>
      <x:c r="V610" s="10" t="str">
        <x:v>Baixo</x:v>
      </x:c>
      <x:c r="W610" s="10" t="str">
        <x:v>Tecnologia</x:v>
      </x:c>
      <x:c r="X610" s="10" t="str">
        <x:v>UND004</x:v>
      </x:c>
    </x:row>
    <x:row r="611" ht="18" customHeight="1">
      <x:c r="A611" s="10" t="str">
        <x:v>REC00610</x:v>
      </x:c>
      <x:c r="B611" s="10" t="str">
        <x:v>EMP002</x:v>
      </x:c>
      <x:c r="C611" s="10" t="str">
        <x:v>CLI071</x:v>
      </x:c>
      <x:c r="D611" s="10" t="str">
        <x:v>CC005</x:v>
      </x:c>
      <x:c r="E611" s="10" t="str">
        <x:v>CAT004</x:v>
      </x:c>
      <x:c r="F611" s="10" t="str">
        <x:v>CTA004</x:v>
      </x:c>
      <x:c r="G611" s="10" t="str">
        <x:v>FAT-200610</x:v>
      </x:c>
      <x:c r="H611" s="10" t="str">
        <x:v>Contrato mensal</x:v>
      </x:c>
      <x:c r="I611" s="16" t="n">
        <x:v>45474.636210972225</x:v>
      </x:c>
      <x:c r="J611" s="16" t="n">
        <x:v>45519.636210972225</x:v>
      </x:c>
      <x:c r="K611" s="16" t="n">
        <x:v>45519.636210972225</x:v>
      </x:c>
      <x:c r="L611" s="20" t="n">
        <x:v>128653.04</x:v>
      </x:c>
      <x:c r="M611" s="20" t="n">
        <x:v>0</x:v>
      </x:c>
      <x:c r="N611" s="20" t="n">
        <x:v>0</x:v>
      </x:c>
      <x:c r="O611" s="20" t="n">
        <x:v>128653.04</x:v>
      </x:c>
      <x:c r="P611" s="20" t="n">
        <x:v>0</x:v>
      </x:c>
      <x:c r="Q611" s="10" t="str">
        <x:v>Recebido</x:v>
      </x:c>
      <x:c r="R611" s="10" t="str">
        <x:v>TED</x:v>
      </x:c>
      <x:c r="S611" s="10" t="str">
        <x:v>2024-07</x:v>
      </x:c>
      <x:c r="T611" s="10" t="n">
        <x:v>0</x:v>
      </x:c>
      <x:c r="U611" s="10" t="str">
        <x:v>Liquidado</x:v>
      </x:c>
      <x:c r="V611" s="10" t="str">
        <x:v>Baixo</x:v>
      </x:c>
      <x:c r="W611" s="10" t="str">
        <x:v>Tecnologia</x:v>
      </x:c>
      <x:c r="X611" s="10" t="str">
        <x:v>UND003</x:v>
      </x:c>
    </x:row>
    <x:row r="612" ht="18" customHeight="1">
      <x:c r="A612" s="10" t="str">
        <x:v>REC00611</x:v>
      </x:c>
      <x:c r="B612" s="10" t="str">
        <x:v>EMP001</x:v>
      </x:c>
      <x:c r="C612" s="10" t="str">
        <x:v>CLI014</x:v>
      </x:c>
      <x:c r="D612" s="10" t="str">
        <x:v>CC007</x:v>
      </x:c>
      <x:c r="E612" s="10" t="str">
        <x:v>CAT002</x:v>
      </x:c>
      <x:c r="F612" s="10" t="str">
        <x:v>CTA002</x:v>
      </x:c>
      <x:c r="G612" s="10" t="str">
        <x:v>FAT-200611</x:v>
      </x:c>
      <x:c r="H612" s="10" t="str">
        <x:v>Projeto especial</x:v>
      </x:c>
      <x:c r="I612" s="16" t="n">
        <x:v>45994.17051060185</x:v>
      </x:c>
      <x:c r="J612" s="16" t="n">
        <x:v>46054.17051060185</x:v>
      </x:c>
      <x:c r="K612" s="16"/>
      <x:c r="L612" s="20" t="n">
        <x:v>115552.24</x:v>
      </x:c>
      <x:c r="M612" s="20" t="n">
        <x:v>0</x:v>
      </x:c>
      <x:c r="N612" s="20" t="n">
        <x:v>0</x:v>
      </x:c>
      <x:c r="O612" s="20" t="n">
        <x:v>0</x:v>
      </x:c>
      <x:c r="P612" s="20" t="n">
        <x:v>115552.24</x:v>
      </x:c>
      <x:c r="Q612" s="10" t="str">
        <x:v>A vencer</x:v>
      </x:c>
      <x:c r="R612" s="10" t="str">
        <x:v>TED</x:v>
      </x:c>
      <x:c r="S612" s="10" t="str">
        <x:v>2025-12</x:v>
      </x:c>
      <x:c r="T612" s="10" t="n">
        <x:v>0</x:v>
      </x:c>
      <x:c r="U612" s="10" t="str">
        <x:v>A vencer</x:v>
      </x:c>
      <x:c r="V612" s="10" t="str">
        <x:v>Médio</x:v>
      </x:c>
      <x:c r="W612" s="10" t="str">
        <x:v>Saúde</x:v>
      </x:c>
      <x:c r="X612" s="10" t="str">
        <x:v>UND002</x:v>
      </x:c>
    </x:row>
    <x:row r="613" ht="18" customHeight="1">
      <x:c r="A613" s="10" t="str">
        <x:v>REC00612</x:v>
      </x:c>
      <x:c r="B613" s="10" t="str">
        <x:v>EMP002</x:v>
      </x:c>
      <x:c r="C613" s="10" t="str">
        <x:v>CLI033</x:v>
      </x:c>
      <x:c r="D613" s="10" t="str">
        <x:v>CC007</x:v>
      </x:c>
      <x:c r="E613" s="10" t="str">
        <x:v>CAT004</x:v>
      </x:c>
      <x:c r="F613" s="10" t="str">
        <x:v>CTA004</x:v>
      </x:c>
      <x:c r="G613" s="10" t="str">
        <x:v>FAT-200612</x:v>
      </x:c>
      <x:c r="H613" s="10" t="str">
        <x:v>Venda de produtos</x:v>
      </x:c>
      <x:c r="I613" s="16" t="n">
        <x:v>45731.78733225694</x:v>
      </x:c>
      <x:c r="J613" s="16" t="n">
        <x:v>45766.78733225694</x:v>
      </x:c>
      <x:c r="K613" s="16" t="n">
        <x:v>45780.78733225694</x:v>
      </x:c>
      <x:c r="L613" s="20" t="n">
        <x:v>95152.99</x:v>
      </x:c>
      <x:c r="M613" s="20" t="n">
        <x:v>1065.71</x:v>
      </x:c>
      <x:c r="N613" s="20" t="n">
        <x:v>0</x:v>
      </x:c>
      <x:c r="O613" s="20" t="n">
        <x:v>96218.7</x:v>
      </x:c>
      <x:c r="P613" s="20" t="n">
        <x:v>0</x:v>
      </x:c>
      <x:c r="Q613" s="10" t="str">
        <x:v>Recebido</x:v>
      </x:c>
      <x:c r="R613" s="10" t="str">
        <x:v>Boleto</x:v>
      </x:c>
      <x:c r="S613" s="10" t="str">
        <x:v>2025-03</x:v>
      </x:c>
      <x:c r="T613" s="10" t="n">
        <x:v>0</x:v>
      </x:c>
      <x:c r="U613" s="10" t="str">
        <x:v>Liquidado</x:v>
      </x:c>
      <x:c r="V613" s="10" t="str">
        <x:v>Médio</x:v>
      </x:c>
      <x:c r="W613" s="10" t="str">
        <x:v>Varejo</x:v>
      </x:c>
      <x:c r="X613" s="10" t="str">
        <x:v>UND003</x:v>
      </x:c>
    </x:row>
    <x:row r="614" ht="18" customHeight="1">
      <x:c r="A614" s="10" t="str">
        <x:v>REC00613</x:v>
      </x:c>
      <x:c r="B614" s="10" t="str">
        <x:v>EMP003</x:v>
      </x:c>
      <x:c r="C614" s="10" t="str">
        <x:v>CLI005</x:v>
      </x:c>
      <x:c r="D614" s="10" t="str">
        <x:v>CC008</x:v>
      </x:c>
      <x:c r="E614" s="10" t="str">
        <x:v>CAT002</x:v>
      </x:c>
      <x:c r="F614" s="10" t="str">
        <x:v>CTA006</x:v>
      </x:c>
      <x:c r="G614" s="10" t="str">
        <x:v>FAT-200613</x:v>
      </x:c>
      <x:c r="H614" s="10" t="str">
        <x:v>Contrato mensal</x:v>
      </x:c>
      <x:c r="I614" s="16" t="n">
        <x:v>45506.808363634256</x:v>
      </x:c>
      <x:c r="J614" s="16" t="n">
        <x:v>45551.808363634256</x:v>
      </x:c>
      <x:c r="K614" s="16" t="n">
        <x:v>45552.808363634256</x:v>
      </x:c>
      <x:c r="L614" s="20" t="n">
        <x:v>23213.87</x:v>
      </x:c>
      <x:c r="M614" s="20" t="n">
        <x:v>18.57</x:v>
      </x:c>
      <x:c r="N614" s="20" t="n">
        <x:v>0</x:v>
      </x:c>
      <x:c r="O614" s="20" t="n">
        <x:v>23232.44</x:v>
      </x:c>
      <x:c r="P614" s="20" t="n">
        <x:v>0</x:v>
      </x:c>
      <x:c r="Q614" s="10" t="str">
        <x:v>Recebido</x:v>
      </x:c>
      <x:c r="R614" s="10" t="str">
        <x:v>Cartão</x:v>
      </x:c>
      <x:c r="S614" s="10" t="str">
        <x:v>2024-08</x:v>
      </x:c>
      <x:c r="T614" s="10" t="n">
        <x:v>0</x:v>
      </x:c>
      <x:c r="U614" s="10" t="str">
        <x:v>Liquidado</x:v>
      </x:c>
      <x:c r="V614" s="10" t="str">
        <x:v>Baixo</x:v>
      </x:c>
      <x:c r="W614" s="10" t="str">
        <x:v>Atacado</x:v>
      </x:c>
      <x:c r="X614" s="10" t="str">
        <x:v>UND004</x:v>
      </x:c>
    </x:row>
    <x:row r="615" ht="18" customHeight="1">
      <x:c r="A615" s="10" t="str">
        <x:v>REC00614</x:v>
      </x:c>
      <x:c r="B615" s="10" t="str">
        <x:v>EMP001</x:v>
      </x:c>
      <x:c r="C615" s="10" t="str">
        <x:v>CLI048</x:v>
      </x:c>
      <x:c r="D615" s="10" t="str">
        <x:v>CC003</x:v>
      </x:c>
      <x:c r="E615" s="10" t="str">
        <x:v>CAT004</x:v>
      </x:c>
      <x:c r="F615" s="10" t="str">
        <x:v>CTA002</x:v>
      </x:c>
      <x:c r="G615" s="10" t="str">
        <x:v>FAT-200614</x:v>
      </x:c>
      <x:c r="H615" s="10" t="str">
        <x:v>Frete faturado</x:v>
      </x:c>
      <x:c r="I615" s="16" t="n">
        <x:v>45893.038445659724</x:v>
      </x:c>
      <x:c r="J615" s="16" t="n">
        <x:v>45921.038445659724</x:v>
      </x:c>
      <x:c r="K615" s="16" t="n">
        <x:v>45924.038445659724</x:v>
      </x:c>
      <x:c r="L615" s="20" t="n">
        <x:v>46341.8</x:v>
      </x:c>
      <x:c r="M615" s="20" t="n">
        <x:v>111.22</x:v>
      </x:c>
      <x:c r="N615" s="20" t="n">
        <x:v>0</x:v>
      </x:c>
      <x:c r="O615" s="20" t="n">
        <x:v>46453.02</x:v>
      </x:c>
      <x:c r="P615" s="20" t="n">
        <x:v>0</x:v>
      </x:c>
      <x:c r="Q615" s="10" t="str">
        <x:v>Recebido</x:v>
      </x:c>
      <x:c r="R615" s="10" t="str">
        <x:v>TED</x:v>
      </x:c>
      <x:c r="S615" s="10" t="str">
        <x:v>2025-08</x:v>
      </x:c>
      <x:c r="T615" s="10" t="n">
        <x:v>0</x:v>
      </x:c>
      <x:c r="U615" s="10" t="str">
        <x:v>Liquidado</x:v>
      </x:c>
      <x:c r="V615" s="10" t="str">
        <x:v>Baixo</x:v>
      </x:c>
      <x:c r="W615" s="10" t="str">
        <x:v>Tecnologia</x:v>
      </x:c>
      <x:c r="X615" s="10" t="str">
        <x:v>UND001</x:v>
      </x:c>
    </x:row>
    <x:row r="616" ht="18" customHeight="1">
      <x:c r="A616" s="10" t="str">
        <x:v>REC00615</x:v>
      </x:c>
      <x:c r="B616" s="10" t="str">
        <x:v>EMP002</x:v>
      </x:c>
      <x:c r="C616" s="10" t="str">
        <x:v>CLI030</x:v>
      </x:c>
      <x:c r="D616" s="10" t="str">
        <x:v>CC002</x:v>
      </x:c>
      <x:c r="E616" s="10" t="str">
        <x:v>CAT004</x:v>
      </x:c>
      <x:c r="F616" s="10" t="str">
        <x:v>CTA004</x:v>
      </x:c>
      <x:c r="G616" s="10" t="str">
        <x:v>FAT-200615</x:v>
      </x:c>
      <x:c r="H616" s="10" t="str">
        <x:v>Prestação de serviços</x:v>
      </x:c>
      <x:c r="I616" s="16" t="n">
        <x:v>45977.93987326389</x:v>
      </x:c>
      <x:c r="J616" s="16" t="n">
        <x:v>46012.93987326389</x:v>
      </x:c>
      <x:c r="K616" s="16"/>
      <x:c r="L616" s="20" t="n">
        <x:v>77470.57</x:v>
      </x:c>
      <x:c r="M616" s="20" t="n">
        <x:v>0</x:v>
      </x:c>
      <x:c r="N616" s="20" t="n">
        <x:v>0</x:v>
      </x:c>
      <x:c r="O616" s="20" t="n">
        <x:v>0</x:v>
      </x:c>
      <x:c r="P616" s="20" t="n">
        <x:v>77470.57</x:v>
      </x:c>
      <x:c r="Q616" s="10" t="str">
        <x:v>Vencido</x:v>
      </x:c>
      <x:c r="R616" s="10" t="str">
        <x:v>Cartão</x:v>
      </x:c>
      <x:c r="S616" s="10" t="str">
        <x:v>2025-11</x:v>
      </x:c>
      <x:c r="T616" s="10" t="n">
        <x:v>9</x:v>
      </x:c>
      <x:c r="U616" s="10" t="str">
        <x:v>1 a 30 dias</x:v>
      </x:c>
      <x:c r="V616" s="10" t="str">
        <x:v>Baixo</x:v>
      </x:c>
      <x:c r="W616" s="10" t="str">
        <x:v>Tecnologia</x:v>
      </x:c>
      <x:c r="X616" s="10" t="str">
        <x:v>UND003</x:v>
      </x:c>
    </x:row>
    <x:row r="617" ht="18" customHeight="1">
      <x:c r="A617" s="10" t="str">
        <x:v>REC00616</x:v>
      </x:c>
      <x:c r="B617" s="10" t="str">
        <x:v>EMP002</x:v>
      </x:c>
      <x:c r="C617" s="10" t="str">
        <x:v>CLI040</x:v>
      </x:c>
      <x:c r="D617" s="10" t="str">
        <x:v>CC007</x:v>
      </x:c>
      <x:c r="E617" s="10" t="str">
        <x:v>CAT001</x:v>
      </x:c>
      <x:c r="F617" s="10" t="str">
        <x:v>CTA004</x:v>
      </x:c>
      <x:c r="G617" s="10" t="str">
        <x:v>FAT-200616</x:v>
      </x:c>
      <x:c r="H617" s="10" t="str">
        <x:v>Prestação de serviços</x:v>
      </x:c>
      <x:c r="I617" s="16" t="n">
        <x:v>45354.16132211805</x:v>
      </x:c>
      <x:c r="J617" s="16" t="n">
        <x:v>45382.16132211805</x:v>
      </x:c>
      <x:c r="K617" s="16" t="n">
        <x:v>45383.16132211805</x:v>
      </x:c>
      <x:c r="L617" s="20" t="n">
        <x:v>55680.16</x:v>
      </x:c>
      <x:c r="M617" s="20" t="n">
        <x:v>44.54</x:v>
      </x:c>
      <x:c r="N617" s="20" t="n">
        <x:v>0</x:v>
      </x:c>
      <x:c r="O617" s="20" t="n">
        <x:v>55724.7</x:v>
      </x:c>
      <x:c r="P617" s="20" t="n">
        <x:v>0</x:v>
      </x:c>
      <x:c r="Q617" s="10" t="str">
        <x:v>Recebido</x:v>
      </x:c>
      <x:c r="R617" s="10" t="str">
        <x:v>TED</x:v>
      </x:c>
      <x:c r="S617" s="10" t="str">
        <x:v>2024-03</x:v>
      </x:c>
      <x:c r="T617" s="10" t="n">
        <x:v>0</x:v>
      </x:c>
      <x:c r="U617" s="10" t="str">
        <x:v>Liquidado</x:v>
      </x:c>
      <x:c r="V617" s="10" t="str">
        <x:v>Baixo</x:v>
      </x:c>
      <x:c r="W617" s="10" t="str">
        <x:v>Saúde</x:v>
      </x:c>
      <x:c r="X617" s="10" t="str">
        <x:v>UND003</x:v>
      </x:c>
    </x:row>
    <x:row r="618" ht="18" customHeight="1">
      <x:c r="A618" s="10" t="str">
        <x:v>REC00617</x:v>
      </x:c>
      <x:c r="B618" s="10" t="str">
        <x:v>EMP001</x:v>
      </x:c>
      <x:c r="C618" s="10" t="str">
        <x:v>CLI042</x:v>
      </x:c>
      <x:c r="D618" s="10" t="str">
        <x:v>CC002</x:v>
      </x:c>
      <x:c r="E618" s="10" t="str">
        <x:v>CAT001</x:v>
      </x:c>
      <x:c r="F618" s="10" t="str">
        <x:v>CTA002</x:v>
      </x:c>
      <x:c r="G618" s="10" t="str">
        <x:v>FAT-200617</x:v>
      </x:c>
      <x:c r="H618" s="10" t="str">
        <x:v>Prestação de serviços</x:v>
      </x:c>
      <x:c r="I618" s="16" t="n">
        <x:v>45469.49461996528</x:v>
      </x:c>
      <x:c r="J618" s="16" t="n">
        <x:v>45490.49461996528</x:v>
      </x:c>
      <x:c r="K618" s="16" t="n">
        <x:v>45485.49461996528</x:v>
      </x:c>
      <x:c r="L618" s="20" t="n">
        <x:v>15212.46</x:v>
      </x:c>
      <x:c r="M618" s="20" t="n">
        <x:v>0</x:v>
      </x:c>
      <x:c r="N618" s="20" t="n">
        <x:v>0</x:v>
      </x:c>
      <x:c r="O618" s="20" t="n">
        <x:v>15212.46</x:v>
      </x:c>
      <x:c r="P618" s="20" t="n">
        <x:v>0</x:v>
      </x:c>
      <x:c r="Q618" s="10" t="str">
        <x:v>Recebido</x:v>
      </x:c>
      <x:c r="R618" s="10" t="str">
        <x:v>TED</x:v>
      </x:c>
      <x:c r="S618" s="10" t="str">
        <x:v>2024-06</x:v>
      </x:c>
      <x:c r="T618" s="10" t="n">
        <x:v>0</x:v>
      </x:c>
      <x:c r="U618" s="10" t="str">
        <x:v>Liquidado</x:v>
      </x:c>
      <x:c r="V618" s="10" t="str">
        <x:v>Baixo</x:v>
      </x:c>
      <x:c r="W618" s="10" t="str">
        <x:v>Varejo</x:v>
      </x:c>
      <x:c r="X618" s="10" t="str">
        <x:v>UND002</x:v>
      </x:c>
    </x:row>
    <x:row r="619" ht="18" customHeight="1">
      <x:c r="A619" s="10" t="str">
        <x:v>REC00618</x:v>
      </x:c>
      <x:c r="B619" s="10" t="str">
        <x:v>EMP001</x:v>
      </x:c>
      <x:c r="C619" s="10" t="str">
        <x:v>CLI035</x:v>
      </x:c>
      <x:c r="D619" s="10" t="str">
        <x:v>CC004</x:v>
      </x:c>
      <x:c r="E619" s="10" t="str">
        <x:v>CAT003</x:v>
      </x:c>
      <x:c r="F619" s="10" t="str">
        <x:v>CTA002</x:v>
      </x:c>
      <x:c r="G619" s="10" t="str">
        <x:v>FAT-200618</x:v>
      </x:c>
      <x:c r="H619" s="10" t="str">
        <x:v>Venda de produtos</x:v>
      </x:c>
      <x:c r="I619" s="16" t="n">
        <x:v>45369.66679490741</x:v>
      </x:c>
      <x:c r="J619" s="16" t="n">
        <x:v>45404.66679490741</x:v>
      </x:c>
      <x:c r="K619" s="16" t="n">
        <x:v>45403.66679490741</x:v>
      </x:c>
      <x:c r="L619" s="20" t="n">
        <x:v>13386.47</x:v>
      </x:c>
      <x:c r="M619" s="20" t="n">
        <x:v>0</x:v>
      </x:c>
      <x:c r="N619" s="20" t="n">
        <x:v>0</x:v>
      </x:c>
      <x:c r="O619" s="20" t="n">
        <x:v>13386.47</x:v>
      </x:c>
      <x:c r="P619" s="20" t="n">
        <x:v>0</x:v>
      </x:c>
      <x:c r="Q619" s="10" t="str">
        <x:v>Recebido</x:v>
      </x:c>
      <x:c r="R619" s="10" t="str">
        <x:v>PIX</x:v>
      </x:c>
      <x:c r="S619" s="10" t="str">
        <x:v>2024-03</x:v>
      </x:c>
      <x:c r="T619" s="10" t="n">
        <x:v>0</x:v>
      </x:c>
      <x:c r="U619" s="10" t="str">
        <x:v>Liquidado</x:v>
      </x:c>
      <x:c r="V619" s="10" t="str">
        <x:v>Médio</x:v>
      </x:c>
      <x:c r="W619" s="10" t="str">
        <x:v>Varejo</x:v>
      </x:c>
      <x:c r="X619" s="10" t="str">
        <x:v>UND002</x:v>
      </x:c>
    </x:row>
    <x:row r="620" ht="18" customHeight="1">
      <x:c r="A620" s="10" t="str">
        <x:v>REC00619</x:v>
      </x:c>
      <x:c r="B620" s="10" t="str">
        <x:v>EMP001</x:v>
      </x:c>
      <x:c r="C620" s="10" t="str">
        <x:v>CLI034</x:v>
      </x:c>
      <x:c r="D620" s="10" t="str">
        <x:v>CC002</x:v>
      </x:c>
      <x:c r="E620" s="10" t="str">
        <x:v>CAT002</x:v>
      </x:c>
      <x:c r="F620" s="10" t="str">
        <x:v>CTA001</x:v>
      </x:c>
      <x:c r="G620" s="10" t="str">
        <x:v>FAT-200619</x:v>
      </x:c>
      <x:c r="H620" s="10" t="str">
        <x:v>Projeto especial</x:v>
      </x:c>
      <x:c r="I620" s="16" t="n">
        <x:v>45890.40501412037</x:v>
      </x:c>
      <x:c r="J620" s="16" t="n">
        <x:v>45911.40501412037</x:v>
      </x:c>
      <x:c r="K620" s="16"/>
      <x:c r="L620" s="20" t="n">
        <x:v>123474.79</x:v>
      </x:c>
      <x:c r="M620" s="20" t="n">
        <x:v>0</x:v>
      </x:c>
      <x:c r="N620" s="20" t="n">
        <x:v>0</x:v>
      </x:c>
      <x:c r="O620" s="20" t="n">
        <x:v>0</x:v>
      </x:c>
      <x:c r="P620" s="20" t="n">
        <x:v>123474.79</x:v>
      </x:c>
      <x:c r="Q620" s="10" t="str">
        <x:v>Vencido</x:v>
      </x:c>
      <x:c r="R620" s="10" t="str">
        <x:v>PIX</x:v>
      </x:c>
      <x:c r="S620" s="10" t="str">
        <x:v>2025-08</x:v>
      </x:c>
      <x:c r="T620" s="10" t="n">
        <x:v>110</x:v>
      </x:c>
      <x:c r="U620" s="10" t="str">
        <x:v>91 a 120 dias</x:v>
      </x:c>
      <x:c r="V620" s="10" t="str">
        <x:v>Médio</x:v>
      </x:c>
      <x:c r="W620" s="10" t="str">
        <x:v>Indústria</x:v>
      </x:c>
      <x:c r="X620" s="10" t="str">
        <x:v>UND002</x:v>
      </x:c>
    </x:row>
    <x:row r="621" ht="18" customHeight="1">
      <x:c r="A621" s="10" t="str">
        <x:v>REC00620</x:v>
      </x:c>
      <x:c r="B621" s="10" t="str">
        <x:v>EMP002</x:v>
      </x:c>
      <x:c r="C621" s="10" t="str">
        <x:v>CLI034</x:v>
      </x:c>
      <x:c r="D621" s="10" t="str">
        <x:v>CC005</x:v>
      </x:c>
      <x:c r="E621" s="10" t="str">
        <x:v>CAT003</x:v>
      </x:c>
      <x:c r="F621" s="10" t="str">
        <x:v>CTA003</x:v>
      </x:c>
      <x:c r="G621" s="10" t="str">
        <x:v>FAT-200620</x:v>
      </x:c>
      <x:c r="H621" s="10" t="str">
        <x:v>Projeto especial</x:v>
      </x:c>
      <x:c r="I621" s="16" t="n">
        <x:v>45330.29311556713</x:v>
      </x:c>
      <x:c r="J621" s="16" t="n">
        <x:v>45351.29311556713</x:v>
      </x:c>
      <x:c r="K621" s="16" t="n">
        <x:v>45360.29311556713</x:v>
      </x:c>
      <x:c r="L621" s="20" t="n">
        <x:v>968.46</x:v>
      </x:c>
      <x:c r="M621" s="20" t="n">
        <x:v>6.97</x:v>
      </x:c>
      <x:c r="N621" s="20" t="n">
        <x:v>0</x:v>
      </x:c>
      <x:c r="O621" s="20" t="n">
        <x:v>975.43</x:v>
      </x:c>
      <x:c r="P621" s="20" t="n">
        <x:v>0</x:v>
      </x:c>
      <x:c r="Q621" s="10" t="str">
        <x:v>Recebido</x:v>
      </x:c>
      <x:c r="R621" s="10" t="str">
        <x:v>TED</x:v>
      </x:c>
      <x:c r="S621" s="10" t="str">
        <x:v>2024-02</x:v>
      </x:c>
      <x:c r="T621" s="10" t="n">
        <x:v>0</x:v>
      </x:c>
      <x:c r="U621" s="10" t="str">
        <x:v>Liquidado</x:v>
      </x:c>
      <x:c r="V621" s="10" t="str">
        <x:v>Médio</x:v>
      </x:c>
      <x:c r="W621" s="10" t="str">
        <x:v>Indústria</x:v>
      </x:c>
      <x:c r="X621" s="10" t="str">
        <x:v>UND003</x:v>
      </x:c>
    </x:row>
    <x:row r="622" ht="18" customHeight="1">
      <x:c r="A622" s="10" t="str">
        <x:v>REC00621</x:v>
      </x:c>
      <x:c r="B622" s="10" t="str">
        <x:v>EMP002</x:v>
      </x:c>
      <x:c r="C622" s="10" t="str">
        <x:v>CLI036</x:v>
      </x:c>
      <x:c r="D622" s="10" t="str">
        <x:v>CC007</x:v>
      </x:c>
      <x:c r="E622" s="10" t="str">
        <x:v>CAT004</x:v>
      </x:c>
      <x:c r="F622" s="10" t="str">
        <x:v>CTA003</x:v>
      </x:c>
      <x:c r="G622" s="10" t="str">
        <x:v>FAT-200621</x:v>
      </x:c>
      <x:c r="H622" s="10" t="str">
        <x:v>Projeto especial</x:v>
      </x:c>
      <x:c r="I622" s="16" t="n">
        <x:v>45633.366468657405</x:v>
      </x:c>
      <x:c r="J622" s="16" t="n">
        <x:v>45678.366468657405</x:v>
      </x:c>
      <x:c r="K622" s="16" t="n">
        <x:v>45677.366468657405</x:v>
      </x:c>
      <x:c r="L622" s="20" t="n">
        <x:v>105598.74</x:v>
      </x:c>
      <x:c r="M622" s="20" t="n">
        <x:v>0</x:v>
      </x:c>
      <x:c r="N622" s="20" t="n">
        <x:v>2111.97</x:v>
      </x:c>
      <x:c r="O622" s="20" t="n">
        <x:v>103486.77</x:v>
      </x:c>
      <x:c r="P622" s="20" t="n">
        <x:v>0</x:v>
      </x:c>
      <x:c r="Q622" s="10" t="str">
        <x:v>Recebido</x:v>
      </x:c>
      <x:c r="R622" s="10" t="str">
        <x:v>Boleto</x:v>
      </x:c>
      <x:c r="S622" s="10" t="str">
        <x:v>2024-12</x:v>
      </x:c>
      <x:c r="T622" s="10" t="n">
        <x:v>0</x:v>
      </x:c>
      <x:c r="U622" s="10" t="str">
        <x:v>Liquidado</x:v>
      </x:c>
      <x:c r="V622" s="10" t="str">
        <x:v>Baixo</x:v>
      </x:c>
      <x:c r="W622" s="10" t="str">
        <x:v>Atacado</x:v>
      </x:c>
      <x:c r="X622" s="10" t="str">
        <x:v>UND003</x:v>
      </x:c>
    </x:row>
    <x:row r="623" ht="18" customHeight="1">
      <x:c r="A623" s="10" t="str">
        <x:v>REC00622</x:v>
      </x:c>
      <x:c r="B623" s="10" t="str">
        <x:v>EMP001</x:v>
      </x:c>
      <x:c r="C623" s="10" t="str">
        <x:v>CLI058</x:v>
      </x:c>
      <x:c r="D623" s="10" t="str">
        <x:v>CC003</x:v>
      </x:c>
      <x:c r="E623" s="10" t="str">
        <x:v>CAT002</x:v>
      </x:c>
      <x:c r="F623" s="10" t="str">
        <x:v>CTA001</x:v>
      </x:c>
      <x:c r="G623" s="10" t="str">
        <x:v>FAT-200622</x:v>
      </x:c>
      <x:c r="H623" s="10" t="str">
        <x:v>Venda de produtos</x:v>
      </x:c>
      <x:c r="I623" s="16" t="n">
        <x:v>45719.09136813657</x:v>
      </x:c>
      <x:c r="J623" s="16" t="n">
        <x:v>45779.09136813657</x:v>
      </x:c>
      <x:c r="K623" s="16" t="n">
        <x:v>45776.09136813657</x:v>
      </x:c>
      <x:c r="L623" s="20" t="n">
        <x:v>51432.52</x:v>
      </x:c>
      <x:c r="M623" s="20" t="n">
        <x:v>0</x:v>
      </x:c>
      <x:c r="N623" s="20" t="n">
        <x:v>1028.65</x:v>
      </x:c>
      <x:c r="O623" s="20" t="n">
        <x:v>50403.87</x:v>
      </x:c>
      <x:c r="P623" s="20" t="n">
        <x:v>0</x:v>
      </x:c>
      <x:c r="Q623" s="10" t="str">
        <x:v>Recebido</x:v>
      </x:c>
      <x:c r="R623" s="10" t="str">
        <x:v>Boleto</x:v>
      </x:c>
      <x:c r="S623" s="10" t="str">
        <x:v>2025-03</x:v>
      </x:c>
      <x:c r="T623" s="10" t="n">
        <x:v>0</x:v>
      </x:c>
      <x:c r="U623" s="10" t="str">
        <x:v>Liquidado</x:v>
      </x:c>
      <x:c r="V623" s="10" t="str">
        <x:v>Baixo</x:v>
      </x:c>
      <x:c r="W623" s="10" t="str">
        <x:v>Atacado</x:v>
      </x:c>
      <x:c r="X623" s="10" t="str">
        <x:v>UND001</x:v>
      </x:c>
    </x:row>
    <x:row r="624" ht="18" customHeight="1">
      <x:c r="A624" s="10" t="str">
        <x:v>REC00623</x:v>
      </x:c>
      <x:c r="B624" s="10" t="str">
        <x:v>EMP003</x:v>
      </x:c>
      <x:c r="C624" s="10" t="str">
        <x:v>CLI051</x:v>
      </x:c>
      <x:c r="D624" s="10" t="str">
        <x:v>CC003</x:v>
      </x:c>
      <x:c r="E624" s="10" t="str">
        <x:v>CAT001</x:v>
      </x:c>
      <x:c r="F624" s="10" t="str">
        <x:v>CTA006</x:v>
      </x:c>
      <x:c r="G624" s="10" t="str">
        <x:v>FAT-200623</x:v>
      </x:c>
      <x:c r="H624" s="10" t="str">
        <x:v>Prestação de serviços</x:v>
      </x:c>
      <x:c r="I624" s="16" t="n">
        <x:v>45638.575365509256</x:v>
      </x:c>
      <x:c r="J624" s="16" t="n">
        <x:v>45683.575365509256</x:v>
      </x:c>
      <x:c r="K624" s="16" t="n">
        <x:v>45682.575365509256</x:v>
      </x:c>
      <x:c r="L624" s="20" t="n">
        <x:v>34404.76</x:v>
      </x:c>
      <x:c r="M624" s="20" t="n">
        <x:v>0</x:v>
      </x:c>
      <x:c r="N624" s="20" t="n">
        <x:v>344.05</x:v>
      </x:c>
      <x:c r="O624" s="20" t="n">
        <x:v>34060.71</x:v>
      </x:c>
      <x:c r="P624" s="20" t="n">
        <x:v>0</x:v>
      </x:c>
      <x:c r="Q624" s="10" t="str">
        <x:v>Recebido</x:v>
      </x:c>
      <x:c r="R624" s="10" t="str">
        <x:v>Cartão</x:v>
      </x:c>
      <x:c r="S624" s="10" t="str">
        <x:v>2024-12</x:v>
      </x:c>
      <x:c r="T624" s="10" t="n">
        <x:v>0</x:v>
      </x:c>
      <x:c r="U624" s="10" t="str">
        <x:v>Liquidado</x:v>
      </x:c>
      <x:c r="V624" s="10" t="str">
        <x:v>Médio</x:v>
      </x:c>
      <x:c r="W624" s="10" t="str">
        <x:v>Saúde</x:v>
      </x:c>
      <x:c r="X624" s="10" t="str">
        <x:v>UND004</x:v>
      </x:c>
    </x:row>
    <x:row r="625" ht="18" customHeight="1">
      <x:c r="A625" s="10" t="str">
        <x:v>REC00624</x:v>
      </x:c>
      <x:c r="B625" s="10" t="str">
        <x:v>EMP001</x:v>
      </x:c>
      <x:c r="C625" s="10" t="str">
        <x:v>CLI017</x:v>
      </x:c>
      <x:c r="D625" s="10" t="str">
        <x:v>CC004</x:v>
      </x:c>
      <x:c r="E625" s="10" t="str">
        <x:v>CAT002</x:v>
      </x:c>
      <x:c r="F625" s="10" t="str">
        <x:v>CTA001</x:v>
      </x:c>
      <x:c r="G625" s="10" t="str">
        <x:v>FAT-200624</x:v>
      </x:c>
      <x:c r="H625" s="10" t="str">
        <x:v>Frete faturado</x:v>
      </x:c>
      <x:c r="I625" s="16" t="n">
        <x:v>45685.72996892361</x:v>
      </x:c>
      <x:c r="J625" s="16" t="n">
        <x:v>45730.72996892361</x:v>
      </x:c>
      <x:c r="K625" s="16" t="n">
        <x:v>45724.72996892361</x:v>
      </x:c>
      <x:c r="L625" s="20" t="n">
        <x:v>90556.63</x:v>
      </x:c>
      <x:c r="M625" s="20" t="n">
        <x:v>0</x:v>
      </x:c>
      <x:c r="N625" s="20" t="n">
        <x:v>0</x:v>
      </x:c>
      <x:c r="O625" s="20" t="n">
        <x:v>90556.63</x:v>
      </x:c>
      <x:c r="P625" s="20" t="n">
        <x:v>0</x:v>
      </x:c>
      <x:c r="Q625" s="10" t="str">
        <x:v>Recebido</x:v>
      </x:c>
      <x:c r="R625" s="10" t="str">
        <x:v>Boleto</x:v>
      </x:c>
      <x:c r="S625" s="10" t="str">
        <x:v>2025-01</x:v>
      </x:c>
      <x:c r="T625" s="10" t="n">
        <x:v>0</x:v>
      </x:c>
      <x:c r="U625" s="10" t="str">
        <x:v>Liquidado</x:v>
      </x:c>
      <x:c r="V625" s="10" t="str">
        <x:v>Médio</x:v>
      </x:c>
      <x:c r="W625" s="10" t="str">
        <x:v>Atacado</x:v>
      </x:c>
      <x:c r="X625" s="10" t="str">
        <x:v>UND001</x:v>
      </x:c>
    </x:row>
    <x:row r="626" ht="18" customHeight="1">
      <x:c r="A626" s="10" t="str">
        <x:v>REC00625</x:v>
      </x:c>
      <x:c r="B626" s="10" t="str">
        <x:v>EMP002</x:v>
      </x:c>
      <x:c r="C626" s="10" t="str">
        <x:v>CLI068</x:v>
      </x:c>
      <x:c r="D626" s="10" t="str">
        <x:v>CC006</x:v>
      </x:c>
      <x:c r="E626" s="10" t="str">
        <x:v>CAT001</x:v>
      </x:c>
      <x:c r="F626" s="10" t="str">
        <x:v>CTA004</x:v>
      </x:c>
      <x:c r="G626" s="10" t="str">
        <x:v>FAT-200625</x:v>
      </x:c>
      <x:c r="H626" s="10" t="str">
        <x:v>Projeto especial</x:v>
      </x:c>
      <x:c r="I626" s="16" t="n">
        <x:v>46004.7223005787</x:v>
      </x:c>
      <x:c r="J626" s="16" t="n">
        <x:v>46032.7223005787</x:v>
      </x:c>
      <x:c r="K626" s="16"/>
      <x:c r="L626" s="20" t="n">
        <x:v>94523.27</x:v>
      </x:c>
      <x:c r="M626" s="20" t="n">
        <x:v>0</x:v>
      </x:c>
      <x:c r="N626" s="20" t="n">
        <x:v>0</x:v>
      </x:c>
      <x:c r="O626" s="20" t="n">
        <x:v>0</x:v>
      </x:c>
      <x:c r="P626" s="20" t="n">
        <x:v>94523.27</x:v>
      </x:c>
      <x:c r="Q626" s="10" t="str">
        <x:v>A vencer</x:v>
      </x:c>
      <x:c r="R626" s="10" t="str">
        <x:v>Boleto</x:v>
      </x:c>
      <x:c r="S626" s="10" t="str">
        <x:v>2025-12</x:v>
      </x:c>
      <x:c r="T626" s="10" t="n">
        <x:v>0</x:v>
      </x:c>
      <x:c r="U626" s="10" t="str">
        <x:v>A vencer</x:v>
      </x:c>
      <x:c r="V626" s="10" t="str">
        <x:v>Médio</x:v>
      </x:c>
      <x:c r="W626" s="10" t="str">
        <x:v>Varejo</x:v>
      </x:c>
      <x:c r="X626" s="10" t="str">
        <x:v>UND003</x:v>
      </x:c>
    </x:row>
    <x:row r="627" ht="18" customHeight="1">
      <x:c r="A627" s="10" t="str">
        <x:v>REC00626</x:v>
      </x:c>
      <x:c r="B627" s="10" t="str">
        <x:v>EMP003</x:v>
      </x:c>
      <x:c r="C627" s="10" t="str">
        <x:v>CLI009</x:v>
      </x:c>
      <x:c r="D627" s="10" t="str">
        <x:v>CC002</x:v>
      </x:c>
      <x:c r="E627" s="10" t="str">
        <x:v>CAT004</x:v>
      </x:c>
      <x:c r="F627" s="10" t="str">
        <x:v>CTA005</x:v>
      </x:c>
      <x:c r="G627" s="10" t="str">
        <x:v>FAT-200626</x:v>
      </x:c>
      <x:c r="H627" s="10" t="str">
        <x:v>Venda de produtos</x:v>
      </x:c>
      <x:c r="I627" s="16" t="n">
        <x:v>45979.02497517361</x:v>
      </x:c>
      <x:c r="J627" s="16" t="n">
        <x:v>46014.02497517361</x:v>
      </x:c>
      <x:c r="K627" s="16"/>
      <x:c r="L627" s="20" t="n">
        <x:v>3636.5</x:v>
      </x:c>
      <x:c r="M627" s="20" t="n">
        <x:v>0</x:v>
      </x:c>
      <x:c r="N627" s="20" t="n">
        <x:v>0</x:v>
      </x:c>
      <x:c r="O627" s="20" t="n">
        <x:v>0</x:v>
      </x:c>
      <x:c r="P627" s="20" t="n">
        <x:v>3636.5</x:v>
      </x:c>
      <x:c r="Q627" s="10" t="str">
        <x:v>Vencido</x:v>
      </x:c>
      <x:c r="R627" s="10" t="str">
        <x:v>Débito em Conta</x:v>
      </x:c>
      <x:c r="S627" s="10" t="str">
        <x:v>2025-11</x:v>
      </x:c>
      <x:c r="T627" s="10" t="n">
        <x:v>7</x:v>
      </x:c>
      <x:c r="U627" s="10" t="str">
        <x:v>1 a 30 dias</x:v>
      </x:c>
      <x:c r="V627" s="10" t="str">
        <x:v>Médio</x:v>
      </x:c>
      <x:c r="W627" s="10" t="str">
        <x:v>Saúde</x:v>
      </x:c>
      <x:c r="X627" s="10" t="str">
        <x:v>UND004</x:v>
      </x:c>
    </x:row>
    <x:row r="628" ht="18" customHeight="1">
      <x:c r="A628" s="10" t="str">
        <x:v>REC00627</x:v>
      </x:c>
      <x:c r="B628" s="10" t="str">
        <x:v>EMP003</x:v>
      </x:c>
      <x:c r="C628" s="10" t="str">
        <x:v>CLI077</x:v>
      </x:c>
      <x:c r="D628" s="10" t="str">
        <x:v>CC006</x:v>
      </x:c>
      <x:c r="E628" s="10" t="str">
        <x:v>CAT001</x:v>
      </x:c>
      <x:c r="F628" s="10" t="str">
        <x:v>CTA005</x:v>
      </x:c>
      <x:c r="G628" s="10" t="str">
        <x:v>FAT-200627</x:v>
      </x:c>
      <x:c r="H628" s="10" t="str">
        <x:v>Contrato mensal</x:v>
      </x:c>
      <x:c r="I628" s="16" t="n">
        <x:v>45979.55207149305</x:v>
      </x:c>
      <x:c r="J628" s="16" t="n">
        <x:v>46009.55207149305</x:v>
      </x:c>
      <x:c r="K628" s="16"/>
      <x:c r="L628" s="20" t="n">
        <x:v>127151.87</x:v>
      </x:c>
      <x:c r="M628" s="20" t="n">
        <x:v>0</x:v>
      </x:c>
      <x:c r="N628" s="20" t="n">
        <x:v>0</x:v>
      </x:c>
      <x:c r="O628" s="20" t="n">
        <x:v>0</x:v>
      </x:c>
      <x:c r="P628" s="20" t="n">
        <x:v>127151.87</x:v>
      </x:c>
      <x:c r="Q628" s="10" t="str">
        <x:v>Vencido</x:v>
      </x:c>
      <x:c r="R628" s="10" t="str">
        <x:v>PIX</x:v>
      </x:c>
      <x:c r="S628" s="10" t="str">
        <x:v>2025-11</x:v>
      </x:c>
      <x:c r="T628" s="10" t="n">
        <x:v>12</x:v>
      </x:c>
      <x:c r="U628" s="10" t="str">
        <x:v>1 a 30 dias</x:v>
      </x:c>
      <x:c r="V628" s="10" t="str">
        <x:v>Médio</x:v>
      </x:c>
      <x:c r="W628" s="10" t="str">
        <x:v>Serviços</x:v>
      </x:c>
      <x:c r="X628" s="10" t="str">
        <x:v>UND004</x:v>
      </x:c>
    </x:row>
    <x:row r="629" ht="18" customHeight="1">
      <x:c r="A629" s="10" t="str">
        <x:v>REC00628</x:v>
      </x:c>
      <x:c r="B629" s="10" t="str">
        <x:v>EMP002</x:v>
      </x:c>
      <x:c r="C629" s="10" t="str">
        <x:v>CLI069</x:v>
      </x:c>
      <x:c r="D629" s="10" t="str">
        <x:v>CC008</x:v>
      </x:c>
      <x:c r="E629" s="10" t="str">
        <x:v>CAT004</x:v>
      </x:c>
      <x:c r="F629" s="10" t="str">
        <x:v>CTA004</x:v>
      </x:c>
      <x:c r="G629" s="10" t="str">
        <x:v>FAT-200628</x:v>
      </x:c>
      <x:c r="H629" s="10" t="str">
        <x:v>Venda de produtos</x:v>
      </x:c>
      <x:c r="I629" s="16" t="n">
        <x:v>45799.34998782408</x:v>
      </x:c>
      <x:c r="J629" s="16" t="n">
        <x:v>45844.34998782408</x:v>
      </x:c>
      <x:c r="K629" s="16" t="n">
        <x:v>45855.34998782408</x:v>
      </x:c>
      <x:c r="L629" s="20" t="n">
        <x:v>87872.23</x:v>
      </x:c>
      <x:c r="M629" s="20" t="n">
        <x:v>773.28</x:v>
      </x:c>
      <x:c r="N629" s="20" t="n">
        <x:v>0</x:v>
      </x:c>
      <x:c r="O629" s="20" t="n">
        <x:v>88645.51</x:v>
      </x:c>
      <x:c r="P629" s="20" t="n">
        <x:v>0</x:v>
      </x:c>
      <x:c r="Q629" s="10" t="str">
        <x:v>Recebido</x:v>
      </x:c>
      <x:c r="R629" s="10" t="str">
        <x:v>Boleto</x:v>
      </x:c>
      <x:c r="S629" s="10" t="str">
        <x:v>2025-05</x:v>
      </x:c>
      <x:c r="T629" s="10" t="n">
        <x:v>0</x:v>
      </x:c>
      <x:c r="U629" s="10" t="str">
        <x:v>Liquidado</x:v>
      </x:c>
      <x:c r="V629" s="10" t="str">
        <x:v>Alto</x:v>
      </x:c>
      <x:c r="W629" s="10" t="str">
        <x:v>Tecnologia</x:v>
      </x:c>
      <x:c r="X629" s="10" t="str">
        <x:v>UND003</x:v>
      </x:c>
    </x:row>
    <x:row r="630" ht="18" customHeight="1">
      <x:c r="A630" s="10" t="str">
        <x:v>REC00629</x:v>
      </x:c>
      <x:c r="B630" s="10" t="str">
        <x:v>EMP003</x:v>
      </x:c>
      <x:c r="C630" s="10" t="str">
        <x:v>CLI010</x:v>
      </x:c>
      <x:c r="D630" s="10" t="str">
        <x:v>CC008</x:v>
      </x:c>
      <x:c r="E630" s="10" t="str">
        <x:v>CAT002</x:v>
      </x:c>
      <x:c r="F630" s="10" t="str">
        <x:v>CTA005</x:v>
      </x:c>
      <x:c r="G630" s="10" t="str">
        <x:v>FAT-200629</x:v>
      </x:c>
      <x:c r="H630" s="10" t="str">
        <x:v>Prestação de serviços</x:v>
      </x:c>
      <x:c r="I630" s="16" t="n">
        <x:v>45816.62812886574</x:v>
      </x:c>
      <x:c r="J630" s="16" t="n">
        <x:v>45831.62812886574</x:v>
      </x:c>
      <x:c r="K630" s="16" t="n">
        <x:v>45825.62812886574</x:v>
      </x:c>
      <x:c r="L630" s="20" t="n">
        <x:v>103182</x:v>
      </x:c>
      <x:c r="M630" s="20" t="n">
        <x:v>0</x:v>
      </x:c>
      <x:c r="N630" s="20" t="n">
        <x:v>0</x:v>
      </x:c>
      <x:c r="O630" s="20" t="n">
        <x:v>103182</x:v>
      </x:c>
      <x:c r="P630" s="20" t="n">
        <x:v>0</x:v>
      </x:c>
      <x:c r="Q630" s="10" t="str">
        <x:v>Recebido</x:v>
      </x:c>
      <x:c r="R630" s="10" t="str">
        <x:v>TED</x:v>
      </x:c>
      <x:c r="S630" s="10" t="str">
        <x:v>2025-06</x:v>
      </x:c>
      <x:c r="T630" s="10" t="n">
        <x:v>0</x:v>
      </x:c>
      <x:c r="U630" s="10" t="str">
        <x:v>Liquidado</x:v>
      </x:c>
      <x:c r="V630" s="10" t="str">
        <x:v>Baixo</x:v>
      </x:c>
      <x:c r="W630" s="10" t="str">
        <x:v>Indústria</x:v>
      </x:c>
      <x:c r="X630" s="10" t="str">
        <x:v>UND004</x:v>
      </x:c>
    </x:row>
    <x:row r="631" ht="18" customHeight="1">
      <x:c r="A631" s="10" t="str">
        <x:v>REC00630</x:v>
      </x:c>
      <x:c r="B631" s="10" t="str">
        <x:v>EMP003</x:v>
      </x:c>
      <x:c r="C631" s="10" t="str">
        <x:v>CLI049</x:v>
      </x:c>
      <x:c r="D631" s="10" t="str">
        <x:v>CC003</x:v>
      </x:c>
      <x:c r="E631" s="10" t="str">
        <x:v>CAT003</x:v>
      </x:c>
      <x:c r="F631" s="10" t="str">
        <x:v>CTA006</x:v>
      </x:c>
      <x:c r="G631" s="10" t="str">
        <x:v>FAT-200630</x:v>
      </x:c>
      <x:c r="H631" s="10" t="str">
        <x:v>Venda de produtos</x:v>
      </x:c>
      <x:c r="I631" s="16" t="n">
        <x:v>45376.55851456019</x:v>
      </x:c>
      <x:c r="J631" s="16" t="n">
        <x:v>45391.55851456019</x:v>
      </x:c>
      <x:c r="K631" s="16" t="n">
        <x:v>45397.55851456019</x:v>
      </x:c>
      <x:c r="L631" s="20" t="n">
        <x:v>46096.41</x:v>
      </x:c>
      <x:c r="M631" s="20" t="n">
        <x:v>221.26</x:v>
      </x:c>
      <x:c r="N631" s="20" t="n">
        <x:v>0</x:v>
      </x:c>
      <x:c r="O631" s="20" t="n">
        <x:v>46317.67</x:v>
      </x:c>
      <x:c r="P631" s="20" t="n">
        <x:v>0</x:v>
      </x:c>
      <x:c r="Q631" s="10" t="str">
        <x:v>Recebido</x:v>
      </x:c>
      <x:c r="R631" s="10" t="str">
        <x:v>Débito em Conta</x:v>
      </x:c>
      <x:c r="S631" s="10" t="str">
        <x:v>2024-03</x:v>
      </x:c>
      <x:c r="T631" s="10" t="n">
        <x:v>0</x:v>
      </x:c>
      <x:c r="U631" s="10" t="str">
        <x:v>Liquidado</x:v>
      </x:c>
      <x:c r="V631" s="10" t="str">
        <x:v>Médio</x:v>
      </x:c>
      <x:c r="W631" s="10" t="str">
        <x:v>Serviços</x:v>
      </x:c>
      <x:c r="X631" s="10" t="str">
        <x:v>UND004</x:v>
      </x:c>
    </x:row>
    <x:row r="632" ht="18" customHeight="1">
      <x:c r="A632" s="10" t="str">
        <x:v>REC00631</x:v>
      </x:c>
      <x:c r="B632" s="10" t="str">
        <x:v>EMP001</x:v>
      </x:c>
      <x:c r="C632" s="10" t="str">
        <x:v>CLI059</x:v>
      </x:c>
      <x:c r="D632" s="10" t="str">
        <x:v>CC002</x:v>
      </x:c>
      <x:c r="E632" s="10" t="str">
        <x:v>CAT002</x:v>
      </x:c>
      <x:c r="F632" s="10" t="str">
        <x:v>CTA001</x:v>
      </x:c>
      <x:c r="G632" s="10" t="str">
        <x:v>FAT-200631</x:v>
      </x:c>
      <x:c r="H632" s="10" t="str">
        <x:v>Venda de produtos</x:v>
      </x:c>
      <x:c r="I632" s="16" t="n">
        <x:v>45386.62534472222</x:v>
      </x:c>
      <x:c r="J632" s="16" t="n">
        <x:v>45407.62534472222</x:v>
      </x:c>
      <x:c r="K632" s="16" t="n">
        <x:v>45410.62534472222</x:v>
      </x:c>
      <x:c r="L632" s="20" t="n">
        <x:v>106473.79</x:v>
      </x:c>
      <x:c r="M632" s="20" t="n">
        <x:v>255.54</x:v>
      </x:c>
      <x:c r="N632" s="20" t="n">
        <x:v>0</x:v>
      </x:c>
      <x:c r="O632" s="20" t="n">
        <x:v>106729.33</x:v>
      </x:c>
      <x:c r="P632" s="20" t="n">
        <x:v>0</x:v>
      </x:c>
      <x:c r="Q632" s="10" t="str">
        <x:v>Recebido</x:v>
      </x:c>
      <x:c r="R632" s="10" t="str">
        <x:v>Cartão</x:v>
      </x:c>
      <x:c r="S632" s="10" t="str">
        <x:v>2024-04</x:v>
      </x:c>
      <x:c r="T632" s="10" t="n">
        <x:v>0</x:v>
      </x:c>
      <x:c r="U632" s="10" t="str">
        <x:v>Liquidado</x:v>
      </x:c>
      <x:c r="V632" s="10" t="str">
        <x:v>Baixo</x:v>
      </x:c>
      <x:c r="W632" s="10" t="str">
        <x:v>Indústria</x:v>
      </x:c>
      <x:c r="X632" s="10" t="str">
        <x:v>UND002</x:v>
      </x:c>
    </x:row>
    <x:row r="633" ht="18" customHeight="1">
      <x:c r="A633" s="10" t="str">
        <x:v>REC00632</x:v>
      </x:c>
      <x:c r="B633" s="10" t="str">
        <x:v>EMP002</x:v>
      </x:c>
      <x:c r="C633" s="10" t="str">
        <x:v>CLI051</x:v>
      </x:c>
      <x:c r="D633" s="10" t="str">
        <x:v>CC003</x:v>
      </x:c>
      <x:c r="E633" s="10" t="str">
        <x:v>CAT002</x:v>
      </x:c>
      <x:c r="F633" s="10" t="str">
        <x:v>CTA003</x:v>
      </x:c>
      <x:c r="G633" s="10" t="str">
        <x:v>FAT-200632</x:v>
      </x:c>
      <x:c r="H633" s="10" t="str">
        <x:v>Venda de produtos</x:v>
      </x:c>
      <x:c r="I633" s="16" t="n">
        <x:v>45619.48954869213</x:v>
      </x:c>
      <x:c r="J633" s="16" t="n">
        <x:v>45679.48954869213</x:v>
      </x:c>
      <x:c r="K633" s="16" t="n">
        <x:v>45685.48954869213</x:v>
      </x:c>
      <x:c r="L633" s="20" t="n">
        <x:v>97410.5</x:v>
      </x:c>
      <x:c r="M633" s="20" t="n">
        <x:v>467.57</x:v>
      </x:c>
      <x:c r="N633" s="20" t="n">
        <x:v>0</x:v>
      </x:c>
      <x:c r="O633" s="20" t="n">
        <x:v>97878.07</x:v>
      </x:c>
      <x:c r="P633" s="20" t="n">
        <x:v>0</x:v>
      </x:c>
      <x:c r="Q633" s="10" t="str">
        <x:v>Recebido</x:v>
      </x:c>
      <x:c r="R633" s="10" t="str">
        <x:v>Boleto</x:v>
      </x:c>
      <x:c r="S633" s="10" t="str">
        <x:v>2024-11</x:v>
      </x:c>
      <x:c r="T633" s="10" t="n">
        <x:v>0</x:v>
      </x:c>
      <x:c r="U633" s="10" t="str">
        <x:v>Liquidado</x:v>
      </x:c>
      <x:c r="V633" s="10" t="str">
        <x:v>Médio</x:v>
      </x:c>
      <x:c r="W633" s="10" t="str">
        <x:v>Saúde</x:v>
      </x:c>
      <x:c r="X633" s="10" t="str">
        <x:v>UND003</x:v>
      </x:c>
    </x:row>
    <x:row r="634" ht="18" customHeight="1">
      <x:c r="A634" s="10" t="str">
        <x:v>REC00633</x:v>
      </x:c>
      <x:c r="B634" s="10" t="str">
        <x:v>EMP003</x:v>
      </x:c>
      <x:c r="C634" s="10" t="str">
        <x:v>CLI074</x:v>
      </x:c>
      <x:c r="D634" s="10" t="str">
        <x:v>CC007</x:v>
      </x:c>
      <x:c r="E634" s="10" t="str">
        <x:v>CAT004</x:v>
      </x:c>
      <x:c r="F634" s="10" t="str">
        <x:v>CTA006</x:v>
      </x:c>
      <x:c r="G634" s="10" t="str">
        <x:v>FAT-200633</x:v>
      </x:c>
      <x:c r="H634" s="10" t="str">
        <x:v>Frete faturado</x:v>
      </x:c>
      <x:c r="I634" s="16" t="n">
        <x:v>45417.674312800926</x:v>
      </x:c>
      <x:c r="J634" s="16" t="n">
        <x:v>45452.674312800926</x:v>
      </x:c>
      <x:c r="K634" s="16" t="n">
        <x:v>45449.674312800926</x:v>
      </x:c>
      <x:c r="L634" s="20" t="n">
        <x:v>74184.85</x:v>
      </x:c>
      <x:c r="M634" s="20" t="n">
        <x:v>0</x:v>
      </x:c>
      <x:c r="N634" s="20" t="n">
        <x:v>0</x:v>
      </x:c>
      <x:c r="O634" s="20" t="n">
        <x:v>74184.85</x:v>
      </x:c>
      <x:c r="P634" s="20" t="n">
        <x:v>0</x:v>
      </x:c>
      <x:c r="Q634" s="10" t="str">
        <x:v>Recebido</x:v>
      </x:c>
      <x:c r="R634" s="10" t="str">
        <x:v>TED</x:v>
      </x:c>
      <x:c r="S634" s="10" t="str">
        <x:v>2024-05</x:v>
      </x:c>
      <x:c r="T634" s="10" t="n">
        <x:v>0</x:v>
      </x:c>
      <x:c r="U634" s="10" t="str">
        <x:v>Liquidado</x:v>
      </x:c>
      <x:c r="V634" s="10" t="str">
        <x:v>Médio</x:v>
      </x:c>
      <x:c r="W634" s="10" t="str">
        <x:v>Tecnologia</x:v>
      </x:c>
      <x:c r="X634" s="10" t="str">
        <x:v>UND004</x:v>
      </x:c>
    </x:row>
    <x:row r="635" ht="18" customHeight="1">
      <x:c r="A635" s="10" t="str">
        <x:v>REC00634</x:v>
      </x:c>
      <x:c r="B635" s="10" t="str">
        <x:v>EMP003</x:v>
      </x:c>
      <x:c r="C635" s="10" t="str">
        <x:v>CLI038</x:v>
      </x:c>
      <x:c r="D635" s="10" t="str">
        <x:v>CC001</x:v>
      </x:c>
      <x:c r="E635" s="10" t="str">
        <x:v>CAT001</x:v>
      </x:c>
      <x:c r="F635" s="10" t="str">
        <x:v>CTA006</x:v>
      </x:c>
      <x:c r="G635" s="10" t="str">
        <x:v>FAT-200634</x:v>
      </x:c>
      <x:c r="H635" s="10" t="str">
        <x:v>Venda de produtos</x:v>
      </x:c>
      <x:c r="I635" s="16" t="n">
        <x:v>45703.70950962963</x:v>
      </x:c>
      <x:c r="J635" s="16" t="n">
        <x:v>45738.70950962963</x:v>
      </x:c>
      <x:c r="K635" s="16" t="n">
        <x:v>45738.70950962963</x:v>
      </x:c>
      <x:c r="L635" s="20" t="n">
        <x:v>93162.68</x:v>
      </x:c>
      <x:c r="M635" s="20" t="n">
        <x:v>0</x:v>
      </x:c>
      <x:c r="N635" s="20" t="n">
        <x:v>0</x:v>
      </x:c>
      <x:c r="O635" s="20" t="n">
        <x:v>93162.68</x:v>
      </x:c>
      <x:c r="P635" s="20" t="n">
        <x:v>0</x:v>
      </x:c>
      <x:c r="Q635" s="10" t="str">
        <x:v>Recebido</x:v>
      </x:c>
      <x:c r="R635" s="10" t="str">
        <x:v>Débito em Conta</x:v>
      </x:c>
      <x:c r="S635" s="10" t="str">
        <x:v>2025-02</x:v>
      </x:c>
      <x:c r="T635" s="10" t="n">
        <x:v>0</x:v>
      </x:c>
      <x:c r="U635" s="10" t="str">
        <x:v>Liquidado</x:v>
      </x:c>
      <x:c r="V635" s="10" t="str">
        <x:v>Baixo</x:v>
      </x:c>
      <x:c r="W635" s="10" t="str">
        <x:v>Varejo</x:v>
      </x:c>
      <x:c r="X635" s="10" t="str">
        <x:v>UND004</x:v>
      </x:c>
    </x:row>
    <x:row r="636" ht="18" customHeight="1">
      <x:c r="A636" s="10" t="str">
        <x:v>REC00635</x:v>
      </x:c>
      <x:c r="B636" s="10" t="str">
        <x:v>EMP001</x:v>
      </x:c>
      <x:c r="C636" s="10" t="str">
        <x:v>CLI079</x:v>
      </x:c>
      <x:c r="D636" s="10" t="str">
        <x:v>CC001</x:v>
      </x:c>
      <x:c r="E636" s="10" t="str">
        <x:v>CAT003</x:v>
      </x:c>
      <x:c r="F636" s="10" t="str">
        <x:v>CTA001</x:v>
      </x:c>
      <x:c r="G636" s="10" t="str">
        <x:v>FAT-200635</x:v>
      </x:c>
      <x:c r="H636" s="10" t="str">
        <x:v>Projeto especial</x:v>
      </x:c>
      <x:c r="I636" s="16" t="n">
        <x:v>45611.90579380787</x:v>
      </x:c>
      <x:c r="J636" s="16" t="n">
        <x:v>45632.90579380787</x:v>
      </x:c>
      <x:c r="K636" s="16" t="n">
        <x:v>45639.90579380787</x:v>
      </x:c>
      <x:c r="L636" s="20" t="n">
        <x:v>8223.75</x:v>
      </x:c>
      <x:c r="M636" s="20" t="n">
        <x:v>46.05</x:v>
      </x:c>
      <x:c r="N636" s="20" t="n">
        <x:v>0</x:v>
      </x:c>
      <x:c r="O636" s="20" t="n">
        <x:v>8269.8</x:v>
      </x:c>
      <x:c r="P636" s="20" t="n">
        <x:v>0</x:v>
      </x:c>
      <x:c r="Q636" s="10" t="str">
        <x:v>Recebido</x:v>
      </x:c>
      <x:c r="R636" s="10" t="str">
        <x:v>Cartão</x:v>
      </x:c>
      <x:c r="S636" s="10" t="str">
        <x:v>2024-11</x:v>
      </x:c>
      <x:c r="T636" s="10" t="n">
        <x:v>0</x:v>
      </x:c>
      <x:c r="U636" s="10" t="str">
        <x:v>Liquidado</x:v>
      </x:c>
      <x:c r="V636" s="10" t="str">
        <x:v>Baixo</x:v>
      </x:c>
      <x:c r="W636" s="10" t="str">
        <x:v>Tecnologia</x:v>
      </x:c>
      <x:c r="X636" s="10" t="str">
        <x:v>UND001</x:v>
      </x:c>
    </x:row>
    <x:row r="637" ht="18" customHeight="1">
      <x:c r="A637" s="10" t="str">
        <x:v>REC00636</x:v>
      </x:c>
      <x:c r="B637" s="10" t="str">
        <x:v>EMP003</x:v>
      </x:c>
      <x:c r="C637" s="10" t="str">
        <x:v>CLI075</x:v>
      </x:c>
      <x:c r="D637" s="10" t="str">
        <x:v>CC001</x:v>
      </x:c>
      <x:c r="E637" s="10" t="str">
        <x:v>CAT003</x:v>
      </x:c>
      <x:c r="F637" s="10" t="str">
        <x:v>CTA006</x:v>
      </x:c>
      <x:c r="G637" s="10" t="str">
        <x:v>FAT-200636</x:v>
      </x:c>
      <x:c r="H637" s="10" t="str">
        <x:v>Venda de produtos</x:v>
      </x:c>
      <x:c r="I637" s="16" t="n">
        <x:v>45724.4348775</x:v>
      </x:c>
      <x:c r="J637" s="16" t="n">
        <x:v>45752.4348775</x:v>
      </x:c>
      <x:c r="K637" s="16" t="n">
        <x:v>45755.4348775</x:v>
      </x:c>
      <x:c r="L637" s="20" t="n">
        <x:v>20003.28</x:v>
      </x:c>
      <x:c r="M637" s="20" t="n">
        <x:v>48.01</x:v>
      </x:c>
      <x:c r="N637" s="20" t="n">
        <x:v>0</x:v>
      </x:c>
      <x:c r="O637" s="20" t="n">
        <x:v>20051.29</x:v>
      </x:c>
      <x:c r="P637" s="20" t="n">
        <x:v>0</x:v>
      </x:c>
      <x:c r="Q637" s="10" t="str">
        <x:v>Recebido</x:v>
      </x:c>
      <x:c r="R637" s="10" t="str">
        <x:v>Boleto</x:v>
      </x:c>
      <x:c r="S637" s="10" t="str">
        <x:v>2025-03</x:v>
      </x:c>
      <x:c r="T637" s="10" t="n">
        <x:v>0</x:v>
      </x:c>
      <x:c r="U637" s="10" t="str">
        <x:v>Liquidado</x:v>
      </x:c>
      <x:c r="V637" s="10" t="str">
        <x:v>Médio</x:v>
      </x:c>
      <x:c r="W637" s="10" t="str">
        <x:v>Varejo</x:v>
      </x:c>
      <x:c r="X637" s="10" t="str">
        <x:v>UND004</x:v>
      </x:c>
    </x:row>
    <x:row r="638" ht="18" customHeight="1">
      <x:c r="A638" s="10" t="str">
        <x:v>REC00637</x:v>
      </x:c>
      <x:c r="B638" s="10" t="str">
        <x:v>EMP001</x:v>
      </x:c>
      <x:c r="C638" s="10" t="str">
        <x:v>CLI023</x:v>
      </x:c>
      <x:c r="D638" s="10" t="str">
        <x:v>CC001</x:v>
      </x:c>
      <x:c r="E638" s="10" t="str">
        <x:v>CAT003</x:v>
      </x:c>
      <x:c r="F638" s="10" t="str">
        <x:v>CTA001</x:v>
      </x:c>
      <x:c r="G638" s="10" t="str">
        <x:v>FAT-200637</x:v>
      </x:c>
      <x:c r="H638" s="10" t="str">
        <x:v>Prestação de serviços</x:v>
      </x:c>
      <x:c r="I638" s="16" t="n">
        <x:v>45631.66504675926</x:v>
      </x:c>
      <x:c r="J638" s="16" t="n">
        <x:v>45666.66504675926</x:v>
      </x:c>
      <x:c r="K638" s="16" t="n">
        <x:v>45668.66504675926</x:v>
      </x:c>
      <x:c r="L638" s="20" t="n">
        <x:v>125367.13</x:v>
      </x:c>
      <x:c r="M638" s="20" t="n">
        <x:v>200.59</x:v>
      </x:c>
      <x:c r="N638" s="20" t="n">
        <x:v>0</x:v>
      </x:c>
      <x:c r="O638" s="20" t="n">
        <x:v>125567.72</x:v>
      </x:c>
      <x:c r="P638" s="20" t="n">
        <x:v>0</x:v>
      </x:c>
      <x:c r="Q638" s="10" t="str">
        <x:v>Recebido</x:v>
      </x:c>
      <x:c r="R638" s="10" t="str">
        <x:v>TED</x:v>
      </x:c>
      <x:c r="S638" s="10" t="str">
        <x:v>2024-12</x:v>
      </x:c>
      <x:c r="T638" s="10" t="n">
        <x:v>0</x:v>
      </x:c>
      <x:c r="U638" s="10" t="str">
        <x:v>Liquidado</x:v>
      </x:c>
      <x:c r="V638" s="10" t="str">
        <x:v>Médio</x:v>
      </x:c>
      <x:c r="W638" s="10" t="str">
        <x:v>Atacado</x:v>
      </x:c>
      <x:c r="X638" s="10" t="str">
        <x:v>UND001</x:v>
      </x:c>
    </x:row>
    <x:row r="639" ht="18" customHeight="1">
      <x:c r="A639" s="10" t="str">
        <x:v>REC00638</x:v>
      </x:c>
      <x:c r="B639" s="10" t="str">
        <x:v>EMP001</x:v>
      </x:c>
      <x:c r="C639" s="10" t="str">
        <x:v>CLI013</x:v>
      </x:c>
      <x:c r="D639" s="10" t="str">
        <x:v>CC003</x:v>
      </x:c>
      <x:c r="E639" s="10" t="str">
        <x:v>CAT004</x:v>
      </x:c>
      <x:c r="F639" s="10" t="str">
        <x:v>CTA002</x:v>
      </x:c>
      <x:c r="G639" s="10" t="str">
        <x:v>FAT-200638</x:v>
      </x:c>
      <x:c r="H639" s="10" t="str">
        <x:v>Venda de produtos</x:v>
      </x:c>
      <x:c r="I639" s="16" t="n">
        <x:v>45765.81603959491</x:v>
      </x:c>
      <x:c r="J639" s="16" t="n">
        <x:v>45786.81603959491</x:v>
      </x:c>
      <x:c r="K639" s="16" t="n">
        <x:v>45789.81603959491</x:v>
      </x:c>
      <x:c r="L639" s="20" t="n">
        <x:v>68061.49</x:v>
      </x:c>
      <x:c r="M639" s="20" t="n">
        <x:v>163.35</x:v>
      </x:c>
      <x:c r="N639" s="20" t="n">
        <x:v>0</x:v>
      </x:c>
      <x:c r="O639" s="20" t="n">
        <x:v>68224.84</x:v>
      </x:c>
      <x:c r="P639" s="20" t="n">
        <x:v>0</x:v>
      </x:c>
      <x:c r="Q639" s="10" t="str">
        <x:v>Recebido</x:v>
      </x:c>
      <x:c r="R639" s="10" t="str">
        <x:v>PIX</x:v>
      </x:c>
      <x:c r="S639" s="10" t="str">
        <x:v>2025-04</x:v>
      </x:c>
      <x:c r="T639" s="10" t="n">
        <x:v>0</x:v>
      </x:c>
      <x:c r="U639" s="10" t="str">
        <x:v>Liquidado</x:v>
      </x:c>
      <x:c r="V639" s="10" t="str">
        <x:v>Baixo</x:v>
      </x:c>
      <x:c r="W639" s="10" t="str">
        <x:v>Serviços</x:v>
      </x:c>
      <x:c r="X639" s="10" t="str">
        <x:v>UND002</x:v>
      </x:c>
    </x:row>
    <x:row r="640" ht="18" customHeight="1">
      <x:c r="A640" s="10" t="str">
        <x:v>REC00639</x:v>
      </x:c>
      <x:c r="B640" s="10" t="str">
        <x:v>EMP003</x:v>
      </x:c>
      <x:c r="C640" s="10" t="str">
        <x:v>CLI072</x:v>
      </x:c>
      <x:c r="D640" s="10" t="str">
        <x:v>CC004</x:v>
      </x:c>
      <x:c r="E640" s="10" t="str">
        <x:v>CAT001</x:v>
      </x:c>
      <x:c r="F640" s="10" t="str">
        <x:v>CTA006</x:v>
      </x:c>
      <x:c r="G640" s="10" t="str">
        <x:v>FAT-200639</x:v>
      </x:c>
      <x:c r="H640" s="10" t="str">
        <x:v>Venda de produtos</x:v>
      </x:c>
      <x:c r="I640" s="16" t="n">
        <x:v>45656.68243017361</x:v>
      </x:c>
      <x:c r="J640" s="16" t="n">
        <x:v>45701.68243017361</x:v>
      </x:c>
      <x:c r="K640" s="16" t="n">
        <x:v>45722.68243017361</x:v>
      </x:c>
      <x:c r="L640" s="20" t="n">
        <x:v>35755.14</x:v>
      </x:c>
      <x:c r="M640" s="20" t="n">
        <x:v>600.69</x:v>
      </x:c>
      <x:c r="N640" s="20" t="n">
        <x:v>0</x:v>
      </x:c>
      <x:c r="O640" s="20" t="n">
        <x:v>36355.83</x:v>
      </x:c>
      <x:c r="P640" s="20" t="n">
        <x:v>0</x:v>
      </x:c>
      <x:c r="Q640" s="10" t="str">
        <x:v>Recebido</x:v>
      </x:c>
      <x:c r="R640" s="10" t="str">
        <x:v>Débito em Conta</x:v>
      </x:c>
      <x:c r="S640" s="10" t="str">
        <x:v>2024-12</x:v>
      </x:c>
      <x:c r="T640" s="10" t="n">
        <x:v>0</x:v>
      </x:c>
      <x:c r="U640" s="10" t="str">
        <x:v>Liquidado</x:v>
      </x:c>
      <x:c r="V640" s="10" t="str">
        <x:v>Alto</x:v>
      </x:c>
      <x:c r="W640" s="10" t="str">
        <x:v>Varejo</x:v>
      </x:c>
      <x:c r="X640" s="10" t="str">
        <x:v>UND004</x:v>
      </x:c>
    </x:row>
    <x:row r="641" ht="18" customHeight="1">
      <x:c r="A641" s="10" t="str">
        <x:v>REC00640</x:v>
      </x:c>
      <x:c r="B641" s="10" t="str">
        <x:v>EMP003</x:v>
      </x:c>
      <x:c r="C641" s="10" t="str">
        <x:v>CLI059</x:v>
      </x:c>
      <x:c r="D641" s="10" t="str">
        <x:v>CC006</x:v>
      </x:c>
      <x:c r="E641" s="10" t="str">
        <x:v>CAT001</x:v>
      </x:c>
      <x:c r="F641" s="10" t="str">
        <x:v>CTA005</x:v>
      </x:c>
      <x:c r="G641" s="10" t="str">
        <x:v>FAT-200640</x:v>
      </x:c>
      <x:c r="H641" s="10" t="str">
        <x:v>Venda de produtos</x:v>
      </x:c>
      <x:c r="I641" s="16" t="n">
        <x:v>45436.52414282408</x:v>
      </x:c>
      <x:c r="J641" s="16" t="n">
        <x:v>45466.52414282408</x:v>
      </x:c>
      <x:c r="K641" s="16" t="n">
        <x:v>45463.52414282408</x:v>
      </x:c>
      <x:c r="L641" s="20" t="n">
        <x:v>60277.57</x:v>
      </x:c>
      <x:c r="M641" s="20" t="n">
        <x:v>0</x:v>
      </x:c>
      <x:c r="N641" s="20" t="n">
        <x:v>0</x:v>
      </x:c>
      <x:c r="O641" s="20" t="n">
        <x:v>60277.57</x:v>
      </x:c>
      <x:c r="P641" s="20" t="n">
        <x:v>0</x:v>
      </x:c>
      <x:c r="Q641" s="10" t="str">
        <x:v>Recebido</x:v>
      </x:c>
      <x:c r="R641" s="10" t="str">
        <x:v>TED</x:v>
      </x:c>
      <x:c r="S641" s="10" t="str">
        <x:v>2024-05</x:v>
      </x:c>
      <x:c r="T641" s="10" t="n">
        <x:v>0</x:v>
      </x:c>
      <x:c r="U641" s="10" t="str">
        <x:v>Liquidado</x:v>
      </x:c>
      <x:c r="V641" s="10" t="str">
        <x:v>Baixo</x:v>
      </x:c>
      <x:c r="W641" s="10" t="str">
        <x:v>Indústria</x:v>
      </x:c>
      <x:c r="X641" s="10" t="str">
        <x:v>UND004</x:v>
      </x:c>
    </x:row>
    <x:row r="642" ht="18" customHeight="1">
      <x:c r="A642" s="10" t="str">
        <x:v>REC00641</x:v>
      </x:c>
      <x:c r="B642" s="10" t="str">
        <x:v>EMP002</x:v>
      </x:c>
      <x:c r="C642" s="10" t="str">
        <x:v>CLI015</x:v>
      </x:c>
      <x:c r="D642" s="10" t="str">
        <x:v>CC007</x:v>
      </x:c>
      <x:c r="E642" s="10" t="str">
        <x:v>CAT002</x:v>
      </x:c>
      <x:c r="F642" s="10" t="str">
        <x:v>CTA003</x:v>
      </x:c>
      <x:c r="G642" s="10" t="str">
        <x:v>FAT-200641</x:v>
      </x:c>
      <x:c r="H642" s="10" t="str">
        <x:v>Venda de produtos</x:v>
      </x:c>
      <x:c r="I642" s="16" t="n">
        <x:v>45870.29958053241</x:v>
      </x:c>
      <x:c r="J642" s="16" t="n">
        <x:v>45898.29958053241</x:v>
      </x:c>
      <x:c r="K642" s="16" t="n">
        <x:v>45897.29958053241</x:v>
      </x:c>
      <x:c r="L642" s="20" t="n">
        <x:v>118195.43</x:v>
      </x:c>
      <x:c r="M642" s="20" t="n">
        <x:v>0</x:v>
      </x:c>
      <x:c r="N642" s="20" t="n">
        <x:v>0</x:v>
      </x:c>
      <x:c r="O642" s="20" t="n">
        <x:v>118195.43</x:v>
      </x:c>
      <x:c r="P642" s="20" t="n">
        <x:v>0</x:v>
      </x:c>
      <x:c r="Q642" s="10" t="str">
        <x:v>Recebido</x:v>
      </x:c>
      <x:c r="R642" s="10" t="str">
        <x:v>PIX</x:v>
      </x:c>
      <x:c r="S642" s="10" t="str">
        <x:v>2025-08</x:v>
      </x:c>
      <x:c r="T642" s="10" t="n">
        <x:v>0</x:v>
      </x:c>
      <x:c r="U642" s="10" t="str">
        <x:v>Liquidado</x:v>
      </x:c>
      <x:c r="V642" s="10" t="str">
        <x:v>Baixo</x:v>
      </x:c>
      <x:c r="W642" s="10" t="str">
        <x:v>Atacado</x:v>
      </x:c>
      <x:c r="X642" s="10" t="str">
        <x:v>UND003</x:v>
      </x:c>
    </x:row>
    <x:row r="643" ht="18" customHeight="1">
      <x:c r="A643" s="10" t="str">
        <x:v>REC00642</x:v>
      </x:c>
      <x:c r="B643" s="10" t="str">
        <x:v>EMP003</x:v>
      </x:c>
      <x:c r="C643" s="10" t="str">
        <x:v>CLI067</x:v>
      </x:c>
      <x:c r="D643" s="10" t="str">
        <x:v>CC002</x:v>
      </x:c>
      <x:c r="E643" s="10" t="str">
        <x:v>CAT004</x:v>
      </x:c>
      <x:c r="F643" s="10" t="str">
        <x:v>CTA005</x:v>
      </x:c>
      <x:c r="G643" s="10" t="str">
        <x:v>FAT-200642</x:v>
      </x:c>
      <x:c r="H643" s="10" t="str">
        <x:v>Contrato mensal</x:v>
      </x:c>
      <x:c r="I643" s="16" t="n">
        <x:v>45955.22135319444</x:v>
      </x:c>
      <x:c r="J643" s="16" t="n">
        <x:v>45983.22135319444</x:v>
      </x:c>
      <x:c r="K643" s="16" t="n">
        <x:v>45992.22135319444</x:v>
      </x:c>
      <x:c r="L643" s="20" t="n">
        <x:v>46471.56</x:v>
      </x:c>
      <x:c r="M643" s="20" t="n">
        <x:v>334.6</x:v>
      </x:c>
      <x:c r="N643" s="20" t="n">
        <x:v>0</x:v>
      </x:c>
      <x:c r="O643" s="20" t="n">
        <x:v>46806.16</x:v>
      </x:c>
      <x:c r="P643" s="20" t="n">
        <x:v>0</x:v>
      </x:c>
      <x:c r="Q643" s="10" t="str">
        <x:v>Recebido</x:v>
      </x:c>
      <x:c r="R643" s="10" t="str">
        <x:v>Boleto</x:v>
      </x:c>
      <x:c r="S643" s="10" t="str">
        <x:v>2025-10</x:v>
      </x:c>
      <x:c r="T643" s="10" t="n">
        <x:v>0</x:v>
      </x:c>
      <x:c r="U643" s="10" t="str">
        <x:v>Liquidado</x:v>
      </x:c>
      <x:c r="V643" s="10" t="str">
        <x:v>Alto</x:v>
      </x:c>
      <x:c r="W643" s="10" t="str">
        <x:v>Varejo</x:v>
      </x:c>
      <x:c r="X643" s="10" t="str">
        <x:v>UND004</x:v>
      </x:c>
    </x:row>
    <x:row r="644" ht="18" customHeight="1">
      <x:c r="A644" s="10" t="str">
        <x:v>REC00643</x:v>
      </x:c>
      <x:c r="B644" s="10" t="str">
        <x:v>EMP002</x:v>
      </x:c>
      <x:c r="C644" s="10" t="str">
        <x:v>CLI070</x:v>
      </x:c>
      <x:c r="D644" s="10" t="str">
        <x:v>CC002</x:v>
      </x:c>
      <x:c r="E644" s="10" t="str">
        <x:v>CAT003</x:v>
      </x:c>
      <x:c r="F644" s="10" t="str">
        <x:v>CTA004</x:v>
      </x:c>
      <x:c r="G644" s="10" t="str">
        <x:v>FAT-200643</x:v>
      </x:c>
      <x:c r="H644" s="10" t="str">
        <x:v>Contrato mensal</x:v>
      </x:c>
      <x:c r="I644" s="16" t="n">
        <x:v>45439.29390484954</x:v>
      </x:c>
      <x:c r="J644" s="16" t="n">
        <x:v>45467.29390484954</x:v>
      </x:c>
      <x:c r="K644" s="16" t="n">
        <x:v>45469.29390484954</x:v>
      </x:c>
      <x:c r="L644" s="20" t="n">
        <x:v>36870.41</x:v>
      </x:c>
      <x:c r="M644" s="20" t="n">
        <x:v>58.99</x:v>
      </x:c>
      <x:c r="N644" s="20" t="n">
        <x:v>0</x:v>
      </x:c>
      <x:c r="O644" s="20" t="n">
        <x:v>36929.4</x:v>
      </x:c>
      <x:c r="P644" s="20" t="n">
        <x:v>0</x:v>
      </x:c>
      <x:c r="Q644" s="10" t="str">
        <x:v>Recebido</x:v>
      </x:c>
      <x:c r="R644" s="10" t="str">
        <x:v>Débito em Conta</x:v>
      </x:c>
      <x:c r="S644" s="10" t="str">
        <x:v>2024-05</x:v>
      </x:c>
      <x:c r="T644" s="10" t="n">
        <x:v>0</x:v>
      </x:c>
      <x:c r="U644" s="10" t="str">
        <x:v>Liquidado</x:v>
      </x:c>
      <x:c r="V644" s="10" t="str">
        <x:v>Baixo</x:v>
      </x:c>
      <x:c r="W644" s="10" t="str">
        <x:v>Saúde</x:v>
      </x:c>
      <x:c r="X644" s="10" t="str">
        <x:v>UND003</x:v>
      </x:c>
    </x:row>
    <x:row r="645" ht="18" customHeight="1">
      <x:c r="A645" s="10" t="str">
        <x:v>REC00644</x:v>
      </x:c>
      <x:c r="B645" s="10" t="str">
        <x:v>EMP001</x:v>
      </x:c>
      <x:c r="C645" s="10" t="str">
        <x:v>CLI078</x:v>
      </x:c>
      <x:c r="D645" s="10" t="str">
        <x:v>CC003</x:v>
      </x:c>
      <x:c r="E645" s="10" t="str">
        <x:v>CAT001</x:v>
      </x:c>
      <x:c r="F645" s="10" t="str">
        <x:v>CTA002</x:v>
      </x:c>
      <x:c r="G645" s="10" t="str">
        <x:v>FAT-200644</x:v>
      </x:c>
      <x:c r="H645" s="10" t="str">
        <x:v>Venda de produtos</x:v>
      </x:c>
      <x:c r="I645" s="16" t="n">
        <x:v>45588.8571358912</x:v>
      </x:c>
      <x:c r="J645" s="16" t="n">
        <x:v>45618.8571358912</x:v>
      </x:c>
      <x:c r="K645" s="16" t="n">
        <x:v>45623.8571358912</x:v>
      </x:c>
      <x:c r="L645" s="20" t="n">
        <x:v>83081.45</x:v>
      </x:c>
      <x:c r="M645" s="20" t="n">
        <x:v>332.33</x:v>
      </x:c>
      <x:c r="N645" s="20" t="n">
        <x:v>0</x:v>
      </x:c>
      <x:c r="O645" s="20" t="n">
        <x:v>83413.78</x:v>
      </x:c>
      <x:c r="P645" s="20" t="n">
        <x:v>0</x:v>
      </x:c>
      <x:c r="Q645" s="10" t="str">
        <x:v>Recebido</x:v>
      </x:c>
      <x:c r="R645" s="10" t="str">
        <x:v>Cartão</x:v>
      </x:c>
      <x:c r="S645" s="10" t="str">
        <x:v>2024-10</x:v>
      </x:c>
      <x:c r="T645" s="10" t="n">
        <x:v>0</x:v>
      </x:c>
      <x:c r="U645" s="10" t="str">
        <x:v>Liquidado</x:v>
      </x:c>
      <x:c r="V645" s="10" t="str">
        <x:v>Médio</x:v>
      </x:c>
      <x:c r="W645" s="10" t="str">
        <x:v>Tecnologia</x:v>
      </x:c>
      <x:c r="X645" s="10" t="str">
        <x:v>UND001</x:v>
      </x:c>
    </x:row>
    <x:row r="646" ht="18" customHeight="1">
      <x:c r="A646" s="10" t="str">
        <x:v>REC00645</x:v>
      </x:c>
      <x:c r="B646" s="10" t="str">
        <x:v>EMP003</x:v>
      </x:c>
      <x:c r="C646" s="10" t="str">
        <x:v>CLI072</x:v>
      </x:c>
      <x:c r="D646" s="10" t="str">
        <x:v>CC005</x:v>
      </x:c>
      <x:c r="E646" s="10" t="str">
        <x:v>CAT004</x:v>
      </x:c>
      <x:c r="F646" s="10" t="str">
        <x:v>CTA005</x:v>
      </x:c>
      <x:c r="G646" s="10" t="str">
        <x:v>FAT-200645</x:v>
      </x:c>
      <x:c r="H646" s="10" t="str">
        <x:v>Contrato mensal</x:v>
      </x:c>
      <x:c r="I646" s="16" t="n">
        <x:v>45844.61016293982</x:v>
      </x:c>
      <x:c r="J646" s="16" t="n">
        <x:v>45859.61016293982</x:v>
      </x:c>
      <x:c r="K646" s="16" t="n">
        <x:v>45880.61016293982</x:v>
      </x:c>
      <x:c r="L646" s="20" t="n">
        <x:v>118241.6</x:v>
      </x:c>
      <x:c r="M646" s="20" t="n">
        <x:v>1986.46</x:v>
      </x:c>
      <x:c r="N646" s="20" t="n">
        <x:v>0</x:v>
      </x:c>
      <x:c r="O646" s="20" t="n">
        <x:v>120228.06</x:v>
      </x:c>
      <x:c r="P646" s="20" t="n">
        <x:v>0</x:v>
      </x:c>
      <x:c r="Q646" s="10" t="str">
        <x:v>Recebido</x:v>
      </x:c>
      <x:c r="R646" s="10" t="str">
        <x:v>TED</x:v>
      </x:c>
      <x:c r="S646" s="10" t="str">
        <x:v>2025-07</x:v>
      </x:c>
      <x:c r="T646" s="10" t="n">
        <x:v>0</x:v>
      </x:c>
      <x:c r="U646" s="10" t="str">
        <x:v>Liquidado</x:v>
      </x:c>
      <x:c r="V646" s="10" t="str">
        <x:v>Alto</x:v>
      </x:c>
      <x:c r="W646" s="10" t="str">
        <x:v>Varejo</x:v>
      </x:c>
      <x:c r="X646" s="10" t="str">
        <x:v>UND004</x:v>
      </x:c>
    </x:row>
    <x:row r="647" ht="18" customHeight="1">
      <x:c r="A647" s="10" t="str">
        <x:v>REC00646</x:v>
      </x:c>
      <x:c r="B647" s="10" t="str">
        <x:v>EMP003</x:v>
      </x:c>
      <x:c r="C647" s="10" t="str">
        <x:v>CLI080</x:v>
      </x:c>
      <x:c r="D647" s="10" t="str">
        <x:v>CC007</x:v>
      </x:c>
      <x:c r="E647" s="10" t="str">
        <x:v>CAT002</x:v>
      </x:c>
      <x:c r="F647" s="10" t="str">
        <x:v>CTA005</x:v>
      </x:c>
      <x:c r="G647" s="10" t="str">
        <x:v>FAT-200646</x:v>
      </x:c>
      <x:c r="H647" s="10" t="str">
        <x:v>Projeto especial</x:v>
      </x:c>
      <x:c r="I647" s="16" t="n">
        <x:v>45543.38867299769</x:v>
      </x:c>
      <x:c r="J647" s="16" t="n">
        <x:v>45603.38867299769</x:v>
      </x:c>
      <x:c r="K647" s="16" t="n">
        <x:v>45605.38867299769</x:v>
      </x:c>
      <x:c r="L647" s="20" t="n">
        <x:v>39087.82</x:v>
      </x:c>
      <x:c r="M647" s="20" t="n">
        <x:v>62.54</x:v>
      </x:c>
      <x:c r="N647" s="20" t="n">
        <x:v>0</x:v>
      </x:c>
      <x:c r="O647" s="20" t="n">
        <x:v>39150.36</x:v>
      </x:c>
      <x:c r="P647" s="20" t="n">
        <x:v>0</x:v>
      </x:c>
      <x:c r="Q647" s="10" t="str">
        <x:v>Recebido</x:v>
      </x:c>
      <x:c r="R647" s="10" t="str">
        <x:v>Débito em Conta</x:v>
      </x:c>
      <x:c r="S647" s="10" t="str">
        <x:v>2024-09</x:v>
      </x:c>
      <x:c r="T647" s="10" t="n">
        <x:v>0</x:v>
      </x:c>
      <x:c r="U647" s="10" t="str">
        <x:v>Liquidado</x:v>
      </x:c>
      <x:c r="V647" s="10" t="str">
        <x:v>Médio</x:v>
      </x:c>
      <x:c r="W647" s="10" t="str">
        <x:v>Atacado</x:v>
      </x:c>
      <x:c r="X647" s="10" t="str">
        <x:v>UND004</x:v>
      </x:c>
    </x:row>
    <x:row r="648" ht="18" customHeight="1">
      <x:c r="A648" s="10" t="str">
        <x:v>REC00647</x:v>
      </x:c>
      <x:c r="B648" s="10" t="str">
        <x:v>EMP003</x:v>
      </x:c>
      <x:c r="C648" s="10" t="str">
        <x:v>CLI042</x:v>
      </x:c>
      <x:c r="D648" s="10" t="str">
        <x:v>CC008</x:v>
      </x:c>
      <x:c r="E648" s="10" t="str">
        <x:v>CAT004</x:v>
      </x:c>
      <x:c r="F648" s="10" t="str">
        <x:v>CTA006</x:v>
      </x:c>
      <x:c r="G648" s="10" t="str">
        <x:v>FAT-200647</x:v>
      </x:c>
      <x:c r="H648" s="10" t="str">
        <x:v>Prestação de serviços</x:v>
      </x:c>
      <x:c r="I648" s="16" t="n">
        <x:v>45721.75556628472</x:v>
      </x:c>
      <x:c r="J648" s="16" t="n">
        <x:v>45766.75556628472</x:v>
      </x:c>
      <x:c r="K648" s="16" t="n">
        <x:v>45760.75556628472</x:v>
      </x:c>
      <x:c r="L648" s="20" t="n">
        <x:v>41107.88</x:v>
      </x:c>
      <x:c r="M648" s="20" t="n">
        <x:v>0</x:v>
      </x:c>
      <x:c r="N648" s="20" t="n">
        <x:v>411.08</x:v>
      </x:c>
      <x:c r="O648" s="20" t="n">
        <x:v>40696.8</x:v>
      </x:c>
      <x:c r="P648" s="20" t="n">
        <x:v>0</x:v>
      </x:c>
      <x:c r="Q648" s="10" t="str">
        <x:v>Recebido</x:v>
      </x:c>
      <x:c r="R648" s="10" t="str">
        <x:v>Cartão</x:v>
      </x:c>
      <x:c r="S648" s="10" t="str">
        <x:v>2025-03</x:v>
      </x:c>
      <x:c r="T648" s="10" t="n">
        <x:v>0</x:v>
      </x:c>
      <x:c r="U648" s="10" t="str">
        <x:v>Liquidado</x:v>
      </x:c>
      <x:c r="V648" s="10" t="str">
        <x:v>Baixo</x:v>
      </x:c>
      <x:c r="W648" s="10" t="str">
        <x:v>Varejo</x:v>
      </x:c>
      <x:c r="X648" s="10" t="str">
        <x:v>UND004</x:v>
      </x:c>
    </x:row>
    <x:row r="649" ht="18" customHeight="1">
      <x:c r="A649" s="10" t="str">
        <x:v>REC00648</x:v>
      </x:c>
      <x:c r="B649" s="10" t="str">
        <x:v>EMP001</x:v>
      </x:c>
      <x:c r="C649" s="10" t="str">
        <x:v>CLI043</x:v>
      </x:c>
      <x:c r="D649" s="10" t="str">
        <x:v>CC006</x:v>
      </x:c>
      <x:c r="E649" s="10" t="str">
        <x:v>CAT001</x:v>
      </x:c>
      <x:c r="F649" s="10" t="str">
        <x:v>CTA002</x:v>
      </x:c>
      <x:c r="G649" s="10" t="str">
        <x:v>FAT-200648</x:v>
      </x:c>
      <x:c r="H649" s="10" t="str">
        <x:v>Contrato mensal</x:v>
      </x:c>
      <x:c r="I649" s="16" t="n">
        <x:v>45719.365114548615</x:v>
      </x:c>
      <x:c r="J649" s="16" t="n">
        <x:v>45754.365114548615</x:v>
      </x:c>
      <x:c r="K649" s="16" t="n">
        <x:v>45749.365114548615</x:v>
      </x:c>
      <x:c r="L649" s="20" t="n">
        <x:v>121969.71</x:v>
      </x:c>
      <x:c r="M649" s="20" t="n">
        <x:v>0</x:v>
      </x:c>
      <x:c r="N649" s="20" t="n">
        <x:v>0</x:v>
      </x:c>
      <x:c r="O649" s="20" t="n">
        <x:v>121969.71</x:v>
      </x:c>
      <x:c r="P649" s="20" t="n">
        <x:v>0</x:v>
      </x:c>
      <x:c r="Q649" s="10" t="str">
        <x:v>Recebido</x:v>
      </x:c>
      <x:c r="R649" s="10" t="str">
        <x:v>PIX</x:v>
      </x:c>
      <x:c r="S649" s="10" t="str">
        <x:v>2025-03</x:v>
      </x:c>
      <x:c r="T649" s="10" t="n">
        <x:v>0</x:v>
      </x:c>
      <x:c r="U649" s="10" t="str">
        <x:v>Liquidado</x:v>
      </x:c>
      <x:c r="V649" s="10" t="str">
        <x:v>Baixo</x:v>
      </x:c>
      <x:c r="W649" s="10" t="str">
        <x:v>Atacado</x:v>
      </x:c>
      <x:c r="X649" s="10" t="str">
        <x:v>UND002</x:v>
      </x:c>
    </x:row>
    <x:row r="650" ht="18" customHeight="1">
      <x:c r="A650" s="10" t="str">
        <x:v>REC00649</x:v>
      </x:c>
      <x:c r="B650" s="10" t="str">
        <x:v>EMP003</x:v>
      </x:c>
      <x:c r="C650" s="10" t="str">
        <x:v>CLI029</x:v>
      </x:c>
      <x:c r="D650" s="10" t="str">
        <x:v>CC005</x:v>
      </x:c>
      <x:c r="E650" s="10" t="str">
        <x:v>CAT003</x:v>
      </x:c>
      <x:c r="F650" s="10" t="str">
        <x:v>CTA005</x:v>
      </x:c>
      <x:c r="G650" s="10" t="str">
        <x:v>FAT-200649</x:v>
      </x:c>
      <x:c r="H650" s="10" t="str">
        <x:v>Prestação de serviços</x:v>
      </x:c>
      <x:c r="I650" s="16" t="n">
        <x:v>45896.045065</x:v>
      </x:c>
      <x:c r="J650" s="16" t="n">
        <x:v>45931.045065</x:v>
      </x:c>
      <x:c r="K650" s="16"/>
      <x:c r="L650" s="20" t="n">
        <x:v>2715.76</x:v>
      </x:c>
      <x:c r="M650" s="20" t="n">
        <x:v>0</x:v>
      </x:c>
      <x:c r="N650" s="20" t="n">
        <x:v>0</x:v>
      </x:c>
      <x:c r="O650" s="20" t="n">
        <x:v>0</x:v>
      </x:c>
      <x:c r="P650" s="20" t="n">
        <x:v>2715.76</x:v>
      </x:c>
      <x:c r="Q650" s="10" t="str">
        <x:v>Vencido</x:v>
      </x:c>
      <x:c r="R650" s="10" t="str">
        <x:v>Débito em Conta</x:v>
      </x:c>
      <x:c r="S650" s="10" t="str">
        <x:v>2025-08</x:v>
      </x:c>
      <x:c r="T650" s="10" t="n">
        <x:v>90</x:v>
      </x:c>
      <x:c r="U650" s="10" t="str">
        <x:v>61 a 90 dias</x:v>
      </x:c>
      <x:c r="V650" s="10" t="str">
        <x:v>Baixo</x:v>
      </x:c>
      <x:c r="W650" s="10" t="str">
        <x:v>Tecnologia</x:v>
      </x:c>
      <x:c r="X650" s="10" t="str">
        <x:v>UND004</x:v>
      </x:c>
    </x:row>
    <x:row r="651" ht="18" customHeight="1">
      <x:c r="A651" s="10" t="str">
        <x:v>REC00650</x:v>
      </x:c>
      <x:c r="B651" s="10" t="str">
        <x:v>EMP001</x:v>
      </x:c>
      <x:c r="C651" s="10" t="str">
        <x:v>CLI017</x:v>
      </x:c>
      <x:c r="D651" s="10" t="str">
        <x:v>CC002</x:v>
      </x:c>
      <x:c r="E651" s="10" t="str">
        <x:v>CAT001</x:v>
      </x:c>
      <x:c r="F651" s="10" t="str">
        <x:v>CTA001</x:v>
      </x:c>
      <x:c r="G651" s="10" t="str">
        <x:v>FAT-200650</x:v>
      </x:c>
      <x:c r="H651" s="10" t="str">
        <x:v>Projeto especial</x:v>
      </x:c>
      <x:c r="I651" s="16" t="n">
        <x:v>45874.59213217592</x:v>
      </x:c>
      <x:c r="J651" s="16" t="n">
        <x:v>45934.59213217592</x:v>
      </x:c>
      <x:c r="K651" s="16" t="n">
        <x:v>45932.59213217592</x:v>
      </x:c>
      <x:c r="L651" s="20" t="n">
        <x:v>132421.62</x:v>
      </x:c>
      <x:c r="M651" s="20" t="n">
        <x:v>0</x:v>
      </x:c>
      <x:c r="N651" s="20" t="n">
        <x:v>2648.43</x:v>
      </x:c>
      <x:c r="O651" s="20" t="n">
        <x:v>129773.19</x:v>
      </x:c>
      <x:c r="P651" s="20" t="n">
        <x:v>0</x:v>
      </x:c>
      <x:c r="Q651" s="10" t="str">
        <x:v>Recebido</x:v>
      </x:c>
      <x:c r="R651" s="10" t="str">
        <x:v>Débito em Conta</x:v>
      </x:c>
      <x:c r="S651" s="10" t="str">
        <x:v>2025-08</x:v>
      </x:c>
      <x:c r="T651" s="10" t="n">
        <x:v>0</x:v>
      </x:c>
      <x:c r="U651" s="10" t="str">
        <x:v>Liquidado</x:v>
      </x:c>
      <x:c r="V651" s="10" t="str">
        <x:v>Médio</x:v>
      </x:c>
      <x:c r="W651" s="10" t="str">
        <x:v>Atacado</x:v>
      </x:c>
      <x:c r="X651" s="10" t="str">
        <x:v>UND002</x:v>
      </x:c>
    </x:row>
    <x:row r="652" ht="18" customHeight="1">
      <x:c r="A652" s="10" t="str">
        <x:v>REC00651</x:v>
      </x:c>
      <x:c r="B652" s="10" t="str">
        <x:v>EMP003</x:v>
      </x:c>
      <x:c r="C652" s="10" t="str">
        <x:v>CLI050</x:v>
      </x:c>
      <x:c r="D652" s="10" t="str">
        <x:v>CC001</x:v>
      </x:c>
      <x:c r="E652" s="10" t="str">
        <x:v>CAT002</x:v>
      </x:c>
      <x:c r="F652" s="10" t="str">
        <x:v>CTA005</x:v>
      </x:c>
      <x:c r="G652" s="10" t="str">
        <x:v>FAT-200651</x:v>
      </x:c>
      <x:c r="H652" s="10" t="str">
        <x:v>Frete faturado</x:v>
      </x:c>
      <x:c r="I652" s="16" t="n">
        <x:v>45775.30612927083</x:v>
      </x:c>
      <x:c r="J652" s="16" t="n">
        <x:v>45803.30612927083</x:v>
      </x:c>
      <x:c r="K652" s="16"/>
      <x:c r="L652" s="20" t="n">
        <x:v>15583.9</x:v>
      </x:c>
      <x:c r="M652" s="20" t="n">
        <x:v>0</x:v>
      </x:c>
      <x:c r="N652" s="20" t="n">
        <x:v>0</x:v>
      </x:c>
      <x:c r="O652" s="20" t="n">
        <x:v>0</x:v>
      </x:c>
      <x:c r="P652" s="20" t="n">
        <x:v>15583.9</x:v>
      </x:c>
      <x:c r="Q652" s="10" t="str">
        <x:v>Vencido</x:v>
      </x:c>
      <x:c r="R652" s="10" t="str">
        <x:v>Boleto</x:v>
      </x:c>
      <x:c r="S652" s="10" t="str">
        <x:v>2025-04</x:v>
      </x:c>
      <x:c r="T652" s="10" t="n">
        <x:v>218</x:v>
      </x:c>
      <x:c r="U652" s="10" t="str">
        <x:v>&gt; 120 dias</x:v>
      </x:c>
      <x:c r="V652" s="10" t="str">
        <x:v>Baixo</x:v>
      </x:c>
      <x:c r="W652" s="10" t="str">
        <x:v>Tecnologia</x:v>
      </x:c>
      <x:c r="X652" s="10" t="str">
        <x:v>UND004</x:v>
      </x:c>
    </x:row>
    <x:row r="653" ht="18" customHeight="1">
      <x:c r="A653" s="10" t="str">
        <x:v>REC00652</x:v>
      </x:c>
      <x:c r="B653" s="10" t="str">
        <x:v>EMP002</x:v>
      </x:c>
      <x:c r="C653" s="10" t="str">
        <x:v>CLI075</x:v>
      </x:c>
      <x:c r="D653" s="10" t="str">
        <x:v>CC004</x:v>
      </x:c>
      <x:c r="E653" s="10" t="str">
        <x:v>CAT003</x:v>
      </x:c>
      <x:c r="F653" s="10" t="str">
        <x:v>CTA003</x:v>
      </x:c>
      <x:c r="G653" s="10" t="str">
        <x:v>FAT-200652</x:v>
      </x:c>
      <x:c r="H653" s="10" t="str">
        <x:v>Contrato mensal</x:v>
      </x:c>
      <x:c r="I653" s="16" t="n">
        <x:v>45328.43196123843</x:v>
      </x:c>
      <x:c r="J653" s="16" t="n">
        <x:v>45358.43196123843</x:v>
      </x:c>
      <x:c r="K653" s="16" t="n">
        <x:v>45363.43196123843</x:v>
      </x:c>
      <x:c r="L653" s="20" t="n">
        <x:v>25999.78</x:v>
      </x:c>
      <x:c r="M653" s="20" t="n">
        <x:v>104</x:v>
      </x:c>
      <x:c r="N653" s="20" t="n">
        <x:v>0</x:v>
      </x:c>
      <x:c r="O653" s="20" t="n">
        <x:v>26103.78</x:v>
      </x:c>
      <x:c r="P653" s="20" t="n">
        <x:v>0</x:v>
      </x:c>
      <x:c r="Q653" s="10" t="str">
        <x:v>Recebido</x:v>
      </x:c>
      <x:c r="R653" s="10" t="str">
        <x:v>Cartão</x:v>
      </x:c>
      <x:c r="S653" s="10" t="str">
        <x:v>2024-02</x:v>
      </x:c>
      <x:c r="T653" s="10" t="n">
        <x:v>0</x:v>
      </x:c>
      <x:c r="U653" s="10" t="str">
        <x:v>Liquidado</x:v>
      </x:c>
      <x:c r="V653" s="10" t="str">
        <x:v>Médio</x:v>
      </x:c>
      <x:c r="W653" s="10" t="str">
        <x:v>Varejo</x:v>
      </x:c>
      <x:c r="X653" s="10" t="str">
        <x:v>UND003</x:v>
      </x:c>
    </x:row>
    <x:row r="654" ht="18" customHeight="1">
      <x:c r="A654" s="10" t="str">
        <x:v>REC00653</x:v>
      </x:c>
      <x:c r="B654" s="10" t="str">
        <x:v>EMP002</x:v>
      </x:c>
      <x:c r="C654" s="10" t="str">
        <x:v>CLI050</x:v>
      </x:c>
      <x:c r="D654" s="10" t="str">
        <x:v>CC008</x:v>
      </x:c>
      <x:c r="E654" s="10" t="str">
        <x:v>CAT003</x:v>
      </x:c>
      <x:c r="F654" s="10" t="str">
        <x:v>CTA004</x:v>
      </x:c>
      <x:c r="G654" s="10" t="str">
        <x:v>FAT-200653</x:v>
      </x:c>
      <x:c r="H654" s="10" t="str">
        <x:v>Contrato mensal</x:v>
      </x:c>
      <x:c r="I654" s="16" t="n">
        <x:v>45859.904898252316</x:v>
      </x:c>
      <x:c r="J654" s="16" t="n">
        <x:v>45874.904898252316</x:v>
      </x:c>
      <x:c r="K654" s="16" t="n">
        <x:v>45869.904898252316</x:v>
      </x:c>
      <x:c r="L654" s="20" t="n">
        <x:v>8371.39</x:v>
      </x:c>
      <x:c r="M654" s="20" t="n">
        <x:v>0</x:v>
      </x:c>
      <x:c r="N654" s="20" t="n">
        <x:v>0</x:v>
      </x:c>
      <x:c r="O654" s="20" t="n">
        <x:v>8371.39</x:v>
      </x:c>
      <x:c r="P654" s="20" t="n">
        <x:v>0</x:v>
      </x:c>
      <x:c r="Q654" s="10" t="str">
        <x:v>Recebido</x:v>
      </x:c>
      <x:c r="R654" s="10" t="str">
        <x:v>Débito em Conta</x:v>
      </x:c>
      <x:c r="S654" s="10" t="str">
        <x:v>2025-07</x:v>
      </x:c>
      <x:c r="T654" s="10" t="n">
        <x:v>0</x:v>
      </x:c>
      <x:c r="U654" s="10" t="str">
        <x:v>Liquidado</x:v>
      </x:c>
      <x:c r="V654" s="10" t="str">
        <x:v>Baixo</x:v>
      </x:c>
      <x:c r="W654" s="10" t="str">
        <x:v>Tecnologia</x:v>
      </x:c>
      <x:c r="X654" s="10" t="str">
        <x:v>UND003</x:v>
      </x:c>
    </x:row>
    <x:row r="655" ht="18" customHeight="1">
      <x:c r="A655" s="10" t="str">
        <x:v>REC00654</x:v>
      </x:c>
      <x:c r="B655" s="10" t="str">
        <x:v>EMP002</x:v>
      </x:c>
      <x:c r="C655" s="10" t="str">
        <x:v>CLI010</x:v>
      </x:c>
      <x:c r="D655" s="10" t="str">
        <x:v>CC006</x:v>
      </x:c>
      <x:c r="E655" s="10" t="str">
        <x:v>CAT001</x:v>
      </x:c>
      <x:c r="F655" s="10" t="str">
        <x:v>CTA004</x:v>
      </x:c>
      <x:c r="G655" s="10" t="str">
        <x:v>FAT-200654</x:v>
      </x:c>
      <x:c r="H655" s="10" t="str">
        <x:v>Prestação de serviços</x:v>
      </x:c>
      <x:c r="I655" s="16" t="n">
        <x:v>45542.800285185185</x:v>
      </x:c>
      <x:c r="J655" s="16" t="n">
        <x:v>45602.800285185185</x:v>
      </x:c>
      <x:c r="K655" s="16" t="n">
        <x:v>45607.800285185185</x:v>
      </x:c>
      <x:c r="L655" s="20" t="n">
        <x:v>63869.33</x:v>
      </x:c>
      <x:c r="M655" s="20" t="n">
        <x:v>255.48</x:v>
      </x:c>
      <x:c r="N655" s="20" t="n">
        <x:v>0</x:v>
      </x:c>
      <x:c r="O655" s="20" t="n">
        <x:v>64124.81</x:v>
      </x:c>
      <x:c r="P655" s="20" t="n">
        <x:v>0</x:v>
      </x:c>
      <x:c r="Q655" s="10" t="str">
        <x:v>Recebido</x:v>
      </x:c>
      <x:c r="R655" s="10" t="str">
        <x:v>TED</x:v>
      </x:c>
      <x:c r="S655" s="10" t="str">
        <x:v>2024-09</x:v>
      </x:c>
      <x:c r="T655" s="10" t="n">
        <x:v>0</x:v>
      </x:c>
      <x:c r="U655" s="10" t="str">
        <x:v>Liquidado</x:v>
      </x:c>
      <x:c r="V655" s="10" t="str">
        <x:v>Baixo</x:v>
      </x:c>
      <x:c r="W655" s="10" t="str">
        <x:v>Indústria</x:v>
      </x:c>
      <x:c r="X655" s="10" t="str">
        <x:v>UND003</x:v>
      </x:c>
    </x:row>
    <x:row r="656" ht="18" customHeight="1">
      <x:c r="A656" s="10" t="str">
        <x:v>REC00655</x:v>
      </x:c>
      <x:c r="B656" s="10" t="str">
        <x:v>EMP003</x:v>
      </x:c>
      <x:c r="C656" s="10" t="str">
        <x:v>CLI045</x:v>
      </x:c>
      <x:c r="D656" s="10" t="str">
        <x:v>CC005</x:v>
      </x:c>
      <x:c r="E656" s="10" t="str">
        <x:v>CAT002</x:v>
      </x:c>
      <x:c r="F656" s="10" t="str">
        <x:v>CTA005</x:v>
      </x:c>
      <x:c r="G656" s="10" t="str">
        <x:v>FAT-200655</x:v>
      </x:c>
      <x:c r="H656" s="10" t="str">
        <x:v>Projeto especial</x:v>
      </x:c>
      <x:c r="I656" s="16" t="n">
        <x:v>45926.10263783565</x:v>
      </x:c>
      <x:c r="J656" s="16" t="n">
        <x:v>45961.10263783565</x:v>
      </x:c>
      <x:c r="K656" s="16" t="n">
        <x:v>45965.10263783565</x:v>
      </x:c>
      <x:c r="L656" s="20" t="n">
        <x:v>6254.02</x:v>
      </x:c>
      <x:c r="M656" s="20" t="n">
        <x:v>20.01</x:v>
      </x:c>
      <x:c r="N656" s="20" t="n">
        <x:v>0</x:v>
      </x:c>
      <x:c r="O656" s="20" t="n">
        <x:v>6274.03</x:v>
      </x:c>
      <x:c r="P656" s="20" t="n">
        <x:v>0</x:v>
      </x:c>
      <x:c r="Q656" s="10" t="str">
        <x:v>Recebido</x:v>
      </x:c>
      <x:c r="R656" s="10" t="str">
        <x:v>Cartão</x:v>
      </x:c>
      <x:c r="S656" s="10" t="str">
        <x:v>2025-09</x:v>
      </x:c>
      <x:c r="T656" s="10" t="n">
        <x:v>0</x:v>
      </x:c>
      <x:c r="U656" s="10" t="str">
        <x:v>Liquidado</x:v>
      </x:c>
      <x:c r="V656" s="10" t="str">
        <x:v>Baixo</x:v>
      </x:c>
      <x:c r="W656" s="10" t="str">
        <x:v>Varejo</x:v>
      </x:c>
      <x:c r="X656" s="10" t="str">
        <x:v>UND004</x:v>
      </x:c>
    </x:row>
    <x:row r="657" ht="18" customHeight="1">
      <x:c r="A657" s="10" t="str">
        <x:v>REC00656</x:v>
      </x:c>
      <x:c r="B657" s="10" t="str">
        <x:v>EMP002</x:v>
      </x:c>
      <x:c r="C657" s="10" t="str">
        <x:v>CLI018</x:v>
      </x:c>
      <x:c r="D657" s="10" t="str">
        <x:v>CC002</x:v>
      </x:c>
      <x:c r="E657" s="10" t="str">
        <x:v>CAT002</x:v>
      </x:c>
      <x:c r="F657" s="10" t="str">
        <x:v>CTA003</x:v>
      </x:c>
      <x:c r="G657" s="10" t="str">
        <x:v>FAT-200656</x:v>
      </x:c>
      <x:c r="H657" s="10" t="str">
        <x:v>Projeto especial</x:v>
      </x:c>
      <x:c r="I657" s="16" t="n">
        <x:v>45889.6526556713</x:v>
      </x:c>
      <x:c r="J657" s="16" t="n">
        <x:v>45904.6526556713</x:v>
      </x:c>
      <x:c r="K657" s="16" t="n">
        <x:v>45910.6526556713</x:v>
      </x:c>
      <x:c r="L657" s="20" t="n">
        <x:v>27286.78</x:v>
      </x:c>
      <x:c r="M657" s="20" t="n">
        <x:v>130.98</x:v>
      </x:c>
      <x:c r="N657" s="20" t="n">
        <x:v>0</x:v>
      </x:c>
      <x:c r="O657" s="20" t="n">
        <x:v>27417.76</x:v>
      </x:c>
      <x:c r="P657" s="20" t="n">
        <x:v>0</x:v>
      </x:c>
      <x:c r="Q657" s="10" t="str">
        <x:v>Recebido</x:v>
      </x:c>
      <x:c r="R657" s="10" t="str">
        <x:v>PIX</x:v>
      </x:c>
      <x:c r="S657" s="10" t="str">
        <x:v>2025-08</x:v>
      </x:c>
      <x:c r="T657" s="10" t="n">
        <x:v>0</x:v>
      </x:c>
      <x:c r="U657" s="10" t="str">
        <x:v>Liquidado</x:v>
      </x:c>
      <x:c r="V657" s="10" t="str">
        <x:v>Médio</x:v>
      </x:c>
      <x:c r="W657" s="10" t="str">
        <x:v>Indústria</x:v>
      </x:c>
      <x:c r="X657" s="10" t="str">
        <x:v>UND003</x:v>
      </x:c>
    </x:row>
    <x:row r="658" ht="18" customHeight="1">
      <x:c r="A658" s="10" t="str">
        <x:v>REC00657</x:v>
      </x:c>
      <x:c r="B658" s="10" t="str">
        <x:v>EMP002</x:v>
      </x:c>
      <x:c r="C658" s="10" t="str">
        <x:v>CLI023</x:v>
      </x:c>
      <x:c r="D658" s="10" t="str">
        <x:v>CC008</x:v>
      </x:c>
      <x:c r="E658" s="10" t="str">
        <x:v>CAT001</x:v>
      </x:c>
      <x:c r="F658" s="10" t="str">
        <x:v>CTA003</x:v>
      </x:c>
      <x:c r="G658" s="10" t="str">
        <x:v>FAT-200657</x:v>
      </x:c>
      <x:c r="H658" s="10" t="str">
        <x:v>Contrato mensal</x:v>
      </x:c>
      <x:c r="I658" s="16" t="n">
        <x:v>45350.21310709491</x:v>
      </x:c>
      <x:c r="J658" s="16" t="n">
        <x:v>45378.21310709491</x:v>
      </x:c>
      <x:c r="K658" s="16" t="n">
        <x:v>45377.21310709491</x:v>
      </x:c>
      <x:c r="L658" s="20" t="n">
        <x:v>14363.84</x:v>
      </x:c>
      <x:c r="M658" s="20" t="n">
        <x:v>0</x:v>
      </x:c>
      <x:c r="N658" s="20" t="n">
        <x:v>0</x:v>
      </x:c>
      <x:c r="O658" s="20" t="n">
        <x:v>14363.84</x:v>
      </x:c>
      <x:c r="P658" s="20" t="n">
        <x:v>0</x:v>
      </x:c>
      <x:c r="Q658" s="10" t="str">
        <x:v>Recebido</x:v>
      </x:c>
      <x:c r="R658" s="10" t="str">
        <x:v>Débito em Conta</x:v>
      </x:c>
      <x:c r="S658" s="10" t="str">
        <x:v>2024-02</x:v>
      </x:c>
      <x:c r="T658" s="10" t="n">
        <x:v>0</x:v>
      </x:c>
      <x:c r="U658" s="10" t="str">
        <x:v>Liquidado</x:v>
      </x:c>
      <x:c r="V658" s="10" t="str">
        <x:v>Médio</x:v>
      </x:c>
      <x:c r="W658" s="10" t="str">
        <x:v>Atacado</x:v>
      </x:c>
      <x:c r="X658" s="10" t="str">
        <x:v>UND003</x:v>
      </x:c>
    </x:row>
    <x:row r="659" ht="18" customHeight="1">
      <x:c r="A659" s="10" t="str">
        <x:v>REC00658</x:v>
      </x:c>
      <x:c r="B659" s="10" t="str">
        <x:v>EMP003</x:v>
      </x:c>
      <x:c r="C659" s="10" t="str">
        <x:v>CLI023</x:v>
      </x:c>
      <x:c r="D659" s="10" t="str">
        <x:v>CC004</x:v>
      </x:c>
      <x:c r="E659" s="10" t="str">
        <x:v>CAT002</x:v>
      </x:c>
      <x:c r="F659" s="10" t="str">
        <x:v>CTA005</x:v>
      </x:c>
      <x:c r="G659" s="10" t="str">
        <x:v>FAT-200658</x:v>
      </x:c>
      <x:c r="H659" s="10" t="str">
        <x:v>Venda de produtos</x:v>
      </x:c>
      <x:c r="I659" s="16" t="n">
        <x:v>45432.6709871412</x:v>
      </x:c>
      <x:c r="J659" s="16" t="n">
        <x:v>45447.6709871412</x:v>
      </x:c>
      <x:c r="K659" s="16" t="n">
        <x:v>45461.6709871412</x:v>
      </x:c>
      <x:c r="L659" s="20" t="n">
        <x:v>3975.67</x:v>
      </x:c>
      <x:c r="M659" s="20" t="n">
        <x:v>44.53</x:v>
      </x:c>
      <x:c r="N659" s="20" t="n">
        <x:v>0</x:v>
      </x:c>
      <x:c r="O659" s="20" t="n">
        <x:v>4020.2</x:v>
      </x:c>
      <x:c r="P659" s="20" t="n">
        <x:v>0</x:v>
      </x:c>
      <x:c r="Q659" s="10" t="str">
        <x:v>Recebido</x:v>
      </x:c>
      <x:c r="R659" s="10" t="str">
        <x:v>PIX</x:v>
      </x:c>
      <x:c r="S659" s="10" t="str">
        <x:v>2024-05</x:v>
      </x:c>
      <x:c r="T659" s="10" t="n">
        <x:v>0</x:v>
      </x:c>
      <x:c r="U659" s="10" t="str">
        <x:v>Liquidado</x:v>
      </x:c>
      <x:c r="V659" s="10" t="str">
        <x:v>Médio</x:v>
      </x:c>
      <x:c r="W659" s="10" t="str">
        <x:v>Atacado</x:v>
      </x:c>
      <x:c r="X659" s="10" t="str">
        <x:v>UND004</x:v>
      </x:c>
    </x:row>
    <x:row r="660" ht="18" customHeight="1">
      <x:c r="A660" s="10" t="str">
        <x:v>REC00659</x:v>
      </x:c>
      <x:c r="B660" s="10" t="str">
        <x:v>EMP001</x:v>
      </x:c>
      <x:c r="C660" s="10" t="str">
        <x:v>CLI041</x:v>
      </x:c>
      <x:c r="D660" s="10" t="str">
        <x:v>CC008</x:v>
      </x:c>
      <x:c r="E660" s="10" t="str">
        <x:v>CAT002</x:v>
      </x:c>
      <x:c r="F660" s="10" t="str">
        <x:v>CTA002</x:v>
      </x:c>
      <x:c r="G660" s="10" t="str">
        <x:v>FAT-200659</x:v>
      </x:c>
      <x:c r="H660" s="10" t="str">
        <x:v>Frete faturado</x:v>
      </x:c>
      <x:c r="I660" s="16" t="n">
        <x:v>45661.024874930554</x:v>
      </x:c>
      <x:c r="J660" s="16" t="n">
        <x:v>45682.024874930554</x:v>
      </x:c>
      <x:c r="K660" s="16" t="n">
        <x:v>45706.024874930554</x:v>
      </x:c>
      <x:c r="L660" s="20" t="n">
        <x:v>43556.96</x:v>
      </x:c>
      <x:c r="M660" s="20" t="n">
        <x:v>836.29</x:v>
      </x:c>
      <x:c r="N660" s="20" t="n">
        <x:v>0</x:v>
      </x:c>
      <x:c r="O660" s="20" t="n">
        <x:v>44393.25</x:v>
      </x:c>
      <x:c r="P660" s="20" t="n">
        <x:v>0</x:v>
      </x:c>
      <x:c r="Q660" s="10" t="str">
        <x:v>Recebido</x:v>
      </x:c>
      <x:c r="R660" s="10" t="str">
        <x:v>TED</x:v>
      </x:c>
      <x:c r="S660" s="10" t="str">
        <x:v>2025-01</x:v>
      </x:c>
      <x:c r="T660" s="10" t="n">
        <x:v>0</x:v>
      </x:c>
      <x:c r="U660" s="10" t="str">
        <x:v>Liquidado</x:v>
      </x:c>
      <x:c r="V660" s="10" t="str">
        <x:v>Alto</x:v>
      </x:c>
      <x:c r="W660" s="10" t="str">
        <x:v>Indústria</x:v>
      </x:c>
      <x:c r="X660" s="10" t="str">
        <x:v>UND001</x:v>
      </x:c>
    </x:row>
    <x:row r="661" ht="18" customHeight="1">
      <x:c r="A661" s="10" t="str">
        <x:v>REC00660</x:v>
      </x:c>
      <x:c r="B661" s="10" t="str">
        <x:v>EMP002</x:v>
      </x:c>
      <x:c r="C661" s="10" t="str">
        <x:v>CLI031</x:v>
      </x:c>
      <x:c r="D661" s="10" t="str">
        <x:v>CC005</x:v>
      </x:c>
      <x:c r="E661" s="10" t="str">
        <x:v>CAT002</x:v>
      </x:c>
      <x:c r="F661" s="10" t="str">
        <x:v>CTA004</x:v>
      </x:c>
      <x:c r="G661" s="10" t="str">
        <x:v>FAT-200660</x:v>
      </x:c>
      <x:c r="H661" s="10" t="str">
        <x:v>Projeto especial</x:v>
      </x:c>
      <x:c r="I661" s="16" t="n">
        <x:v>45398.25998086805</x:v>
      </x:c>
      <x:c r="J661" s="16" t="n">
        <x:v>45433.25998086805</x:v>
      </x:c>
      <x:c r="K661" s="16" t="n">
        <x:v>45432.25998086805</x:v>
      </x:c>
      <x:c r="L661" s="20" t="n">
        <x:v>108777.76</x:v>
      </x:c>
      <x:c r="M661" s="20" t="n">
        <x:v>0</x:v>
      </x:c>
      <x:c r="N661" s="20" t="n">
        <x:v>0</x:v>
      </x:c>
      <x:c r="O661" s="20" t="n">
        <x:v>108777.76</x:v>
      </x:c>
      <x:c r="P661" s="20" t="n">
        <x:v>0</x:v>
      </x:c>
      <x:c r="Q661" s="10" t="str">
        <x:v>Recebido</x:v>
      </x:c>
      <x:c r="R661" s="10" t="str">
        <x:v>Débito em Conta</x:v>
      </x:c>
      <x:c r="S661" s="10" t="str">
        <x:v>2024-04</x:v>
      </x:c>
      <x:c r="T661" s="10" t="n">
        <x:v>0</x:v>
      </x:c>
      <x:c r="U661" s="10" t="str">
        <x:v>Liquidado</x:v>
      </x:c>
      <x:c r="V661" s="10" t="str">
        <x:v>Baixo</x:v>
      </x:c>
      <x:c r="W661" s="10" t="str">
        <x:v>Serviços</x:v>
      </x:c>
      <x:c r="X661" s="10" t="str">
        <x:v>UND003</x:v>
      </x:c>
    </x:row>
    <x:row r="662" ht="18" customHeight="1">
      <x:c r="A662" s="10" t="str">
        <x:v>REC00661</x:v>
      </x:c>
      <x:c r="B662" s="10" t="str">
        <x:v>EMP002</x:v>
      </x:c>
      <x:c r="C662" s="10" t="str">
        <x:v>CLI002</x:v>
      </x:c>
      <x:c r="D662" s="10" t="str">
        <x:v>CC007</x:v>
      </x:c>
      <x:c r="E662" s="10" t="str">
        <x:v>CAT004</x:v>
      </x:c>
      <x:c r="F662" s="10" t="str">
        <x:v>CTA004</x:v>
      </x:c>
      <x:c r="G662" s="10" t="str">
        <x:v>FAT-200661</x:v>
      </x:c>
      <x:c r="H662" s="10" t="str">
        <x:v>Projeto especial</x:v>
      </x:c>
      <x:c r="I662" s="16" t="n">
        <x:v>45449.335785104166</x:v>
      </x:c>
      <x:c r="J662" s="16" t="n">
        <x:v>45494.335785104166</x:v>
      </x:c>
      <x:c r="K662" s="16" t="n">
        <x:v>45507.335785104166</x:v>
      </x:c>
      <x:c r="L662" s="20" t="n">
        <x:v>104989.91</x:v>
      </x:c>
      <x:c r="M662" s="20" t="n">
        <x:v>1091.9</x:v>
      </x:c>
      <x:c r="N662" s="20" t="n">
        <x:v>0</x:v>
      </x:c>
      <x:c r="O662" s="20" t="n">
        <x:v>106081.81</x:v>
      </x:c>
      <x:c r="P662" s="20" t="n">
        <x:v>0</x:v>
      </x:c>
      <x:c r="Q662" s="10" t="str">
        <x:v>Recebido</x:v>
      </x:c>
      <x:c r="R662" s="10" t="str">
        <x:v>Débito em Conta</x:v>
      </x:c>
      <x:c r="S662" s="10" t="str">
        <x:v>2024-06</x:v>
      </x:c>
      <x:c r="T662" s="10" t="n">
        <x:v>0</x:v>
      </x:c>
      <x:c r="U662" s="10" t="str">
        <x:v>Liquidado</x:v>
      </x:c>
      <x:c r="V662" s="10" t="str">
        <x:v>Alto</x:v>
      </x:c>
      <x:c r="W662" s="10" t="str">
        <x:v>Serviços</x:v>
      </x:c>
      <x:c r="X662" s="10" t="str">
        <x:v>UND003</x:v>
      </x:c>
    </x:row>
    <x:row r="663" ht="18" customHeight="1">
      <x:c r="A663" s="10" t="str">
        <x:v>REC00662</x:v>
      </x:c>
      <x:c r="B663" s="10" t="str">
        <x:v>EMP001</x:v>
      </x:c>
      <x:c r="C663" s="10" t="str">
        <x:v>CLI040</x:v>
      </x:c>
      <x:c r="D663" s="10" t="str">
        <x:v>CC008</x:v>
      </x:c>
      <x:c r="E663" s="10" t="str">
        <x:v>CAT003</x:v>
      </x:c>
      <x:c r="F663" s="10" t="str">
        <x:v>CTA002</x:v>
      </x:c>
      <x:c r="G663" s="10" t="str">
        <x:v>FAT-200662</x:v>
      </x:c>
      <x:c r="H663" s="10" t="str">
        <x:v>Contrato mensal</x:v>
      </x:c>
      <x:c r="I663" s="16" t="n">
        <x:v>45303.37219841435</x:v>
      </x:c>
      <x:c r="J663" s="16" t="n">
        <x:v>45333.37219841435</x:v>
      </x:c>
      <x:c r="K663" s="16" t="n">
        <x:v>45339.37219841435</x:v>
      </x:c>
      <x:c r="L663" s="20" t="n">
        <x:v>13015.49</x:v>
      </x:c>
      <x:c r="M663" s="20" t="n">
        <x:v>62.47</x:v>
      </x:c>
      <x:c r="N663" s="20" t="n">
        <x:v>0</x:v>
      </x:c>
      <x:c r="O663" s="20" t="n">
        <x:v>13077.96</x:v>
      </x:c>
      <x:c r="P663" s="20" t="n">
        <x:v>0</x:v>
      </x:c>
      <x:c r="Q663" s="10" t="str">
        <x:v>Recebido</x:v>
      </x:c>
      <x:c r="R663" s="10" t="str">
        <x:v>PIX</x:v>
      </x:c>
      <x:c r="S663" s="10" t="str">
        <x:v>2024-01</x:v>
      </x:c>
      <x:c r="T663" s="10" t="n">
        <x:v>0</x:v>
      </x:c>
      <x:c r="U663" s="10" t="str">
        <x:v>Liquidado</x:v>
      </x:c>
      <x:c r="V663" s="10" t="str">
        <x:v>Baixo</x:v>
      </x:c>
      <x:c r="W663" s="10" t="str">
        <x:v>Saúde</x:v>
      </x:c>
      <x:c r="X663" s="10" t="str">
        <x:v>UND002</x:v>
      </x:c>
    </x:row>
    <x:row r="664" ht="18" customHeight="1">
      <x:c r="A664" s="10" t="str">
        <x:v>REC00663</x:v>
      </x:c>
      <x:c r="B664" s="10" t="str">
        <x:v>EMP001</x:v>
      </x:c>
      <x:c r="C664" s="10" t="str">
        <x:v>CLI006</x:v>
      </x:c>
      <x:c r="D664" s="10" t="str">
        <x:v>CC008</x:v>
      </x:c>
      <x:c r="E664" s="10" t="str">
        <x:v>CAT004</x:v>
      </x:c>
      <x:c r="F664" s="10" t="str">
        <x:v>CTA002</x:v>
      </x:c>
      <x:c r="G664" s="10" t="str">
        <x:v>FAT-200663</x:v>
      </x:c>
      <x:c r="H664" s="10" t="str">
        <x:v>Projeto especial</x:v>
      </x:c>
      <x:c r="I664" s="16" t="n">
        <x:v>45929.832526909726</x:v>
      </x:c>
      <x:c r="J664" s="16" t="n">
        <x:v>45974.832526909726</x:v>
      </x:c>
      <x:c r="K664" s="16" t="n">
        <x:v>45977.832526909726</x:v>
      </x:c>
      <x:c r="L664" s="20" t="n">
        <x:v>49508</x:v>
      </x:c>
      <x:c r="M664" s="20" t="n">
        <x:v>118.82</x:v>
      </x:c>
      <x:c r="N664" s="20" t="n">
        <x:v>0</x:v>
      </x:c>
      <x:c r="O664" s="20" t="n">
        <x:v>49626.82</x:v>
      </x:c>
      <x:c r="P664" s="20" t="n">
        <x:v>0</x:v>
      </x:c>
      <x:c r="Q664" s="10" t="str">
        <x:v>Recebido</x:v>
      </x:c>
      <x:c r="R664" s="10" t="str">
        <x:v>TED</x:v>
      </x:c>
      <x:c r="S664" s="10" t="str">
        <x:v>2025-09</x:v>
      </x:c>
      <x:c r="T664" s="10" t="n">
        <x:v>0</x:v>
      </x:c>
      <x:c r="U664" s="10" t="str">
        <x:v>Liquidado</x:v>
      </x:c>
      <x:c r="V664" s="10" t="str">
        <x:v>Baixo</x:v>
      </x:c>
      <x:c r="W664" s="10" t="str">
        <x:v>Varejo</x:v>
      </x:c>
      <x:c r="X664" s="10" t="str">
        <x:v>UND001</x:v>
      </x:c>
    </x:row>
    <x:row r="665" ht="18" customHeight="1">
      <x:c r="A665" s="10" t="str">
        <x:v>REC00664</x:v>
      </x:c>
      <x:c r="B665" s="10" t="str">
        <x:v>EMP003</x:v>
      </x:c>
      <x:c r="C665" s="10" t="str">
        <x:v>CLI002</x:v>
      </x:c>
      <x:c r="D665" s="10" t="str">
        <x:v>CC005</x:v>
      </x:c>
      <x:c r="E665" s="10" t="str">
        <x:v>CAT004</x:v>
      </x:c>
      <x:c r="F665" s="10" t="str">
        <x:v>CTA005</x:v>
      </x:c>
      <x:c r="G665" s="10" t="str">
        <x:v>FAT-200664</x:v>
      </x:c>
      <x:c r="H665" s="10" t="str">
        <x:v>Prestação de serviços</x:v>
      </x:c>
      <x:c r="I665" s="16" t="n">
        <x:v>45627.65416929398</x:v>
      </x:c>
      <x:c r="J665" s="16" t="n">
        <x:v>45642.65416929398</x:v>
      </x:c>
      <x:c r="K665" s="16" t="n">
        <x:v>45666.65416929398</x:v>
      </x:c>
      <x:c r="L665" s="20" t="n">
        <x:v>8028.09</x:v>
      </x:c>
      <x:c r="M665" s="20" t="n">
        <x:v>154.14</x:v>
      </x:c>
      <x:c r="N665" s="20" t="n">
        <x:v>0</x:v>
      </x:c>
      <x:c r="O665" s="20" t="n">
        <x:v>8182.23</x:v>
      </x:c>
      <x:c r="P665" s="20" t="n">
        <x:v>0</x:v>
      </x:c>
      <x:c r="Q665" s="10" t="str">
        <x:v>Recebido</x:v>
      </x:c>
      <x:c r="R665" s="10" t="str">
        <x:v>Cartão</x:v>
      </x:c>
      <x:c r="S665" s="10" t="str">
        <x:v>2024-12</x:v>
      </x:c>
      <x:c r="T665" s="10" t="n">
        <x:v>0</x:v>
      </x:c>
      <x:c r="U665" s="10" t="str">
        <x:v>Liquidado</x:v>
      </x:c>
      <x:c r="V665" s="10" t="str">
        <x:v>Alto</x:v>
      </x:c>
      <x:c r="W665" s="10" t="str">
        <x:v>Serviços</x:v>
      </x:c>
      <x:c r="X665" s="10" t="str">
        <x:v>UND004</x:v>
      </x:c>
    </x:row>
    <x:row r="666" ht="18" customHeight="1">
      <x:c r="A666" s="10" t="str">
        <x:v>REC00665</x:v>
      </x:c>
      <x:c r="B666" s="10" t="str">
        <x:v>EMP001</x:v>
      </x:c>
      <x:c r="C666" s="10" t="str">
        <x:v>CLI029</x:v>
      </x:c>
      <x:c r="D666" s="10" t="str">
        <x:v>CC004</x:v>
      </x:c>
      <x:c r="E666" s="10" t="str">
        <x:v>CAT002</x:v>
      </x:c>
      <x:c r="F666" s="10" t="str">
        <x:v>CTA001</x:v>
      </x:c>
      <x:c r="G666" s="10" t="str">
        <x:v>FAT-200665</x:v>
      </x:c>
      <x:c r="H666" s="10" t="str">
        <x:v>Venda de produtos</x:v>
      </x:c>
      <x:c r="I666" s="16" t="n">
        <x:v>45993.480913831016</x:v>
      </x:c>
      <x:c r="J666" s="16" t="n">
        <x:v>46038.480913831016</x:v>
      </x:c>
      <x:c r="K666" s="16"/>
      <x:c r="L666" s="20" t="n">
        <x:v>9749.43</x:v>
      </x:c>
      <x:c r="M666" s="20" t="n">
        <x:v>0</x:v>
      </x:c>
      <x:c r="N666" s="20" t="n">
        <x:v>0</x:v>
      </x:c>
      <x:c r="O666" s="20" t="n">
        <x:v>0</x:v>
      </x:c>
      <x:c r="P666" s="20" t="n">
        <x:v>9749.43</x:v>
      </x:c>
      <x:c r="Q666" s="10" t="str">
        <x:v>A vencer</x:v>
      </x:c>
      <x:c r="R666" s="10" t="str">
        <x:v>PIX</x:v>
      </x:c>
      <x:c r="S666" s="10" t="str">
        <x:v>2025-12</x:v>
      </x:c>
      <x:c r="T666" s="10" t="n">
        <x:v>0</x:v>
      </x:c>
      <x:c r="U666" s="10" t="str">
        <x:v>A vencer</x:v>
      </x:c>
      <x:c r="V666" s="10" t="str">
        <x:v>Baixo</x:v>
      </x:c>
      <x:c r="W666" s="10" t="str">
        <x:v>Tecnologia</x:v>
      </x:c>
      <x:c r="X666" s="10" t="str">
        <x:v>UND002</x:v>
      </x:c>
    </x:row>
    <x:row r="667" ht="18" customHeight="1">
      <x:c r="A667" s="10" t="str">
        <x:v>REC00666</x:v>
      </x:c>
      <x:c r="B667" s="10" t="str">
        <x:v>EMP003</x:v>
      </x:c>
      <x:c r="C667" s="10" t="str">
        <x:v>CLI044</x:v>
      </x:c>
      <x:c r="D667" s="10" t="str">
        <x:v>CC002</x:v>
      </x:c>
      <x:c r="E667" s="10" t="str">
        <x:v>CAT001</x:v>
      </x:c>
      <x:c r="F667" s="10" t="str">
        <x:v>CTA005</x:v>
      </x:c>
      <x:c r="G667" s="10" t="str">
        <x:v>FAT-200666</x:v>
      </x:c>
      <x:c r="H667" s="10" t="str">
        <x:v>Venda de produtos</x:v>
      </x:c>
      <x:c r="I667" s="16" t="n">
        <x:v>45487.18403736111</x:v>
      </x:c>
      <x:c r="J667" s="16" t="n">
        <x:v>45547.18403736111</x:v>
      </x:c>
      <x:c r="K667" s="16" t="n">
        <x:v>45554.18403736111</x:v>
      </x:c>
      <x:c r="L667" s="20" t="n">
        <x:v>50852.47</x:v>
      </x:c>
      <x:c r="M667" s="20" t="n">
        <x:v>284.77</x:v>
      </x:c>
      <x:c r="N667" s="20" t="n">
        <x:v>0</x:v>
      </x:c>
      <x:c r="O667" s="20" t="n">
        <x:v>51137.24</x:v>
      </x:c>
      <x:c r="P667" s="20" t="n">
        <x:v>0</x:v>
      </x:c>
      <x:c r="Q667" s="10" t="str">
        <x:v>Recebido</x:v>
      </x:c>
      <x:c r="R667" s="10" t="str">
        <x:v>Boleto</x:v>
      </x:c>
      <x:c r="S667" s="10" t="str">
        <x:v>2024-07</x:v>
      </x:c>
      <x:c r="T667" s="10" t="n">
        <x:v>0</x:v>
      </x:c>
      <x:c r="U667" s="10" t="str">
        <x:v>Liquidado</x:v>
      </x:c>
      <x:c r="V667" s="10" t="str">
        <x:v>Alto</x:v>
      </x:c>
      <x:c r="W667" s="10" t="str">
        <x:v>Varejo</x:v>
      </x:c>
      <x:c r="X667" s="10" t="str">
        <x:v>UND004</x:v>
      </x:c>
    </x:row>
    <x:row r="668" ht="18" customHeight="1">
      <x:c r="A668" s="10" t="str">
        <x:v>REC00667</x:v>
      </x:c>
      <x:c r="B668" s="10" t="str">
        <x:v>EMP003</x:v>
      </x:c>
      <x:c r="C668" s="10" t="str">
        <x:v>CLI020</x:v>
      </x:c>
      <x:c r="D668" s="10" t="str">
        <x:v>CC008</x:v>
      </x:c>
      <x:c r="E668" s="10" t="str">
        <x:v>CAT004</x:v>
      </x:c>
      <x:c r="F668" s="10" t="str">
        <x:v>CTA005</x:v>
      </x:c>
      <x:c r="G668" s="10" t="str">
        <x:v>FAT-200667</x:v>
      </x:c>
      <x:c r="H668" s="10" t="str">
        <x:v>Frete faturado</x:v>
      </x:c>
      <x:c r="I668" s="16" t="n">
        <x:v>45332.24779282408</x:v>
      </x:c>
      <x:c r="J668" s="16" t="n">
        <x:v>45362.24779282408</x:v>
      </x:c>
      <x:c r="K668" s="16" t="n">
        <x:v>45361.24779282408</x:v>
      </x:c>
      <x:c r="L668" s="20" t="n">
        <x:v>29070.67</x:v>
      </x:c>
      <x:c r="M668" s="20" t="n">
        <x:v>0</x:v>
      </x:c>
      <x:c r="N668" s="20" t="n">
        <x:v>0</x:v>
      </x:c>
      <x:c r="O668" s="20" t="n">
        <x:v>29070.67</x:v>
      </x:c>
      <x:c r="P668" s="20" t="n">
        <x:v>0</x:v>
      </x:c>
      <x:c r="Q668" s="10" t="str">
        <x:v>Recebido</x:v>
      </x:c>
      <x:c r="R668" s="10" t="str">
        <x:v>TED</x:v>
      </x:c>
      <x:c r="S668" s="10" t="str">
        <x:v>2024-02</x:v>
      </x:c>
      <x:c r="T668" s="10" t="n">
        <x:v>0</x:v>
      </x:c>
      <x:c r="U668" s="10" t="str">
        <x:v>Liquidado</x:v>
      </x:c>
      <x:c r="V668" s="10" t="str">
        <x:v>Médio</x:v>
      </x:c>
      <x:c r="W668" s="10" t="str">
        <x:v>Atacado</x:v>
      </x:c>
      <x:c r="X668" s="10" t="str">
        <x:v>UND004</x:v>
      </x:c>
    </x:row>
    <x:row r="669" ht="18" customHeight="1">
      <x:c r="A669" s="10" t="str">
        <x:v>REC00668</x:v>
      </x:c>
      <x:c r="B669" s="10" t="str">
        <x:v>EMP002</x:v>
      </x:c>
      <x:c r="C669" s="10" t="str">
        <x:v>CLI022</x:v>
      </x:c>
      <x:c r="D669" s="10" t="str">
        <x:v>CC005</x:v>
      </x:c>
      <x:c r="E669" s="10" t="str">
        <x:v>CAT003</x:v>
      </x:c>
      <x:c r="F669" s="10" t="str">
        <x:v>CTA003</x:v>
      </x:c>
      <x:c r="G669" s="10" t="str">
        <x:v>FAT-200668</x:v>
      </x:c>
      <x:c r="H669" s="10" t="str">
        <x:v>Projeto especial</x:v>
      </x:c>
      <x:c r="I669" s="16" t="n">
        <x:v>45660.52738835648</x:v>
      </x:c>
      <x:c r="J669" s="16" t="n">
        <x:v>45720.52738835648</x:v>
      </x:c>
      <x:c r="K669" s="16" t="n">
        <x:v>45722.52738835648</x:v>
      </x:c>
      <x:c r="L669" s="20" t="n">
        <x:v>30924.58</x:v>
      </x:c>
      <x:c r="M669" s="20" t="n">
        <x:v>49.48</x:v>
      </x:c>
      <x:c r="N669" s="20" t="n">
        <x:v>0</x:v>
      </x:c>
      <x:c r="O669" s="20" t="n">
        <x:v>30974.06</x:v>
      </x:c>
      <x:c r="P669" s="20" t="n">
        <x:v>0</x:v>
      </x:c>
      <x:c r="Q669" s="10" t="str">
        <x:v>Recebido</x:v>
      </x:c>
      <x:c r="R669" s="10" t="str">
        <x:v>Boleto</x:v>
      </x:c>
      <x:c r="S669" s="10" t="str">
        <x:v>2025-01</x:v>
      </x:c>
      <x:c r="T669" s="10" t="n">
        <x:v>0</x:v>
      </x:c>
      <x:c r="U669" s="10" t="str">
        <x:v>Liquidado</x:v>
      </x:c>
      <x:c r="V669" s="10" t="str">
        <x:v>Alto</x:v>
      </x:c>
      <x:c r="W669" s="10" t="str">
        <x:v>Tecnologia</x:v>
      </x:c>
      <x:c r="X669" s="10" t="str">
        <x:v>UND003</x:v>
      </x:c>
    </x:row>
    <x:row r="670" ht="18" customHeight="1">
      <x:c r="A670" s="10" t="str">
        <x:v>REC00669</x:v>
      </x:c>
      <x:c r="B670" s="10" t="str">
        <x:v>EMP003</x:v>
      </x:c>
      <x:c r="C670" s="10" t="str">
        <x:v>CLI026</x:v>
      </x:c>
      <x:c r="D670" s="10" t="str">
        <x:v>CC005</x:v>
      </x:c>
      <x:c r="E670" s="10" t="str">
        <x:v>CAT003</x:v>
      </x:c>
      <x:c r="F670" s="10" t="str">
        <x:v>CTA006</x:v>
      </x:c>
      <x:c r="G670" s="10" t="str">
        <x:v>FAT-200669</x:v>
      </x:c>
      <x:c r="H670" s="10" t="str">
        <x:v>Contrato mensal</x:v>
      </x:c>
      <x:c r="I670" s="16" t="n">
        <x:v>45655.051209895835</x:v>
      </x:c>
      <x:c r="J670" s="16" t="n">
        <x:v>45676.051209895835</x:v>
      </x:c>
      <x:c r="K670" s="16" t="n">
        <x:v>45671.051209895835</x:v>
      </x:c>
      <x:c r="L670" s="20" t="n">
        <x:v>91833.61</x:v>
      </x:c>
      <x:c r="M670" s="20" t="n">
        <x:v>0</x:v>
      </x:c>
      <x:c r="N670" s="20" t="n">
        <x:v>1836.67</x:v>
      </x:c>
      <x:c r="O670" s="20" t="n">
        <x:v>89996.94</x:v>
      </x:c>
      <x:c r="P670" s="20" t="n">
        <x:v>0</x:v>
      </x:c>
      <x:c r="Q670" s="10" t="str">
        <x:v>Recebido</x:v>
      </x:c>
      <x:c r="R670" s="10" t="str">
        <x:v>Boleto</x:v>
      </x:c>
      <x:c r="S670" s="10" t="str">
        <x:v>2024-12</x:v>
      </x:c>
      <x:c r="T670" s="10" t="n">
        <x:v>0</x:v>
      </x:c>
      <x:c r="U670" s="10" t="str">
        <x:v>Liquidado</x:v>
      </x:c>
      <x:c r="V670" s="10" t="str">
        <x:v>Médio</x:v>
      </x:c>
      <x:c r="W670" s="10" t="str">
        <x:v>Atacado</x:v>
      </x:c>
      <x:c r="X670" s="10" t="str">
        <x:v>UND004</x:v>
      </x:c>
    </x:row>
    <x:row r="671" ht="18" customHeight="1">
      <x:c r="A671" s="10" t="str">
        <x:v>REC00670</x:v>
      </x:c>
      <x:c r="B671" s="10" t="str">
        <x:v>EMP003</x:v>
      </x:c>
      <x:c r="C671" s="10" t="str">
        <x:v>CLI059</x:v>
      </x:c>
      <x:c r="D671" s="10" t="str">
        <x:v>CC008</x:v>
      </x:c>
      <x:c r="E671" s="10" t="str">
        <x:v>CAT004</x:v>
      </x:c>
      <x:c r="F671" s="10" t="str">
        <x:v>CTA006</x:v>
      </x:c>
      <x:c r="G671" s="10" t="str">
        <x:v>FAT-200670</x:v>
      </x:c>
      <x:c r="H671" s="10" t="str">
        <x:v>Projeto especial</x:v>
      </x:c>
      <x:c r="I671" s="16" t="n">
        <x:v>45618.708961331016</x:v>
      </x:c>
      <x:c r="J671" s="16" t="n">
        <x:v>45646.708961331016</x:v>
      </x:c>
      <x:c r="K671" s="16" t="n">
        <x:v>45648.708961331016</x:v>
      </x:c>
      <x:c r="L671" s="20" t="n">
        <x:v>59978.12</x:v>
      </x:c>
      <x:c r="M671" s="20" t="n">
        <x:v>95.96</x:v>
      </x:c>
      <x:c r="N671" s="20" t="n">
        <x:v>0</x:v>
      </x:c>
      <x:c r="O671" s="20" t="n">
        <x:v>60074.08</x:v>
      </x:c>
      <x:c r="P671" s="20" t="n">
        <x:v>0</x:v>
      </x:c>
      <x:c r="Q671" s="10" t="str">
        <x:v>Recebido</x:v>
      </x:c>
      <x:c r="R671" s="10" t="str">
        <x:v>TED</x:v>
      </x:c>
      <x:c r="S671" s="10" t="str">
        <x:v>2024-11</x:v>
      </x:c>
      <x:c r="T671" s="10" t="n">
        <x:v>0</x:v>
      </x:c>
      <x:c r="U671" s="10" t="str">
        <x:v>Liquidado</x:v>
      </x:c>
      <x:c r="V671" s="10" t="str">
        <x:v>Baixo</x:v>
      </x:c>
      <x:c r="W671" s="10" t="str">
        <x:v>Indústria</x:v>
      </x:c>
      <x:c r="X671" s="10" t="str">
        <x:v>UND004</x:v>
      </x:c>
    </x:row>
    <x:row r="672" ht="18" customHeight="1">
      <x:c r="A672" s="10" t="str">
        <x:v>REC00671</x:v>
      </x:c>
      <x:c r="B672" s="10" t="str">
        <x:v>EMP001</x:v>
      </x:c>
      <x:c r="C672" s="10" t="str">
        <x:v>CLI066</x:v>
      </x:c>
      <x:c r="D672" s="10" t="str">
        <x:v>CC008</x:v>
      </x:c>
      <x:c r="E672" s="10" t="str">
        <x:v>CAT001</x:v>
      </x:c>
      <x:c r="F672" s="10" t="str">
        <x:v>CTA002</x:v>
      </x:c>
      <x:c r="G672" s="10" t="str">
        <x:v>FAT-200671</x:v>
      </x:c>
      <x:c r="H672" s="10" t="str">
        <x:v>Prestação de serviços</x:v>
      </x:c>
      <x:c r="I672" s="16" t="n">
        <x:v>45344.30351399306</x:v>
      </x:c>
      <x:c r="J672" s="16" t="n">
        <x:v>45379.30351399306</x:v>
      </x:c>
      <x:c r="K672" s="16" t="n">
        <x:v>45386.30351399306</x:v>
      </x:c>
      <x:c r="L672" s="20" t="n">
        <x:v>109810.26</x:v>
      </x:c>
      <x:c r="M672" s="20" t="n">
        <x:v>614.94</x:v>
      </x:c>
      <x:c r="N672" s="20" t="n">
        <x:v>0</x:v>
      </x:c>
      <x:c r="O672" s="20" t="n">
        <x:v>110425.2</x:v>
      </x:c>
      <x:c r="P672" s="20" t="n">
        <x:v>0</x:v>
      </x:c>
      <x:c r="Q672" s="10" t="str">
        <x:v>Recebido</x:v>
      </x:c>
      <x:c r="R672" s="10" t="str">
        <x:v>PIX</x:v>
      </x:c>
      <x:c r="S672" s="10" t="str">
        <x:v>2024-02</x:v>
      </x:c>
      <x:c r="T672" s="10" t="n">
        <x:v>0</x:v>
      </x:c>
      <x:c r="U672" s="10" t="str">
        <x:v>Liquidado</x:v>
      </x:c>
      <x:c r="V672" s="10" t="str">
        <x:v>Baixo</x:v>
      </x:c>
      <x:c r="W672" s="10" t="str">
        <x:v>Varejo</x:v>
      </x:c>
      <x:c r="X672" s="10" t="str">
        <x:v>UND001</x:v>
      </x:c>
    </x:row>
    <x:row r="673" ht="18" customHeight="1">
      <x:c r="A673" s="10" t="str">
        <x:v>REC00672</x:v>
      </x:c>
      <x:c r="B673" s="10" t="str">
        <x:v>EMP001</x:v>
      </x:c>
      <x:c r="C673" s="10" t="str">
        <x:v>CLI025</x:v>
      </x:c>
      <x:c r="D673" s="10" t="str">
        <x:v>CC003</x:v>
      </x:c>
      <x:c r="E673" s="10" t="str">
        <x:v>CAT002</x:v>
      </x:c>
      <x:c r="F673" s="10" t="str">
        <x:v>CTA001</x:v>
      </x:c>
      <x:c r="G673" s="10" t="str">
        <x:v>FAT-200672</x:v>
      </x:c>
      <x:c r="H673" s="10" t="str">
        <x:v>Contrato mensal</x:v>
      </x:c>
      <x:c r="I673" s="16" t="n">
        <x:v>45343.89106903935</x:v>
      </x:c>
      <x:c r="J673" s="16" t="n">
        <x:v>45373.89106903935</x:v>
      </x:c>
      <x:c r="K673" s="16" t="n">
        <x:v>45380.89106903935</x:v>
      </x:c>
      <x:c r="L673" s="20" t="n">
        <x:v>121285.95</x:v>
      </x:c>
      <x:c r="M673" s="20" t="n">
        <x:v>679.2</x:v>
      </x:c>
      <x:c r="N673" s="20" t="n">
        <x:v>0</x:v>
      </x:c>
      <x:c r="O673" s="20" t="n">
        <x:v>121965.15</x:v>
      </x:c>
      <x:c r="P673" s="20" t="n">
        <x:v>0</x:v>
      </x:c>
      <x:c r="Q673" s="10" t="str">
        <x:v>Recebido</x:v>
      </x:c>
      <x:c r="R673" s="10" t="str">
        <x:v>TED</x:v>
      </x:c>
      <x:c r="S673" s="10" t="str">
        <x:v>2024-02</x:v>
      </x:c>
      <x:c r="T673" s="10" t="n">
        <x:v>0</x:v>
      </x:c>
      <x:c r="U673" s="10" t="str">
        <x:v>Liquidado</x:v>
      </x:c>
      <x:c r="V673" s="10" t="str">
        <x:v>Médio</x:v>
      </x:c>
      <x:c r="W673" s="10" t="str">
        <x:v>Indústria</x:v>
      </x:c>
      <x:c r="X673" s="10" t="str">
        <x:v>UND002</x:v>
      </x:c>
    </x:row>
    <x:row r="674" ht="18" customHeight="1">
      <x:c r="A674" s="10" t="str">
        <x:v>REC00673</x:v>
      </x:c>
      <x:c r="B674" s="10" t="str">
        <x:v>EMP002</x:v>
      </x:c>
      <x:c r="C674" s="10" t="str">
        <x:v>CLI053</x:v>
      </x:c>
      <x:c r="D674" s="10" t="str">
        <x:v>CC008</x:v>
      </x:c>
      <x:c r="E674" s="10" t="str">
        <x:v>CAT004</x:v>
      </x:c>
      <x:c r="F674" s="10" t="str">
        <x:v>CTA004</x:v>
      </x:c>
      <x:c r="G674" s="10" t="str">
        <x:v>FAT-200673</x:v>
      </x:c>
      <x:c r="H674" s="10" t="str">
        <x:v>Projeto especial</x:v>
      </x:c>
      <x:c r="I674" s="16" t="n">
        <x:v>45495.28052332176</x:v>
      </x:c>
      <x:c r="J674" s="16" t="n">
        <x:v>45530.28052332176</x:v>
      </x:c>
      <x:c r="K674" s="16" t="n">
        <x:v>45524.28052332176</x:v>
      </x:c>
      <x:c r="L674" s="20" t="n">
        <x:v>72133.68</x:v>
      </x:c>
      <x:c r="M674" s="20" t="n">
        <x:v>0</x:v>
      </x:c>
      <x:c r="N674" s="20" t="n">
        <x:v>0</x:v>
      </x:c>
      <x:c r="O674" s="20" t="n">
        <x:v>72133.68</x:v>
      </x:c>
      <x:c r="P674" s="20" t="n">
        <x:v>0</x:v>
      </x:c>
      <x:c r="Q674" s="10" t="str">
        <x:v>Recebido</x:v>
      </x:c>
      <x:c r="R674" s="10" t="str">
        <x:v>PIX</x:v>
      </x:c>
      <x:c r="S674" s="10" t="str">
        <x:v>2024-07</x:v>
      </x:c>
      <x:c r="T674" s="10" t="n">
        <x:v>0</x:v>
      </x:c>
      <x:c r="U674" s="10" t="str">
        <x:v>Liquidado</x:v>
      </x:c>
      <x:c r="V674" s="10" t="str">
        <x:v>Baixo</x:v>
      </x:c>
      <x:c r="W674" s="10" t="str">
        <x:v>Saúde</x:v>
      </x:c>
      <x:c r="X674" s="10" t="str">
        <x:v>UND003</x:v>
      </x:c>
    </x:row>
    <x:row r="675" ht="18" customHeight="1">
      <x:c r="A675" s="10" t="str">
        <x:v>REC00674</x:v>
      </x:c>
      <x:c r="B675" s="10" t="str">
        <x:v>EMP002</x:v>
      </x:c>
      <x:c r="C675" s="10" t="str">
        <x:v>CLI079</x:v>
      </x:c>
      <x:c r="D675" s="10" t="str">
        <x:v>CC007</x:v>
      </x:c>
      <x:c r="E675" s="10" t="str">
        <x:v>CAT002</x:v>
      </x:c>
      <x:c r="F675" s="10" t="str">
        <x:v>CTA003</x:v>
      </x:c>
      <x:c r="G675" s="10" t="str">
        <x:v>FAT-200674</x:v>
      </x:c>
      <x:c r="H675" s="10" t="str">
        <x:v>Frete faturado</x:v>
      </x:c>
      <x:c r="I675" s="16" t="n">
        <x:v>45313.03138025463</x:v>
      </x:c>
      <x:c r="J675" s="16" t="n">
        <x:v>45334.03138025463</x:v>
      </x:c>
      <x:c r="K675" s="16" t="n">
        <x:v>45341.03138025463</x:v>
      </x:c>
      <x:c r="L675" s="20" t="n">
        <x:v>8278.79</x:v>
      </x:c>
      <x:c r="M675" s="20" t="n">
        <x:v>46.36</x:v>
      </x:c>
      <x:c r="N675" s="20" t="n">
        <x:v>0</x:v>
      </x:c>
      <x:c r="O675" s="20" t="n">
        <x:v>8325.15</x:v>
      </x:c>
      <x:c r="P675" s="20" t="n">
        <x:v>0</x:v>
      </x:c>
      <x:c r="Q675" s="10" t="str">
        <x:v>Recebido</x:v>
      </x:c>
      <x:c r="R675" s="10" t="str">
        <x:v>Cartão</x:v>
      </x:c>
      <x:c r="S675" s="10" t="str">
        <x:v>2024-01</x:v>
      </x:c>
      <x:c r="T675" s="10" t="n">
        <x:v>0</x:v>
      </x:c>
      <x:c r="U675" s="10" t="str">
        <x:v>Liquidado</x:v>
      </x:c>
      <x:c r="V675" s="10" t="str">
        <x:v>Baixo</x:v>
      </x:c>
      <x:c r="W675" s="10" t="str">
        <x:v>Tecnologia</x:v>
      </x:c>
      <x:c r="X675" s="10" t="str">
        <x:v>UND003</x:v>
      </x:c>
    </x:row>
    <x:row r="676" ht="18" customHeight="1">
      <x:c r="A676" s="10" t="str">
        <x:v>REC00675</x:v>
      </x:c>
      <x:c r="B676" s="10" t="str">
        <x:v>EMP003</x:v>
      </x:c>
      <x:c r="C676" s="10" t="str">
        <x:v>CLI004</x:v>
      </x:c>
      <x:c r="D676" s="10" t="str">
        <x:v>CC004</x:v>
      </x:c>
      <x:c r="E676" s="10" t="str">
        <x:v>CAT001</x:v>
      </x:c>
      <x:c r="F676" s="10" t="str">
        <x:v>CTA005</x:v>
      </x:c>
      <x:c r="G676" s="10" t="str">
        <x:v>FAT-200675</x:v>
      </x:c>
      <x:c r="H676" s="10" t="str">
        <x:v>Frete faturado</x:v>
      </x:c>
      <x:c r="I676" s="16" t="n">
        <x:v>45603.69835978009</x:v>
      </x:c>
      <x:c r="J676" s="16" t="n">
        <x:v>45638.69835978009</x:v>
      </x:c>
      <x:c r="K676" s="16" t="n">
        <x:v>45645.69835978009</x:v>
      </x:c>
      <x:c r="L676" s="20" t="n">
        <x:v>84117.66</x:v>
      </x:c>
      <x:c r="M676" s="20" t="n">
        <x:v>471.06</x:v>
      </x:c>
      <x:c r="N676" s="20" t="n">
        <x:v>0</x:v>
      </x:c>
      <x:c r="O676" s="20" t="n">
        <x:v>84588.72</x:v>
      </x:c>
      <x:c r="P676" s="20" t="n">
        <x:v>0</x:v>
      </x:c>
      <x:c r="Q676" s="10" t="str">
        <x:v>Recebido</x:v>
      </x:c>
      <x:c r="R676" s="10" t="str">
        <x:v>Cartão</x:v>
      </x:c>
      <x:c r="S676" s="10" t="str">
        <x:v>2024-11</x:v>
      </x:c>
      <x:c r="T676" s="10" t="n">
        <x:v>0</x:v>
      </x:c>
      <x:c r="U676" s="10" t="str">
        <x:v>Liquidado</x:v>
      </x:c>
      <x:c r="V676" s="10" t="str">
        <x:v>Alto</x:v>
      </x:c>
      <x:c r="W676" s="10" t="str">
        <x:v>Varejo</x:v>
      </x:c>
      <x:c r="X676" s="10" t="str">
        <x:v>UND004</x:v>
      </x:c>
    </x:row>
    <x:row r="677" ht="18" customHeight="1">
      <x:c r="A677" s="10" t="str">
        <x:v>REC00676</x:v>
      </x:c>
      <x:c r="B677" s="10" t="str">
        <x:v>EMP003</x:v>
      </x:c>
      <x:c r="C677" s="10" t="str">
        <x:v>CLI055</x:v>
      </x:c>
      <x:c r="D677" s="10" t="str">
        <x:v>CC006</x:v>
      </x:c>
      <x:c r="E677" s="10" t="str">
        <x:v>CAT003</x:v>
      </x:c>
      <x:c r="F677" s="10" t="str">
        <x:v>CTA005</x:v>
      </x:c>
      <x:c r="G677" s="10" t="str">
        <x:v>FAT-200676</x:v>
      </x:c>
      <x:c r="H677" s="10" t="str">
        <x:v>Contrato mensal</x:v>
      </x:c>
      <x:c r="I677" s="16" t="n">
        <x:v>45364.92004318287</x:v>
      </x:c>
      <x:c r="J677" s="16" t="n">
        <x:v>45385.92004318287</x:v>
      </x:c>
      <x:c r="K677" s="16" t="n">
        <x:v>45380.92004318287</x:v>
      </x:c>
      <x:c r="L677" s="20" t="n">
        <x:v>41326.99</x:v>
      </x:c>
      <x:c r="M677" s="20" t="n">
        <x:v>0</x:v>
      </x:c>
      <x:c r="N677" s="20" t="n">
        <x:v>0</x:v>
      </x:c>
      <x:c r="O677" s="20" t="n">
        <x:v>41326.99</x:v>
      </x:c>
      <x:c r="P677" s="20" t="n">
        <x:v>0</x:v>
      </x:c>
      <x:c r="Q677" s="10" t="str">
        <x:v>Recebido</x:v>
      </x:c>
      <x:c r="R677" s="10" t="str">
        <x:v>PIX</x:v>
      </x:c>
      <x:c r="S677" s="10" t="str">
        <x:v>2024-03</x:v>
      </x:c>
      <x:c r="T677" s="10" t="n">
        <x:v>0</x:v>
      </x:c>
      <x:c r="U677" s="10" t="str">
        <x:v>Liquidado</x:v>
      </x:c>
      <x:c r="V677" s="10" t="str">
        <x:v>Baixo</x:v>
      </x:c>
      <x:c r="W677" s="10" t="str">
        <x:v>Serviços</x:v>
      </x:c>
      <x:c r="X677" s="10" t="str">
        <x:v>UND004</x:v>
      </x:c>
    </x:row>
    <x:row r="678" ht="18" customHeight="1">
      <x:c r="A678" s="10" t="str">
        <x:v>REC00677</x:v>
      </x:c>
      <x:c r="B678" s="10" t="str">
        <x:v>EMP001</x:v>
      </x:c>
      <x:c r="C678" s="10" t="str">
        <x:v>CLI038</x:v>
      </x:c>
      <x:c r="D678" s="10" t="str">
        <x:v>CC004</x:v>
      </x:c>
      <x:c r="E678" s="10" t="str">
        <x:v>CAT004</x:v>
      </x:c>
      <x:c r="F678" s="10" t="str">
        <x:v>CTA001</x:v>
      </x:c>
      <x:c r="G678" s="10" t="str">
        <x:v>FAT-200677</x:v>
      </x:c>
      <x:c r="H678" s="10" t="str">
        <x:v>Venda de produtos</x:v>
      </x:c>
      <x:c r="I678" s="16" t="n">
        <x:v>45355.263948912034</x:v>
      </x:c>
      <x:c r="J678" s="16" t="n">
        <x:v>45376.263948912034</x:v>
      </x:c>
      <x:c r="K678" s="16" t="n">
        <x:v>45380.263948912034</x:v>
      </x:c>
      <x:c r="L678" s="20" t="n">
        <x:v>11525.18</x:v>
      </x:c>
      <x:c r="M678" s="20" t="n">
        <x:v>36.88</x:v>
      </x:c>
      <x:c r="N678" s="20" t="n">
        <x:v>0</x:v>
      </x:c>
      <x:c r="O678" s="20" t="n">
        <x:v>11562.06</x:v>
      </x:c>
      <x:c r="P678" s="20" t="n">
        <x:v>0</x:v>
      </x:c>
      <x:c r="Q678" s="10" t="str">
        <x:v>Recebido</x:v>
      </x:c>
      <x:c r="R678" s="10" t="str">
        <x:v>Cartão</x:v>
      </x:c>
      <x:c r="S678" s="10" t="str">
        <x:v>2024-03</x:v>
      </x:c>
      <x:c r="T678" s="10" t="n">
        <x:v>0</x:v>
      </x:c>
      <x:c r="U678" s="10" t="str">
        <x:v>Liquidado</x:v>
      </x:c>
      <x:c r="V678" s="10" t="str">
        <x:v>Baixo</x:v>
      </x:c>
      <x:c r="W678" s="10" t="str">
        <x:v>Varejo</x:v>
      </x:c>
      <x:c r="X678" s="10" t="str">
        <x:v>UND002</x:v>
      </x:c>
    </x:row>
    <x:row r="679" ht="18" customHeight="1">
      <x:c r="A679" s="10" t="str">
        <x:v>REC00678</x:v>
      </x:c>
      <x:c r="B679" s="10" t="str">
        <x:v>EMP001</x:v>
      </x:c>
      <x:c r="C679" s="10" t="str">
        <x:v>CLI003</x:v>
      </x:c>
      <x:c r="D679" s="10" t="str">
        <x:v>CC006</x:v>
      </x:c>
      <x:c r="E679" s="10" t="str">
        <x:v>CAT001</x:v>
      </x:c>
      <x:c r="F679" s="10" t="str">
        <x:v>CTA002</x:v>
      </x:c>
      <x:c r="G679" s="10" t="str">
        <x:v>FAT-200678</x:v>
      </x:c>
      <x:c r="H679" s="10" t="str">
        <x:v>Frete faturado</x:v>
      </x:c>
      <x:c r="I679" s="16" t="n">
        <x:v>45375.98423365741</x:v>
      </x:c>
      <x:c r="J679" s="16" t="n">
        <x:v>45420.98423365741</x:v>
      </x:c>
      <x:c r="K679" s="16" t="n">
        <x:v>45426.98423365741</x:v>
      </x:c>
      <x:c r="L679" s="20" t="n">
        <x:v>105797.8</x:v>
      </x:c>
      <x:c r="M679" s="20" t="n">
        <x:v>507.83</x:v>
      </x:c>
      <x:c r="N679" s="20" t="n">
        <x:v>0</x:v>
      </x:c>
      <x:c r="O679" s="20" t="n">
        <x:v>106305.63</x:v>
      </x:c>
      <x:c r="P679" s="20" t="n">
        <x:v>0</x:v>
      </x:c>
      <x:c r="Q679" s="10" t="str">
        <x:v>Recebido</x:v>
      </x:c>
      <x:c r="R679" s="10" t="str">
        <x:v>TED</x:v>
      </x:c>
      <x:c r="S679" s="10" t="str">
        <x:v>2024-03</x:v>
      </x:c>
      <x:c r="T679" s="10" t="n">
        <x:v>0</x:v>
      </x:c>
      <x:c r="U679" s="10" t="str">
        <x:v>Liquidado</x:v>
      </x:c>
      <x:c r="V679" s="10" t="str">
        <x:v>Médio</x:v>
      </x:c>
      <x:c r="W679" s="10" t="str">
        <x:v>Saúde</x:v>
      </x:c>
      <x:c r="X679" s="10" t="str">
        <x:v>UND002</x:v>
      </x:c>
    </x:row>
    <x:row r="680" ht="18" customHeight="1">
      <x:c r="A680" s="10" t="str">
        <x:v>REC00679</x:v>
      </x:c>
      <x:c r="B680" s="10" t="str">
        <x:v>EMP002</x:v>
      </x:c>
      <x:c r="C680" s="10" t="str">
        <x:v>CLI046</x:v>
      </x:c>
      <x:c r="D680" s="10" t="str">
        <x:v>CC006</x:v>
      </x:c>
      <x:c r="E680" s="10" t="str">
        <x:v>CAT004</x:v>
      </x:c>
      <x:c r="F680" s="10" t="str">
        <x:v>CTA003</x:v>
      </x:c>
      <x:c r="G680" s="10" t="str">
        <x:v>FAT-200679</x:v>
      </x:c>
      <x:c r="H680" s="10" t="str">
        <x:v>Prestação de serviços</x:v>
      </x:c>
      <x:c r="I680" s="16" t="n">
        <x:v>45557.854155625</x:v>
      </x:c>
      <x:c r="J680" s="16" t="n">
        <x:v>45578.854155625</x:v>
      </x:c>
      <x:c r="K680" s="16" t="n">
        <x:v>45577.854155625</x:v>
      </x:c>
      <x:c r="L680" s="20" t="n">
        <x:v>53399.16</x:v>
      </x:c>
      <x:c r="M680" s="20" t="n">
        <x:v>0</x:v>
      </x:c>
      <x:c r="N680" s="20" t="n">
        <x:v>0</x:v>
      </x:c>
      <x:c r="O680" s="20" t="n">
        <x:v>53399.16</x:v>
      </x:c>
      <x:c r="P680" s="20" t="n">
        <x:v>0</x:v>
      </x:c>
      <x:c r="Q680" s="10" t="str">
        <x:v>Recebido</x:v>
      </x:c>
      <x:c r="R680" s="10" t="str">
        <x:v>Boleto</x:v>
      </x:c>
      <x:c r="S680" s="10" t="str">
        <x:v>2024-09</x:v>
      </x:c>
      <x:c r="T680" s="10" t="n">
        <x:v>0</x:v>
      </x:c>
      <x:c r="U680" s="10" t="str">
        <x:v>Liquidado</x:v>
      </x:c>
      <x:c r="V680" s="10" t="str">
        <x:v>Alto</x:v>
      </x:c>
      <x:c r="W680" s="10" t="str">
        <x:v>Varejo</x:v>
      </x:c>
      <x:c r="X680" s="10" t="str">
        <x:v>UND003</x:v>
      </x:c>
    </x:row>
    <x:row r="681" ht="18" customHeight="1">
      <x:c r="A681" s="10" t="str">
        <x:v>REC00680</x:v>
      </x:c>
      <x:c r="B681" s="10" t="str">
        <x:v>EMP002</x:v>
      </x:c>
      <x:c r="C681" s="10" t="str">
        <x:v>CLI072</x:v>
      </x:c>
      <x:c r="D681" s="10" t="str">
        <x:v>CC006</x:v>
      </x:c>
      <x:c r="E681" s="10" t="str">
        <x:v>CAT001</x:v>
      </x:c>
      <x:c r="F681" s="10" t="str">
        <x:v>CTA003</x:v>
      </x:c>
      <x:c r="G681" s="10" t="str">
        <x:v>FAT-200680</x:v>
      </x:c>
      <x:c r="H681" s="10" t="str">
        <x:v>Frete faturado</x:v>
      </x:c>
      <x:c r="I681" s="16" t="n">
        <x:v>45652.099708773145</x:v>
      </x:c>
      <x:c r="J681" s="16" t="n">
        <x:v>45682.099708773145</x:v>
      </x:c>
      <x:c r="K681" s="16" t="n">
        <x:v>45694.099708773145</x:v>
      </x:c>
      <x:c r="L681" s="20" t="n">
        <x:v>36129.02</x:v>
      </x:c>
      <x:c r="M681" s="20" t="n">
        <x:v>346.84</x:v>
      </x:c>
      <x:c r="N681" s="20" t="n">
        <x:v>0</x:v>
      </x:c>
      <x:c r="O681" s="20" t="n">
        <x:v>36475.86</x:v>
      </x:c>
      <x:c r="P681" s="20" t="n">
        <x:v>0</x:v>
      </x:c>
      <x:c r="Q681" s="10" t="str">
        <x:v>Recebido</x:v>
      </x:c>
      <x:c r="R681" s="10" t="str">
        <x:v>TED</x:v>
      </x:c>
      <x:c r="S681" s="10" t="str">
        <x:v>2024-12</x:v>
      </x:c>
      <x:c r="T681" s="10" t="n">
        <x:v>0</x:v>
      </x:c>
      <x:c r="U681" s="10" t="str">
        <x:v>Liquidado</x:v>
      </x:c>
      <x:c r="V681" s="10" t="str">
        <x:v>Alto</x:v>
      </x:c>
      <x:c r="W681" s="10" t="str">
        <x:v>Varejo</x:v>
      </x:c>
      <x:c r="X681" s="10" t="str">
        <x:v>UND003</x:v>
      </x:c>
    </x:row>
    <x:row r="682" ht="18" customHeight="1">
      <x:c r="A682" s="10" t="str">
        <x:v>REC00681</x:v>
      </x:c>
      <x:c r="B682" s="10" t="str">
        <x:v>EMP002</x:v>
      </x:c>
      <x:c r="C682" s="10" t="str">
        <x:v>CLI073</x:v>
      </x:c>
      <x:c r="D682" s="10" t="str">
        <x:v>CC001</x:v>
      </x:c>
      <x:c r="E682" s="10" t="str">
        <x:v>CAT003</x:v>
      </x:c>
      <x:c r="F682" s="10" t="str">
        <x:v>CTA004</x:v>
      </x:c>
      <x:c r="G682" s="10" t="str">
        <x:v>FAT-200681</x:v>
      </x:c>
      <x:c r="H682" s="10" t="str">
        <x:v>Venda de produtos</x:v>
      </x:c>
      <x:c r="I682" s="16" t="n">
        <x:v>45301.926368229164</x:v>
      </x:c>
      <x:c r="J682" s="16" t="n">
        <x:v>45361.926368229164</x:v>
      </x:c>
      <x:c r="K682" s="16" t="n">
        <x:v>45369.926368229164</x:v>
      </x:c>
      <x:c r="L682" s="20" t="n">
        <x:v>136792.53</x:v>
      </x:c>
      <x:c r="M682" s="20" t="n">
        <x:v>875.47</x:v>
      </x:c>
      <x:c r="N682" s="20" t="n">
        <x:v>0</x:v>
      </x:c>
      <x:c r="O682" s="20" t="n">
        <x:v>137668</x:v>
      </x:c>
      <x:c r="P682" s="20" t="n">
        <x:v>0</x:v>
      </x:c>
      <x:c r="Q682" s="10" t="str">
        <x:v>Recebido</x:v>
      </x:c>
      <x:c r="R682" s="10" t="str">
        <x:v>Cartão</x:v>
      </x:c>
      <x:c r="S682" s="10" t="str">
        <x:v>2024-01</x:v>
      </x:c>
      <x:c r="T682" s="10" t="n">
        <x:v>0</x:v>
      </x:c>
      <x:c r="U682" s="10" t="str">
        <x:v>Liquidado</x:v>
      </x:c>
      <x:c r="V682" s="10" t="str">
        <x:v>Alto</x:v>
      </x:c>
      <x:c r="W682" s="10" t="str">
        <x:v>Tecnologia</x:v>
      </x:c>
      <x:c r="X682" s="10" t="str">
        <x:v>UND003</x:v>
      </x:c>
    </x:row>
    <x:row r="683" ht="18" customHeight="1">
      <x:c r="A683" s="10" t="str">
        <x:v>REC00682</x:v>
      </x:c>
      <x:c r="B683" s="10" t="str">
        <x:v>EMP002</x:v>
      </x:c>
      <x:c r="C683" s="10" t="str">
        <x:v>CLI046</x:v>
      </x:c>
      <x:c r="D683" s="10" t="str">
        <x:v>CC006</x:v>
      </x:c>
      <x:c r="E683" s="10" t="str">
        <x:v>CAT002</x:v>
      </x:c>
      <x:c r="F683" s="10" t="str">
        <x:v>CTA003</x:v>
      </x:c>
      <x:c r="G683" s="10" t="str">
        <x:v>FAT-200682</x:v>
      </x:c>
      <x:c r="H683" s="10" t="str">
        <x:v>Prestação de serviços</x:v>
      </x:c>
      <x:c r="I683" s="16" t="n">
        <x:v>45534.822914282406</x:v>
      </x:c>
      <x:c r="J683" s="16" t="n">
        <x:v>45555.822914282406</x:v>
      </x:c>
      <x:c r="K683" s="16" t="n">
        <x:v>45579.822914282406</x:v>
      </x:c>
      <x:c r="L683" s="20" t="n">
        <x:v>29791.61</x:v>
      </x:c>
      <x:c r="M683" s="20" t="n">
        <x:v>572</x:v>
      </x:c>
      <x:c r="N683" s="20" t="n">
        <x:v>0</x:v>
      </x:c>
      <x:c r="O683" s="20" t="n">
        <x:v>30363.61</x:v>
      </x:c>
      <x:c r="P683" s="20" t="n">
        <x:v>0</x:v>
      </x:c>
      <x:c r="Q683" s="10" t="str">
        <x:v>Recebido</x:v>
      </x:c>
      <x:c r="R683" s="10" t="str">
        <x:v>Débito em Conta</x:v>
      </x:c>
      <x:c r="S683" s="10" t="str">
        <x:v>2024-08</x:v>
      </x:c>
      <x:c r="T683" s="10" t="n">
        <x:v>0</x:v>
      </x:c>
      <x:c r="U683" s="10" t="str">
        <x:v>Liquidado</x:v>
      </x:c>
      <x:c r="V683" s="10" t="str">
        <x:v>Alto</x:v>
      </x:c>
      <x:c r="W683" s="10" t="str">
        <x:v>Varejo</x:v>
      </x:c>
      <x:c r="X683" s="10" t="str">
        <x:v>UND003</x:v>
      </x:c>
    </x:row>
    <x:row r="684" ht="18" customHeight="1">
      <x:c r="A684" s="10" t="str">
        <x:v>REC00683</x:v>
      </x:c>
      <x:c r="B684" s="10" t="str">
        <x:v>EMP001</x:v>
      </x:c>
      <x:c r="C684" s="10" t="str">
        <x:v>CLI066</x:v>
      </x:c>
      <x:c r="D684" s="10" t="str">
        <x:v>CC006</x:v>
      </x:c>
      <x:c r="E684" s="10" t="str">
        <x:v>CAT003</x:v>
      </x:c>
      <x:c r="F684" s="10" t="str">
        <x:v>CTA002</x:v>
      </x:c>
      <x:c r="G684" s="10" t="str">
        <x:v>FAT-200683</x:v>
      </x:c>
      <x:c r="H684" s="10" t="str">
        <x:v>Prestação de serviços</x:v>
      </x:c>
      <x:c r="I684" s="16" t="n">
        <x:v>45894.05638822917</x:v>
      </x:c>
      <x:c r="J684" s="16" t="n">
        <x:v>45909.05638822917</x:v>
      </x:c>
      <x:c r="K684" s="16" t="n">
        <x:v>45907.05638822917</x:v>
      </x:c>
      <x:c r="L684" s="20" t="n">
        <x:v>75913.69</x:v>
      </x:c>
      <x:c r="M684" s="20" t="n">
        <x:v>0</x:v>
      </x:c>
      <x:c r="N684" s="20" t="n">
        <x:v>0</x:v>
      </x:c>
      <x:c r="O684" s="20" t="n">
        <x:v>75913.69</x:v>
      </x:c>
      <x:c r="P684" s="20" t="n">
        <x:v>0</x:v>
      </x:c>
      <x:c r="Q684" s="10" t="str">
        <x:v>Recebido</x:v>
      </x:c>
      <x:c r="R684" s="10" t="str">
        <x:v>Cartão</x:v>
      </x:c>
      <x:c r="S684" s="10" t="str">
        <x:v>2025-08</x:v>
      </x:c>
      <x:c r="T684" s="10" t="n">
        <x:v>0</x:v>
      </x:c>
      <x:c r="U684" s="10" t="str">
        <x:v>Liquidado</x:v>
      </x:c>
      <x:c r="V684" s="10" t="str">
        <x:v>Baixo</x:v>
      </x:c>
      <x:c r="W684" s="10" t="str">
        <x:v>Varejo</x:v>
      </x:c>
      <x:c r="X684" s="10" t="str">
        <x:v>UND001</x:v>
      </x:c>
    </x:row>
    <x:row r="685" ht="18" customHeight="1">
      <x:c r="A685" s="10" t="str">
        <x:v>REC00684</x:v>
      </x:c>
      <x:c r="B685" s="10" t="str">
        <x:v>EMP001</x:v>
      </x:c>
      <x:c r="C685" s="10" t="str">
        <x:v>CLI023</x:v>
      </x:c>
      <x:c r="D685" s="10" t="str">
        <x:v>CC001</x:v>
      </x:c>
      <x:c r="E685" s="10" t="str">
        <x:v>CAT004</x:v>
      </x:c>
      <x:c r="F685" s="10" t="str">
        <x:v>CTA001</x:v>
      </x:c>
      <x:c r="G685" s="10" t="str">
        <x:v>FAT-200684</x:v>
      </x:c>
      <x:c r="H685" s="10" t="str">
        <x:v>Contrato mensal</x:v>
      </x:c>
      <x:c r="I685" s="16" t="n">
        <x:v>45530.714247511576</x:v>
      </x:c>
      <x:c r="J685" s="16" t="n">
        <x:v>45560.714247511576</x:v>
      </x:c>
      <x:c r="K685" s="16" t="n">
        <x:v>45574.714247511576</x:v>
      </x:c>
      <x:c r="L685" s="20" t="n">
        <x:v>115511.54</x:v>
      </x:c>
      <x:c r="M685" s="20" t="n">
        <x:v>1293.73</x:v>
      </x:c>
      <x:c r="N685" s="20" t="n">
        <x:v>0</x:v>
      </x:c>
      <x:c r="O685" s="20" t="n">
        <x:v>116805.27</x:v>
      </x:c>
      <x:c r="P685" s="20" t="n">
        <x:v>0</x:v>
      </x:c>
      <x:c r="Q685" s="10" t="str">
        <x:v>Recebido</x:v>
      </x:c>
      <x:c r="R685" s="10" t="str">
        <x:v>TED</x:v>
      </x:c>
      <x:c r="S685" s="10" t="str">
        <x:v>2024-08</x:v>
      </x:c>
      <x:c r="T685" s="10" t="n">
        <x:v>0</x:v>
      </x:c>
      <x:c r="U685" s="10" t="str">
        <x:v>Liquidado</x:v>
      </x:c>
      <x:c r="V685" s="10" t="str">
        <x:v>Médio</x:v>
      </x:c>
      <x:c r="W685" s="10" t="str">
        <x:v>Atacado</x:v>
      </x:c>
      <x:c r="X685" s="10" t="str">
        <x:v>UND002</x:v>
      </x:c>
    </x:row>
    <x:row r="686" ht="18" customHeight="1">
      <x:c r="A686" s="10" t="str">
        <x:v>REC00685</x:v>
      </x:c>
      <x:c r="B686" s="10" t="str">
        <x:v>EMP001</x:v>
      </x:c>
      <x:c r="C686" s="10" t="str">
        <x:v>CLI014</x:v>
      </x:c>
      <x:c r="D686" s="10" t="str">
        <x:v>CC002</x:v>
      </x:c>
      <x:c r="E686" s="10" t="str">
        <x:v>CAT003</x:v>
      </x:c>
      <x:c r="F686" s="10" t="str">
        <x:v>CTA001</x:v>
      </x:c>
      <x:c r="G686" s="10" t="str">
        <x:v>FAT-200685</x:v>
      </x:c>
      <x:c r="H686" s="10" t="str">
        <x:v>Prestação de serviços</x:v>
      </x:c>
      <x:c r="I686" s="16" t="n">
        <x:v>45695.5905621875</x:v>
      </x:c>
      <x:c r="J686" s="16" t="n">
        <x:v>45710.5905621875</x:v>
      </x:c>
      <x:c r="K686" s="16" t="n">
        <x:v>45718.5905621875</x:v>
      </x:c>
      <x:c r="L686" s="20" t="n">
        <x:v>83033.75</x:v>
      </x:c>
      <x:c r="M686" s="20" t="n">
        <x:v>531.42</x:v>
      </x:c>
      <x:c r="N686" s="20" t="n">
        <x:v>0</x:v>
      </x:c>
      <x:c r="O686" s="20" t="n">
        <x:v>83565.17</x:v>
      </x:c>
      <x:c r="P686" s="20" t="n">
        <x:v>0</x:v>
      </x:c>
      <x:c r="Q686" s="10" t="str">
        <x:v>Recebido</x:v>
      </x:c>
      <x:c r="R686" s="10" t="str">
        <x:v>Boleto</x:v>
      </x:c>
      <x:c r="S686" s="10" t="str">
        <x:v>2025-02</x:v>
      </x:c>
      <x:c r="T686" s="10" t="n">
        <x:v>0</x:v>
      </x:c>
      <x:c r="U686" s="10" t="str">
        <x:v>Liquidado</x:v>
      </x:c>
      <x:c r="V686" s="10" t="str">
        <x:v>Médio</x:v>
      </x:c>
      <x:c r="W686" s="10" t="str">
        <x:v>Saúde</x:v>
      </x:c>
      <x:c r="X686" s="10" t="str">
        <x:v>UND002</x:v>
      </x:c>
    </x:row>
    <x:row r="687" ht="18" customHeight="1">
      <x:c r="A687" s="10" t="str">
        <x:v>REC00686</x:v>
      </x:c>
      <x:c r="B687" s="10" t="str">
        <x:v>EMP002</x:v>
      </x:c>
      <x:c r="C687" s="10" t="str">
        <x:v>CLI061</x:v>
      </x:c>
      <x:c r="D687" s="10" t="str">
        <x:v>CC007</x:v>
      </x:c>
      <x:c r="E687" s="10" t="str">
        <x:v>CAT002</x:v>
      </x:c>
      <x:c r="F687" s="10" t="str">
        <x:v>CTA003</x:v>
      </x:c>
      <x:c r="G687" s="10" t="str">
        <x:v>FAT-200686</x:v>
      </x:c>
      <x:c r="H687" s="10" t="str">
        <x:v>Prestação de serviços</x:v>
      </x:c>
      <x:c r="I687" s="16" t="n">
        <x:v>45994.383088738425</x:v>
      </x:c>
      <x:c r="J687" s="16" t="n">
        <x:v>46054.383088738425</x:v>
      </x:c>
      <x:c r="K687" s="16"/>
      <x:c r="L687" s="20" t="n">
        <x:v>3733.79</x:v>
      </x:c>
      <x:c r="M687" s="20" t="n">
        <x:v>0</x:v>
      </x:c>
      <x:c r="N687" s="20" t="n">
        <x:v>0</x:v>
      </x:c>
      <x:c r="O687" s="20" t="n">
        <x:v>0</x:v>
      </x:c>
      <x:c r="P687" s="20" t="n">
        <x:v>3733.79</x:v>
      </x:c>
      <x:c r="Q687" s="10" t="str">
        <x:v>A vencer</x:v>
      </x:c>
      <x:c r="R687" s="10" t="str">
        <x:v>Débito em Conta</x:v>
      </x:c>
      <x:c r="S687" s="10" t="str">
        <x:v>2025-12</x:v>
      </x:c>
      <x:c r="T687" s="10" t="n">
        <x:v>0</x:v>
      </x:c>
      <x:c r="U687" s="10" t="str">
        <x:v>A vencer</x:v>
      </x:c>
      <x:c r="V687" s="10" t="str">
        <x:v>Baixo</x:v>
      </x:c>
      <x:c r="W687" s="10" t="str">
        <x:v>Serviços</x:v>
      </x:c>
      <x:c r="X687" s="10" t="str">
        <x:v>UND003</x:v>
      </x:c>
    </x:row>
    <x:row r="688" ht="18" customHeight="1">
      <x:c r="A688" s="10" t="str">
        <x:v>REC00687</x:v>
      </x:c>
      <x:c r="B688" s="10" t="str">
        <x:v>EMP003</x:v>
      </x:c>
      <x:c r="C688" s="10" t="str">
        <x:v>CLI022</x:v>
      </x:c>
      <x:c r="D688" s="10" t="str">
        <x:v>CC007</x:v>
      </x:c>
      <x:c r="E688" s="10" t="str">
        <x:v>CAT002</x:v>
      </x:c>
      <x:c r="F688" s="10" t="str">
        <x:v>CTA006</x:v>
      </x:c>
      <x:c r="G688" s="10" t="str">
        <x:v>FAT-200687</x:v>
      </x:c>
      <x:c r="H688" s="10" t="str">
        <x:v>Contrato mensal</x:v>
      </x:c>
      <x:c r="I688" s="16" t="n">
        <x:v>45374.01512494213</x:v>
      </x:c>
      <x:c r="J688" s="16" t="n">
        <x:v>45389.01512494213</x:v>
      </x:c>
      <x:c r="K688" s="16" t="n">
        <x:v>45404.01512494213</x:v>
      </x:c>
      <x:c r="L688" s="20" t="n">
        <x:v>9179.4</x:v>
      </x:c>
      <x:c r="M688" s="20" t="n">
        <x:v>110.15</x:v>
      </x:c>
      <x:c r="N688" s="20" t="n">
        <x:v>0</x:v>
      </x:c>
      <x:c r="O688" s="20" t="n">
        <x:v>9289.55</x:v>
      </x:c>
      <x:c r="P688" s="20" t="n">
        <x:v>0</x:v>
      </x:c>
      <x:c r="Q688" s="10" t="str">
        <x:v>Recebido</x:v>
      </x:c>
      <x:c r="R688" s="10" t="str">
        <x:v>Boleto</x:v>
      </x:c>
      <x:c r="S688" s="10" t="str">
        <x:v>2024-03</x:v>
      </x:c>
      <x:c r="T688" s="10" t="n">
        <x:v>0</x:v>
      </x:c>
      <x:c r="U688" s="10" t="str">
        <x:v>Liquidado</x:v>
      </x:c>
      <x:c r="V688" s="10" t="str">
        <x:v>Alto</x:v>
      </x:c>
      <x:c r="W688" s="10" t="str">
        <x:v>Tecnologia</x:v>
      </x:c>
      <x:c r="X688" s="10" t="str">
        <x:v>UND004</x:v>
      </x:c>
    </x:row>
    <x:row r="689" ht="18" customHeight="1">
      <x:c r="A689" s="10" t="str">
        <x:v>REC00688</x:v>
      </x:c>
      <x:c r="B689" s="10" t="str">
        <x:v>EMP001</x:v>
      </x:c>
      <x:c r="C689" s="10" t="str">
        <x:v>CLI031</x:v>
      </x:c>
      <x:c r="D689" s="10" t="str">
        <x:v>CC007</x:v>
      </x:c>
      <x:c r="E689" s="10" t="str">
        <x:v>CAT003</x:v>
      </x:c>
      <x:c r="F689" s="10" t="str">
        <x:v>CTA001</x:v>
      </x:c>
      <x:c r="G689" s="10" t="str">
        <x:v>FAT-200688</x:v>
      </x:c>
      <x:c r="H689" s="10" t="str">
        <x:v>Contrato mensal</x:v>
      </x:c>
      <x:c r="I689" s="16" t="n">
        <x:v>45463.27388893518</x:v>
      </x:c>
      <x:c r="J689" s="16" t="n">
        <x:v>45491.27388893518</x:v>
      </x:c>
      <x:c r="K689" s="16" t="n">
        <x:v>45494.27388893518</x:v>
      </x:c>
      <x:c r="L689" s="20" t="n">
        <x:v>7630.06</x:v>
      </x:c>
      <x:c r="M689" s="20" t="n">
        <x:v>18.31</x:v>
      </x:c>
      <x:c r="N689" s="20" t="n">
        <x:v>0</x:v>
      </x:c>
      <x:c r="O689" s="20" t="n">
        <x:v>7648.37</x:v>
      </x:c>
      <x:c r="P689" s="20" t="n">
        <x:v>0</x:v>
      </x:c>
      <x:c r="Q689" s="10" t="str">
        <x:v>Recebido</x:v>
      </x:c>
      <x:c r="R689" s="10" t="str">
        <x:v>Débito em Conta</x:v>
      </x:c>
      <x:c r="S689" s="10" t="str">
        <x:v>2024-06</x:v>
      </x:c>
      <x:c r="T689" s="10" t="n">
        <x:v>0</x:v>
      </x:c>
      <x:c r="U689" s="10" t="str">
        <x:v>Liquidado</x:v>
      </x:c>
      <x:c r="V689" s="10" t="str">
        <x:v>Baixo</x:v>
      </x:c>
      <x:c r="W689" s="10" t="str">
        <x:v>Serviços</x:v>
      </x:c>
      <x:c r="X689" s="10" t="str">
        <x:v>UND002</x:v>
      </x:c>
    </x:row>
    <x:row r="690" ht="18" customHeight="1">
      <x:c r="A690" s="10" t="str">
        <x:v>REC00689</x:v>
      </x:c>
      <x:c r="B690" s="10" t="str">
        <x:v>EMP001</x:v>
      </x:c>
      <x:c r="C690" s="10" t="str">
        <x:v>CLI059</x:v>
      </x:c>
      <x:c r="D690" s="10" t="str">
        <x:v>CC005</x:v>
      </x:c>
      <x:c r="E690" s="10" t="str">
        <x:v>CAT002</x:v>
      </x:c>
      <x:c r="F690" s="10" t="str">
        <x:v>CTA001</x:v>
      </x:c>
      <x:c r="G690" s="10" t="str">
        <x:v>FAT-200689</x:v>
      </x:c>
      <x:c r="H690" s="10" t="str">
        <x:v>Frete faturado</x:v>
      </x:c>
      <x:c r="I690" s="16" t="n">
        <x:v>45857.54493938657</x:v>
      </x:c>
      <x:c r="J690" s="16" t="n">
        <x:v>45878.54493938657</x:v>
      </x:c>
      <x:c r="K690" s="16" t="n">
        <x:v>45874.54493938657</x:v>
      </x:c>
      <x:c r="L690" s="20" t="n">
        <x:v>38352.57</x:v>
      </x:c>
      <x:c r="M690" s="20" t="n">
        <x:v>0</x:v>
      </x:c>
      <x:c r="N690" s="20" t="n">
        <x:v>0</x:v>
      </x:c>
      <x:c r="O690" s="20" t="n">
        <x:v>38352.57</x:v>
      </x:c>
      <x:c r="P690" s="20" t="n">
        <x:v>0</x:v>
      </x:c>
      <x:c r="Q690" s="10" t="str">
        <x:v>Recebido</x:v>
      </x:c>
      <x:c r="R690" s="10" t="str">
        <x:v>TED</x:v>
      </x:c>
      <x:c r="S690" s="10" t="str">
        <x:v>2025-07</x:v>
      </x:c>
      <x:c r="T690" s="10" t="n">
        <x:v>0</x:v>
      </x:c>
      <x:c r="U690" s="10" t="str">
        <x:v>Liquidado</x:v>
      </x:c>
      <x:c r="V690" s="10" t="str">
        <x:v>Baixo</x:v>
      </x:c>
      <x:c r="W690" s="10" t="str">
        <x:v>Indústria</x:v>
      </x:c>
      <x:c r="X690" s="10" t="str">
        <x:v>UND001</x:v>
      </x:c>
    </x:row>
    <x:row r="691" ht="18" customHeight="1">
      <x:c r="A691" s="10" t="str">
        <x:v>REC00690</x:v>
      </x:c>
      <x:c r="B691" s="10" t="str">
        <x:v>EMP003</x:v>
      </x:c>
      <x:c r="C691" s="10" t="str">
        <x:v>CLI068</x:v>
      </x:c>
      <x:c r="D691" s="10" t="str">
        <x:v>CC004</x:v>
      </x:c>
      <x:c r="E691" s="10" t="str">
        <x:v>CAT002</x:v>
      </x:c>
      <x:c r="F691" s="10" t="str">
        <x:v>CTA006</x:v>
      </x:c>
      <x:c r="G691" s="10" t="str">
        <x:v>FAT-200690</x:v>
      </x:c>
      <x:c r="H691" s="10" t="str">
        <x:v>Venda de produtos</x:v>
      </x:c>
      <x:c r="I691" s="16" t="n">
        <x:v>45456.89487203704</x:v>
      </x:c>
      <x:c r="J691" s="16" t="n">
        <x:v>45516.89487203704</x:v>
      </x:c>
      <x:c r="K691" s="16" t="n">
        <x:v>45513.89487203704</x:v>
      </x:c>
      <x:c r="L691" s="20" t="n">
        <x:v>101502.51</x:v>
      </x:c>
      <x:c r="M691" s="20" t="n">
        <x:v>0</x:v>
      </x:c>
      <x:c r="N691" s="20" t="n">
        <x:v>0</x:v>
      </x:c>
      <x:c r="O691" s="20" t="n">
        <x:v>101502.51</x:v>
      </x:c>
      <x:c r="P691" s="20" t="n">
        <x:v>0</x:v>
      </x:c>
      <x:c r="Q691" s="10" t="str">
        <x:v>Recebido</x:v>
      </x:c>
      <x:c r="R691" s="10" t="str">
        <x:v>PIX</x:v>
      </x:c>
      <x:c r="S691" s="10" t="str">
        <x:v>2024-06</x:v>
      </x:c>
      <x:c r="T691" s="10" t="n">
        <x:v>0</x:v>
      </x:c>
      <x:c r="U691" s="10" t="str">
        <x:v>Liquidado</x:v>
      </x:c>
      <x:c r="V691" s="10" t="str">
        <x:v>Médio</x:v>
      </x:c>
      <x:c r="W691" s="10" t="str">
        <x:v>Varejo</x:v>
      </x:c>
      <x:c r="X691" s="10" t="str">
        <x:v>UND004</x:v>
      </x:c>
    </x:row>
    <x:row r="692" ht="18" customHeight="1">
      <x:c r="A692" s="10" t="str">
        <x:v>REC00691</x:v>
      </x:c>
      <x:c r="B692" s="10" t="str">
        <x:v>EMP001</x:v>
      </x:c>
      <x:c r="C692" s="10" t="str">
        <x:v>CLI041</x:v>
      </x:c>
      <x:c r="D692" s="10" t="str">
        <x:v>CC004</x:v>
      </x:c>
      <x:c r="E692" s="10" t="str">
        <x:v>CAT004</x:v>
      </x:c>
      <x:c r="F692" s="10" t="str">
        <x:v>CTA001</x:v>
      </x:c>
      <x:c r="G692" s="10" t="str">
        <x:v>FAT-200691</x:v>
      </x:c>
      <x:c r="H692" s="10" t="str">
        <x:v>Prestação de serviços</x:v>
      </x:c>
      <x:c r="I692" s="16" t="n">
        <x:v>45867.29156744213</x:v>
      </x:c>
      <x:c r="J692" s="16" t="n">
        <x:v>45912.29156744213</x:v>
      </x:c>
      <x:c r="K692" s="16" t="n">
        <x:v>45926.29156744213</x:v>
      </x:c>
      <x:c r="L692" s="20" t="n">
        <x:v>1093.31</x:v>
      </x:c>
      <x:c r="M692" s="20" t="n">
        <x:v>12.25</x:v>
      </x:c>
      <x:c r="N692" s="20" t="n">
        <x:v>0</x:v>
      </x:c>
      <x:c r="O692" s="20" t="n">
        <x:v>1105.56</x:v>
      </x:c>
      <x:c r="P692" s="20" t="n">
        <x:v>0</x:v>
      </x:c>
      <x:c r="Q692" s="10" t="str">
        <x:v>Recebido</x:v>
      </x:c>
      <x:c r="R692" s="10" t="str">
        <x:v>Boleto</x:v>
      </x:c>
      <x:c r="S692" s="10" t="str">
        <x:v>2025-07</x:v>
      </x:c>
      <x:c r="T692" s="10" t="n">
        <x:v>0</x:v>
      </x:c>
      <x:c r="U692" s="10" t="str">
        <x:v>Liquidado</x:v>
      </x:c>
      <x:c r="V692" s="10" t="str">
        <x:v>Alto</x:v>
      </x:c>
      <x:c r="W692" s="10" t="str">
        <x:v>Indústria</x:v>
      </x:c>
      <x:c r="X692" s="10" t="str">
        <x:v>UND001</x:v>
      </x:c>
    </x:row>
    <x:row r="693" ht="18" customHeight="1">
      <x:c r="A693" s="10" t="str">
        <x:v>REC00692</x:v>
      </x:c>
      <x:c r="B693" s="10" t="str">
        <x:v>EMP003</x:v>
      </x:c>
      <x:c r="C693" s="10" t="str">
        <x:v>CLI035</x:v>
      </x:c>
      <x:c r="D693" s="10" t="str">
        <x:v>CC003</x:v>
      </x:c>
      <x:c r="E693" s="10" t="str">
        <x:v>CAT004</x:v>
      </x:c>
      <x:c r="F693" s="10" t="str">
        <x:v>CTA005</x:v>
      </x:c>
      <x:c r="G693" s="10" t="str">
        <x:v>FAT-200692</x:v>
      </x:c>
      <x:c r="H693" s="10" t="str">
        <x:v>Venda de produtos</x:v>
      </x:c>
      <x:c r="I693" s="16" t="n">
        <x:v>45340.01191988426</x:v>
      </x:c>
      <x:c r="J693" s="16" t="n">
        <x:v>45370.01191988426</x:v>
      </x:c>
      <x:c r="K693" s="16" t="n">
        <x:v>45373.01191988426</x:v>
      </x:c>
      <x:c r="L693" s="20" t="n">
        <x:v>89986.54</x:v>
      </x:c>
      <x:c r="M693" s="20" t="n">
        <x:v>215.97</x:v>
      </x:c>
      <x:c r="N693" s="20" t="n">
        <x:v>0</x:v>
      </x:c>
      <x:c r="O693" s="20" t="n">
        <x:v>90202.51</x:v>
      </x:c>
      <x:c r="P693" s="20" t="n">
        <x:v>0</x:v>
      </x:c>
      <x:c r="Q693" s="10" t="str">
        <x:v>Recebido</x:v>
      </x:c>
      <x:c r="R693" s="10" t="str">
        <x:v>Débito em Conta</x:v>
      </x:c>
      <x:c r="S693" s="10" t="str">
        <x:v>2024-02</x:v>
      </x:c>
      <x:c r="T693" s="10" t="n">
        <x:v>0</x:v>
      </x:c>
      <x:c r="U693" s="10" t="str">
        <x:v>Liquidado</x:v>
      </x:c>
      <x:c r="V693" s="10" t="str">
        <x:v>Médio</x:v>
      </x:c>
      <x:c r="W693" s="10" t="str">
        <x:v>Varejo</x:v>
      </x:c>
      <x:c r="X693" s="10" t="str">
        <x:v>UND004</x:v>
      </x:c>
    </x:row>
    <x:row r="694" ht="18" customHeight="1">
      <x:c r="A694" s="10" t="str">
        <x:v>REC00693</x:v>
      </x:c>
      <x:c r="B694" s="10" t="str">
        <x:v>EMP002</x:v>
      </x:c>
      <x:c r="C694" s="10" t="str">
        <x:v>CLI077</x:v>
      </x:c>
      <x:c r="D694" s="10" t="str">
        <x:v>CC006</x:v>
      </x:c>
      <x:c r="E694" s="10" t="str">
        <x:v>CAT001</x:v>
      </x:c>
      <x:c r="F694" s="10" t="str">
        <x:v>CTA004</x:v>
      </x:c>
      <x:c r="G694" s="10" t="str">
        <x:v>FAT-200693</x:v>
      </x:c>
      <x:c r="H694" s="10" t="str">
        <x:v>Frete faturado</x:v>
      </x:c>
      <x:c r="I694" s="16" t="n">
        <x:v>45616.86744261574</x:v>
      </x:c>
      <x:c r="J694" s="16" t="n">
        <x:v>45661.86744261574</x:v>
      </x:c>
      <x:c r="K694" s="16" t="n">
        <x:v>45675.86744261574</x:v>
      </x:c>
      <x:c r="L694" s="20" t="n">
        <x:v>11589.53</x:v>
      </x:c>
      <x:c r="M694" s="20" t="n">
        <x:v>129.8</x:v>
      </x:c>
      <x:c r="N694" s="20" t="n">
        <x:v>0</x:v>
      </x:c>
      <x:c r="O694" s="20" t="n">
        <x:v>11719.33</x:v>
      </x:c>
      <x:c r="P694" s="20" t="n">
        <x:v>0</x:v>
      </x:c>
      <x:c r="Q694" s="10" t="str">
        <x:v>Recebido</x:v>
      </x:c>
      <x:c r="R694" s="10" t="str">
        <x:v>PIX</x:v>
      </x:c>
      <x:c r="S694" s="10" t="str">
        <x:v>2024-11</x:v>
      </x:c>
      <x:c r="T694" s="10" t="n">
        <x:v>0</x:v>
      </x:c>
      <x:c r="U694" s="10" t="str">
        <x:v>Liquidado</x:v>
      </x:c>
      <x:c r="V694" s="10" t="str">
        <x:v>Médio</x:v>
      </x:c>
      <x:c r="W694" s="10" t="str">
        <x:v>Serviços</x:v>
      </x:c>
      <x:c r="X694" s="10" t="str">
        <x:v>UND003</x:v>
      </x:c>
    </x:row>
    <x:row r="695" ht="18" customHeight="1">
      <x:c r="A695" s="10" t="str">
        <x:v>REC00694</x:v>
      </x:c>
      <x:c r="B695" s="10" t="str">
        <x:v>EMP003</x:v>
      </x:c>
      <x:c r="C695" s="10" t="str">
        <x:v>CLI078</x:v>
      </x:c>
      <x:c r="D695" s="10" t="str">
        <x:v>CC001</x:v>
      </x:c>
      <x:c r="E695" s="10" t="str">
        <x:v>CAT004</x:v>
      </x:c>
      <x:c r="F695" s="10" t="str">
        <x:v>CTA006</x:v>
      </x:c>
      <x:c r="G695" s="10" t="str">
        <x:v>FAT-200694</x:v>
      </x:c>
      <x:c r="H695" s="10" t="str">
        <x:v>Contrato mensal</x:v>
      </x:c>
      <x:c r="I695" s="16" t="n">
        <x:v>45753.97819862269</x:v>
      </x:c>
      <x:c r="J695" s="16" t="n">
        <x:v>45768.97819862269</x:v>
      </x:c>
      <x:c r="K695" s="16" t="n">
        <x:v>45762.97819862269</x:v>
      </x:c>
      <x:c r="L695" s="20" t="n">
        <x:v>93696.81</x:v>
      </x:c>
      <x:c r="M695" s="20" t="n">
        <x:v>0</x:v>
      </x:c>
      <x:c r="N695" s="20" t="n">
        <x:v>0</x:v>
      </x:c>
      <x:c r="O695" s="20" t="n">
        <x:v>93696.81</x:v>
      </x:c>
      <x:c r="P695" s="20" t="n">
        <x:v>0</x:v>
      </x:c>
      <x:c r="Q695" s="10" t="str">
        <x:v>Recebido</x:v>
      </x:c>
      <x:c r="R695" s="10" t="str">
        <x:v>Cartão</x:v>
      </x:c>
      <x:c r="S695" s="10" t="str">
        <x:v>2025-04</x:v>
      </x:c>
      <x:c r="T695" s="10" t="n">
        <x:v>0</x:v>
      </x:c>
      <x:c r="U695" s="10" t="str">
        <x:v>Liquidado</x:v>
      </x:c>
      <x:c r="V695" s="10" t="str">
        <x:v>Médio</x:v>
      </x:c>
      <x:c r="W695" s="10" t="str">
        <x:v>Tecnologia</x:v>
      </x:c>
      <x:c r="X695" s="10" t="str">
        <x:v>UND004</x:v>
      </x:c>
    </x:row>
    <x:row r="696" ht="18" customHeight="1">
      <x:c r="A696" s="10" t="str">
        <x:v>REC00695</x:v>
      </x:c>
      <x:c r="B696" s="10" t="str">
        <x:v>EMP002</x:v>
      </x:c>
      <x:c r="C696" s="10" t="str">
        <x:v>CLI080</x:v>
      </x:c>
      <x:c r="D696" s="10" t="str">
        <x:v>CC003</x:v>
      </x:c>
      <x:c r="E696" s="10" t="str">
        <x:v>CAT003</x:v>
      </x:c>
      <x:c r="F696" s="10" t="str">
        <x:v>CTA004</x:v>
      </x:c>
      <x:c r="G696" s="10" t="str">
        <x:v>FAT-200695</x:v>
      </x:c>
      <x:c r="H696" s="10" t="str">
        <x:v>Frete faturado</x:v>
      </x:c>
      <x:c r="I696" s="16" t="n">
        <x:v>45375.41106268518</x:v>
      </x:c>
      <x:c r="J696" s="16" t="n">
        <x:v>45396.41106268518</x:v>
      </x:c>
      <x:c r="K696" s="16"/>
      <x:c r="L696" s="20" t="n">
        <x:v>82711.75</x:v>
      </x:c>
      <x:c r="M696" s="20" t="n">
        <x:v>0</x:v>
      </x:c>
      <x:c r="N696" s="20" t="n">
        <x:v>0</x:v>
      </x:c>
      <x:c r="O696" s="20" t="n">
        <x:v>0</x:v>
      </x:c>
      <x:c r="P696" s="20" t="n">
        <x:v>82711.75</x:v>
      </x:c>
      <x:c r="Q696" s="10" t="str">
        <x:v>Vencido</x:v>
      </x:c>
      <x:c r="R696" s="10" t="str">
        <x:v>Boleto</x:v>
      </x:c>
      <x:c r="S696" s="10" t="str">
        <x:v>2024-03</x:v>
      </x:c>
      <x:c r="T696" s="10" t="n">
        <x:v>625</x:v>
      </x:c>
      <x:c r="U696" s="10" t="str">
        <x:v>&gt; 120 dias</x:v>
      </x:c>
      <x:c r="V696" s="10" t="str">
        <x:v>Médio</x:v>
      </x:c>
      <x:c r="W696" s="10" t="str">
        <x:v>Atacado</x:v>
      </x:c>
      <x:c r="X696" s="10" t="str">
        <x:v>UND003</x:v>
      </x:c>
    </x:row>
    <x:row r="697" ht="18" customHeight="1">
      <x:c r="A697" s="10" t="str">
        <x:v>REC00696</x:v>
      </x:c>
      <x:c r="B697" s="10" t="str">
        <x:v>EMP003</x:v>
      </x:c>
      <x:c r="C697" s="10" t="str">
        <x:v>CLI013</x:v>
      </x:c>
      <x:c r="D697" s="10" t="str">
        <x:v>CC008</x:v>
      </x:c>
      <x:c r="E697" s="10" t="str">
        <x:v>CAT002</x:v>
      </x:c>
      <x:c r="F697" s="10" t="str">
        <x:v>CTA005</x:v>
      </x:c>
      <x:c r="G697" s="10" t="str">
        <x:v>FAT-200696</x:v>
      </x:c>
      <x:c r="H697" s="10" t="str">
        <x:v>Contrato mensal</x:v>
      </x:c>
      <x:c r="I697" s="16" t="n">
        <x:v>45602.200585439816</x:v>
      </x:c>
      <x:c r="J697" s="16" t="n">
        <x:v>45630.200585439816</x:v>
      </x:c>
      <x:c r="K697" s="16" t="n">
        <x:v>45628.200585439816</x:v>
      </x:c>
      <x:c r="L697" s="20" t="n">
        <x:v>78287.89</x:v>
      </x:c>
      <x:c r="M697" s="20" t="n">
        <x:v>0</x:v>
      </x:c>
      <x:c r="N697" s="20" t="n">
        <x:v>0</x:v>
      </x:c>
      <x:c r="O697" s="20" t="n">
        <x:v>78287.89</x:v>
      </x:c>
      <x:c r="P697" s="20" t="n">
        <x:v>0</x:v>
      </x:c>
      <x:c r="Q697" s="10" t="str">
        <x:v>Recebido</x:v>
      </x:c>
      <x:c r="R697" s="10" t="str">
        <x:v>TED</x:v>
      </x:c>
      <x:c r="S697" s="10" t="str">
        <x:v>2024-11</x:v>
      </x:c>
      <x:c r="T697" s="10" t="n">
        <x:v>0</x:v>
      </x:c>
      <x:c r="U697" s="10" t="str">
        <x:v>Liquidado</x:v>
      </x:c>
      <x:c r="V697" s="10" t="str">
        <x:v>Baixo</x:v>
      </x:c>
      <x:c r="W697" s="10" t="str">
        <x:v>Serviços</x:v>
      </x:c>
      <x:c r="X697" s="10" t="str">
        <x:v>UND004</x:v>
      </x:c>
    </x:row>
    <x:row r="698" ht="18" customHeight="1">
      <x:c r="A698" s="10" t="str">
        <x:v>REC00697</x:v>
      </x:c>
      <x:c r="B698" s="10" t="str">
        <x:v>EMP001</x:v>
      </x:c>
      <x:c r="C698" s="10" t="str">
        <x:v>CLI037</x:v>
      </x:c>
      <x:c r="D698" s="10" t="str">
        <x:v>CC001</x:v>
      </x:c>
      <x:c r="E698" s="10" t="str">
        <x:v>CAT002</x:v>
      </x:c>
      <x:c r="F698" s="10" t="str">
        <x:v>CTA002</x:v>
      </x:c>
      <x:c r="G698" s="10" t="str">
        <x:v>FAT-200697</x:v>
      </x:c>
      <x:c r="H698" s="10" t="str">
        <x:v>Frete faturado</x:v>
      </x:c>
      <x:c r="I698" s="16" t="n">
        <x:v>45994.719372037034</x:v>
      </x:c>
      <x:c r="J698" s="16" t="n">
        <x:v>46039.719372037034</x:v>
      </x:c>
      <x:c r="K698" s="16"/>
      <x:c r="L698" s="20" t="n">
        <x:v>50770.67</x:v>
      </x:c>
      <x:c r="M698" s="20" t="n">
        <x:v>0</x:v>
      </x:c>
      <x:c r="N698" s="20" t="n">
        <x:v>0</x:v>
      </x:c>
      <x:c r="O698" s="20" t="n">
        <x:v>0</x:v>
      </x:c>
      <x:c r="P698" s="20" t="n">
        <x:v>50770.67</x:v>
      </x:c>
      <x:c r="Q698" s="10" t="str">
        <x:v>A vencer</x:v>
      </x:c>
      <x:c r="R698" s="10" t="str">
        <x:v>TED</x:v>
      </x:c>
      <x:c r="S698" s="10" t="str">
        <x:v>2025-12</x:v>
      </x:c>
      <x:c r="T698" s="10" t="n">
        <x:v>0</x:v>
      </x:c>
      <x:c r="U698" s="10" t="str">
        <x:v>A vencer</x:v>
      </x:c>
      <x:c r="V698" s="10" t="str">
        <x:v>Baixo</x:v>
      </x:c>
      <x:c r="W698" s="10" t="str">
        <x:v>Serviços</x:v>
      </x:c>
      <x:c r="X698" s="10" t="str">
        <x:v>UND002</x:v>
      </x:c>
    </x:row>
    <x:row r="699" ht="18" customHeight="1">
      <x:c r="A699" s="10" t="str">
        <x:v>REC00698</x:v>
      </x:c>
      <x:c r="B699" s="10" t="str">
        <x:v>EMP002</x:v>
      </x:c>
      <x:c r="C699" s="10" t="str">
        <x:v>CLI036</x:v>
      </x:c>
      <x:c r="D699" s="10" t="str">
        <x:v>CC003</x:v>
      </x:c>
      <x:c r="E699" s="10" t="str">
        <x:v>CAT004</x:v>
      </x:c>
      <x:c r="F699" s="10" t="str">
        <x:v>CTA003</x:v>
      </x:c>
      <x:c r="G699" s="10" t="str">
        <x:v>FAT-200698</x:v>
      </x:c>
      <x:c r="H699" s="10" t="str">
        <x:v>Contrato mensal</x:v>
      </x:c>
      <x:c r="I699" s="16" t="n">
        <x:v>45448.50308609954</x:v>
      </x:c>
      <x:c r="J699" s="16" t="n">
        <x:v>45463.50308609954</x:v>
      </x:c>
      <x:c r="K699" s="16" t="n">
        <x:v>45463.50308609954</x:v>
      </x:c>
      <x:c r="L699" s="20" t="n">
        <x:v>43695.69</x:v>
      </x:c>
      <x:c r="M699" s="20" t="n">
        <x:v>0</x:v>
      </x:c>
      <x:c r="N699" s="20" t="n">
        <x:v>0</x:v>
      </x:c>
      <x:c r="O699" s="20" t="n">
        <x:v>43695.69</x:v>
      </x:c>
      <x:c r="P699" s="20" t="n">
        <x:v>0</x:v>
      </x:c>
      <x:c r="Q699" s="10" t="str">
        <x:v>Recebido</x:v>
      </x:c>
      <x:c r="R699" s="10" t="str">
        <x:v>Débito em Conta</x:v>
      </x:c>
      <x:c r="S699" s="10" t="str">
        <x:v>2024-06</x:v>
      </x:c>
      <x:c r="T699" s="10" t="n">
        <x:v>0</x:v>
      </x:c>
      <x:c r="U699" s="10" t="str">
        <x:v>Liquidado</x:v>
      </x:c>
      <x:c r="V699" s="10" t="str">
        <x:v>Baixo</x:v>
      </x:c>
      <x:c r="W699" s="10" t="str">
        <x:v>Atacado</x:v>
      </x:c>
      <x:c r="X699" s="10" t="str">
        <x:v>UND003</x:v>
      </x:c>
    </x:row>
    <x:row r="700" ht="18" customHeight="1">
      <x:c r="A700" s="10" t="str">
        <x:v>REC00699</x:v>
      </x:c>
      <x:c r="B700" s="10" t="str">
        <x:v>EMP001</x:v>
      </x:c>
      <x:c r="C700" s="10" t="str">
        <x:v>CLI028</x:v>
      </x:c>
      <x:c r="D700" s="10" t="str">
        <x:v>CC002</x:v>
      </x:c>
      <x:c r="E700" s="10" t="str">
        <x:v>CAT001</x:v>
      </x:c>
      <x:c r="F700" s="10" t="str">
        <x:v>CTA001</x:v>
      </x:c>
      <x:c r="G700" s="10" t="str">
        <x:v>FAT-200699</x:v>
      </x:c>
      <x:c r="H700" s="10" t="str">
        <x:v>Frete faturado</x:v>
      </x:c>
      <x:c r="I700" s="16" t="n">
        <x:v>45621.322733113426</x:v>
      </x:c>
      <x:c r="J700" s="16" t="n">
        <x:v>45666.322733113426</x:v>
      </x:c>
      <x:c r="K700" s="16" t="n">
        <x:v>45673.322733113426</x:v>
      </x:c>
      <x:c r="L700" s="20" t="n">
        <x:v>52549.78</x:v>
      </x:c>
      <x:c r="M700" s="20" t="n">
        <x:v>294.28</x:v>
      </x:c>
      <x:c r="N700" s="20" t="n">
        <x:v>0</x:v>
      </x:c>
      <x:c r="O700" s="20" t="n">
        <x:v>52844.06</x:v>
      </x:c>
      <x:c r="P700" s="20" t="n">
        <x:v>0</x:v>
      </x:c>
      <x:c r="Q700" s="10" t="str">
        <x:v>Recebido</x:v>
      </x:c>
      <x:c r="R700" s="10" t="str">
        <x:v>Cartão</x:v>
      </x:c>
      <x:c r="S700" s="10" t="str">
        <x:v>2024-11</x:v>
      </x:c>
      <x:c r="T700" s="10" t="n">
        <x:v>0</x:v>
      </x:c>
      <x:c r="U700" s="10" t="str">
        <x:v>Liquidado</x:v>
      </x:c>
      <x:c r="V700" s="10" t="str">
        <x:v>Baixo</x:v>
      </x:c>
      <x:c r="W700" s="10" t="str">
        <x:v>Serviços</x:v>
      </x:c>
      <x:c r="X700" s="10" t="str">
        <x:v>UND002</x:v>
      </x:c>
    </x:row>
    <x:row r="701" ht="18" customHeight="1">
      <x:c r="A701" s="10" t="str">
        <x:v>REC00700</x:v>
      </x:c>
      <x:c r="B701" s="10" t="str">
        <x:v>EMP003</x:v>
      </x:c>
      <x:c r="C701" s="10" t="str">
        <x:v>CLI031</x:v>
      </x:c>
      <x:c r="D701" s="10" t="str">
        <x:v>CC008</x:v>
      </x:c>
      <x:c r="E701" s="10" t="str">
        <x:v>CAT003</x:v>
      </x:c>
      <x:c r="F701" s="10" t="str">
        <x:v>CTA006</x:v>
      </x:c>
      <x:c r="G701" s="10" t="str">
        <x:v>FAT-200700</x:v>
      </x:c>
      <x:c r="H701" s="10" t="str">
        <x:v>Venda de produtos</x:v>
      </x:c>
      <x:c r="I701" s="16" t="n">
        <x:v>45536.13001122685</x:v>
      </x:c>
      <x:c r="J701" s="16" t="n">
        <x:v>45571.13001122685</x:v>
      </x:c>
      <x:c r="K701" s="16" t="n">
        <x:v>45573.13001122685</x:v>
      </x:c>
      <x:c r="L701" s="20" t="n">
        <x:v>134548.6</x:v>
      </x:c>
      <x:c r="M701" s="20" t="n">
        <x:v>215.28</x:v>
      </x:c>
      <x:c r="N701" s="20" t="n">
        <x:v>0</x:v>
      </x:c>
      <x:c r="O701" s="20" t="n">
        <x:v>134763.88</x:v>
      </x:c>
      <x:c r="P701" s="20" t="n">
        <x:v>0</x:v>
      </x:c>
      <x:c r="Q701" s="10" t="str">
        <x:v>Recebido</x:v>
      </x:c>
      <x:c r="R701" s="10" t="str">
        <x:v>Cartão</x:v>
      </x:c>
      <x:c r="S701" s="10" t="str">
        <x:v>2024-09</x:v>
      </x:c>
      <x:c r="T701" s="10" t="n">
        <x:v>0</x:v>
      </x:c>
      <x:c r="U701" s="10" t="str">
        <x:v>Liquidado</x:v>
      </x:c>
      <x:c r="V701" s="10" t="str">
        <x:v>Baixo</x:v>
      </x:c>
      <x:c r="W701" s="10" t="str">
        <x:v>Serviços</x:v>
      </x:c>
      <x:c r="X701" s="10" t="str">
        <x:v>UND004</x:v>
      </x:c>
    </x:row>
    <x:row r="702" ht="18" customHeight="1">
      <x:c r="A702" s="10" t="str">
        <x:v>REC00701</x:v>
      </x:c>
      <x:c r="B702" s="10" t="str">
        <x:v>EMP003</x:v>
      </x:c>
      <x:c r="C702" s="10" t="str">
        <x:v>CLI041</x:v>
      </x:c>
      <x:c r="D702" s="10" t="str">
        <x:v>CC006</x:v>
      </x:c>
      <x:c r="E702" s="10" t="str">
        <x:v>CAT002</x:v>
      </x:c>
      <x:c r="F702" s="10" t="str">
        <x:v>CTA005</x:v>
      </x:c>
      <x:c r="G702" s="10" t="str">
        <x:v>FAT-200701</x:v>
      </x:c>
      <x:c r="H702" s="10" t="str">
        <x:v>Venda de produtos</x:v>
      </x:c>
      <x:c r="I702" s="16" t="n">
        <x:v>45856.07224101852</x:v>
      </x:c>
      <x:c r="J702" s="16" t="n">
        <x:v>45871.07224101852</x:v>
      </x:c>
      <x:c r="K702" s="16" t="n">
        <x:v>45885.07224101852</x:v>
      </x:c>
      <x:c r="L702" s="20" t="n">
        <x:v>48874.16</x:v>
      </x:c>
      <x:c r="M702" s="20" t="n">
        <x:v>547.39</x:v>
      </x:c>
      <x:c r="N702" s="20" t="n">
        <x:v>0</x:v>
      </x:c>
      <x:c r="O702" s="20" t="n">
        <x:v>49421.55</x:v>
      </x:c>
      <x:c r="P702" s="20" t="n">
        <x:v>0</x:v>
      </x:c>
      <x:c r="Q702" s="10" t="str">
        <x:v>Recebido</x:v>
      </x:c>
      <x:c r="R702" s="10" t="str">
        <x:v>Débito em Conta</x:v>
      </x:c>
      <x:c r="S702" s="10" t="str">
        <x:v>2025-07</x:v>
      </x:c>
      <x:c r="T702" s="10" t="n">
        <x:v>0</x:v>
      </x:c>
      <x:c r="U702" s="10" t="str">
        <x:v>Liquidado</x:v>
      </x:c>
      <x:c r="V702" s="10" t="str">
        <x:v>Alto</x:v>
      </x:c>
      <x:c r="W702" s="10" t="str">
        <x:v>Indústria</x:v>
      </x:c>
      <x:c r="X702" s="10" t="str">
        <x:v>UND004</x:v>
      </x:c>
    </x:row>
    <x:row r="703" ht="18" customHeight="1">
      <x:c r="A703" s="10" t="str">
        <x:v>REC00702</x:v>
      </x:c>
      <x:c r="B703" s="10" t="str">
        <x:v>EMP003</x:v>
      </x:c>
      <x:c r="C703" s="10" t="str">
        <x:v>CLI035</x:v>
      </x:c>
      <x:c r="D703" s="10" t="str">
        <x:v>CC006</x:v>
      </x:c>
      <x:c r="E703" s="10" t="str">
        <x:v>CAT004</x:v>
      </x:c>
      <x:c r="F703" s="10" t="str">
        <x:v>CTA006</x:v>
      </x:c>
      <x:c r="G703" s="10" t="str">
        <x:v>FAT-200702</x:v>
      </x:c>
      <x:c r="H703" s="10" t="str">
        <x:v>Projeto especial</x:v>
      </x:c>
      <x:c r="I703" s="16" t="n">
        <x:v>45477.28872373843</x:v>
      </x:c>
      <x:c r="J703" s="16" t="n">
        <x:v>45507.28872373843</x:v>
      </x:c>
      <x:c r="K703" s="16" t="n">
        <x:v>45513.28872373843</x:v>
      </x:c>
      <x:c r="L703" s="20" t="n">
        <x:v>48826.83</x:v>
      </x:c>
      <x:c r="M703" s="20" t="n">
        <x:v>234.37</x:v>
      </x:c>
      <x:c r="N703" s="20" t="n">
        <x:v>0</x:v>
      </x:c>
      <x:c r="O703" s="20" t="n">
        <x:v>49061.2</x:v>
      </x:c>
      <x:c r="P703" s="20" t="n">
        <x:v>0</x:v>
      </x:c>
      <x:c r="Q703" s="10" t="str">
        <x:v>Recebido</x:v>
      </x:c>
      <x:c r="R703" s="10" t="str">
        <x:v>Débito em Conta</x:v>
      </x:c>
      <x:c r="S703" s="10" t="str">
        <x:v>2024-07</x:v>
      </x:c>
      <x:c r="T703" s="10" t="n">
        <x:v>0</x:v>
      </x:c>
      <x:c r="U703" s="10" t="str">
        <x:v>Liquidado</x:v>
      </x:c>
      <x:c r="V703" s="10" t="str">
        <x:v>Médio</x:v>
      </x:c>
      <x:c r="W703" s="10" t="str">
        <x:v>Varejo</x:v>
      </x:c>
      <x:c r="X703" s="10" t="str">
        <x:v>UND004</x:v>
      </x:c>
    </x:row>
    <x:row r="704" ht="18" customHeight="1">
      <x:c r="A704" s="10" t="str">
        <x:v>REC00703</x:v>
      </x:c>
      <x:c r="B704" s="10" t="str">
        <x:v>EMP002</x:v>
      </x:c>
      <x:c r="C704" s="10" t="str">
        <x:v>CLI068</x:v>
      </x:c>
      <x:c r="D704" s="10" t="str">
        <x:v>CC006</x:v>
      </x:c>
      <x:c r="E704" s="10" t="str">
        <x:v>CAT002</x:v>
      </x:c>
      <x:c r="F704" s="10" t="str">
        <x:v>CTA004</x:v>
      </x:c>
      <x:c r="G704" s="10" t="str">
        <x:v>FAT-200703</x:v>
      </x:c>
      <x:c r="H704" s="10" t="str">
        <x:v>Frete faturado</x:v>
      </x:c>
      <x:c r="I704" s="16" t="n">
        <x:v>45511.458689444444</x:v>
      </x:c>
      <x:c r="J704" s="16" t="n">
        <x:v>45539.458689444444</x:v>
      </x:c>
      <x:c r="K704" s="16" t="n">
        <x:v>45542.458689444444</x:v>
      </x:c>
      <x:c r="L704" s="20" t="n">
        <x:v>133787.14</x:v>
      </x:c>
      <x:c r="M704" s="20" t="n">
        <x:v>321.09</x:v>
      </x:c>
      <x:c r="N704" s="20" t="n">
        <x:v>0</x:v>
      </x:c>
      <x:c r="O704" s="20" t="n">
        <x:v>134108.23</x:v>
      </x:c>
      <x:c r="P704" s="20" t="n">
        <x:v>0</x:v>
      </x:c>
      <x:c r="Q704" s="10" t="str">
        <x:v>Recebido</x:v>
      </x:c>
      <x:c r="R704" s="10" t="str">
        <x:v>Cartão</x:v>
      </x:c>
      <x:c r="S704" s="10" t="str">
        <x:v>2024-08</x:v>
      </x:c>
      <x:c r="T704" s="10" t="n">
        <x:v>0</x:v>
      </x:c>
      <x:c r="U704" s="10" t="str">
        <x:v>Liquidado</x:v>
      </x:c>
      <x:c r="V704" s="10" t="str">
        <x:v>Médio</x:v>
      </x:c>
      <x:c r="W704" s="10" t="str">
        <x:v>Varejo</x:v>
      </x:c>
      <x:c r="X704" s="10" t="str">
        <x:v>UND003</x:v>
      </x:c>
    </x:row>
    <x:row r="705" ht="18" customHeight="1">
      <x:c r="A705" s="10" t="str">
        <x:v>REC00704</x:v>
      </x:c>
      <x:c r="B705" s="10" t="str">
        <x:v>EMP002</x:v>
      </x:c>
      <x:c r="C705" s="10" t="str">
        <x:v>CLI021</x:v>
      </x:c>
      <x:c r="D705" s="10" t="str">
        <x:v>CC007</x:v>
      </x:c>
      <x:c r="E705" s="10" t="str">
        <x:v>CAT002</x:v>
      </x:c>
      <x:c r="F705" s="10" t="str">
        <x:v>CTA004</x:v>
      </x:c>
      <x:c r="G705" s="10" t="str">
        <x:v>FAT-200704</x:v>
      </x:c>
      <x:c r="H705" s="10" t="str">
        <x:v>Projeto especial</x:v>
      </x:c>
      <x:c r="I705" s="16" t="n">
        <x:v>45589.92486378472</x:v>
      </x:c>
      <x:c r="J705" s="16" t="n">
        <x:v>45624.92486378472</x:v>
      </x:c>
      <x:c r="K705" s="16" t="n">
        <x:v>45631.92486378472</x:v>
      </x:c>
      <x:c r="L705" s="20" t="n">
        <x:v>76769.35</x:v>
      </x:c>
      <x:c r="M705" s="20" t="n">
        <x:v>429.91</x:v>
      </x:c>
      <x:c r="N705" s="20" t="n">
        <x:v>0</x:v>
      </x:c>
      <x:c r="O705" s="20" t="n">
        <x:v>77199.26</x:v>
      </x:c>
      <x:c r="P705" s="20" t="n">
        <x:v>0</x:v>
      </x:c>
      <x:c r="Q705" s="10" t="str">
        <x:v>Recebido</x:v>
      </x:c>
      <x:c r="R705" s="10" t="str">
        <x:v>Débito em Conta</x:v>
      </x:c>
      <x:c r="S705" s="10" t="str">
        <x:v>2024-10</x:v>
      </x:c>
      <x:c r="T705" s="10" t="n">
        <x:v>0</x:v>
      </x:c>
      <x:c r="U705" s="10" t="str">
        <x:v>Liquidado</x:v>
      </x:c>
      <x:c r="V705" s="10" t="str">
        <x:v>Baixo</x:v>
      </x:c>
      <x:c r="W705" s="10" t="str">
        <x:v>Indústria</x:v>
      </x:c>
      <x:c r="X705" s="10" t="str">
        <x:v>UND003</x:v>
      </x:c>
    </x:row>
    <x:row r="706" ht="18" customHeight="1">
      <x:c r="A706" s="10" t="str">
        <x:v>REC00705</x:v>
      </x:c>
      <x:c r="B706" s="10" t="str">
        <x:v>EMP001</x:v>
      </x:c>
      <x:c r="C706" s="10" t="str">
        <x:v>CLI058</x:v>
      </x:c>
      <x:c r="D706" s="10" t="str">
        <x:v>CC003</x:v>
      </x:c>
      <x:c r="E706" s="10" t="str">
        <x:v>CAT004</x:v>
      </x:c>
      <x:c r="F706" s="10" t="str">
        <x:v>CTA002</x:v>
      </x:c>
      <x:c r="G706" s="10" t="str">
        <x:v>FAT-200705</x:v>
      </x:c>
      <x:c r="H706" s="10" t="str">
        <x:v>Projeto especial</x:v>
      </x:c>
      <x:c r="I706" s="16" t="n">
        <x:v>45845.51586060185</x:v>
      </x:c>
      <x:c r="J706" s="16" t="n">
        <x:v>45905.51586060185</x:v>
      </x:c>
      <x:c r="K706" s="16" t="n">
        <x:v>45910.51586060185</x:v>
      </x:c>
      <x:c r="L706" s="20" t="n">
        <x:v>109503.94</x:v>
      </x:c>
      <x:c r="M706" s="20" t="n">
        <x:v>438.02</x:v>
      </x:c>
      <x:c r="N706" s="20" t="n">
        <x:v>0</x:v>
      </x:c>
      <x:c r="O706" s="20" t="n">
        <x:v>109941.96</x:v>
      </x:c>
      <x:c r="P706" s="20" t="n">
        <x:v>0</x:v>
      </x:c>
      <x:c r="Q706" s="10" t="str">
        <x:v>Recebido</x:v>
      </x:c>
      <x:c r="R706" s="10" t="str">
        <x:v>PIX</x:v>
      </x:c>
      <x:c r="S706" s="10" t="str">
        <x:v>2025-07</x:v>
      </x:c>
      <x:c r="T706" s="10" t="n">
        <x:v>0</x:v>
      </x:c>
      <x:c r="U706" s="10" t="str">
        <x:v>Liquidado</x:v>
      </x:c>
      <x:c r="V706" s="10" t="str">
        <x:v>Baixo</x:v>
      </x:c>
      <x:c r="W706" s="10" t="str">
        <x:v>Atacado</x:v>
      </x:c>
      <x:c r="X706" s="10" t="str">
        <x:v>UND001</x:v>
      </x:c>
    </x:row>
    <x:row r="707" ht="18" customHeight="1">
      <x:c r="A707" s="10" t="str">
        <x:v>REC00706</x:v>
      </x:c>
      <x:c r="B707" s="10" t="str">
        <x:v>EMP003</x:v>
      </x:c>
      <x:c r="C707" s="10" t="str">
        <x:v>CLI014</x:v>
      </x:c>
      <x:c r="D707" s="10" t="str">
        <x:v>CC005</x:v>
      </x:c>
      <x:c r="E707" s="10" t="str">
        <x:v>CAT003</x:v>
      </x:c>
      <x:c r="F707" s="10" t="str">
        <x:v>CTA005</x:v>
      </x:c>
      <x:c r="G707" s="10" t="str">
        <x:v>FAT-200706</x:v>
      </x:c>
      <x:c r="H707" s="10" t="str">
        <x:v>Venda de produtos</x:v>
      </x:c>
      <x:c r="I707" s="16" t="n">
        <x:v>45855.718736759256</x:v>
      </x:c>
      <x:c r="J707" s="16" t="n">
        <x:v>45900.718736759256</x:v>
      </x:c>
      <x:c r="K707" s="16" t="n">
        <x:v>45899.718736759256</x:v>
      </x:c>
      <x:c r="L707" s="20" t="n">
        <x:v>19604.06</x:v>
      </x:c>
      <x:c r="M707" s="20" t="n">
        <x:v>0</x:v>
      </x:c>
      <x:c r="N707" s="20" t="n">
        <x:v>0</x:v>
      </x:c>
      <x:c r="O707" s="20" t="n">
        <x:v>19604.06</x:v>
      </x:c>
      <x:c r="P707" s="20" t="n">
        <x:v>0</x:v>
      </x:c>
      <x:c r="Q707" s="10" t="str">
        <x:v>Recebido</x:v>
      </x:c>
      <x:c r="R707" s="10" t="str">
        <x:v>Cartão</x:v>
      </x:c>
      <x:c r="S707" s="10" t="str">
        <x:v>2025-07</x:v>
      </x:c>
      <x:c r="T707" s="10" t="n">
        <x:v>0</x:v>
      </x:c>
      <x:c r="U707" s="10" t="str">
        <x:v>Liquidado</x:v>
      </x:c>
      <x:c r="V707" s="10" t="str">
        <x:v>Médio</x:v>
      </x:c>
      <x:c r="W707" s="10" t="str">
        <x:v>Saúde</x:v>
      </x:c>
      <x:c r="X707" s="10" t="str">
        <x:v>UND004</x:v>
      </x:c>
    </x:row>
    <x:row r="708" ht="18" customHeight="1">
      <x:c r="A708" s="10" t="str">
        <x:v>REC00707</x:v>
      </x:c>
      <x:c r="B708" s="10" t="str">
        <x:v>EMP002</x:v>
      </x:c>
      <x:c r="C708" s="10" t="str">
        <x:v>CLI024</x:v>
      </x:c>
      <x:c r="D708" s="10" t="str">
        <x:v>CC005</x:v>
      </x:c>
      <x:c r="E708" s="10" t="str">
        <x:v>CAT002</x:v>
      </x:c>
      <x:c r="F708" s="10" t="str">
        <x:v>CTA003</x:v>
      </x:c>
      <x:c r="G708" s="10" t="str">
        <x:v>FAT-200707</x:v>
      </x:c>
      <x:c r="H708" s="10" t="str">
        <x:v>Contrato mensal</x:v>
      </x:c>
      <x:c r="I708" s="16" t="n">
        <x:v>45546.337621493054</x:v>
      </x:c>
      <x:c r="J708" s="16" t="n">
        <x:v>45561.337621493054</x:v>
      </x:c>
      <x:c r="K708" s="16" t="n">
        <x:v>45560.337621493054</x:v>
      </x:c>
      <x:c r="L708" s="20" t="n">
        <x:v>111091.13</x:v>
      </x:c>
      <x:c r="M708" s="20" t="n">
        <x:v>0</x:v>
      </x:c>
      <x:c r="N708" s="20" t="n">
        <x:v>0</x:v>
      </x:c>
      <x:c r="O708" s="20" t="n">
        <x:v>111091.13</x:v>
      </x:c>
      <x:c r="P708" s="20" t="n">
        <x:v>0</x:v>
      </x:c>
      <x:c r="Q708" s="10" t="str">
        <x:v>Recebido</x:v>
      </x:c>
      <x:c r="R708" s="10" t="str">
        <x:v>Cartão</x:v>
      </x:c>
      <x:c r="S708" s="10" t="str">
        <x:v>2024-09</x:v>
      </x:c>
      <x:c r="T708" s="10" t="n">
        <x:v>0</x:v>
      </x:c>
      <x:c r="U708" s="10" t="str">
        <x:v>Liquidado</x:v>
      </x:c>
      <x:c r="V708" s="10" t="str">
        <x:v>Baixo</x:v>
      </x:c>
      <x:c r="W708" s="10" t="str">
        <x:v>Saúde</x:v>
      </x:c>
      <x:c r="X708" s="10" t="str">
        <x:v>UND003</x:v>
      </x:c>
    </x:row>
    <x:row r="709" ht="18" customHeight="1">
      <x:c r="A709" s="10" t="str">
        <x:v>REC00708</x:v>
      </x:c>
      <x:c r="B709" s="10" t="str">
        <x:v>EMP001</x:v>
      </x:c>
      <x:c r="C709" s="10" t="str">
        <x:v>CLI032</x:v>
      </x:c>
      <x:c r="D709" s="10" t="str">
        <x:v>CC004</x:v>
      </x:c>
      <x:c r="E709" s="10" t="str">
        <x:v>CAT002</x:v>
      </x:c>
      <x:c r="F709" s="10" t="str">
        <x:v>CTA002</x:v>
      </x:c>
      <x:c r="G709" s="10" t="str">
        <x:v>FAT-200708</x:v>
      </x:c>
      <x:c r="H709" s="10" t="str">
        <x:v>Frete faturado</x:v>
      </x:c>
      <x:c r="I709" s="16" t="n">
        <x:v>46006.04527653935</x:v>
      </x:c>
      <x:c r="J709" s="16" t="n">
        <x:v>46041.04527653935</x:v>
      </x:c>
      <x:c r="K709" s="16"/>
      <x:c r="L709" s="20" t="n">
        <x:v>3584.37</x:v>
      </x:c>
      <x:c r="M709" s="20" t="n">
        <x:v>0</x:v>
      </x:c>
      <x:c r="N709" s="20" t="n">
        <x:v>0</x:v>
      </x:c>
      <x:c r="O709" s="20" t="n">
        <x:v>0</x:v>
      </x:c>
      <x:c r="P709" s="20" t="n">
        <x:v>3584.37</x:v>
      </x:c>
      <x:c r="Q709" s="10" t="str">
        <x:v>A vencer</x:v>
      </x:c>
      <x:c r="R709" s="10" t="str">
        <x:v>TED</x:v>
      </x:c>
      <x:c r="S709" s="10" t="str">
        <x:v>2025-12</x:v>
      </x:c>
      <x:c r="T709" s="10" t="n">
        <x:v>0</x:v>
      </x:c>
      <x:c r="U709" s="10" t="str">
        <x:v>A vencer</x:v>
      </x:c>
      <x:c r="V709" s="10" t="str">
        <x:v>Baixo</x:v>
      </x:c>
      <x:c r="W709" s="10" t="str">
        <x:v>Tecnologia</x:v>
      </x:c>
      <x:c r="X709" s="10" t="str">
        <x:v>UND001</x:v>
      </x:c>
    </x:row>
    <x:row r="710" ht="18" customHeight="1">
      <x:c r="A710" s="10" t="str">
        <x:v>REC00709</x:v>
      </x:c>
      <x:c r="B710" s="10" t="str">
        <x:v>EMP002</x:v>
      </x:c>
      <x:c r="C710" s="10" t="str">
        <x:v>CLI026</x:v>
      </x:c>
      <x:c r="D710" s="10" t="str">
        <x:v>CC005</x:v>
      </x:c>
      <x:c r="E710" s="10" t="str">
        <x:v>CAT003</x:v>
      </x:c>
      <x:c r="F710" s="10" t="str">
        <x:v>CTA004</x:v>
      </x:c>
      <x:c r="G710" s="10" t="str">
        <x:v>FAT-200709</x:v>
      </x:c>
      <x:c r="H710" s="10" t="str">
        <x:v>Venda de produtos</x:v>
      </x:c>
      <x:c r="I710" s="16" t="n">
        <x:v>45484.46357032407</x:v>
      </x:c>
      <x:c r="J710" s="16" t="n">
        <x:v>45529.46357032407</x:v>
      </x:c>
      <x:c r="K710" s="16" t="n">
        <x:v>45539.46357032407</x:v>
      </x:c>
      <x:c r="L710" s="20" t="n">
        <x:v>111358.23</x:v>
      </x:c>
      <x:c r="M710" s="20" t="n">
        <x:v>890.87</x:v>
      </x:c>
      <x:c r="N710" s="20" t="n">
        <x:v>0</x:v>
      </x:c>
      <x:c r="O710" s="20" t="n">
        <x:v>112249.1</x:v>
      </x:c>
      <x:c r="P710" s="20" t="n">
        <x:v>0</x:v>
      </x:c>
      <x:c r="Q710" s="10" t="str">
        <x:v>Recebido</x:v>
      </x:c>
      <x:c r="R710" s="10" t="str">
        <x:v>TED</x:v>
      </x:c>
      <x:c r="S710" s="10" t="str">
        <x:v>2024-07</x:v>
      </x:c>
      <x:c r="T710" s="10" t="n">
        <x:v>0</x:v>
      </x:c>
      <x:c r="U710" s="10" t="str">
        <x:v>Liquidado</x:v>
      </x:c>
      <x:c r="V710" s="10" t="str">
        <x:v>Médio</x:v>
      </x:c>
      <x:c r="W710" s="10" t="str">
        <x:v>Atacado</x:v>
      </x:c>
      <x:c r="X710" s="10" t="str">
        <x:v>UND003</x:v>
      </x:c>
    </x:row>
    <x:row r="711" ht="18" customHeight="1">
      <x:c r="A711" s="10" t="str">
        <x:v>REC00710</x:v>
      </x:c>
      <x:c r="B711" s="10" t="str">
        <x:v>EMP003</x:v>
      </x:c>
      <x:c r="C711" s="10" t="str">
        <x:v>CLI025</x:v>
      </x:c>
      <x:c r="D711" s="10" t="str">
        <x:v>CC007</x:v>
      </x:c>
      <x:c r="E711" s="10" t="str">
        <x:v>CAT002</x:v>
      </x:c>
      <x:c r="F711" s="10" t="str">
        <x:v>CTA006</x:v>
      </x:c>
      <x:c r="G711" s="10" t="str">
        <x:v>FAT-200710</x:v>
      </x:c>
      <x:c r="H711" s="10" t="str">
        <x:v>Venda de produtos</x:v>
      </x:c>
      <x:c r="I711" s="16" t="n">
        <x:v>45374.71514193287</x:v>
      </x:c>
      <x:c r="J711" s="16" t="n">
        <x:v>45409.71514193287</x:v>
      </x:c>
      <x:c r="K711" s="16" t="n">
        <x:v>45418.71514193287</x:v>
      </x:c>
      <x:c r="L711" s="20" t="n">
        <x:v>7688.09</x:v>
      </x:c>
      <x:c r="M711" s="20" t="n">
        <x:v>55.35</x:v>
      </x:c>
      <x:c r="N711" s="20" t="n">
        <x:v>0</x:v>
      </x:c>
      <x:c r="O711" s="20" t="n">
        <x:v>7743.44</x:v>
      </x:c>
      <x:c r="P711" s="20" t="n">
        <x:v>0</x:v>
      </x:c>
      <x:c r="Q711" s="10" t="str">
        <x:v>Recebido</x:v>
      </x:c>
      <x:c r="R711" s="10" t="str">
        <x:v>Cartão</x:v>
      </x:c>
      <x:c r="S711" s="10" t="str">
        <x:v>2024-03</x:v>
      </x:c>
      <x:c r="T711" s="10" t="n">
        <x:v>0</x:v>
      </x:c>
      <x:c r="U711" s="10" t="str">
        <x:v>Liquidado</x:v>
      </x:c>
      <x:c r="V711" s="10" t="str">
        <x:v>Médio</x:v>
      </x:c>
      <x:c r="W711" s="10" t="str">
        <x:v>Indústria</x:v>
      </x:c>
      <x:c r="X711" s="10" t="str">
        <x:v>UND004</x:v>
      </x:c>
    </x:row>
    <x:row r="712" ht="18" customHeight="1">
      <x:c r="A712" s="10" t="str">
        <x:v>REC00711</x:v>
      </x:c>
      <x:c r="B712" s="10" t="str">
        <x:v>EMP003</x:v>
      </x:c>
      <x:c r="C712" s="10" t="str">
        <x:v>CLI062</x:v>
      </x:c>
      <x:c r="D712" s="10" t="str">
        <x:v>CC006</x:v>
      </x:c>
      <x:c r="E712" s="10" t="str">
        <x:v>CAT003</x:v>
      </x:c>
      <x:c r="F712" s="10" t="str">
        <x:v>CTA005</x:v>
      </x:c>
      <x:c r="G712" s="10" t="str">
        <x:v>FAT-200711</x:v>
      </x:c>
      <x:c r="H712" s="10" t="str">
        <x:v>Frete faturado</x:v>
      </x:c>
      <x:c r="I712" s="16" t="n">
        <x:v>45682.56075708333</x:v>
      </x:c>
      <x:c r="J712" s="16" t="n">
        <x:v>45697.56075708333</x:v>
      </x:c>
      <x:c r="K712" s="16" t="n">
        <x:v>45692.56075708333</x:v>
      </x:c>
      <x:c r="L712" s="20" t="n">
        <x:v>71700.66</x:v>
      </x:c>
      <x:c r="M712" s="20" t="n">
        <x:v>0</x:v>
      </x:c>
      <x:c r="N712" s="20" t="n">
        <x:v>0</x:v>
      </x:c>
      <x:c r="O712" s="20" t="n">
        <x:v>71700.66</x:v>
      </x:c>
      <x:c r="P712" s="20" t="n">
        <x:v>0</x:v>
      </x:c>
      <x:c r="Q712" s="10" t="str">
        <x:v>Recebido</x:v>
      </x:c>
      <x:c r="R712" s="10" t="str">
        <x:v>Cartão</x:v>
      </x:c>
      <x:c r="S712" s="10" t="str">
        <x:v>2025-01</x:v>
      </x:c>
      <x:c r="T712" s="10" t="n">
        <x:v>0</x:v>
      </x:c>
      <x:c r="U712" s="10" t="str">
        <x:v>Liquidado</x:v>
      </x:c>
      <x:c r="V712" s="10" t="str">
        <x:v>Baixo</x:v>
      </x:c>
      <x:c r="W712" s="10" t="str">
        <x:v>Saúde</x:v>
      </x:c>
      <x:c r="X712" s="10" t="str">
        <x:v>UND004</x:v>
      </x:c>
    </x:row>
    <x:row r="713" ht="18" customHeight="1">
      <x:c r="A713" s="10" t="str">
        <x:v>REC00712</x:v>
      </x:c>
      <x:c r="B713" s="10" t="str">
        <x:v>EMP002</x:v>
      </x:c>
      <x:c r="C713" s="10" t="str">
        <x:v>CLI043</x:v>
      </x:c>
      <x:c r="D713" s="10" t="str">
        <x:v>CC008</x:v>
      </x:c>
      <x:c r="E713" s="10" t="str">
        <x:v>CAT001</x:v>
      </x:c>
      <x:c r="F713" s="10" t="str">
        <x:v>CTA004</x:v>
      </x:c>
      <x:c r="G713" s="10" t="str">
        <x:v>FAT-200712</x:v>
      </x:c>
      <x:c r="H713" s="10" t="str">
        <x:v>Venda de produtos</x:v>
      </x:c>
      <x:c r="I713" s="16" t="n">
        <x:v>45738.28527177083</x:v>
      </x:c>
      <x:c r="J713" s="16" t="n">
        <x:v>45768.28527177083</x:v>
      </x:c>
      <x:c r="K713" s="16" t="n">
        <x:v>45772.28527177083</x:v>
      </x:c>
      <x:c r="L713" s="20" t="n">
        <x:v>83211.54</x:v>
      </x:c>
      <x:c r="M713" s="20" t="n">
        <x:v>266.28</x:v>
      </x:c>
      <x:c r="N713" s="20" t="n">
        <x:v>0</x:v>
      </x:c>
      <x:c r="O713" s="20" t="n">
        <x:v>83477.82</x:v>
      </x:c>
      <x:c r="P713" s="20" t="n">
        <x:v>0</x:v>
      </x:c>
      <x:c r="Q713" s="10" t="str">
        <x:v>Recebido</x:v>
      </x:c>
      <x:c r="R713" s="10" t="str">
        <x:v>TED</x:v>
      </x:c>
      <x:c r="S713" s="10" t="str">
        <x:v>2025-03</x:v>
      </x:c>
      <x:c r="T713" s="10" t="n">
        <x:v>0</x:v>
      </x:c>
      <x:c r="U713" s="10" t="str">
        <x:v>Liquidado</x:v>
      </x:c>
      <x:c r="V713" s="10" t="str">
        <x:v>Baixo</x:v>
      </x:c>
      <x:c r="W713" s="10" t="str">
        <x:v>Atacado</x:v>
      </x:c>
      <x:c r="X713" s="10" t="str">
        <x:v>UND003</x:v>
      </x:c>
    </x:row>
    <x:row r="714" ht="18" customHeight="1">
      <x:c r="A714" s="10" t="str">
        <x:v>REC00713</x:v>
      </x:c>
      <x:c r="B714" s="10" t="str">
        <x:v>EMP002</x:v>
      </x:c>
      <x:c r="C714" s="10" t="str">
        <x:v>CLI079</x:v>
      </x:c>
      <x:c r="D714" s="10" t="str">
        <x:v>CC001</x:v>
      </x:c>
      <x:c r="E714" s="10" t="str">
        <x:v>CAT001</x:v>
      </x:c>
      <x:c r="F714" s="10" t="str">
        <x:v>CTA004</x:v>
      </x:c>
      <x:c r="G714" s="10" t="str">
        <x:v>FAT-200713</x:v>
      </x:c>
      <x:c r="H714" s="10" t="str">
        <x:v>Contrato mensal</x:v>
      </x:c>
      <x:c r="I714" s="16" t="n">
        <x:v>45714.489043298614</x:v>
      </x:c>
      <x:c r="J714" s="16" t="n">
        <x:v>45742.489043298614</x:v>
      </x:c>
      <x:c r="K714" s="16" t="n">
        <x:v>45745.489043298614</x:v>
      </x:c>
      <x:c r="L714" s="20" t="n">
        <x:v>22864.41</x:v>
      </x:c>
      <x:c r="M714" s="20" t="n">
        <x:v>54.87</x:v>
      </x:c>
      <x:c r="N714" s="20" t="n">
        <x:v>0</x:v>
      </x:c>
      <x:c r="O714" s="20" t="n">
        <x:v>22919.28</x:v>
      </x:c>
      <x:c r="P714" s="20" t="n">
        <x:v>0</x:v>
      </x:c>
      <x:c r="Q714" s="10" t="str">
        <x:v>Recebido</x:v>
      </x:c>
      <x:c r="R714" s="10" t="str">
        <x:v>Cartão</x:v>
      </x:c>
      <x:c r="S714" s="10" t="str">
        <x:v>2025-02</x:v>
      </x:c>
      <x:c r="T714" s="10" t="n">
        <x:v>0</x:v>
      </x:c>
      <x:c r="U714" s="10" t="str">
        <x:v>Liquidado</x:v>
      </x:c>
      <x:c r="V714" s="10" t="str">
        <x:v>Baixo</x:v>
      </x:c>
      <x:c r="W714" s="10" t="str">
        <x:v>Tecnologia</x:v>
      </x:c>
      <x:c r="X714" s="10" t="str">
        <x:v>UND003</x:v>
      </x:c>
    </x:row>
    <x:row r="715" ht="18" customHeight="1">
      <x:c r="A715" s="10" t="str">
        <x:v>REC00714</x:v>
      </x:c>
      <x:c r="B715" s="10" t="str">
        <x:v>EMP002</x:v>
      </x:c>
      <x:c r="C715" s="10" t="str">
        <x:v>CLI035</x:v>
      </x:c>
      <x:c r="D715" s="10" t="str">
        <x:v>CC001</x:v>
      </x:c>
      <x:c r="E715" s="10" t="str">
        <x:v>CAT002</x:v>
      </x:c>
      <x:c r="F715" s="10" t="str">
        <x:v>CTA004</x:v>
      </x:c>
      <x:c r="G715" s="10" t="str">
        <x:v>FAT-200714</x:v>
      </x:c>
      <x:c r="H715" s="10" t="str">
        <x:v>Prestação de serviços</x:v>
      </x:c>
      <x:c r="I715" s="16" t="n">
        <x:v>45584.71858980324</x:v>
      </x:c>
      <x:c r="J715" s="16" t="n">
        <x:v>45605.71858980324</x:v>
      </x:c>
      <x:c r="K715" s="16" t="n">
        <x:v>45600.71858980324</x:v>
      </x:c>
      <x:c r="L715" s="20" t="n">
        <x:v>35886.65</x:v>
      </x:c>
      <x:c r="M715" s="20" t="n">
        <x:v>0</x:v>
      </x:c>
      <x:c r="N715" s="20" t="n">
        <x:v>717.73</x:v>
      </x:c>
      <x:c r="O715" s="20" t="n">
        <x:v>35168.92</x:v>
      </x:c>
      <x:c r="P715" s="20" t="n">
        <x:v>0</x:v>
      </x:c>
      <x:c r="Q715" s="10" t="str">
        <x:v>Recebido</x:v>
      </x:c>
      <x:c r="R715" s="10" t="str">
        <x:v>Débito em Conta</x:v>
      </x:c>
      <x:c r="S715" s="10" t="str">
        <x:v>2024-10</x:v>
      </x:c>
      <x:c r="T715" s="10" t="n">
        <x:v>0</x:v>
      </x:c>
      <x:c r="U715" s="10" t="str">
        <x:v>Liquidado</x:v>
      </x:c>
      <x:c r="V715" s="10" t="str">
        <x:v>Médio</x:v>
      </x:c>
      <x:c r="W715" s="10" t="str">
        <x:v>Varejo</x:v>
      </x:c>
      <x:c r="X715" s="10" t="str">
        <x:v>UND003</x:v>
      </x:c>
    </x:row>
    <x:row r="716" ht="18" customHeight="1">
      <x:c r="A716" s="10" t="str">
        <x:v>REC00715</x:v>
      </x:c>
      <x:c r="B716" s="10" t="str">
        <x:v>EMP003</x:v>
      </x:c>
      <x:c r="C716" s="10" t="str">
        <x:v>CLI041</x:v>
      </x:c>
      <x:c r="D716" s="10" t="str">
        <x:v>CC001</x:v>
      </x:c>
      <x:c r="E716" s="10" t="str">
        <x:v>CAT001</x:v>
      </x:c>
      <x:c r="F716" s="10" t="str">
        <x:v>CTA006</x:v>
      </x:c>
      <x:c r="G716" s="10" t="str">
        <x:v>FAT-200715</x:v>
      </x:c>
      <x:c r="H716" s="10" t="str">
        <x:v>Frete faturado</x:v>
      </x:c>
      <x:c r="I716" s="16" t="n">
        <x:v>45487.05038724537</x:v>
      </x:c>
      <x:c r="J716" s="16" t="n">
        <x:v>45522.05038724537</x:v>
      </x:c>
      <x:c r="K716" s="16" t="n">
        <x:v>45519.05038724537</x:v>
      </x:c>
      <x:c r="L716" s="20" t="n">
        <x:v>84481.87</x:v>
      </x:c>
      <x:c r="M716" s="20" t="n">
        <x:v>0</x:v>
      </x:c>
      <x:c r="N716" s="20" t="n">
        <x:v>0</x:v>
      </x:c>
      <x:c r="O716" s="20" t="n">
        <x:v>84481.87</x:v>
      </x:c>
      <x:c r="P716" s="20" t="n">
        <x:v>0</x:v>
      </x:c>
      <x:c r="Q716" s="10" t="str">
        <x:v>Recebido</x:v>
      </x:c>
      <x:c r="R716" s="10" t="str">
        <x:v>Débito em Conta</x:v>
      </x:c>
      <x:c r="S716" s="10" t="str">
        <x:v>2024-07</x:v>
      </x:c>
      <x:c r="T716" s="10" t="n">
        <x:v>0</x:v>
      </x:c>
      <x:c r="U716" s="10" t="str">
        <x:v>Liquidado</x:v>
      </x:c>
      <x:c r="V716" s="10" t="str">
        <x:v>Alto</x:v>
      </x:c>
      <x:c r="W716" s="10" t="str">
        <x:v>Indústria</x:v>
      </x:c>
      <x:c r="X716" s="10" t="str">
        <x:v>UND004</x:v>
      </x:c>
    </x:row>
    <x:row r="717" ht="18" customHeight="1">
      <x:c r="A717" s="10" t="str">
        <x:v>REC00716</x:v>
      </x:c>
      <x:c r="B717" s="10" t="str">
        <x:v>EMP001</x:v>
      </x:c>
      <x:c r="C717" s="10" t="str">
        <x:v>CLI068</x:v>
      </x:c>
      <x:c r="D717" s="10" t="str">
        <x:v>CC006</x:v>
      </x:c>
      <x:c r="E717" s="10" t="str">
        <x:v>CAT001</x:v>
      </x:c>
      <x:c r="F717" s="10" t="str">
        <x:v>CTA002</x:v>
      </x:c>
      <x:c r="G717" s="10" t="str">
        <x:v>FAT-200716</x:v>
      </x:c>
      <x:c r="H717" s="10" t="str">
        <x:v>Frete faturado</x:v>
      </x:c>
      <x:c r="I717" s="16" t="n">
        <x:v>45707.080734560186</x:v>
      </x:c>
      <x:c r="J717" s="16" t="n">
        <x:v>45752.080734560186</x:v>
      </x:c>
      <x:c r="K717" s="16" t="n">
        <x:v>45752.080734560186</x:v>
      </x:c>
      <x:c r="L717" s="20" t="n">
        <x:v>38932.17</x:v>
      </x:c>
      <x:c r="M717" s="20" t="n">
        <x:v>0</x:v>
      </x:c>
      <x:c r="N717" s="20" t="n">
        <x:v>0</x:v>
      </x:c>
      <x:c r="O717" s="20" t="n">
        <x:v>38932.17</x:v>
      </x:c>
      <x:c r="P717" s="20" t="n">
        <x:v>0</x:v>
      </x:c>
      <x:c r="Q717" s="10" t="str">
        <x:v>Recebido</x:v>
      </x:c>
      <x:c r="R717" s="10" t="str">
        <x:v>PIX</x:v>
      </x:c>
      <x:c r="S717" s="10" t="str">
        <x:v>2025-02</x:v>
      </x:c>
      <x:c r="T717" s="10" t="n">
        <x:v>0</x:v>
      </x:c>
      <x:c r="U717" s="10" t="str">
        <x:v>Liquidado</x:v>
      </x:c>
      <x:c r="V717" s="10" t="str">
        <x:v>Médio</x:v>
      </x:c>
      <x:c r="W717" s="10" t="str">
        <x:v>Varejo</x:v>
      </x:c>
      <x:c r="X717" s="10" t="str">
        <x:v>UND001</x:v>
      </x:c>
    </x:row>
    <x:row r="718" ht="18" customHeight="1">
      <x:c r="A718" s="10" t="str">
        <x:v>REC00717</x:v>
      </x:c>
      <x:c r="B718" s="10" t="str">
        <x:v>EMP003</x:v>
      </x:c>
      <x:c r="C718" s="10" t="str">
        <x:v>CLI074</x:v>
      </x:c>
      <x:c r="D718" s="10" t="str">
        <x:v>CC007</x:v>
      </x:c>
      <x:c r="E718" s="10" t="str">
        <x:v>CAT003</x:v>
      </x:c>
      <x:c r="F718" s="10" t="str">
        <x:v>CTA005</x:v>
      </x:c>
      <x:c r="G718" s="10" t="str">
        <x:v>FAT-200717</x:v>
      </x:c>
      <x:c r="H718" s="10" t="str">
        <x:v>Frete faturado</x:v>
      </x:c>
      <x:c r="I718" s="16" t="n">
        <x:v>45618.318849780095</x:v>
      </x:c>
      <x:c r="J718" s="16" t="n">
        <x:v>45648.318849780095</x:v>
      </x:c>
      <x:c r="K718" s="16" t="n">
        <x:v>45662.318849780095</x:v>
      </x:c>
      <x:c r="L718" s="20" t="n">
        <x:v>29725.15</x:v>
      </x:c>
      <x:c r="M718" s="20" t="n">
        <x:v>332.92</x:v>
      </x:c>
      <x:c r="N718" s="20" t="n">
        <x:v>0</x:v>
      </x:c>
      <x:c r="O718" s="20" t="n">
        <x:v>30058.07</x:v>
      </x:c>
      <x:c r="P718" s="20" t="n">
        <x:v>0</x:v>
      </x:c>
      <x:c r="Q718" s="10" t="str">
        <x:v>Recebido</x:v>
      </x:c>
      <x:c r="R718" s="10" t="str">
        <x:v>PIX</x:v>
      </x:c>
      <x:c r="S718" s="10" t="str">
        <x:v>2024-11</x:v>
      </x:c>
      <x:c r="T718" s="10" t="n">
        <x:v>0</x:v>
      </x:c>
      <x:c r="U718" s="10" t="str">
        <x:v>Liquidado</x:v>
      </x:c>
      <x:c r="V718" s="10" t="str">
        <x:v>Médio</x:v>
      </x:c>
      <x:c r="W718" s="10" t="str">
        <x:v>Tecnologia</x:v>
      </x:c>
      <x:c r="X718" s="10" t="str">
        <x:v>UND004</x:v>
      </x:c>
    </x:row>
    <x:row r="719" ht="18" customHeight="1">
      <x:c r="A719" s="10" t="str">
        <x:v>REC00718</x:v>
      </x:c>
      <x:c r="B719" s="10" t="str">
        <x:v>EMP002</x:v>
      </x:c>
      <x:c r="C719" s="10" t="str">
        <x:v>CLI053</x:v>
      </x:c>
      <x:c r="D719" s="10" t="str">
        <x:v>CC004</x:v>
      </x:c>
      <x:c r="E719" s="10" t="str">
        <x:v>CAT001</x:v>
      </x:c>
      <x:c r="F719" s="10" t="str">
        <x:v>CTA003</x:v>
      </x:c>
      <x:c r="G719" s="10" t="str">
        <x:v>FAT-200718</x:v>
      </x:c>
      <x:c r="H719" s="10" t="str">
        <x:v>Contrato mensal</x:v>
      </x:c>
      <x:c r="I719" s="16" t="n">
        <x:v>45837.55218774306</x:v>
      </x:c>
      <x:c r="J719" s="16" t="n">
        <x:v>45865.55218774306</x:v>
      </x:c>
      <x:c r="K719" s="16" t="n">
        <x:v>45866.55218774306</x:v>
      </x:c>
      <x:c r="L719" s="20" t="n">
        <x:v>1560.22</x:v>
      </x:c>
      <x:c r="M719" s="20" t="n">
        <x:v>1.25</x:v>
      </x:c>
      <x:c r="N719" s="20" t="n">
        <x:v>0</x:v>
      </x:c>
      <x:c r="O719" s="20" t="n">
        <x:v>1561.47</x:v>
      </x:c>
      <x:c r="P719" s="20" t="n">
        <x:v>0</x:v>
      </x:c>
      <x:c r="Q719" s="10" t="str">
        <x:v>Recebido</x:v>
      </x:c>
      <x:c r="R719" s="10" t="str">
        <x:v>PIX</x:v>
      </x:c>
      <x:c r="S719" s="10" t="str">
        <x:v>2025-06</x:v>
      </x:c>
      <x:c r="T719" s="10" t="n">
        <x:v>0</x:v>
      </x:c>
      <x:c r="U719" s="10" t="str">
        <x:v>Liquidado</x:v>
      </x:c>
      <x:c r="V719" s="10" t="str">
        <x:v>Baixo</x:v>
      </x:c>
      <x:c r="W719" s="10" t="str">
        <x:v>Saúde</x:v>
      </x:c>
      <x:c r="X719" s="10" t="str">
        <x:v>UND003</x:v>
      </x:c>
    </x:row>
    <x:row r="720" ht="18" customHeight="1">
      <x:c r="A720" s="10" t="str">
        <x:v>REC00719</x:v>
      </x:c>
      <x:c r="B720" s="10" t="str">
        <x:v>EMP001</x:v>
      </x:c>
      <x:c r="C720" s="10" t="str">
        <x:v>CLI034</x:v>
      </x:c>
      <x:c r="D720" s="10" t="str">
        <x:v>CC006</x:v>
      </x:c>
      <x:c r="E720" s="10" t="str">
        <x:v>CAT001</x:v>
      </x:c>
      <x:c r="F720" s="10" t="str">
        <x:v>CTA001</x:v>
      </x:c>
      <x:c r="G720" s="10" t="str">
        <x:v>FAT-200719</x:v>
      </x:c>
      <x:c r="H720" s="10" t="str">
        <x:v>Projeto especial</x:v>
      </x:c>
      <x:c r="I720" s="16" t="n">
        <x:v>45619.14872693287</x:v>
      </x:c>
      <x:c r="J720" s="16" t="n">
        <x:v>45640.14872693287</x:v>
      </x:c>
      <x:c r="K720" s="16" t="n">
        <x:v>45654.14872693287</x:v>
      </x:c>
      <x:c r="L720" s="20" t="n">
        <x:v>145210.69</x:v>
      </x:c>
      <x:c r="M720" s="20" t="n">
        <x:v>1626.36</x:v>
      </x:c>
      <x:c r="N720" s="20" t="n">
        <x:v>0</x:v>
      </x:c>
      <x:c r="O720" s="20" t="n">
        <x:v>146837.05</x:v>
      </x:c>
      <x:c r="P720" s="20" t="n">
        <x:v>0</x:v>
      </x:c>
      <x:c r="Q720" s="10" t="str">
        <x:v>Recebido</x:v>
      </x:c>
      <x:c r="R720" s="10" t="str">
        <x:v>Boleto</x:v>
      </x:c>
      <x:c r="S720" s="10" t="str">
        <x:v>2024-11</x:v>
      </x:c>
      <x:c r="T720" s="10" t="n">
        <x:v>0</x:v>
      </x:c>
      <x:c r="U720" s="10" t="str">
        <x:v>Liquidado</x:v>
      </x:c>
      <x:c r="V720" s="10" t="str">
        <x:v>Médio</x:v>
      </x:c>
      <x:c r="W720" s="10" t="str">
        <x:v>Indústria</x:v>
      </x:c>
      <x:c r="X720" s="10" t="str">
        <x:v>UND002</x:v>
      </x:c>
    </x:row>
    <x:row r="721" ht="18" customHeight="1">
      <x:c r="A721" s="10" t="str">
        <x:v>REC00720</x:v>
      </x:c>
      <x:c r="B721" s="10" t="str">
        <x:v>EMP001</x:v>
      </x:c>
      <x:c r="C721" s="10" t="str">
        <x:v>CLI002</x:v>
      </x:c>
      <x:c r="D721" s="10" t="str">
        <x:v>CC006</x:v>
      </x:c>
      <x:c r="E721" s="10" t="str">
        <x:v>CAT001</x:v>
      </x:c>
      <x:c r="F721" s="10" t="str">
        <x:v>CTA002</x:v>
      </x:c>
      <x:c r="G721" s="10" t="str">
        <x:v>FAT-200720</x:v>
      </x:c>
      <x:c r="H721" s="10" t="str">
        <x:v>Prestação de serviços</x:v>
      </x:c>
      <x:c r="I721" s="16" t="n">
        <x:v>45535.70257457176</x:v>
      </x:c>
      <x:c r="J721" s="16" t="n">
        <x:v>45580.70257457176</x:v>
      </x:c>
      <x:c r="K721" s="16" t="n">
        <x:v>45575.70257457176</x:v>
      </x:c>
      <x:c r="L721" s="20" t="n">
        <x:v>104574.74</x:v>
      </x:c>
      <x:c r="M721" s="20" t="n">
        <x:v>0</x:v>
      </x:c>
      <x:c r="N721" s="20" t="n">
        <x:v>0</x:v>
      </x:c>
      <x:c r="O721" s="20" t="n">
        <x:v>104574.74</x:v>
      </x:c>
      <x:c r="P721" s="20" t="n">
        <x:v>0</x:v>
      </x:c>
      <x:c r="Q721" s="10" t="str">
        <x:v>Recebido</x:v>
      </x:c>
      <x:c r="R721" s="10" t="str">
        <x:v>Boleto</x:v>
      </x:c>
      <x:c r="S721" s="10" t="str">
        <x:v>2024-08</x:v>
      </x:c>
      <x:c r="T721" s="10" t="n">
        <x:v>0</x:v>
      </x:c>
      <x:c r="U721" s="10" t="str">
        <x:v>Liquidado</x:v>
      </x:c>
      <x:c r="V721" s="10" t="str">
        <x:v>Alto</x:v>
      </x:c>
      <x:c r="W721" s="10" t="str">
        <x:v>Serviços</x:v>
      </x:c>
      <x:c r="X721" s="10" t="str">
        <x:v>UND002</x:v>
      </x:c>
    </x:row>
    <x:row r="722" ht="18" customHeight="1">
      <x:c r="A722" s="10" t="str">
        <x:v>REC00721</x:v>
      </x:c>
      <x:c r="B722" s="10" t="str">
        <x:v>EMP002</x:v>
      </x:c>
      <x:c r="C722" s="10" t="str">
        <x:v>CLI060</x:v>
      </x:c>
      <x:c r="D722" s="10" t="str">
        <x:v>CC006</x:v>
      </x:c>
      <x:c r="E722" s="10" t="str">
        <x:v>CAT002</x:v>
      </x:c>
      <x:c r="F722" s="10" t="str">
        <x:v>CTA003</x:v>
      </x:c>
      <x:c r="G722" s="10" t="str">
        <x:v>FAT-200721</x:v>
      </x:c>
      <x:c r="H722" s="10" t="str">
        <x:v>Contrato mensal</x:v>
      </x:c>
      <x:c r="I722" s="16" t="n">
        <x:v>45706.55112283565</x:v>
      </x:c>
      <x:c r="J722" s="16" t="n">
        <x:v>45741.55112283565</x:v>
      </x:c>
      <x:c r="K722" s="16"/>
      <x:c r="L722" s="20" t="n">
        <x:v>33974.78</x:v>
      </x:c>
      <x:c r="M722" s="20" t="n">
        <x:v>0</x:v>
      </x:c>
      <x:c r="N722" s="20" t="n">
        <x:v>0</x:v>
      </x:c>
      <x:c r="O722" s="20" t="n">
        <x:v>0</x:v>
      </x:c>
      <x:c r="P722" s="20" t="n">
        <x:v>33974.78</x:v>
      </x:c>
      <x:c r="Q722" s="10" t="str">
        <x:v>Vencido</x:v>
      </x:c>
      <x:c r="R722" s="10" t="str">
        <x:v>Débito em Conta</x:v>
      </x:c>
      <x:c r="S722" s="10" t="str">
        <x:v>2025-02</x:v>
      </x:c>
      <x:c r="T722" s="10" t="n">
        <x:v>280</x:v>
      </x:c>
      <x:c r="U722" s="10" t="str">
        <x:v>&gt; 120 dias</x:v>
      </x:c>
      <x:c r="V722" s="10" t="str">
        <x:v>Baixo</x:v>
      </x:c>
      <x:c r="W722" s="10" t="str">
        <x:v>Atacado</x:v>
      </x:c>
      <x:c r="X722" s="10" t="str">
        <x:v>UND003</x:v>
      </x:c>
    </x:row>
    <x:row r="723" ht="18" customHeight="1">
      <x:c r="A723" s="10" t="str">
        <x:v>REC00722</x:v>
      </x:c>
      <x:c r="B723" s="10" t="str">
        <x:v>EMP002</x:v>
      </x:c>
      <x:c r="C723" s="10" t="str">
        <x:v>CLI075</x:v>
      </x:c>
      <x:c r="D723" s="10" t="str">
        <x:v>CC002</x:v>
      </x:c>
      <x:c r="E723" s="10" t="str">
        <x:v>CAT003</x:v>
      </x:c>
      <x:c r="F723" s="10" t="str">
        <x:v>CTA003</x:v>
      </x:c>
      <x:c r="G723" s="10" t="str">
        <x:v>FAT-200722</x:v>
      </x:c>
      <x:c r="H723" s="10" t="str">
        <x:v>Projeto especial</x:v>
      </x:c>
      <x:c r="I723" s="16" t="n">
        <x:v>46008.85272141204</x:v>
      </x:c>
      <x:c r="J723" s="16" t="n">
        <x:v>46068.85272141204</x:v>
      </x:c>
      <x:c r="K723" s="16"/>
      <x:c r="L723" s="20" t="n">
        <x:v>43089.95</x:v>
      </x:c>
      <x:c r="M723" s="20" t="n">
        <x:v>0</x:v>
      </x:c>
      <x:c r="N723" s="20" t="n">
        <x:v>0</x:v>
      </x:c>
      <x:c r="O723" s="20" t="n">
        <x:v>0</x:v>
      </x:c>
      <x:c r="P723" s="20" t="n">
        <x:v>43089.95</x:v>
      </x:c>
      <x:c r="Q723" s="10" t="str">
        <x:v>A vencer</x:v>
      </x:c>
      <x:c r="R723" s="10" t="str">
        <x:v>Boleto</x:v>
      </x:c>
      <x:c r="S723" s="10" t="str">
        <x:v>2025-12</x:v>
      </x:c>
      <x:c r="T723" s="10" t="n">
        <x:v>0</x:v>
      </x:c>
      <x:c r="U723" s="10" t="str">
        <x:v>A vencer</x:v>
      </x:c>
      <x:c r="V723" s="10" t="str">
        <x:v>Médio</x:v>
      </x:c>
      <x:c r="W723" s="10" t="str">
        <x:v>Varejo</x:v>
      </x:c>
      <x:c r="X723" s="10" t="str">
        <x:v>UND003</x:v>
      </x:c>
    </x:row>
    <x:row r="724" ht="18" customHeight="1">
      <x:c r="A724" s="10" t="str">
        <x:v>REC00723</x:v>
      </x:c>
      <x:c r="B724" s="10" t="str">
        <x:v>EMP001</x:v>
      </x:c>
      <x:c r="C724" s="10" t="str">
        <x:v>CLI062</x:v>
      </x:c>
      <x:c r="D724" s="10" t="str">
        <x:v>CC006</x:v>
      </x:c>
      <x:c r="E724" s="10" t="str">
        <x:v>CAT003</x:v>
      </x:c>
      <x:c r="F724" s="10" t="str">
        <x:v>CTA002</x:v>
      </x:c>
      <x:c r="G724" s="10" t="str">
        <x:v>FAT-200723</x:v>
      </x:c>
      <x:c r="H724" s="10" t="str">
        <x:v>Projeto especial</x:v>
      </x:c>
      <x:c r="I724" s="16" t="n">
        <x:v>45386.222743969905</x:v>
      </x:c>
      <x:c r="J724" s="16" t="n">
        <x:v>45416.222743969905</x:v>
      </x:c>
      <x:c r="K724" s="16" t="n">
        <x:v>45414.222743969905</x:v>
      </x:c>
      <x:c r="L724" s="20" t="n">
        <x:v>61858.98</x:v>
      </x:c>
      <x:c r="M724" s="20" t="n">
        <x:v>0</x:v>
      </x:c>
      <x:c r="N724" s="20" t="n">
        <x:v>1237.18</x:v>
      </x:c>
      <x:c r="O724" s="20" t="n">
        <x:v>60621.8</x:v>
      </x:c>
      <x:c r="P724" s="20" t="n">
        <x:v>0</x:v>
      </x:c>
      <x:c r="Q724" s="10" t="str">
        <x:v>Recebido</x:v>
      </x:c>
      <x:c r="R724" s="10" t="str">
        <x:v>PIX</x:v>
      </x:c>
      <x:c r="S724" s="10" t="str">
        <x:v>2024-04</x:v>
      </x:c>
      <x:c r="T724" s="10" t="n">
        <x:v>0</x:v>
      </x:c>
      <x:c r="U724" s="10" t="str">
        <x:v>Liquidado</x:v>
      </x:c>
      <x:c r="V724" s="10" t="str">
        <x:v>Baixo</x:v>
      </x:c>
      <x:c r="W724" s="10" t="str">
        <x:v>Saúde</x:v>
      </x:c>
      <x:c r="X724" s="10" t="str">
        <x:v>UND001</x:v>
      </x:c>
    </x:row>
    <x:row r="725" ht="18" customHeight="1">
      <x:c r="A725" s="10" t="str">
        <x:v>REC00724</x:v>
      </x:c>
      <x:c r="B725" s="10" t="str">
        <x:v>EMP002</x:v>
      </x:c>
      <x:c r="C725" s="10" t="str">
        <x:v>CLI066</x:v>
      </x:c>
      <x:c r="D725" s="10" t="str">
        <x:v>CC006</x:v>
      </x:c>
      <x:c r="E725" s="10" t="str">
        <x:v>CAT003</x:v>
      </x:c>
      <x:c r="F725" s="10" t="str">
        <x:v>CTA003</x:v>
      </x:c>
      <x:c r="G725" s="10" t="str">
        <x:v>FAT-200724</x:v>
      </x:c>
      <x:c r="H725" s="10" t="str">
        <x:v>Projeto especial</x:v>
      </x:c>
      <x:c r="I725" s="16" t="n">
        <x:v>45569.030812627316</x:v>
      </x:c>
      <x:c r="J725" s="16" t="n">
        <x:v>45599.030812627316</x:v>
      </x:c>
      <x:c r="K725" s="16" t="n">
        <x:v>45603.030812627316</x:v>
      </x:c>
      <x:c r="L725" s="20" t="n">
        <x:v>12315.29</x:v>
      </x:c>
      <x:c r="M725" s="20" t="n">
        <x:v>39.41</x:v>
      </x:c>
      <x:c r="N725" s="20" t="n">
        <x:v>0</x:v>
      </x:c>
      <x:c r="O725" s="20" t="n">
        <x:v>12354.7</x:v>
      </x:c>
      <x:c r="P725" s="20" t="n">
        <x:v>0</x:v>
      </x:c>
      <x:c r="Q725" s="10" t="str">
        <x:v>Recebido</x:v>
      </x:c>
      <x:c r="R725" s="10" t="str">
        <x:v>Débito em Conta</x:v>
      </x:c>
      <x:c r="S725" s="10" t="str">
        <x:v>2024-10</x:v>
      </x:c>
      <x:c r="T725" s="10" t="n">
        <x:v>0</x:v>
      </x:c>
      <x:c r="U725" s="10" t="str">
        <x:v>Liquidado</x:v>
      </x:c>
      <x:c r="V725" s="10" t="str">
        <x:v>Baixo</x:v>
      </x:c>
      <x:c r="W725" s="10" t="str">
        <x:v>Varejo</x:v>
      </x:c>
      <x:c r="X725" s="10" t="str">
        <x:v>UND003</x:v>
      </x:c>
    </x:row>
    <x:row r="726" ht="18" customHeight="1">
      <x:c r="A726" s="10" t="str">
        <x:v>REC00725</x:v>
      </x:c>
      <x:c r="B726" s="10" t="str">
        <x:v>EMP002</x:v>
      </x:c>
      <x:c r="C726" s="10" t="str">
        <x:v>CLI068</x:v>
      </x:c>
      <x:c r="D726" s="10" t="str">
        <x:v>CC005</x:v>
      </x:c>
      <x:c r="E726" s="10" t="str">
        <x:v>CAT004</x:v>
      </x:c>
      <x:c r="F726" s="10" t="str">
        <x:v>CTA004</x:v>
      </x:c>
      <x:c r="G726" s="10" t="str">
        <x:v>FAT-200725</x:v>
      </x:c>
      <x:c r="H726" s="10" t="str">
        <x:v>Frete faturado</x:v>
      </x:c>
      <x:c r="I726" s="16" t="n">
        <x:v>45523.852197789354</x:v>
      </x:c>
      <x:c r="J726" s="16" t="n">
        <x:v>45583.852197789354</x:v>
      </x:c>
      <x:c r="K726" s="16" t="n">
        <x:v>45586.852197789354</x:v>
      </x:c>
      <x:c r="L726" s="20" t="n">
        <x:v>14230.57</x:v>
      </x:c>
      <x:c r="M726" s="20" t="n">
        <x:v>34.15</x:v>
      </x:c>
      <x:c r="N726" s="20" t="n">
        <x:v>0</x:v>
      </x:c>
      <x:c r="O726" s="20" t="n">
        <x:v>14264.72</x:v>
      </x:c>
      <x:c r="P726" s="20" t="n">
        <x:v>0</x:v>
      </x:c>
      <x:c r="Q726" s="10" t="str">
        <x:v>Recebido</x:v>
      </x:c>
      <x:c r="R726" s="10" t="str">
        <x:v>TED</x:v>
      </x:c>
      <x:c r="S726" s="10" t="str">
        <x:v>2024-08</x:v>
      </x:c>
      <x:c r="T726" s="10" t="n">
        <x:v>0</x:v>
      </x:c>
      <x:c r="U726" s="10" t="str">
        <x:v>Liquidado</x:v>
      </x:c>
      <x:c r="V726" s="10" t="str">
        <x:v>Médio</x:v>
      </x:c>
      <x:c r="W726" s="10" t="str">
        <x:v>Varejo</x:v>
      </x:c>
      <x:c r="X726" s="10" t="str">
        <x:v>UND003</x:v>
      </x:c>
    </x:row>
    <x:row r="727" ht="18" customHeight="1">
      <x:c r="A727" s="10" t="str">
        <x:v>REC00726</x:v>
      </x:c>
      <x:c r="B727" s="10" t="str">
        <x:v>EMP001</x:v>
      </x:c>
      <x:c r="C727" s="10" t="str">
        <x:v>CLI036</x:v>
      </x:c>
      <x:c r="D727" s="10" t="str">
        <x:v>CC002</x:v>
      </x:c>
      <x:c r="E727" s="10" t="str">
        <x:v>CAT001</x:v>
      </x:c>
      <x:c r="F727" s="10" t="str">
        <x:v>CTA002</x:v>
      </x:c>
      <x:c r="G727" s="10" t="str">
        <x:v>FAT-200726</x:v>
      </x:c>
      <x:c r="H727" s="10" t="str">
        <x:v>Contrato mensal</x:v>
      </x:c>
      <x:c r="I727" s="16" t="n">
        <x:v>45587.61230927084</x:v>
      </x:c>
      <x:c r="J727" s="16" t="n">
        <x:v>45622.61230927084</x:v>
      </x:c>
      <x:c r="K727" s="16" t="n">
        <x:v>45627.61230927084</x:v>
      </x:c>
      <x:c r="L727" s="20" t="n">
        <x:v>56637.07</x:v>
      </x:c>
      <x:c r="M727" s="20" t="n">
        <x:v>226.55</x:v>
      </x:c>
      <x:c r="N727" s="20" t="n">
        <x:v>0</x:v>
      </x:c>
      <x:c r="O727" s="20" t="n">
        <x:v>56863.62</x:v>
      </x:c>
      <x:c r="P727" s="20" t="n">
        <x:v>0</x:v>
      </x:c>
      <x:c r="Q727" s="10" t="str">
        <x:v>Recebido</x:v>
      </x:c>
      <x:c r="R727" s="10" t="str">
        <x:v>TED</x:v>
      </x:c>
      <x:c r="S727" s="10" t="str">
        <x:v>2024-10</x:v>
      </x:c>
      <x:c r="T727" s="10" t="n">
        <x:v>0</x:v>
      </x:c>
      <x:c r="U727" s="10" t="str">
        <x:v>Liquidado</x:v>
      </x:c>
      <x:c r="V727" s="10" t="str">
        <x:v>Baixo</x:v>
      </x:c>
      <x:c r="W727" s="10" t="str">
        <x:v>Atacado</x:v>
      </x:c>
      <x:c r="X727" s="10" t="str">
        <x:v>UND001</x:v>
      </x:c>
    </x:row>
    <x:row r="728" ht="18" customHeight="1">
      <x:c r="A728" s="10" t="str">
        <x:v>REC00727</x:v>
      </x:c>
      <x:c r="B728" s="10" t="str">
        <x:v>EMP001</x:v>
      </x:c>
      <x:c r="C728" s="10" t="str">
        <x:v>CLI069</x:v>
      </x:c>
      <x:c r="D728" s="10" t="str">
        <x:v>CC002</x:v>
      </x:c>
      <x:c r="E728" s="10" t="str">
        <x:v>CAT002</x:v>
      </x:c>
      <x:c r="F728" s="10" t="str">
        <x:v>CTA002</x:v>
      </x:c>
      <x:c r="G728" s="10" t="str">
        <x:v>FAT-200727</x:v>
      </x:c>
      <x:c r="H728" s="10" t="str">
        <x:v>Frete faturado</x:v>
      </x:c>
      <x:c r="I728" s="16" t="n">
        <x:v>45483.25919158565</x:v>
      </x:c>
      <x:c r="J728" s="16" t="n">
        <x:v>45504.25919158565</x:v>
      </x:c>
      <x:c r="K728" s="16" t="n">
        <x:v>45525.25919158565</x:v>
      </x:c>
      <x:c r="L728" s="20" t="n">
        <x:v>21719.71</x:v>
      </x:c>
      <x:c r="M728" s="20" t="n">
        <x:v>364.89</x:v>
      </x:c>
      <x:c r="N728" s="20" t="n">
        <x:v>0</x:v>
      </x:c>
      <x:c r="O728" s="20" t="n">
        <x:v>22084.6</x:v>
      </x:c>
      <x:c r="P728" s="20" t="n">
        <x:v>0</x:v>
      </x:c>
      <x:c r="Q728" s="10" t="str">
        <x:v>Recebido</x:v>
      </x:c>
      <x:c r="R728" s="10" t="str">
        <x:v>Boleto</x:v>
      </x:c>
      <x:c r="S728" s="10" t="str">
        <x:v>2024-07</x:v>
      </x:c>
      <x:c r="T728" s="10" t="n">
        <x:v>0</x:v>
      </x:c>
      <x:c r="U728" s="10" t="str">
        <x:v>Liquidado</x:v>
      </x:c>
      <x:c r="V728" s="10" t="str">
        <x:v>Alto</x:v>
      </x:c>
      <x:c r="W728" s="10" t="str">
        <x:v>Tecnologia</x:v>
      </x:c>
      <x:c r="X728" s="10" t="str">
        <x:v>UND001</x:v>
      </x:c>
    </x:row>
    <x:row r="729" ht="18" customHeight="1">
      <x:c r="A729" s="10" t="str">
        <x:v>REC00728</x:v>
      </x:c>
      <x:c r="B729" s="10" t="str">
        <x:v>EMP001</x:v>
      </x:c>
      <x:c r="C729" s="10" t="str">
        <x:v>CLI037</x:v>
      </x:c>
      <x:c r="D729" s="10" t="str">
        <x:v>CC002</x:v>
      </x:c>
      <x:c r="E729" s="10" t="str">
        <x:v>CAT004</x:v>
      </x:c>
      <x:c r="F729" s="10" t="str">
        <x:v>CTA001</x:v>
      </x:c>
      <x:c r="G729" s="10" t="str">
        <x:v>FAT-200728</x:v>
      </x:c>
      <x:c r="H729" s="10" t="str">
        <x:v>Prestação de serviços</x:v>
      </x:c>
      <x:c r="I729" s="16" t="n">
        <x:v>45621.27017924769</x:v>
      </x:c>
      <x:c r="J729" s="16" t="n">
        <x:v>45636.27017924769</x:v>
      </x:c>
      <x:c r="K729" s="16" t="n">
        <x:v>45636.27017924769</x:v>
      </x:c>
      <x:c r="L729" s="20" t="n">
        <x:v>1687.34</x:v>
      </x:c>
      <x:c r="M729" s="20" t="n">
        <x:v>0</x:v>
      </x:c>
      <x:c r="N729" s="20" t="n">
        <x:v>0</x:v>
      </x:c>
      <x:c r="O729" s="20" t="n">
        <x:v>1687.34</x:v>
      </x:c>
      <x:c r="P729" s="20" t="n">
        <x:v>0</x:v>
      </x:c>
      <x:c r="Q729" s="10" t="str">
        <x:v>Recebido</x:v>
      </x:c>
      <x:c r="R729" s="10" t="str">
        <x:v>Débito em Conta</x:v>
      </x:c>
      <x:c r="S729" s="10" t="str">
        <x:v>2024-11</x:v>
      </x:c>
      <x:c r="T729" s="10" t="n">
        <x:v>0</x:v>
      </x:c>
      <x:c r="U729" s="10" t="str">
        <x:v>Liquidado</x:v>
      </x:c>
      <x:c r="V729" s="10" t="str">
        <x:v>Baixo</x:v>
      </x:c>
      <x:c r="W729" s="10" t="str">
        <x:v>Serviços</x:v>
      </x:c>
      <x:c r="X729" s="10" t="str">
        <x:v>UND002</x:v>
      </x:c>
    </x:row>
    <x:row r="730" ht="18" customHeight="1">
      <x:c r="A730" s="10" t="str">
        <x:v>REC00729</x:v>
      </x:c>
      <x:c r="B730" s="10" t="str">
        <x:v>EMP002</x:v>
      </x:c>
      <x:c r="C730" s="10" t="str">
        <x:v>CLI008</x:v>
      </x:c>
      <x:c r="D730" s="10" t="str">
        <x:v>CC001</x:v>
      </x:c>
      <x:c r="E730" s="10" t="str">
        <x:v>CAT002</x:v>
      </x:c>
      <x:c r="F730" s="10" t="str">
        <x:v>CTA003</x:v>
      </x:c>
      <x:c r="G730" s="10" t="str">
        <x:v>FAT-200729</x:v>
      </x:c>
      <x:c r="H730" s="10" t="str">
        <x:v>Projeto especial</x:v>
      </x:c>
      <x:c r="I730" s="16" t="n">
        <x:v>45415.02753811343</x:v>
      </x:c>
      <x:c r="J730" s="16" t="n">
        <x:v>45436.02753811343</x:v>
      </x:c>
      <x:c r="K730" s="16" t="n">
        <x:v>45431.02753811343</x:v>
      </x:c>
      <x:c r="L730" s="20" t="n">
        <x:v>68638.01</x:v>
      </x:c>
      <x:c r="M730" s="20" t="n">
        <x:v>0</x:v>
      </x:c>
      <x:c r="N730" s="20" t="n">
        <x:v>0</x:v>
      </x:c>
      <x:c r="O730" s="20" t="n">
        <x:v>68638.01</x:v>
      </x:c>
      <x:c r="P730" s="20" t="n">
        <x:v>0</x:v>
      </x:c>
      <x:c r="Q730" s="10" t="str">
        <x:v>Recebido</x:v>
      </x:c>
      <x:c r="R730" s="10" t="str">
        <x:v>TED</x:v>
      </x:c>
      <x:c r="S730" s="10" t="str">
        <x:v>2024-05</x:v>
      </x:c>
      <x:c r="T730" s="10" t="n">
        <x:v>0</x:v>
      </x:c>
      <x:c r="U730" s="10" t="str">
        <x:v>Liquidado</x:v>
      </x:c>
      <x:c r="V730" s="10" t="str">
        <x:v>Médio</x:v>
      </x:c>
      <x:c r="W730" s="10" t="str">
        <x:v>Saúde</x:v>
      </x:c>
      <x:c r="X730" s="10" t="str">
        <x:v>UND003</x:v>
      </x:c>
    </x:row>
    <x:row r="731" ht="18" customHeight="1">
      <x:c r="A731" s="10" t="str">
        <x:v>REC00730</x:v>
      </x:c>
      <x:c r="B731" s="10" t="str">
        <x:v>EMP002</x:v>
      </x:c>
      <x:c r="C731" s="10" t="str">
        <x:v>CLI025</x:v>
      </x:c>
      <x:c r="D731" s="10" t="str">
        <x:v>CC001</x:v>
      </x:c>
      <x:c r="E731" s="10" t="str">
        <x:v>CAT002</x:v>
      </x:c>
      <x:c r="F731" s="10" t="str">
        <x:v>CTA003</x:v>
      </x:c>
      <x:c r="G731" s="10" t="str">
        <x:v>FAT-200730</x:v>
      </x:c>
      <x:c r="H731" s="10" t="str">
        <x:v>Prestação de serviços</x:v>
      </x:c>
      <x:c r="I731" s="16" t="n">
        <x:v>45441.074179166666</x:v>
      </x:c>
      <x:c r="J731" s="16" t="n">
        <x:v>45486.074179166666</x:v>
      </x:c>
      <x:c r="K731" s="16" t="n">
        <x:v>45487.074179166666</x:v>
      </x:c>
      <x:c r="L731" s="20" t="n">
        <x:v>83893.8</x:v>
      </x:c>
      <x:c r="M731" s="20" t="n">
        <x:v>67.12</x:v>
      </x:c>
      <x:c r="N731" s="20" t="n">
        <x:v>0</x:v>
      </x:c>
      <x:c r="O731" s="20" t="n">
        <x:v>83960.92</x:v>
      </x:c>
      <x:c r="P731" s="20" t="n">
        <x:v>0</x:v>
      </x:c>
      <x:c r="Q731" s="10" t="str">
        <x:v>Recebido</x:v>
      </x:c>
      <x:c r="R731" s="10" t="str">
        <x:v>Débito em Conta</x:v>
      </x:c>
      <x:c r="S731" s="10" t="str">
        <x:v>2024-05</x:v>
      </x:c>
      <x:c r="T731" s="10" t="n">
        <x:v>0</x:v>
      </x:c>
      <x:c r="U731" s="10" t="str">
        <x:v>Liquidado</x:v>
      </x:c>
      <x:c r="V731" s="10" t="str">
        <x:v>Médio</x:v>
      </x:c>
      <x:c r="W731" s="10" t="str">
        <x:v>Indústria</x:v>
      </x:c>
      <x:c r="X731" s="10" t="str">
        <x:v>UND003</x:v>
      </x:c>
    </x:row>
    <x:row r="732" ht="18" customHeight="1">
      <x:c r="A732" s="10" t="str">
        <x:v>REC00731</x:v>
      </x:c>
      <x:c r="B732" s="10" t="str">
        <x:v>EMP003</x:v>
      </x:c>
      <x:c r="C732" s="10" t="str">
        <x:v>CLI065</x:v>
      </x:c>
      <x:c r="D732" s="10" t="str">
        <x:v>CC001</x:v>
      </x:c>
      <x:c r="E732" s="10" t="str">
        <x:v>CAT004</x:v>
      </x:c>
      <x:c r="F732" s="10" t="str">
        <x:v>CTA005</x:v>
      </x:c>
      <x:c r="G732" s="10" t="str">
        <x:v>FAT-200731</x:v>
      </x:c>
      <x:c r="H732" s="10" t="str">
        <x:v>Projeto especial</x:v>
      </x:c>
      <x:c r="I732" s="16" t="n">
        <x:v>45773.96300657407</x:v>
      </x:c>
      <x:c r="J732" s="16" t="n">
        <x:v>45818.96300657407</x:v>
      </x:c>
      <x:c r="K732" s="16" t="n">
        <x:v>45823.96300657407</x:v>
      </x:c>
      <x:c r="L732" s="20" t="n">
        <x:v>60356.63</x:v>
      </x:c>
      <x:c r="M732" s="20" t="n">
        <x:v>241.43</x:v>
      </x:c>
      <x:c r="N732" s="20" t="n">
        <x:v>0</x:v>
      </x:c>
      <x:c r="O732" s="20" t="n">
        <x:v>60598.06</x:v>
      </x:c>
      <x:c r="P732" s="20" t="n">
        <x:v>0</x:v>
      </x:c>
      <x:c r="Q732" s="10" t="str">
        <x:v>Recebido</x:v>
      </x:c>
      <x:c r="R732" s="10" t="str">
        <x:v>Débito em Conta</x:v>
      </x:c>
      <x:c r="S732" s="10" t="str">
        <x:v>2025-04</x:v>
      </x:c>
      <x:c r="T732" s="10" t="n">
        <x:v>0</x:v>
      </x:c>
      <x:c r="U732" s="10" t="str">
        <x:v>Liquidado</x:v>
      </x:c>
      <x:c r="V732" s="10" t="str">
        <x:v>Médio</x:v>
      </x:c>
      <x:c r="W732" s="10" t="str">
        <x:v>Serviços</x:v>
      </x:c>
      <x:c r="X732" s="10" t="str">
        <x:v>UND004</x:v>
      </x:c>
    </x:row>
    <x:row r="733" ht="18" customHeight="1">
      <x:c r="A733" s="10" t="str">
        <x:v>REC00732</x:v>
      </x:c>
      <x:c r="B733" s="10" t="str">
        <x:v>EMP003</x:v>
      </x:c>
      <x:c r="C733" s="10" t="str">
        <x:v>CLI054</x:v>
      </x:c>
      <x:c r="D733" s="10" t="str">
        <x:v>CC007</x:v>
      </x:c>
      <x:c r="E733" s="10" t="str">
        <x:v>CAT004</x:v>
      </x:c>
      <x:c r="F733" s="10" t="str">
        <x:v>CTA006</x:v>
      </x:c>
      <x:c r="G733" s="10" t="str">
        <x:v>FAT-200732</x:v>
      </x:c>
      <x:c r="H733" s="10" t="str">
        <x:v>Venda de produtos</x:v>
      </x:c>
      <x:c r="I733" s="16" t="n">
        <x:v>45645.46977791667</x:v>
      </x:c>
      <x:c r="J733" s="16" t="n">
        <x:v>45673.46977791667</x:v>
      </x:c>
      <x:c r="K733" s="16" t="n">
        <x:v>45683.46977791667</x:v>
      </x:c>
      <x:c r="L733" s="20" t="n">
        <x:v>81749.08</x:v>
      </x:c>
      <x:c r="M733" s="20" t="n">
        <x:v>653.99</x:v>
      </x:c>
      <x:c r="N733" s="20" t="n">
        <x:v>0</x:v>
      </x:c>
      <x:c r="O733" s="20" t="n">
        <x:v>82403.07</x:v>
      </x:c>
      <x:c r="P733" s="20" t="n">
        <x:v>0</x:v>
      </x:c>
      <x:c r="Q733" s="10" t="str">
        <x:v>Recebido</x:v>
      </x:c>
      <x:c r="R733" s="10" t="str">
        <x:v>PIX</x:v>
      </x:c>
      <x:c r="S733" s="10" t="str">
        <x:v>2024-12</x:v>
      </x:c>
      <x:c r="T733" s="10" t="n">
        <x:v>0</x:v>
      </x:c>
      <x:c r="U733" s="10" t="str">
        <x:v>Liquidado</x:v>
      </x:c>
      <x:c r="V733" s="10" t="str">
        <x:v>Médio</x:v>
      </x:c>
      <x:c r="W733" s="10" t="str">
        <x:v>Indústria</x:v>
      </x:c>
      <x:c r="X733" s="10" t="str">
        <x:v>UND004</x:v>
      </x:c>
    </x:row>
    <x:row r="734" ht="18" customHeight="1">
      <x:c r="A734" s="10" t="str">
        <x:v>REC00733</x:v>
      </x:c>
      <x:c r="B734" s="10" t="str">
        <x:v>EMP002</x:v>
      </x:c>
      <x:c r="C734" s="10" t="str">
        <x:v>CLI004</x:v>
      </x:c>
      <x:c r="D734" s="10" t="str">
        <x:v>CC004</x:v>
      </x:c>
      <x:c r="E734" s="10" t="str">
        <x:v>CAT002</x:v>
      </x:c>
      <x:c r="F734" s="10" t="str">
        <x:v>CTA003</x:v>
      </x:c>
      <x:c r="G734" s="10" t="str">
        <x:v>FAT-200733</x:v>
      </x:c>
      <x:c r="H734" s="10" t="str">
        <x:v>Projeto especial</x:v>
      </x:c>
      <x:c r="I734" s="16" t="n">
        <x:v>45848.331222685185</x:v>
      </x:c>
      <x:c r="J734" s="16" t="n">
        <x:v>45878.331222685185</x:v>
      </x:c>
      <x:c r="K734" s="16" t="n">
        <x:v>45879.331222685185</x:v>
      </x:c>
      <x:c r="L734" s="20" t="n">
        <x:v>31105.81</x:v>
      </x:c>
      <x:c r="M734" s="20" t="n">
        <x:v>24.88</x:v>
      </x:c>
      <x:c r="N734" s="20" t="n">
        <x:v>0</x:v>
      </x:c>
      <x:c r="O734" s="20" t="n">
        <x:v>31130.69</x:v>
      </x:c>
      <x:c r="P734" s="20" t="n">
        <x:v>0</x:v>
      </x:c>
      <x:c r="Q734" s="10" t="str">
        <x:v>Recebido</x:v>
      </x:c>
      <x:c r="R734" s="10" t="str">
        <x:v>Cartão</x:v>
      </x:c>
      <x:c r="S734" s="10" t="str">
        <x:v>2025-07</x:v>
      </x:c>
      <x:c r="T734" s="10" t="n">
        <x:v>0</x:v>
      </x:c>
      <x:c r="U734" s="10" t="str">
        <x:v>Liquidado</x:v>
      </x:c>
      <x:c r="V734" s="10" t="str">
        <x:v>Alto</x:v>
      </x:c>
      <x:c r="W734" s="10" t="str">
        <x:v>Varejo</x:v>
      </x:c>
      <x:c r="X734" s="10" t="str">
        <x:v>UND003</x:v>
      </x:c>
    </x:row>
    <x:row r="735" ht="18" customHeight="1">
      <x:c r="A735" s="10" t="str">
        <x:v>REC00734</x:v>
      </x:c>
      <x:c r="B735" s="10" t="str">
        <x:v>EMP003</x:v>
      </x:c>
      <x:c r="C735" s="10" t="str">
        <x:v>CLI078</x:v>
      </x:c>
      <x:c r="D735" s="10" t="str">
        <x:v>CC001</x:v>
      </x:c>
      <x:c r="E735" s="10" t="str">
        <x:v>CAT001</x:v>
      </x:c>
      <x:c r="F735" s="10" t="str">
        <x:v>CTA006</x:v>
      </x:c>
      <x:c r="G735" s="10" t="str">
        <x:v>FAT-200734</x:v>
      </x:c>
      <x:c r="H735" s="10" t="str">
        <x:v>Projeto especial</x:v>
      </x:c>
      <x:c r="I735" s="16" t="n">
        <x:v>45677.70521277778</x:v>
      </x:c>
      <x:c r="J735" s="16" t="n">
        <x:v>45692.70521277778</x:v>
      </x:c>
      <x:c r="K735" s="16" t="n">
        <x:v>45688.70521277778</x:v>
      </x:c>
      <x:c r="L735" s="20" t="n">
        <x:v>20173.25</x:v>
      </x:c>
      <x:c r="M735" s="20" t="n">
        <x:v>0</x:v>
      </x:c>
      <x:c r="N735" s="20" t="n">
        <x:v>0</x:v>
      </x:c>
      <x:c r="O735" s="20" t="n">
        <x:v>20173.25</x:v>
      </x:c>
      <x:c r="P735" s="20" t="n">
        <x:v>0</x:v>
      </x:c>
      <x:c r="Q735" s="10" t="str">
        <x:v>Recebido</x:v>
      </x:c>
      <x:c r="R735" s="10" t="str">
        <x:v>TED</x:v>
      </x:c>
      <x:c r="S735" s="10" t="str">
        <x:v>2025-01</x:v>
      </x:c>
      <x:c r="T735" s="10" t="n">
        <x:v>0</x:v>
      </x:c>
      <x:c r="U735" s="10" t="str">
        <x:v>Liquidado</x:v>
      </x:c>
      <x:c r="V735" s="10" t="str">
        <x:v>Médio</x:v>
      </x:c>
      <x:c r="W735" s="10" t="str">
        <x:v>Tecnologia</x:v>
      </x:c>
      <x:c r="X735" s="10" t="str">
        <x:v>UND004</x:v>
      </x:c>
    </x:row>
    <x:row r="736" ht="18" customHeight="1">
      <x:c r="A736" s="10" t="str">
        <x:v>REC00735</x:v>
      </x:c>
      <x:c r="B736" s="10" t="str">
        <x:v>EMP002</x:v>
      </x:c>
      <x:c r="C736" s="10" t="str">
        <x:v>CLI009</x:v>
      </x:c>
      <x:c r="D736" s="10" t="str">
        <x:v>CC003</x:v>
      </x:c>
      <x:c r="E736" s="10" t="str">
        <x:v>CAT001</x:v>
      </x:c>
      <x:c r="F736" s="10" t="str">
        <x:v>CTA004</x:v>
      </x:c>
      <x:c r="G736" s="10" t="str">
        <x:v>FAT-200735</x:v>
      </x:c>
      <x:c r="H736" s="10" t="str">
        <x:v>Contrato mensal</x:v>
      </x:c>
      <x:c r="I736" s="16" t="n">
        <x:v>45683.638315613425</x:v>
      </x:c>
      <x:c r="J736" s="16" t="n">
        <x:v>45743.638315613425</x:v>
      </x:c>
      <x:c r="K736" s="16" t="n">
        <x:v>45737.638315613425</x:v>
      </x:c>
      <x:c r="L736" s="20" t="n">
        <x:v>38599.41</x:v>
      </x:c>
      <x:c r="M736" s="20" t="n">
        <x:v>0</x:v>
      </x:c>
      <x:c r="N736" s="20" t="n">
        <x:v>771.99</x:v>
      </x:c>
      <x:c r="O736" s="20" t="n">
        <x:v>37827.42</x:v>
      </x:c>
      <x:c r="P736" s="20" t="n">
        <x:v>0</x:v>
      </x:c>
      <x:c r="Q736" s="10" t="str">
        <x:v>Recebido</x:v>
      </x:c>
      <x:c r="R736" s="10" t="str">
        <x:v>PIX</x:v>
      </x:c>
      <x:c r="S736" s="10" t="str">
        <x:v>2025-01</x:v>
      </x:c>
      <x:c r="T736" s="10" t="n">
        <x:v>0</x:v>
      </x:c>
      <x:c r="U736" s="10" t="str">
        <x:v>Liquidado</x:v>
      </x:c>
      <x:c r="V736" s="10" t="str">
        <x:v>Médio</x:v>
      </x:c>
      <x:c r="W736" s="10" t="str">
        <x:v>Saúde</x:v>
      </x:c>
      <x:c r="X736" s="10" t="str">
        <x:v>UND003</x:v>
      </x:c>
    </x:row>
    <x:row r="737" ht="18" customHeight="1">
      <x:c r="A737" s="10" t="str">
        <x:v>REC00736</x:v>
      </x:c>
      <x:c r="B737" s="10" t="str">
        <x:v>EMP001</x:v>
      </x:c>
      <x:c r="C737" s="10" t="str">
        <x:v>CLI043</x:v>
      </x:c>
      <x:c r="D737" s="10" t="str">
        <x:v>CC005</x:v>
      </x:c>
      <x:c r="E737" s="10" t="str">
        <x:v>CAT003</x:v>
      </x:c>
      <x:c r="F737" s="10" t="str">
        <x:v>CTA001</x:v>
      </x:c>
      <x:c r="G737" s="10" t="str">
        <x:v>FAT-200736</x:v>
      </x:c>
      <x:c r="H737" s="10" t="str">
        <x:v>Contrato mensal</x:v>
      </x:c>
      <x:c r="I737" s="16" t="n">
        <x:v>45836.540625636575</x:v>
      </x:c>
      <x:c r="J737" s="16" t="n">
        <x:v>45896.540625636575</x:v>
      </x:c>
      <x:c r="K737" s="16" t="n">
        <x:v>45902.540625636575</x:v>
      </x:c>
      <x:c r="L737" s="20" t="n">
        <x:v>59067.53</x:v>
      </x:c>
      <x:c r="M737" s="20" t="n">
        <x:v>283.52</x:v>
      </x:c>
      <x:c r="N737" s="20" t="n">
        <x:v>0</x:v>
      </x:c>
      <x:c r="O737" s="20" t="n">
        <x:v>59351.05</x:v>
      </x:c>
      <x:c r="P737" s="20" t="n">
        <x:v>0</x:v>
      </x:c>
      <x:c r="Q737" s="10" t="str">
        <x:v>Recebido</x:v>
      </x:c>
      <x:c r="R737" s="10" t="str">
        <x:v>Cartão</x:v>
      </x:c>
      <x:c r="S737" s="10" t="str">
        <x:v>2025-06</x:v>
      </x:c>
      <x:c r="T737" s="10" t="n">
        <x:v>0</x:v>
      </x:c>
      <x:c r="U737" s="10" t="str">
        <x:v>Liquidado</x:v>
      </x:c>
      <x:c r="V737" s="10" t="str">
        <x:v>Baixo</x:v>
      </x:c>
      <x:c r="W737" s="10" t="str">
        <x:v>Atacado</x:v>
      </x:c>
      <x:c r="X737" s="10" t="str">
        <x:v>UND002</x:v>
      </x:c>
    </x:row>
    <x:row r="738" ht="18" customHeight="1">
      <x:c r="A738" s="10" t="str">
        <x:v>REC00737</x:v>
      </x:c>
      <x:c r="B738" s="10" t="str">
        <x:v>EMP003</x:v>
      </x:c>
      <x:c r="C738" s="10" t="str">
        <x:v>CLI006</x:v>
      </x:c>
      <x:c r="D738" s="10" t="str">
        <x:v>CC001</x:v>
      </x:c>
      <x:c r="E738" s="10" t="str">
        <x:v>CAT003</x:v>
      </x:c>
      <x:c r="F738" s="10" t="str">
        <x:v>CTA005</x:v>
      </x:c>
      <x:c r="G738" s="10" t="str">
        <x:v>FAT-200737</x:v>
      </x:c>
      <x:c r="H738" s="10" t="str">
        <x:v>Venda de produtos</x:v>
      </x:c>
      <x:c r="I738" s="16" t="n">
        <x:v>45885.929733125</x:v>
      </x:c>
      <x:c r="J738" s="16" t="n">
        <x:v>45906.929733125</x:v>
      </x:c>
      <x:c r="K738" s="16" t="n">
        <x:v>45909.929733125</x:v>
      </x:c>
      <x:c r="L738" s="20" t="n">
        <x:v>116701.2</x:v>
      </x:c>
      <x:c r="M738" s="20" t="n">
        <x:v>280.08</x:v>
      </x:c>
      <x:c r="N738" s="20" t="n">
        <x:v>0</x:v>
      </x:c>
      <x:c r="O738" s="20" t="n">
        <x:v>116981.28</x:v>
      </x:c>
      <x:c r="P738" s="20" t="n">
        <x:v>0</x:v>
      </x:c>
      <x:c r="Q738" s="10" t="str">
        <x:v>Recebido</x:v>
      </x:c>
      <x:c r="R738" s="10" t="str">
        <x:v>PIX</x:v>
      </x:c>
      <x:c r="S738" s="10" t="str">
        <x:v>2025-08</x:v>
      </x:c>
      <x:c r="T738" s="10" t="n">
        <x:v>0</x:v>
      </x:c>
      <x:c r="U738" s="10" t="str">
        <x:v>Liquidado</x:v>
      </x:c>
      <x:c r="V738" s="10" t="str">
        <x:v>Baixo</x:v>
      </x:c>
      <x:c r="W738" s="10" t="str">
        <x:v>Varejo</x:v>
      </x:c>
      <x:c r="X738" s="10" t="str">
        <x:v>UND004</x:v>
      </x:c>
    </x:row>
    <x:row r="739" ht="18" customHeight="1">
      <x:c r="A739" s="10" t="str">
        <x:v>REC00738</x:v>
      </x:c>
      <x:c r="B739" s="10" t="str">
        <x:v>EMP002</x:v>
      </x:c>
      <x:c r="C739" s="10" t="str">
        <x:v>CLI016</x:v>
      </x:c>
      <x:c r="D739" s="10" t="str">
        <x:v>CC004</x:v>
      </x:c>
      <x:c r="E739" s="10" t="str">
        <x:v>CAT003</x:v>
      </x:c>
      <x:c r="F739" s="10" t="str">
        <x:v>CTA004</x:v>
      </x:c>
      <x:c r="G739" s="10" t="str">
        <x:v>FAT-200738</x:v>
      </x:c>
      <x:c r="H739" s="10" t="str">
        <x:v>Venda de produtos</x:v>
      </x:c>
      <x:c r="I739" s="16" t="n">
        <x:v>45986.13227501157</x:v>
      </x:c>
      <x:c r="J739" s="16" t="n">
        <x:v>46046.13227501157</x:v>
      </x:c>
      <x:c r="K739" s="16"/>
      <x:c r="L739" s="20" t="n">
        <x:v>71751.64</x:v>
      </x:c>
      <x:c r="M739" s="20" t="n">
        <x:v>0</x:v>
      </x:c>
      <x:c r="N739" s="20" t="n">
        <x:v>0</x:v>
      </x:c>
      <x:c r="O739" s="20" t="n">
        <x:v>0</x:v>
      </x:c>
      <x:c r="P739" s="20" t="n">
        <x:v>71751.64</x:v>
      </x:c>
      <x:c r="Q739" s="10" t="str">
        <x:v>A vencer</x:v>
      </x:c>
      <x:c r="R739" s="10" t="str">
        <x:v>Boleto</x:v>
      </x:c>
      <x:c r="S739" s="10" t="str">
        <x:v>2025-11</x:v>
      </x:c>
      <x:c r="T739" s="10" t="n">
        <x:v>0</x:v>
      </x:c>
      <x:c r="U739" s="10" t="str">
        <x:v>A vencer</x:v>
      </x:c>
      <x:c r="V739" s="10" t="str">
        <x:v>Baixo</x:v>
      </x:c>
      <x:c r="W739" s="10" t="str">
        <x:v>Serviços</x:v>
      </x:c>
      <x:c r="X739" s="10" t="str">
        <x:v>UND003</x:v>
      </x:c>
    </x:row>
    <x:row r="740" ht="18" customHeight="1">
      <x:c r="A740" s="10" t="str">
        <x:v>REC00739</x:v>
      </x:c>
      <x:c r="B740" s="10" t="str">
        <x:v>EMP001</x:v>
      </x:c>
      <x:c r="C740" s="10" t="str">
        <x:v>CLI078</x:v>
      </x:c>
      <x:c r="D740" s="10" t="str">
        <x:v>CC001</x:v>
      </x:c>
      <x:c r="E740" s="10" t="str">
        <x:v>CAT004</x:v>
      </x:c>
      <x:c r="F740" s="10" t="str">
        <x:v>CTA001</x:v>
      </x:c>
      <x:c r="G740" s="10" t="str">
        <x:v>FAT-200739</x:v>
      </x:c>
      <x:c r="H740" s="10" t="str">
        <x:v>Projeto especial</x:v>
      </x:c>
      <x:c r="I740" s="16" t="n">
        <x:v>45535.717142650465</x:v>
      </x:c>
      <x:c r="J740" s="16" t="n">
        <x:v>45556.717142650465</x:v>
      </x:c>
      <x:c r="K740" s="16" t="n">
        <x:v>45564.717142650465</x:v>
      </x:c>
      <x:c r="L740" s="20" t="n">
        <x:v>25101.27</x:v>
      </x:c>
      <x:c r="M740" s="20" t="n">
        <x:v>160.65</x:v>
      </x:c>
      <x:c r="N740" s="20" t="n">
        <x:v>0</x:v>
      </x:c>
      <x:c r="O740" s="20" t="n">
        <x:v>25261.92</x:v>
      </x:c>
      <x:c r="P740" s="20" t="n">
        <x:v>0</x:v>
      </x:c>
      <x:c r="Q740" s="10" t="str">
        <x:v>Recebido</x:v>
      </x:c>
      <x:c r="R740" s="10" t="str">
        <x:v>PIX</x:v>
      </x:c>
      <x:c r="S740" s="10" t="str">
        <x:v>2024-08</x:v>
      </x:c>
      <x:c r="T740" s="10" t="n">
        <x:v>0</x:v>
      </x:c>
      <x:c r="U740" s="10" t="str">
        <x:v>Liquidado</x:v>
      </x:c>
      <x:c r="V740" s="10" t="str">
        <x:v>Médio</x:v>
      </x:c>
      <x:c r="W740" s="10" t="str">
        <x:v>Tecnologia</x:v>
      </x:c>
      <x:c r="X740" s="10" t="str">
        <x:v>UND001</x:v>
      </x:c>
    </x:row>
    <x:row r="741" ht="18" customHeight="1">
      <x:c r="A741" s="10" t="str">
        <x:v>REC00740</x:v>
      </x:c>
      <x:c r="B741" s="10" t="str">
        <x:v>EMP001</x:v>
      </x:c>
      <x:c r="C741" s="10" t="str">
        <x:v>CLI075</x:v>
      </x:c>
      <x:c r="D741" s="10" t="str">
        <x:v>CC001</x:v>
      </x:c>
      <x:c r="E741" s="10" t="str">
        <x:v>CAT004</x:v>
      </x:c>
      <x:c r="F741" s="10" t="str">
        <x:v>CTA002</x:v>
      </x:c>
      <x:c r="G741" s="10" t="str">
        <x:v>FAT-200740</x:v>
      </x:c>
      <x:c r="H741" s="10" t="str">
        <x:v>Projeto especial</x:v>
      </x:c>
      <x:c r="I741" s="16" t="n">
        <x:v>45642.75926372685</x:v>
      </x:c>
      <x:c r="J741" s="16" t="n">
        <x:v>45670.75926372685</x:v>
      </x:c>
      <x:c r="K741" s="16" t="n">
        <x:v>45664.75926372685</x:v>
      </x:c>
      <x:c r="L741" s="20" t="n">
        <x:v>136029.37</x:v>
      </x:c>
      <x:c r="M741" s="20" t="n">
        <x:v>0</x:v>
      </x:c>
      <x:c r="N741" s="20" t="n">
        <x:v>0</x:v>
      </x:c>
      <x:c r="O741" s="20" t="n">
        <x:v>136029.37</x:v>
      </x:c>
      <x:c r="P741" s="20" t="n">
        <x:v>0</x:v>
      </x:c>
      <x:c r="Q741" s="10" t="str">
        <x:v>Recebido</x:v>
      </x:c>
      <x:c r="R741" s="10" t="str">
        <x:v>TED</x:v>
      </x:c>
      <x:c r="S741" s="10" t="str">
        <x:v>2024-12</x:v>
      </x:c>
      <x:c r="T741" s="10" t="n">
        <x:v>0</x:v>
      </x:c>
      <x:c r="U741" s="10" t="str">
        <x:v>Liquidado</x:v>
      </x:c>
      <x:c r="V741" s="10" t="str">
        <x:v>Médio</x:v>
      </x:c>
      <x:c r="W741" s="10" t="str">
        <x:v>Varejo</x:v>
      </x:c>
      <x:c r="X741" s="10" t="str">
        <x:v>UND001</x:v>
      </x:c>
    </x:row>
    <x:row r="742" ht="18" customHeight="1">
      <x:c r="A742" s="10" t="str">
        <x:v>REC00741</x:v>
      </x:c>
      <x:c r="B742" s="10" t="str">
        <x:v>EMP002</x:v>
      </x:c>
      <x:c r="C742" s="10" t="str">
        <x:v>CLI004</x:v>
      </x:c>
      <x:c r="D742" s="10" t="str">
        <x:v>CC005</x:v>
      </x:c>
      <x:c r="E742" s="10" t="str">
        <x:v>CAT002</x:v>
      </x:c>
      <x:c r="F742" s="10" t="str">
        <x:v>CTA004</x:v>
      </x:c>
      <x:c r="G742" s="10" t="str">
        <x:v>FAT-200741</x:v>
      </x:c>
      <x:c r="H742" s="10" t="str">
        <x:v>Venda de produtos</x:v>
      </x:c>
      <x:c r="I742" s="16" t="n">
        <x:v>45340.326619444444</x:v>
      </x:c>
      <x:c r="J742" s="16" t="n">
        <x:v>45370.326619444444</x:v>
      </x:c>
      <x:c r="K742" s="16" t="n">
        <x:v>45369.326619444444</x:v>
      </x:c>
      <x:c r="L742" s="20" t="n">
        <x:v>2436.01</x:v>
      </x:c>
      <x:c r="M742" s="20" t="n">
        <x:v>0</x:v>
      </x:c>
      <x:c r="N742" s="20" t="n">
        <x:v>24.36</x:v>
      </x:c>
      <x:c r="O742" s="20" t="n">
        <x:v>2411.65</x:v>
      </x:c>
      <x:c r="P742" s="20" t="n">
        <x:v>0</x:v>
      </x:c>
      <x:c r="Q742" s="10" t="str">
        <x:v>Recebido</x:v>
      </x:c>
      <x:c r="R742" s="10" t="str">
        <x:v>PIX</x:v>
      </x:c>
      <x:c r="S742" s="10" t="str">
        <x:v>2024-02</x:v>
      </x:c>
      <x:c r="T742" s="10" t="n">
        <x:v>0</x:v>
      </x:c>
      <x:c r="U742" s="10" t="str">
        <x:v>Liquidado</x:v>
      </x:c>
      <x:c r="V742" s="10" t="str">
        <x:v>Alto</x:v>
      </x:c>
      <x:c r="W742" s="10" t="str">
        <x:v>Varejo</x:v>
      </x:c>
      <x:c r="X742" s="10" t="str">
        <x:v>UND003</x:v>
      </x:c>
    </x:row>
    <x:row r="743" ht="18" customHeight="1">
      <x:c r="A743" s="10" t="str">
        <x:v>REC00742</x:v>
      </x:c>
      <x:c r="B743" s="10" t="str">
        <x:v>EMP001</x:v>
      </x:c>
      <x:c r="C743" s="10" t="str">
        <x:v>CLI048</x:v>
      </x:c>
      <x:c r="D743" s="10" t="str">
        <x:v>CC005</x:v>
      </x:c>
      <x:c r="E743" s="10" t="str">
        <x:v>CAT002</x:v>
      </x:c>
      <x:c r="F743" s="10" t="str">
        <x:v>CTA001</x:v>
      </x:c>
      <x:c r="G743" s="10" t="str">
        <x:v>FAT-200742</x:v>
      </x:c>
      <x:c r="H743" s="10" t="str">
        <x:v>Venda de produtos</x:v>
      </x:c>
      <x:c r="I743" s="16" t="n">
        <x:v>45629.62486135417</x:v>
      </x:c>
      <x:c r="J743" s="16" t="n">
        <x:v>45664.62486135417</x:v>
      </x:c>
      <x:c r="K743" s="16" t="n">
        <x:v>45671.62486135417</x:v>
      </x:c>
      <x:c r="L743" s="20" t="n">
        <x:v>2117.32</x:v>
      </x:c>
      <x:c r="M743" s="20" t="n">
        <x:v>11.86</x:v>
      </x:c>
      <x:c r="N743" s="20" t="n">
        <x:v>0</x:v>
      </x:c>
      <x:c r="O743" s="20" t="n">
        <x:v>2129.18</x:v>
      </x:c>
      <x:c r="P743" s="20" t="n">
        <x:v>0</x:v>
      </x:c>
      <x:c r="Q743" s="10" t="str">
        <x:v>Recebido</x:v>
      </x:c>
      <x:c r="R743" s="10" t="str">
        <x:v>Boleto</x:v>
      </x:c>
      <x:c r="S743" s="10" t="str">
        <x:v>2024-12</x:v>
      </x:c>
      <x:c r="T743" s="10" t="n">
        <x:v>0</x:v>
      </x:c>
      <x:c r="U743" s="10" t="str">
        <x:v>Liquidado</x:v>
      </x:c>
      <x:c r="V743" s="10" t="str">
        <x:v>Baixo</x:v>
      </x:c>
      <x:c r="W743" s="10" t="str">
        <x:v>Tecnologia</x:v>
      </x:c>
      <x:c r="X743" s="10" t="str">
        <x:v>UND002</x:v>
      </x:c>
    </x:row>
    <x:row r="744" ht="18" customHeight="1">
      <x:c r="A744" s="10" t="str">
        <x:v>REC00743</x:v>
      </x:c>
      <x:c r="B744" s="10" t="str">
        <x:v>EMP003</x:v>
      </x:c>
      <x:c r="C744" s="10" t="str">
        <x:v>CLI069</x:v>
      </x:c>
      <x:c r="D744" s="10" t="str">
        <x:v>CC008</x:v>
      </x:c>
      <x:c r="E744" s="10" t="str">
        <x:v>CAT004</x:v>
      </x:c>
      <x:c r="F744" s="10" t="str">
        <x:v>CTA005</x:v>
      </x:c>
      <x:c r="G744" s="10" t="str">
        <x:v>FAT-200743</x:v>
      </x:c>
      <x:c r="H744" s="10" t="str">
        <x:v>Prestação de serviços</x:v>
      </x:c>
      <x:c r="I744" s="16" t="n">
        <x:v>45526.75118142361</x:v>
      </x:c>
      <x:c r="J744" s="16" t="n">
        <x:v>45556.75118142361</x:v>
      </x:c>
      <x:c r="K744" s="16" t="n">
        <x:v>45566.75118142361</x:v>
      </x:c>
      <x:c r="L744" s="20" t="n">
        <x:v>114076.74</x:v>
      </x:c>
      <x:c r="M744" s="20" t="n">
        <x:v>912.61</x:v>
      </x:c>
      <x:c r="N744" s="20" t="n">
        <x:v>0</x:v>
      </x:c>
      <x:c r="O744" s="20" t="n">
        <x:v>114989.35</x:v>
      </x:c>
      <x:c r="P744" s="20" t="n">
        <x:v>0</x:v>
      </x:c>
      <x:c r="Q744" s="10" t="str">
        <x:v>Recebido</x:v>
      </x:c>
      <x:c r="R744" s="10" t="str">
        <x:v>Boleto</x:v>
      </x:c>
      <x:c r="S744" s="10" t="str">
        <x:v>2024-08</x:v>
      </x:c>
      <x:c r="T744" s="10" t="n">
        <x:v>0</x:v>
      </x:c>
      <x:c r="U744" s="10" t="str">
        <x:v>Liquidado</x:v>
      </x:c>
      <x:c r="V744" s="10" t="str">
        <x:v>Alto</x:v>
      </x:c>
      <x:c r="W744" s="10" t="str">
        <x:v>Tecnologia</x:v>
      </x:c>
      <x:c r="X744" s="10" t="str">
        <x:v>UND004</x:v>
      </x:c>
    </x:row>
    <x:row r="745" ht="18" customHeight="1">
      <x:c r="A745" s="10" t="str">
        <x:v>REC00744</x:v>
      </x:c>
      <x:c r="B745" s="10" t="str">
        <x:v>EMP001</x:v>
      </x:c>
      <x:c r="C745" s="10" t="str">
        <x:v>CLI061</x:v>
      </x:c>
      <x:c r="D745" s="10" t="str">
        <x:v>CC007</x:v>
      </x:c>
      <x:c r="E745" s="10" t="str">
        <x:v>CAT004</x:v>
      </x:c>
      <x:c r="F745" s="10" t="str">
        <x:v>CTA002</x:v>
      </x:c>
      <x:c r="G745" s="10" t="str">
        <x:v>FAT-200744</x:v>
      </x:c>
      <x:c r="H745" s="10" t="str">
        <x:v>Projeto especial</x:v>
      </x:c>
      <x:c r="I745" s="16" t="n">
        <x:v>45742.089629027774</x:v>
      </x:c>
      <x:c r="J745" s="16" t="n">
        <x:v>45763.089629027774</x:v>
      </x:c>
      <x:c r="K745" s="16" t="n">
        <x:v>45760.089629027774</x:v>
      </x:c>
      <x:c r="L745" s="20" t="n">
        <x:v>30860.68</x:v>
      </x:c>
      <x:c r="M745" s="20" t="n">
        <x:v>0</x:v>
      </x:c>
      <x:c r="N745" s="20" t="n">
        <x:v>0</x:v>
      </x:c>
      <x:c r="O745" s="20" t="n">
        <x:v>30860.68</x:v>
      </x:c>
      <x:c r="P745" s="20" t="n">
        <x:v>0</x:v>
      </x:c>
      <x:c r="Q745" s="10" t="str">
        <x:v>Recebido</x:v>
      </x:c>
      <x:c r="R745" s="10" t="str">
        <x:v>Cartão</x:v>
      </x:c>
      <x:c r="S745" s="10" t="str">
        <x:v>2025-03</x:v>
      </x:c>
      <x:c r="T745" s="10" t="n">
        <x:v>0</x:v>
      </x:c>
      <x:c r="U745" s="10" t="str">
        <x:v>Liquidado</x:v>
      </x:c>
      <x:c r="V745" s="10" t="str">
        <x:v>Baixo</x:v>
      </x:c>
      <x:c r="W745" s="10" t="str">
        <x:v>Serviços</x:v>
      </x:c>
      <x:c r="X745" s="10" t="str">
        <x:v>UND002</x:v>
      </x:c>
    </x:row>
    <x:row r="746" ht="18" customHeight="1">
      <x:c r="A746" s="10" t="str">
        <x:v>REC00745</x:v>
      </x:c>
      <x:c r="B746" s="10" t="str">
        <x:v>EMP003</x:v>
      </x:c>
      <x:c r="C746" s="10" t="str">
        <x:v>CLI027</x:v>
      </x:c>
      <x:c r="D746" s="10" t="str">
        <x:v>CC001</x:v>
      </x:c>
      <x:c r="E746" s="10" t="str">
        <x:v>CAT002</x:v>
      </x:c>
      <x:c r="F746" s="10" t="str">
        <x:v>CTA006</x:v>
      </x:c>
      <x:c r="G746" s="10" t="str">
        <x:v>FAT-200745</x:v>
      </x:c>
      <x:c r="H746" s="10" t="str">
        <x:v>Prestação de serviços</x:v>
      </x:c>
      <x:c r="I746" s="16" t="n">
        <x:v>45753.865532766205</x:v>
      </x:c>
      <x:c r="J746" s="16" t="n">
        <x:v>45768.865532766205</x:v>
      </x:c>
      <x:c r="K746" s="16"/>
      <x:c r="L746" s="20" t="n">
        <x:v>116615.33</x:v>
      </x:c>
      <x:c r="M746" s="20" t="n">
        <x:v>0</x:v>
      </x:c>
      <x:c r="N746" s="20" t="n">
        <x:v>0</x:v>
      </x:c>
      <x:c r="O746" s="20" t="n">
        <x:v>0</x:v>
      </x:c>
      <x:c r="P746" s="20" t="n">
        <x:v>116615.33</x:v>
      </x:c>
      <x:c r="Q746" s="10" t="str">
        <x:v>Vencido</x:v>
      </x:c>
      <x:c r="R746" s="10" t="str">
        <x:v>Boleto</x:v>
      </x:c>
      <x:c r="S746" s="10" t="str">
        <x:v>2025-04</x:v>
      </x:c>
      <x:c r="T746" s="10" t="n">
        <x:v>253</x:v>
      </x:c>
      <x:c r="U746" s="10" t="str">
        <x:v>&gt; 120 dias</x:v>
      </x:c>
      <x:c r="V746" s="10" t="str">
        <x:v>Alto</x:v>
      </x:c>
      <x:c r="W746" s="10" t="str">
        <x:v>Serviços</x:v>
      </x:c>
      <x:c r="X746" s="10" t="str">
        <x:v>UND004</x:v>
      </x:c>
    </x:row>
    <x:row r="747" ht="18" customHeight="1">
      <x:c r="A747" s="10" t="str">
        <x:v>REC00746</x:v>
      </x:c>
      <x:c r="B747" s="10" t="str">
        <x:v>EMP003</x:v>
      </x:c>
      <x:c r="C747" s="10" t="str">
        <x:v>CLI048</x:v>
      </x:c>
      <x:c r="D747" s="10" t="str">
        <x:v>CC007</x:v>
      </x:c>
      <x:c r="E747" s="10" t="str">
        <x:v>CAT001</x:v>
      </x:c>
      <x:c r="F747" s="10" t="str">
        <x:v>CTA005</x:v>
      </x:c>
      <x:c r="G747" s="10" t="str">
        <x:v>FAT-200746</x:v>
      </x:c>
      <x:c r="H747" s="10" t="str">
        <x:v>Venda de produtos</x:v>
      </x:c>
      <x:c r="I747" s="16" t="n">
        <x:v>45416.35475815972</x:v>
      </x:c>
      <x:c r="J747" s="16" t="n">
        <x:v>45437.35475815972</x:v>
      </x:c>
      <x:c r="K747" s="16" t="n">
        <x:v>45431.35475815972</x:v>
      </x:c>
      <x:c r="L747" s="20" t="n">
        <x:v>71389.43</x:v>
      </x:c>
      <x:c r="M747" s="20" t="n">
        <x:v>0</x:v>
      </x:c>
      <x:c r="N747" s="20" t="n">
        <x:v>0</x:v>
      </x:c>
      <x:c r="O747" s="20" t="n">
        <x:v>71389.43</x:v>
      </x:c>
      <x:c r="P747" s="20" t="n">
        <x:v>0</x:v>
      </x:c>
      <x:c r="Q747" s="10" t="str">
        <x:v>Recebido</x:v>
      </x:c>
      <x:c r="R747" s="10" t="str">
        <x:v>Cartão</x:v>
      </x:c>
      <x:c r="S747" s="10" t="str">
        <x:v>2024-05</x:v>
      </x:c>
      <x:c r="T747" s="10" t="n">
        <x:v>0</x:v>
      </x:c>
      <x:c r="U747" s="10" t="str">
        <x:v>Liquidado</x:v>
      </x:c>
      <x:c r="V747" s="10" t="str">
        <x:v>Baixo</x:v>
      </x:c>
      <x:c r="W747" s="10" t="str">
        <x:v>Tecnologia</x:v>
      </x:c>
      <x:c r="X747" s="10" t="str">
        <x:v>UND004</x:v>
      </x:c>
    </x:row>
    <x:row r="748" ht="18" customHeight="1">
      <x:c r="A748" s="10" t="str">
        <x:v>REC00747</x:v>
      </x:c>
      <x:c r="B748" s="10" t="str">
        <x:v>EMP003</x:v>
      </x:c>
      <x:c r="C748" s="10" t="str">
        <x:v>CLI033</x:v>
      </x:c>
      <x:c r="D748" s="10" t="str">
        <x:v>CC006</x:v>
      </x:c>
      <x:c r="E748" s="10" t="str">
        <x:v>CAT003</x:v>
      </x:c>
      <x:c r="F748" s="10" t="str">
        <x:v>CTA006</x:v>
      </x:c>
      <x:c r="G748" s="10" t="str">
        <x:v>FAT-200747</x:v>
      </x:c>
      <x:c r="H748" s="10" t="str">
        <x:v>Projeto especial</x:v>
      </x:c>
      <x:c r="I748" s="16" t="n">
        <x:v>45850.71900478009</x:v>
      </x:c>
      <x:c r="J748" s="16" t="n">
        <x:v>45910.71900478009</x:v>
      </x:c>
      <x:c r="K748" s="16" t="n">
        <x:v>45924.71900478009</x:v>
      </x:c>
      <x:c r="L748" s="20" t="n">
        <x:v>30881</x:v>
      </x:c>
      <x:c r="M748" s="20" t="n">
        <x:v>345.87</x:v>
      </x:c>
      <x:c r="N748" s="20" t="n">
        <x:v>0</x:v>
      </x:c>
      <x:c r="O748" s="20" t="n">
        <x:v>31226.87</x:v>
      </x:c>
      <x:c r="P748" s="20" t="n">
        <x:v>0</x:v>
      </x:c>
      <x:c r="Q748" s="10" t="str">
        <x:v>Recebido</x:v>
      </x:c>
      <x:c r="R748" s="10" t="str">
        <x:v>Débito em Conta</x:v>
      </x:c>
      <x:c r="S748" s="10" t="str">
        <x:v>2025-07</x:v>
      </x:c>
      <x:c r="T748" s="10" t="n">
        <x:v>0</x:v>
      </x:c>
      <x:c r="U748" s="10" t="str">
        <x:v>Liquidado</x:v>
      </x:c>
      <x:c r="V748" s="10" t="str">
        <x:v>Médio</x:v>
      </x:c>
      <x:c r="W748" s="10" t="str">
        <x:v>Varejo</x:v>
      </x:c>
      <x:c r="X748" s="10" t="str">
        <x:v>UND004</x:v>
      </x:c>
    </x:row>
    <x:row r="749" ht="18" customHeight="1">
      <x:c r="A749" s="10" t="str">
        <x:v>REC00748</x:v>
      </x:c>
      <x:c r="B749" s="10" t="str">
        <x:v>EMP002</x:v>
      </x:c>
      <x:c r="C749" s="10" t="str">
        <x:v>CLI075</x:v>
      </x:c>
      <x:c r="D749" s="10" t="str">
        <x:v>CC006</x:v>
      </x:c>
      <x:c r="E749" s="10" t="str">
        <x:v>CAT002</x:v>
      </x:c>
      <x:c r="F749" s="10" t="str">
        <x:v>CTA003</x:v>
      </x:c>
      <x:c r="G749" s="10" t="str">
        <x:v>FAT-200748</x:v>
      </x:c>
      <x:c r="H749" s="10" t="str">
        <x:v>Projeto especial</x:v>
      </x:c>
      <x:c r="I749" s="16" t="n">
        <x:v>45988.247309976854</x:v>
      </x:c>
      <x:c r="J749" s="16" t="n">
        <x:v>46009.247309976854</x:v>
      </x:c>
      <x:c r="K749" s="16"/>
      <x:c r="L749" s="20" t="n">
        <x:v>2249.4</x:v>
      </x:c>
      <x:c r="M749" s="20" t="n">
        <x:v>0</x:v>
      </x:c>
      <x:c r="N749" s="20" t="n">
        <x:v>0</x:v>
      </x:c>
      <x:c r="O749" s="20" t="n">
        <x:v>0</x:v>
      </x:c>
      <x:c r="P749" s="20" t="n">
        <x:v>2249.4</x:v>
      </x:c>
      <x:c r="Q749" s="10" t="str">
        <x:v>Vencido</x:v>
      </x:c>
      <x:c r="R749" s="10" t="str">
        <x:v>TED</x:v>
      </x:c>
      <x:c r="S749" s="10" t="str">
        <x:v>2025-11</x:v>
      </x:c>
      <x:c r="T749" s="10" t="n">
        <x:v>12</x:v>
      </x:c>
      <x:c r="U749" s="10" t="str">
        <x:v>1 a 30 dias</x:v>
      </x:c>
      <x:c r="V749" s="10" t="str">
        <x:v>Médio</x:v>
      </x:c>
      <x:c r="W749" s="10" t="str">
        <x:v>Varejo</x:v>
      </x:c>
      <x:c r="X749" s="10" t="str">
        <x:v>UND003</x:v>
      </x:c>
    </x:row>
    <x:row r="750" ht="18" customHeight="1">
      <x:c r="A750" s="10" t="str">
        <x:v>REC00749</x:v>
      </x:c>
      <x:c r="B750" s="10" t="str">
        <x:v>EMP003</x:v>
      </x:c>
      <x:c r="C750" s="10" t="str">
        <x:v>CLI047</x:v>
      </x:c>
      <x:c r="D750" s="10" t="str">
        <x:v>CC007</x:v>
      </x:c>
      <x:c r="E750" s="10" t="str">
        <x:v>CAT004</x:v>
      </x:c>
      <x:c r="F750" s="10" t="str">
        <x:v>CTA005</x:v>
      </x:c>
      <x:c r="G750" s="10" t="str">
        <x:v>FAT-200749</x:v>
      </x:c>
      <x:c r="H750" s="10" t="str">
        <x:v>Projeto especial</x:v>
      </x:c>
      <x:c r="I750" s="16" t="n">
        <x:v>45981.794241655094</x:v>
      </x:c>
      <x:c r="J750" s="16" t="n">
        <x:v>46011.794241655094</x:v>
      </x:c>
      <x:c r="K750" s="16"/>
      <x:c r="L750" s="20" t="n">
        <x:v>138079.42</x:v>
      </x:c>
      <x:c r="M750" s="20" t="n">
        <x:v>0</x:v>
      </x:c>
      <x:c r="N750" s="20" t="n">
        <x:v>0</x:v>
      </x:c>
      <x:c r="O750" s="20" t="n">
        <x:v>0</x:v>
      </x:c>
      <x:c r="P750" s="20" t="n">
        <x:v>138079.42</x:v>
      </x:c>
      <x:c r="Q750" s="10" t="str">
        <x:v>Vencido</x:v>
      </x:c>
      <x:c r="R750" s="10" t="str">
        <x:v>Cartão</x:v>
      </x:c>
      <x:c r="S750" s="10" t="str">
        <x:v>2025-11</x:v>
      </x:c>
      <x:c r="T750" s="10" t="n">
        <x:v>10</x:v>
      </x:c>
      <x:c r="U750" s="10" t="str">
        <x:v>1 a 30 dias</x:v>
      </x:c>
      <x:c r="V750" s="10" t="str">
        <x:v>Baixo</x:v>
      </x:c>
      <x:c r="W750" s="10" t="str">
        <x:v>Serviços</x:v>
      </x:c>
      <x:c r="X750" s="10" t="str">
        <x:v>UND004</x:v>
      </x:c>
    </x:row>
    <x:row r="751" ht="18" customHeight="1">
      <x:c r="A751" s="10" t="str">
        <x:v>REC00750</x:v>
      </x:c>
      <x:c r="B751" s="10" t="str">
        <x:v>EMP002</x:v>
      </x:c>
      <x:c r="C751" s="10" t="str">
        <x:v>CLI013</x:v>
      </x:c>
      <x:c r="D751" s="10" t="str">
        <x:v>CC002</x:v>
      </x:c>
      <x:c r="E751" s="10" t="str">
        <x:v>CAT001</x:v>
      </x:c>
      <x:c r="F751" s="10" t="str">
        <x:v>CTA004</x:v>
      </x:c>
      <x:c r="G751" s="10" t="str">
        <x:v>FAT-200750</x:v>
      </x:c>
      <x:c r="H751" s="10" t="str">
        <x:v>Frete faturado</x:v>
      </x:c>
      <x:c r="I751" s="16" t="n">
        <x:v>45812.92788188657</x:v>
      </x:c>
      <x:c r="J751" s="16" t="n">
        <x:v>45833.92788188657</x:v>
      </x:c>
      <x:c r="K751" s="16" t="n">
        <x:v>45835.92788188657</x:v>
      </x:c>
      <x:c r="L751" s="20" t="n">
        <x:v>1263.53</x:v>
      </x:c>
      <x:c r="M751" s="20" t="n">
        <x:v>2.02</x:v>
      </x:c>
      <x:c r="N751" s="20" t="n">
        <x:v>0</x:v>
      </x:c>
      <x:c r="O751" s="20" t="n">
        <x:v>1265.55</x:v>
      </x:c>
      <x:c r="P751" s="20" t="n">
        <x:v>0</x:v>
      </x:c>
      <x:c r="Q751" s="10" t="str">
        <x:v>Recebido</x:v>
      </x:c>
      <x:c r="R751" s="10" t="str">
        <x:v>PIX</x:v>
      </x:c>
      <x:c r="S751" s="10" t="str">
        <x:v>2025-06</x:v>
      </x:c>
      <x:c r="T751" s="10" t="n">
        <x:v>0</x:v>
      </x:c>
      <x:c r="U751" s="10" t="str">
        <x:v>Liquidado</x:v>
      </x:c>
      <x:c r="V751" s="10" t="str">
        <x:v>Baixo</x:v>
      </x:c>
      <x:c r="W751" s="10" t="str">
        <x:v>Serviços</x:v>
      </x:c>
      <x:c r="X751" s="10" t="str">
        <x:v>UND003</x:v>
      </x:c>
    </x:row>
    <x:row r="752" ht="18" customHeight="1">
      <x:c r="A752" s="10" t="str">
        <x:v>REC00751</x:v>
      </x:c>
      <x:c r="B752" s="10" t="str">
        <x:v>EMP001</x:v>
      </x:c>
      <x:c r="C752" s="10" t="str">
        <x:v>CLI062</x:v>
      </x:c>
      <x:c r="D752" s="10" t="str">
        <x:v>CC005</x:v>
      </x:c>
      <x:c r="E752" s="10" t="str">
        <x:v>CAT003</x:v>
      </x:c>
      <x:c r="F752" s="10" t="str">
        <x:v>CTA002</x:v>
      </x:c>
      <x:c r="G752" s="10" t="str">
        <x:v>FAT-200751</x:v>
      </x:c>
      <x:c r="H752" s="10" t="str">
        <x:v>Venda de produtos</x:v>
      </x:c>
      <x:c r="I752" s="16" t="n">
        <x:v>45725.54485371528</x:v>
      </x:c>
      <x:c r="J752" s="16" t="n">
        <x:v>45753.54485371528</x:v>
      </x:c>
      <x:c r="K752" s="16" t="n">
        <x:v>45757.54485371528</x:v>
      </x:c>
      <x:c r="L752" s="20" t="n">
        <x:v>33097.17</x:v>
      </x:c>
      <x:c r="M752" s="20" t="n">
        <x:v>105.91</x:v>
      </x:c>
      <x:c r="N752" s="20" t="n">
        <x:v>0</x:v>
      </x:c>
      <x:c r="O752" s="20" t="n">
        <x:v>33203.08</x:v>
      </x:c>
      <x:c r="P752" s="20" t="n">
        <x:v>0</x:v>
      </x:c>
      <x:c r="Q752" s="10" t="str">
        <x:v>Recebido</x:v>
      </x:c>
      <x:c r="R752" s="10" t="str">
        <x:v>TED</x:v>
      </x:c>
      <x:c r="S752" s="10" t="str">
        <x:v>2025-03</x:v>
      </x:c>
      <x:c r="T752" s="10" t="n">
        <x:v>0</x:v>
      </x:c>
      <x:c r="U752" s="10" t="str">
        <x:v>Liquidado</x:v>
      </x:c>
      <x:c r="V752" s="10" t="str">
        <x:v>Baixo</x:v>
      </x:c>
      <x:c r="W752" s="10" t="str">
        <x:v>Saúde</x:v>
      </x:c>
      <x:c r="X752" s="10" t="str">
        <x:v>UND001</x:v>
      </x:c>
    </x:row>
    <x:row r="753" ht="18" customHeight="1">
      <x:c r="A753" s="10" t="str">
        <x:v>REC00752</x:v>
      </x:c>
      <x:c r="B753" s="10" t="str">
        <x:v>EMP001</x:v>
      </x:c>
      <x:c r="C753" s="10" t="str">
        <x:v>CLI055</x:v>
      </x:c>
      <x:c r="D753" s="10" t="str">
        <x:v>CC004</x:v>
      </x:c>
      <x:c r="E753" s="10" t="str">
        <x:v>CAT002</x:v>
      </x:c>
      <x:c r="F753" s="10" t="str">
        <x:v>CTA002</x:v>
      </x:c>
      <x:c r="G753" s="10" t="str">
        <x:v>FAT-200752</x:v>
      </x:c>
      <x:c r="H753" s="10" t="str">
        <x:v>Contrato mensal</x:v>
      </x:c>
      <x:c r="I753" s="16" t="n">
        <x:v>45404.55357326389</x:v>
      </x:c>
      <x:c r="J753" s="16" t="n">
        <x:v>45425.55357326389</x:v>
      </x:c>
      <x:c r="K753" s="16" t="n">
        <x:v>45421.55357326389</x:v>
      </x:c>
      <x:c r="L753" s="20" t="n">
        <x:v>4816.44</x:v>
      </x:c>
      <x:c r="M753" s="20" t="n">
        <x:v>0</x:v>
      </x:c>
      <x:c r="N753" s="20" t="n">
        <x:v>0</x:v>
      </x:c>
      <x:c r="O753" s="20" t="n">
        <x:v>4816.44</x:v>
      </x:c>
      <x:c r="P753" s="20" t="n">
        <x:v>0</x:v>
      </x:c>
      <x:c r="Q753" s="10" t="str">
        <x:v>Recebido</x:v>
      </x:c>
      <x:c r="R753" s="10" t="str">
        <x:v>Boleto</x:v>
      </x:c>
      <x:c r="S753" s="10" t="str">
        <x:v>2024-04</x:v>
      </x:c>
      <x:c r="T753" s="10" t="n">
        <x:v>0</x:v>
      </x:c>
      <x:c r="U753" s="10" t="str">
        <x:v>Liquidado</x:v>
      </x:c>
      <x:c r="V753" s="10" t="str">
        <x:v>Baixo</x:v>
      </x:c>
      <x:c r="W753" s="10" t="str">
        <x:v>Serviços</x:v>
      </x:c>
      <x:c r="X753" s="10" t="str">
        <x:v>UND001</x:v>
      </x:c>
    </x:row>
    <x:row r="754" ht="18" customHeight="1">
      <x:c r="A754" s="10" t="str">
        <x:v>REC00753</x:v>
      </x:c>
      <x:c r="B754" s="10" t="str">
        <x:v>EMP001</x:v>
      </x:c>
      <x:c r="C754" s="10" t="str">
        <x:v>CLI074</x:v>
      </x:c>
      <x:c r="D754" s="10" t="str">
        <x:v>CC002</x:v>
      </x:c>
      <x:c r="E754" s="10" t="str">
        <x:v>CAT003</x:v>
      </x:c>
      <x:c r="F754" s="10" t="str">
        <x:v>CTA001</x:v>
      </x:c>
      <x:c r="G754" s="10" t="str">
        <x:v>FAT-200753</x:v>
      </x:c>
      <x:c r="H754" s="10" t="str">
        <x:v>Frete faturado</x:v>
      </x:c>
      <x:c r="I754" s="16" t="n">
        <x:v>45586.972435625</x:v>
      </x:c>
      <x:c r="J754" s="16" t="n">
        <x:v>45607.972435625</x:v>
      </x:c>
      <x:c r="K754" s="16" t="n">
        <x:v>45620.972435625</x:v>
      </x:c>
      <x:c r="L754" s="20" t="n">
        <x:v>77903.51</x:v>
      </x:c>
      <x:c r="M754" s="20" t="n">
        <x:v>810.2</x:v>
      </x:c>
      <x:c r="N754" s="20" t="n">
        <x:v>0</x:v>
      </x:c>
      <x:c r="O754" s="20" t="n">
        <x:v>78713.71</x:v>
      </x:c>
      <x:c r="P754" s="20" t="n">
        <x:v>0</x:v>
      </x:c>
      <x:c r="Q754" s="10" t="str">
        <x:v>Recebido</x:v>
      </x:c>
      <x:c r="R754" s="10" t="str">
        <x:v>Cartão</x:v>
      </x:c>
      <x:c r="S754" s="10" t="str">
        <x:v>2024-10</x:v>
      </x:c>
      <x:c r="T754" s="10" t="n">
        <x:v>0</x:v>
      </x:c>
      <x:c r="U754" s="10" t="str">
        <x:v>Liquidado</x:v>
      </x:c>
      <x:c r="V754" s="10" t="str">
        <x:v>Médio</x:v>
      </x:c>
      <x:c r="W754" s="10" t="str">
        <x:v>Tecnologia</x:v>
      </x:c>
      <x:c r="X754" s="10" t="str">
        <x:v>UND002</x:v>
      </x:c>
    </x:row>
    <x:row r="755" ht="18" customHeight="1">
      <x:c r="A755" s="10" t="str">
        <x:v>REC00754</x:v>
      </x:c>
      <x:c r="B755" s="10" t="str">
        <x:v>EMP003</x:v>
      </x:c>
      <x:c r="C755" s="10" t="str">
        <x:v>CLI073</x:v>
      </x:c>
      <x:c r="D755" s="10" t="str">
        <x:v>CC008</x:v>
      </x:c>
      <x:c r="E755" s="10" t="str">
        <x:v>CAT003</x:v>
      </x:c>
      <x:c r="F755" s="10" t="str">
        <x:v>CTA005</x:v>
      </x:c>
      <x:c r="G755" s="10" t="str">
        <x:v>FAT-200754</x:v>
      </x:c>
      <x:c r="H755" s="10" t="str">
        <x:v>Frete faturado</x:v>
      </x:c>
      <x:c r="I755" s="16" t="n">
        <x:v>45913.12072675926</x:v>
      </x:c>
      <x:c r="J755" s="16" t="n">
        <x:v>45973.12072675926</x:v>
      </x:c>
      <x:c r="K755" s="16"/>
      <x:c r="L755" s="20" t="n">
        <x:v>67813.32</x:v>
      </x:c>
      <x:c r="M755" s="20" t="n">
        <x:v>0</x:v>
      </x:c>
      <x:c r="N755" s="20" t="n">
        <x:v>0</x:v>
      </x:c>
      <x:c r="O755" s="20" t="n">
        <x:v>0</x:v>
      </x:c>
      <x:c r="P755" s="20" t="n">
        <x:v>67813.32</x:v>
      </x:c>
      <x:c r="Q755" s="10" t="str">
        <x:v>Vencido</x:v>
      </x:c>
      <x:c r="R755" s="10" t="str">
        <x:v>Cartão</x:v>
      </x:c>
      <x:c r="S755" s="10" t="str">
        <x:v>2025-09</x:v>
      </x:c>
      <x:c r="T755" s="10" t="n">
        <x:v>48</x:v>
      </x:c>
      <x:c r="U755" s="10" t="str">
        <x:v>31 a 60 dias</x:v>
      </x:c>
      <x:c r="V755" s="10" t="str">
        <x:v>Alto</x:v>
      </x:c>
      <x:c r="W755" s="10" t="str">
        <x:v>Tecnologia</x:v>
      </x:c>
      <x:c r="X755" s="10" t="str">
        <x:v>UND004</x:v>
      </x:c>
    </x:row>
    <x:row r="756" ht="18" customHeight="1">
      <x:c r="A756" s="10" t="str">
        <x:v>REC00755</x:v>
      </x:c>
      <x:c r="B756" s="10" t="str">
        <x:v>EMP003</x:v>
      </x:c>
      <x:c r="C756" s="10" t="str">
        <x:v>CLI062</x:v>
      </x:c>
      <x:c r="D756" s="10" t="str">
        <x:v>CC008</x:v>
      </x:c>
      <x:c r="E756" s="10" t="str">
        <x:v>CAT002</x:v>
      </x:c>
      <x:c r="F756" s="10" t="str">
        <x:v>CTA006</x:v>
      </x:c>
      <x:c r="G756" s="10" t="str">
        <x:v>FAT-200755</x:v>
      </x:c>
      <x:c r="H756" s="10" t="str">
        <x:v>Frete faturado</x:v>
      </x:c>
      <x:c r="I756" s="16" t="n">
        <x:v>45960.00117018518</x:v>
      </x:c>
      <x:c r="J756" s="16" t="n">
        <x:v>45990.00117018518</x:v>
      </x:c>
      <x:c r="K756" s="16" t="n">
        <x:v>45984.00117018518</x:v>
      </x:c>
      <x:c r="L756" s="20" t="n">
        <x:v>66605.79</x:v>
      </x:c>
      <x:c r="M756" s="20" t="n">
        <x:v>0</x:v>
      </x:c>
      <x:c r="N756" s="20" t="n">
        <x:v>0</x:v>
      </x:c>
      <x:c r="O756" s="20" t="n">
        <x:v>66605.79</x:v>
      </x:c>
      <x:c r="P756" s="20" t="n">
        <x:v>0</x:v>
      </x:c>
      <x:c r="Q756" s="10" t="str">
        <x:v>Recebido</x:v>
      </x:c>
      <x:c r="R756" s="10" t="str">
        <x:v>Débito em Conta</x:v>
      </x:c>
      <x:c r="S756" s="10" t="str">
        <x:v>2025-10</x:v>
      </x:c>
      <x:c r="T756" s="10" t="n">
        <x:v>0</x:v>
      </x:c>
      <x:c r="U756" s="10" t="str">
        <x:v>Liquidado</x:v>
      </x:c>
      <x:c r="V756" s="10" t="str">
        <x:v>Baixo</x:v>
      </x:c>
      <x:c r="W756" s="10" t="str">
        <x:v>Saúde</x:v>
      </x:c>
      <x:c r="X756" s="10" t="str">
        <x:v>UND004</x:v>
      </x:c>
    </x:row>
    <x:row r="757" ht="18" customHeight="1">
      <x:c r="A757" s="10" t="str">
        <x:v>REC00756</x:v>
      </x:c>
      <x:c r="B757" s="10" t="str">
        <x:v>EMP002</x:v>
      </x:c>
      <x:c r="C757" s="10" t="str">
        <x:v>CLI043</x:v>
      </x:c>
      <x:c r="D757" s="10" t="str">
        <x:v>CC004</x:v>
      </x:c>
      <x:c r="E757" s="10" t="str">
        <x:v>CAT004</x:v>
      </x:c>
      <x:c r="F757" s="10" t="str">
        <x:v>CTA004</x:v>
      </x:c>
      <x:c r="G757" s="10" t="str">
        <x:v>FAT-200756</x:v>
      </x:c>
      <x:c r="H757" s="10" t="str">
        <x:v>Contrato mensal</x:v>
      </x:c>
      <x:c r="I757" s="16" t="n">
        <x:v>45357.29670677083</x:v>
      </x:c>
      <x:c r="J757" s="16" t="n">
        <x:v>45402.29670677083</x:v>
      </x:c>
      <x:c r="K757" s="16"/>
      <x:c r="L757" s="20" t="n">
        <x:v>83483.67</x:v>
      </x:c>
      <x:c r="M757" s="20" t="n">
        <x:v>0</x:v>
      </x:c>
      <x:c r="N757" s="20" t="n">
        <x:v>0</x:v>
      </x:c>
      <x:c r="O757" s="20" t="n">
        <x:v>0</x:v>
      </x:c>
      <x:c r="P757" s="20" t="n">
        <x:v>83483.67</x:v>
      </x:c>
      <x:c r="Q757" s="10" t="str">
        <x:v>Vencido</x:v>
      </x:c>
      <x:c r="R757" s="10" t="str">
        <x:v>TED</x:v>
      </x:c>
      <x:c r="S757" s="10" t="str">
        <x:v>2024-03</x:v>
      </x:c>
      <x:c r="T757" s="10" t="n">
        <x:v>619</x:v>
      </x:c>
      <x:c r="U757" s="10" t="str">
        <x:v>&gt; 120 dias</x:v>
      </x:c>
      <x:c r="V757" s="10" t="str">
        <x:v>Baixo</x:v>
      </x:c>
      <x:c r="W757" s="10" t="str">
        <x:v>Atacado</x:v>
      </x:c>
      <x:c r="X757" s="10" t="str">
        <x:v>UND003</x:v>
      </x:c>
    </x:row>
    <x:row r="758" ht="18" customHeight="1">
      <x:c r="A758" s="10" t="str">
        <x:v>REC00757</x:v>
      </x:c>
      <x:c r="B758" s="10" t="str">
        <x:v>EMP003</x:v>
      </x:c>
      <x:c r="C758" s="10" t="str">
        <x:v>CLI021</x:v>
      </x:c>
      <x:c r="D758" s="10" t="str">
        <x:v>CC001</x:v>
      </x:c>
      <x:c r="E758" s="10" t="str">
        <x:v>CAT001</x:v>
      </x:c>
      <x:c r="F758" s="10" t="str">
        <x:v>CTA005</x:v>
      </x:c>
      <x:c r="G758" s="10" t="str">
        <x:v>FAT-200757</x:v>
      </x:c>
      <x:c r="H758" s="10" t="str">
        <x:v>Frete faturado</x:v>
      </x:c>
      <x:c r="I758" s="16" t="n">
        <x:v>45826.46665275463</x:v>
      </x:c>
      <x:c r="J758" s="16" t="n">
        <x:v>45861.46665275463</x:v>
      </x:c>
      <x:c r="K758" s="16" t="n">
        <x:v>45865.46665275463</x:v>
      </x:c>
      <x:c r="L758" s="20" t="n">
        <x:v>119502.94</x:v>
      </x:c>
      <x:c r="M758" s="20" t="n">
        <x:v>382.41</x:v>
      </x:c>
      <x:c r="N758" s="20" t="n">
        <x:v>0</x:v>
      </x:c>
      <x:c r="O758" s="20" t="n">
        <x:v>119885.35</x:v>
      </x:c>
      <x:c r="P758" s="20" t="n">
        <x:v>0</x:v>
      </x:c>
      <x:c r="Q758" s="10" t="str">
        <x:v>Recebido</x:v>
      </x:c>
      <x:c r="R758" s="10" t="str">
        <x:v>Débito em Conta</x:v>
      </x:c>
      <x:c r="S758" s="10" t="str">
        <x:v>2025-06</x:v>
      </x:c>
      <x:c r="T758" s="10" t="n">
        <x:v>0</x:v>
      </x:c>
      <x:c r="U758" s="10" t="str">
        <x:v>Liquidado</x:v>
      </x:c>
      <x:c r="V758" s="10" t="str">
        <x:v>Baixo</x:v>
      </x:c>
      <x:c r="W758" s="10" t="str">
        <x:v>Indústria</x:v>
      </x:c>
      <x:c r="X758" s="10" t="str">
        <x:v>UND004</x:v>
      </x:c>
    </x:row>
    <x:row r="759" ht="18" customHeight="1">
      <x:c r="A759" s="10" t="str">
        <x:v>REC00758</x:v>
      </x:c>
      <x:c r="B759" s="10" t="str">
        <x:v>EMP003</x:v>
      </x:c>
      <x:c r="C759" s="10" t="str">
        <x:v>CLI042</x:v>
      </x:c>
      <x:c r="D759" s="10" t="str">
        <x:v>CC002</x:v>
      </x:c>
      <x:c r="E759" s="10" t="str">
        <x:v>CAT004</x:v>
      </x:c>
      <x:c r="F759" s="10" t="str">
        <x:v>CTA005</x:v>
      </x:c>
      <x:c r="G759" s="10" t="str">
        <x:v>FAT-200758</x:v>
      </x:c>
      <x:c r="H759" s="10" t="str">
        <x:v>Projeto especial</x:v>
      </x:c>
      <x:c r="I759" s="16" t="n">
        <x:v>45764.52519951389</x:v>
      </x:c>
      <x:c r="J759" s="16" t="n">
        <x:v>45809.52519951389</x:v>
      </x:c>
      <x:c r="K759" s="16" t="n">
        <x:v>45813.52519951389</x:v>
      </x:c>
      <x:c r="L759" s="20" t="n">
        <x:v>104037.65</x:v>
      </x:c>
      <x:c r="M759" s="20" t="n">
        <x:v>332.92</x:v>
      </x:c>
      <x:c r="N759" s="20" t="n">
        <x:v>0</x:v>
      </x:c>
      <x:c r="O759" s="20" t="n">
        <x:v>104370.57</x:v>
      </x:c>
      <x:c r="P759" s="20" t="n">
        <x:v>0</x:v>
      </x:c>
      <x:c r="Q759" s="10" t="str">
        <x:v>Recebido</x:v>
      </x:c>
      <x:c r="R759" s="10" t="str">
        <x:v>TED</x:v>
      </x:c>
      <x:c r="S759" s="10" t="str">
        <x:v>2025-04</x:v>
      </x:c>
      <x:c r="T759" s="10" t="n">
        <x:v>0</x:v>
      </x:c>
      <x:c r="U759" s="10" t="str">
        <x:v>Liquidado</x:v>
      </x:c>
      <x:c r="V759" s="10" t="str">
        <x:v>Baixo</x:v>
      </x:c>
      <x:c r="W759" s="10" t="str">
        <x:v>Varejo</x:v>
      </x:c>
      <x:c r="X759" s="10" t="str">
        <x:v>UND004</x:v>
      </x:c>
    </x:row>
    <x:row r="760" ht="18" customHeight="1">
      <x:c r="A760" s="10" t="str">
        <x:v>REC00759</x:v>
      </x:c>
      <x:c r="B760" s="10" t="str">
        <x:v>EMP002</x:v>
      </x:c>
      <x:c r="C760" s="10" t="str">
        <x:v>CLI011</x:v>
      </x:c>
      <x:c r="D760" s="10" t="str">
        <x:v>CC006</x:v>
      </x:c>
      <x:c r="E760" s="10" t="str">
        <x:v>CAT002</x:v>
      </x:c>
      <x:c r="F760" s="10" t="str">
        <x:v>CTA004</x:v>
      </x:c>
      <x:c r="G760" s="10" t="str">
        <x:v>FAT-200759</x:v>
      </x:c>
      <x:c r="H760" s="10" t="str">
        <x:v>Venda de produtos</x:v>
      </x:c>
      <x:c r="I760" s="16" t="n">
        <x:v>45705.15512490741</x:v>
      </x:c>
      <x:c r="J760" s="16" t="n">
        <x:v>45740.15512490741</x:v>
      </x:c>
      <x:c r="K760" s="16"/>
      <x:c r="L760" s="20" t="n">
        <x:v>49556.85</x:v>
      </x:c>
      <x:c r="M760" s="20" t="n">
        <x:v>0</x:v>
      </x:c>
      <x:c r="N760" s="20" t="n">
        <x:v>0</x:v>
      </x:c>
      <x:c r="O760" s="20" t="n">
        <x:v>0</x:v>
      </x:c>
      <x:c r="P760" s="20" t="n">
        <x:v>49556.85</x:v>
      </x:c>
      <x:c r="Q760" s="10" t="str">
        <x:v>Vencido</x:v>
      </x:c>
      <x:c r="R760" s="10" t="str">
        <x:v>Débito em Conta</x:v>
      </x:c>
      <x:c r="S760" s="10" t="str">
        <x:v>2025-02</x:v>
      </x:c>
      <x:c r="T760" s="10" t="n">
        <x:v>281</x:v>
      </x:c>
      <x:c r="U760" s="10" t="str">
        <x:v>&gt; 120 dias</x:v>
      </x:c>
      <x:c r="V760" s="10" t="str">
        <x:v>Alto</x:v>
      </x:c>
      <x:c r="W760" s="10" t="str">
        <x:v>Serviços</x:v>
      </x:c>
      <x:c r="X760" s="10" t="str">
        <x:v>UND003</x:v>
      </x:c>
    </x:row>
    <x:row r="761" ht="18" customHeight="1">
      <x:c r="A761" s="10" t="str">
        <x:v>REC00760</x:v>
      </x:c>
      <x:c r="B761" s="10" t="str">
        <x:v>EMP003</x:v>
      </x:c>
      <x:c r="C761" s="10" t="str">
        <x:v>CLI008</x:v>
      </x:c>
      <x:c r="D761" s="10" t="str">
        <x:v>CC005</x:v>
      </x:c>
      <x:c r="E761" s="10" t="str">
        <x:v>CAT001</x:v>
      </x:c>
      <x:c r="F761" s="10" t="str">
        <x:v>CTA005</x:v>
      </x:c>
      <x:c r="G761" s="10" t="str">
        <x:v>FAT-200760</x:v>
      </x:c>
      <x:c r="H761" s="10" t="str">
        <x:v>Prestação de serviços</x:v>
      </x:c>
      <x:c r="I761" s="16" t="n">
        <x:v>45513.942740370374</x:v>
      </x:c>
      <x:c r="J761" s="16" t="n">
        <x:v>45543.942740370374</x:v>
      </x:c>
      <x:c r="K761" s="16" t="n">
        <x:v>45537.942740370374</x:v>
      </x:c>
      <x:c r="L761" s="20" t="n">
        <x:v>77735.58</x:v>
      </x:c>
      <x:c r="M761" s="20" t="n">
        <x:v>0</x:v>
      </x:c>
      <x:c r="N761" s="20" t="n">
        <x:v>0</x:v>
      </x:c>
      <x:c r="O761" s="20" t="n">
        <x:v>77735.58</x:v>
      </x:c>
      <x:c r="P761" s="20" t="n">
        <x:v>0</x:v>
      </x:c>
      <x:c r="Q761" s="10" t="str">
        <x:v>Recebido</x:v>
      </x:c>
      <x:c r="R761" s="10" t="str">
        <x:v>TED</x:v>
      </x:c>
      <x:c r="S761" s="10" t="str">
        <x:v>2024-08</x:v>
      </x:c>
      <x:c r="T761" s="10" t="n">
        <x:v>0</x:v>
      </x:c>
      <x:c r="U761" s="10" t="str">
        <x:v>Liquidado</x:v>
      </x:c>
      <x:c r="V761" s="10" t="str">
        <x:v>Médio</x:v>
      </x:c>
      <x:c r="W761" s="10" t="str">
        <x:v>Saúde</x:v>
      </x:c>
      <x:c r="X761" s="10" t="str">
        <x:v>UND004</x:v>
      </x:c>
    </x:row>
    <x:row r="762" ht="18" customHeight="1">
      <x:c r="A762" s="10" t="str">
        <x:v>REC00761</x:v>
      </x:c>
      <x:c r="B762" s="10" t="str">
        <x:v>EMP003</x:v>
      </x:c>
      <x:c r="C762" s="10" t="str">
        <x:v>CLI052</x:v>
      </x:c>
      <x:c r="D762" s="10" t="str">
        <x:v>CC005</x:v>
      </x:c>
      <x:c r="E762" s="10" t="str">
        <x:v>CAT002</x:v>
      </x:c>
      <x:c r="F762" s="10" t="str">
        <x:v>CTA005</x:v>
      </x:c>
      <x:c r="G762" s="10" t="str">
        <x:v>FAT-200761</x:v>
      </x:c>
      <x:c r="H762" s="10" t="str">
        <x:v>Venda de produtos</x:v>
      </x:c>
      <x:c r="I762" s="16" t="n">
        <x:v>45465.83607295139</x:v>
      </x:c>
      <x:c r="J762" s="16" t="n">
        <x:v>45525.83607295139</x:v>
      </x:c>
      <x:c r="K762" s="16" t="n">
        <x:v>45520.83607295139</x:v>
      </x:c>
      <x:c r="L762" s="20" t="n">
        <x:v>52467.12</x:v>
      </x:c>
      <x:c r="M762" s="20" t="n">
        <x:v>0</x:v>
      </x:c>
      <x:c r="N762" s="20" t="n">
        <x:v>0</x:v>
      </x:c>
      <x:c r="O762" s="20" t="n">
        <x:v>52467.12</x:v>
      </x:c>
      <x:c r="P762" s="20" t="n">
        <x:v>0</x:v>
      </x:c>
      <x:c r="Q762" s="10" t="str">
        <x:v>Recebido</x:v>
      </x:c>
      <x:c r="R762" s="10" t="str">
        <x:v>Débito em Conta</x:v>
      </x:c>
      <x:c r="S762" s="10" t="str">
        <x:v>2024-06</x:v>
      </x:c>
      <x:c r="T762" s="10" t="n">
        <x:v>0</x:v>
      </x:c>
      <x:c r="U762" s="10" t="str">
        <x:v>Liquidado</x:v>
      </x:c>
      <x:c r="V762" s="10" t="str">
        <x:v>Baixo</x:v>
      </x:c>
      <x:c r="W762" s="10" t="str">
        <x:v>Varejo</x:v>
      </x:c>
      <x:c r="X762" s="10" t="str">
        <x:v>UND004</x:v>
      </x:c>
    </x:row>
    <x:row r="763" ht="18" customHeight="1">
      <x:c r="A763" s="10" t="str">
        <x:v>REC00762</x:v>
      </x:c>
      <x:c r="B763" s="10" t="str">
        <x:v>EMP001</x:v>
      </x:c>
      <x:c r="C763" s="10" t="str">
        <x:v>CLI061</x:v>
      </x:c>
      <x:c r="D763" s="10" t="str">
        <x:v>CC003</x:v>
      </x:c>
      <x:c r="E763" s="10" t="str">
        <x:v>CAT002</x:v>
      </x:c>
      <x:c r="F763" s="10" t="str">
        <x:v>CTA002</x:v>
      </x:c>
      <x:c r="G763" s="10" t="str">
        <x:v>FAT-200762</x:v>
      </x:c>
      <x:c r="H763" s="10" t="str">
        <x:v>Prestação de serviços</x:v>
      </x:c>
      <x:c r="I763" s="16" t="n">
        <x:v>45715.983025671296</x:v>
      </x:c>
      <x:c r="J763" s="16" t="n">
        <x:v>45745.983025671296</x:v>
      </x:c>
      <x:c r="K763" s="16" t="n">
        <x:v>45741.983025671296</x:v>
      </x:c>
      <x:c r="L763" s="20" t="n">
        <x:v>33843.45</x:v>
      </x:c>
      <x:c r="M763" s="20" t="n">
        <x:v>0</x:v>
      </x:c>
      <x:c r="N763" s="20" t="n">
        <x:v>0</x:v>
      </x:c>
      <x:c r="O763" s="20" t="n">
        <x:v>33843.45</x:v>
      </x:c>
      <x:c r="P763" s="20" t="n">
        <x:v>0</x:v>
      </x:c>
      <x:c r="Q763" s="10" t="str">
        <x:v>Recebido</x:v>
      </x:c>
      <x:c r="R763" s="10" t="str">
        <x:v>Débito em Conta</x:v>
      </x:c>
      <x:c r="S763" s="10" t="str">
        <x:v>2025-02</x:v>
      </x:c>
      <x:c r="T763" s="10" t="n">
        <x:v>0</x:v>
      </x:c>
      <x:c r="U763" s="10" t="str">
        <x:v>Liquidado</x:v>
      </x:c>
      <x:c r="V763" s="10" t="str">
        <x:v>Baixo</x:v>
      </x:c>
      <x:c r="W763" s="10" t="str">
        <x:v>Serviços</x:v>
      </x:c>
      <x:c r="X763" s="10" t="str">
        <x:v>UND001</x:v>
      </x:c>
    </x:row>
    <x:row r="764" ht="18" customHeight="1">
      <x:c r="A764" s="10" t="str">
        <x:v>REC00763</x:v>
      </x:c>
      <x:c r="B764" s="10" t="str">
        <x:v>EMP002</x:v>
      </x:c>
      <x:c r="C764" s="10" t="str">
        <x:v>CLI004</x:v>
      </x:c>
      <x:c r="D764" s="10" t="str">
        <x:v>CC005</x:v>
      </x:c>
      <x:c r="E764" s="10" t="str">
        <x:v>CAT003</x:v>
      </x:c>
      <x:c r="F764" s="10" t="str">
        <x:v>CTA003</x:v>
      </x:c>
      <x:c r="G764" s="10" t="str">
        <x:v>FAT-200763</x:v>
      </x:c>
      <x:c r="H764" s="10" t="str">
        <x:v>Prestação de serviços</x:v>
      </x:c>
      <x:c r="I764" s="16" t="n">
        <x:v>45753.18139864584</x:v>
      </x:c>
      <x:c r="J764" s="16" t="n">
        <x:v>45768.18139864584</x:v>
      </x:c>
      <x:c r="K764" s="16"/>
      <x:c r="L764" s="20" t="n">
        <x:v>65577.15</x:v>
      </x:c>
      <x:c r="M764" s="20" t="n">
        <x:v>0</x:v>
      </x:c>
      <x:c r="N764" s="20" t="n">
        <x:v>0</x:v>
      </x:c>
      <x:c r="O764" s="20" t="n">
        <x:v>0</x:v>
      </x:c>
      <x:c r="P764" s="20" t="n">
        <x:v>65577.15</x:v>
      </x:c>
      <x:c r="Q764" s="10" t="str">
        <x:v>Vencido</x:v>
      </x:c>
      <x:c r="R764" s="10" t="str">
        <x:v>Débito em Conta</x:v>
      </x:c>
      <x:c r="S764" s="10" t="str">
        <x:v>2025-04</x:v>
      </x:c>
      <x:c r="T764" s="10" t="n">
        <x:v>253</x:v>
      </x:c>
      <x:c r="U764" s="10" t="str">
        <x:v>&gt; 120 dias</x:v>
      </x:c>
      <x:c r="V764" s="10" t="str">
        <x:v>Alto</x:v>
      </x:c>
      <x:c r="W764" s="10" t="str">
        <x:v>Varejo</x:v>
      </x:c>
      <x:c r="X764" s="10" t="str">
        <x:v>UND003</x:v>
      </x:c>
    </x:row>
    <x:row r="765" ht="18" customHeight="1">
      <x:c r="A765" s="10" t="str">
        <x:v>REC00764</x:v>
      </x:c>
      <x:c r="B765" s="10" t="str">
        <x:v>EMP002</x:v>
      </x:c>
      <x:c r="C765" s="10" t="str">
        <x:v>CLI037</x:v>
      </x:c>
      <x:c r="D765" s="10" t="str">
        <x:v>CC001</x:v>
      </x:c>
      <x:c r="E765" s="10" t="str">
        <x:v>CAT002</x:v>
      </x:c>
      <x:c r="F765" s="10" t="str">
        <x:v>CTA004</x:v>
      </x:c>
      <x:c r="G765" s="10" t="str">
        <x:v>FAT-200764</x:v>
      </x:c>
      <x:c r="H765" s="10" t="str">
        <x:v>Frete faturado</x:v>
      </x:c>
      <x:c r="I765" s="16" t="n">
        <x:v>45879.16190438657</x:v>
      </x:c>
      <x:c r="J765" s="16" t="n">
        <x:v>45939.16190438657</x:v>
      </x:c>
      <x:c r="K765" s="16" t="n">
        <x:v>45940.16190438657</x:v>
      </x:c>
      <x:c r="L765" s="20" t="n">
        <x:v>116737.6</x:v>
      </x:c>
      <x:c r="M765" s="20" t="n">
        <x:v>93.39</x:v>
      </x:c>
      <x:c r="N765" s="20" t="n">
        <x:v>0</x:v>
      </x:c>
      <x:c r="O765" s="20" t="n">
        <x:v>116830.99</x:v>
      </x:c>
      <x:c r="P765" s="20" t="n">
        <x:v>0</x:v>
      </x:c>
      <x:c r="Q765" s="10" t="str">
        <x:v>Recebido</x:v>
      </x:c>
      <x:c r="R765" s="10" t="str">
        <x:v>PIX</x:v>
      </x:c>
      <x:c r="S765" s="10" t="str">
        <x:v>2025-08</x:v>
      </x:c>
      <x:c r="T765" s="10" t="n">
        <x:v>0</x:v>
      </x:c>
      <x:c r="U765" s="10" t="str">
        <x:v>Liquidado</x:v>
      </x:c>
      <x:c r="V765" s="10" t="str">
        <x:v>Baixo</x:v>
      </x:c>
      <x:c r="W765" s="10" t="str">
        <x:v>Serviços</x:v>
      </x:c>
      <x:c r="X765" s="10" t="str">
        <x:v>UND003</x:v>
      </x:c>
    </x:row>
    <x:row r="766" ht="18" customHeight="1">
      <x:c r="A766" s="10" t="str">
        <x:v>REC00765</x:v>
      </x:c>
      <x:c r="B766" s="10" t="str">
        <x:v>EMP003</x:v>
      </x:c>
      <x:c r="C766" s="10" t="str">
        <x:v>CLI008</x:v>
      </x:c>
      <x:c r="D766" s="10" t="str">
        <x:v>CC006</x:v>
      </x:c>
      <x:c r="E766" s="10" t="str">
        <x:v>CAT002</x:v>
      </x:c>
      <x:c r="F766" s="10" t="str">
        <x:v>CTA006</x:v>
      </x:c>
      <x:c r="G766" s="10" t="str">
        <x:v>FAT-200765</x:v>
      </x:c>
      <x:c r="H766" s="10" t="str">
        <x:v>Prestação de serviços</x:v>
      </x:c>
      <x:c r="I766" s="16" t="n">
        <x:v>45995.84617509259</x:v>
      </x:c>
      <x:c r="J766" s="16" t="n">
        <x:v>46055.84617509259</x:v>
      </x:c>
      <x:c r="K766" s="16"/>
      <x:c r="L766" s="20" t="n">
        <x:v>134883.78</x:v>
      </x:c>
      <x:c r="M766" s="20" t="n">
        <x:v>0</x:v>
      </x:c>
      <x:c r="N766" s="20" t="n">
        <x:v>0</x:v>
      </x:c>
      <x:c r="O766" s="20" t="n">
        <x:v>0</x:v>
      </x:c>
      <x:c r="P766" s="20" t="n">
        <x:v>134883.78</x:v>
      </x:c>
      <x:c r="Q766" s="10" t="str">
        <x:v>A vencer</x:v>
      </x:c>
      <x:c r="R766" s="10" t="str">
        <x:v>Débito em Conta</x:v>
      </x:c>
      <x:c r="S766" s="10" t="str">
        <x:v>2025-12</x:v>
      </x:c>
      <x:c r="T766" s="10" t="n">
        <x:v>0</x:v>
      </x:c>
      <x:c r="U766" s="10" t="str">
        <x:v>A vencer</x:v>
      </x:c>
      <x:c r="V766" s="10" t="str">
        <x:v>Médio</x:v>
      </x:c>
      <x:c r="W766" s="10" t="str">
        <x:v>Saúde</x:v>
      </x:c>
      <x:c r="X766" s="10" t="str">
        <x:v>UND004</x:v>
      </x:c>
    </x:row>
    <x:row r="767" ht="18" customHeight="1">
      <x:c r="A767" s="10" t="str">
        <x:v>REC00766</x:v>
      </x:c>
      <x:c r="B767" s="10" t="str">
        <x:v>EMP003</x:v>
      </x:c>
      <x:c r="C767" s="10" t="str">
        <x:v>CLI067</x:v>
      </x:c>
      <x:c r="D767" s="10" t="str">
        <x:v>CC005</x:v>
      </x:c>
      <x:c r="E767" s="10" t="str">
        <x:v>CAT004</x:v>
      </x:c>
      <x:c r="F767" s="10" t="str">
        <x:v>CTA006</x:v>
      </x:c>
      <x:c r="G767" s="10" t="str">
        <x:v>FAT-200766</x:v>
      </x:c>
      <x:c r="H767" s="10" t="str">
        <x:v>Contrato mensal</x:v>
      </x:c>
      <x:c r="I767" s="16" t="n">
        <x:v>45476.64298225695</x:v>
      </x:c>
      <x:c r="J767" s="16" t="n">
        <x:v>45511.64298225695</x:v>
      </x:c>
      <x:c r="K767" s="16" t="n">
        <x:v>45523.64298225695</x:v>
      </x:c>
      <x:c r="L767" s="20" t="n">
        <x:v>2407.01</x:v>
      </x:c>
      <x:c r="M767" s="20" t="n">
        <x:v>23.11</x:v>
      </x:c>
      <x:c r="N767" s="20" t="n">
        <x:v>0</x:v>
      </x:c>
      <x:c r="O767" s="20" t="n">
        <x:v>2430.12</x:v>
      </x:c>
      <x:c r="P767" s="20" t="n">
        <x:v>0</x:v>
      </x:c>
      <x:c r="Q767" s="10" t="str">
        <x:v>Recebido</x:v>
      </x:c>
      <x:c r="R767" s="10" t="str">
        <x:v>Débito em Conta</x:v>
      </x:c>
      <x:c r="S767" s="10" t="str">
        <x:v>2024-07</x:v>
      </x:c>
      <x:c r="T767" s="10" t="n">
        <x:v>0</x:v>
      </x:c>
      <x:c r="U767" s="10" t="str">
        <x:v>Liquidado</x:v>
      </x:c>
      <x:c r="V767" s="10" t="str">
        <x:v>Alto</x:v>
      </x:c>
      <x:c r="W767" s="10" t="str">
        <x:v>Varejo</x:v>
      </x:c>
      <x:c r="X767" s="10" t="str">
        <x:v>UND004</x:v>
      </x:c>
    </x:row>
    <x:row r="768" ht="18" customHeight="1">
      <x:c r="A768" s="10" t="str">
        <x:v>REC00767</x:v>
      </x:c>
      <x:c r="B768" s="10" t="str">
        <x:v>EMP003</x:v>
      </x:c>
      <x:c r="C768" s="10" t="str">
        <x:v>CLI033</x:v>
      </x:c>
      <x:c r="D768" s="10" t="str">
        <x:v>CC003</x:v>
      </x:c>
      <x:c r="E768" s="10" t="str">
        <x:v>CAT002</x:v>
      </x:c>
      <x:c r="F768" s="10" t="str">
        <x:v>CTA006</x:v>
      </x:c>
      <x:c r="G768" s="10" t="str">
        <x:v>FAT-200767</x:v>
      </x:c>
      <x:c r="H768" s="10" t="str">
        <x:v>Projeto especial</x:v>
      </x:c>
      <x:c r="I768" s="16" t="n">
        <x:v>45996.47072644676</x:v>
      </x:c>
      <x:c r="J768" s="16" t="n">
        <x:v>46026.47072644676</x:v>
      </x:c>
      <x:c r="K768" s="16"/>
      <x:c r="L768" s="20" t="n">
        <x:v>38469.48</x:v>
      </x:c>
      <x:c r="M768" s="20" t="n">
        <x:v>0</x:v>
      </x:c>
      <x:c r="N768" s="20" t="n">
        <x:v>0</x:v>
      </x:c>
      <x:c r="O768" s="20" t="n">
        <x:v>0</x:v>
      </x:c>
      <x:c r="P768" s="20" t="n">
        <x:v>38469.48</x:v>
      </x:c>
      <x:c r="Q768" s="10" t="str">
        <x:v>A vencer</x:v>
      </x:c>
      <x:c r="R768" s="10" t="str">
        <x:v>PIX</x:v>
      </x:c>
      <x:c r="S768" s="10" t="str">
        <x:v>2025-12</x:v>
      </x:c>
      <x:c r="T768" s="10" t="n">
        <x:v>0</x:v>
      </x:c>
      <x:c r="U768" s="10" t="str">
        <x:v>A vencer</x:v>
      </x:c>
      <x:c r="V768" s="10" t="str">
        <x:v>Médio</x:v>
      </x:c>
      <x:c r="W768" s="10" t="str">
        <x:v>Varejo</x:v>
      </x:c>
      <x:c r="X768" s="10" t="str">
        <x:v>UND004</x:v>
      </x:c>
    </x:row>
    <x:row r="769" ht="18" customHeight="1">
      <x:c r="A769" s="10" t="str">
        <x:v>REC00768</x:v>
      </x:c>
      <x:c r="B769" s="10" t="str">
        <x:v>EMP002</x:v>
      </x:c>
      <x:c r="C769" s="10" t="str">
        <x:v>CLI014</x:v>
      </x:c>
      <x:c r="D769" s="10" t="str">
        <x:v>CC006</x:v>
      </x:c>
      <x:c r="E769" s="10" t="str">
        <x:v>CAT001</x:v>
      </x:c>
      <x:c r="F769" s="10" t="str">
        <x:v>CTA003</x:v>
      </x:c>
      <x:c r="G769" s="10" t="str">
        <x:v>FAT-200768</x:v>
      </x:c>
      <x:c r="H769" s="10" t="str">
        <x:v>Prestação de serviços</x:v>
      </x:c>
      <x:c r="I769" s="16" t="n">
        <x:v>45596.446563969905</x:v>
      </x:c>
      <x:c r="J769" s="16" t="n">
        <x:v>45617.446563969905</x:v>
      </x:c>
      <x:c r="K769" s="16" t="n">
        <x:v>45624.446563969905</x:v>
      </x:c>
      <x:c r="L769" s="20" t="n">
        <x:v>6763.38</x:v>
      </x:c>
      <x:c r="M769" s="20" t="n">
        <x:v>37.87</x:v>
      </x:c>
      <x:c r="N769" s="20" t="n">
        <x:v>0</x:v>
      </x:c>
      <x:c r="O769" s="20" t="n">
        <x:v>6801.25</x:v>
      </x:c>
      <x:c r="P769" s="20" t="n">
        <x:v>0</x:v>
      </x:c>
      <x:c r="Q769" s="10" t="str">
        <x:v>Recebido</x:v>
      </x:c>
      <x:c r="R769" s="10" t="str">
        <x:v>PIX</x:v>
      </x:c>
      <x:c r="S769" s="10" t="str">
        <x:v>2024-10</x:v>
      </x:c>
      <x:c r="T769" s="10" t="n">
        <x:v>0</x:v>
      </x:c>
      <x:c r="U769" s="10" t="str">
        <x:v>Liquidado</x:v>
      </x:c>
      <x:c r="V769" s="10" t="str">
        <x:v>Médio</x:v>
      </x:c>
      <x:c r="W769" s="10" t="str">
        <x:v>Saúde</x:v>
      </x:c>
      <x:c r="X769" s="10" t="str">
        <x:v>UND003</x:v>
      </x:c>
    </x:row>
    <x:row r="770" ht="18" customHeight="1">
      <x:c r="A770" s="10" t="str">
        <x:v>REC00769</x:v>
      </x:c>
      <x:c r="B770" s="10" t="str">
        <x:v>EMP003</x:v>
      </x:c>
      <x:c r="C770" s="10" t="str">
        <x:v>CLI058</x:v>
      </x:c>
      <x:c r="D770" s="10" t="str">
        <x:v>CC008</x:v>
      </x:c>
      <x:c r="E770" s="10" t="str">
        <x:v>CAT001</x:v>
      </x:c>
      <x:c r="F770" s="10" t="str">
        <x:v>CTA006</x:v>
      </x:c>
      <x:c r="G770" s="10" t="str">
        <x:v>FAT-200769</x:v>
      </x:c>
      <x:c r="H770" s="10" t="str">
        <x:v>Contrato mensal</x:v>
      </x:c>
      <x:c r="I770" s="16" t="n">
        <x:v>45763.11088896991</x:v>
      </x:c>
      <x:c r="J770" s="16" t="n">
        <x:v>45798.11088896991</x:v>
      </x:c>
      <x:c r="K770" s="16" t="n">
        <x:v>45805.11088896991</x:v>
      </x:c>
      <x:c r="L770" s="20" t="n">
        <x:v>140488.18</x:v>
      </x:c>
      <x:c r="M770" s="20" t="n">
        <x:v>786.73</x:v>
      </x:c>
      <x:c r="N770" s="20" t="n">
        <x:v>0</x:v>
      </x:c>
      <x:c r="O770" s="20" t="n">
        <x:v>141274.91</x:v>
      </x:c>
      <x:c r="P770" s="20" t="n">
        <x:v>0</x:v>
      </x:c>
      <x:c r="Q770" s="10" t="str">
        <x:v>Recebido</x:v>
      </x:c>
      <x:c r="R770" s="10" t="str">
        <x:v>Cartão</x:v>
      </x:c>
      <x:c r="S770" s="10" t="str">
        <x:v>2025-04</x:v>
      </x:c>
      <x:c r="T770" s="10" t="n">
        <x:v>0</x:v>
      </x:c>
      <x:c r="U770" s="10" t="str">
        <x:v>Liquidado</x:v>
      </x:c>
      <x:c r="V770" s="10" t="str">
        <x:v>Baixo</x:v>
      </x:c>
      <x:c r="W770" s="10" t="str">
        <x:v>Atacado</x:v>
      </x:c>
      <x:c r="X770" s="10" t="str">
        <x:v>UND004</x:v>
      </x:c>
    </x:row>
    <x:row r="771" ht="18" customHeight="1">
      <x:c r="A771" s="10" t="str">
        <x:v>REC00770</x:v>
      </x:c>
      <x:c r="B771" s="10" t="str">
        <x:v>EMP003</x:v>
      </x:c>
      <x:c r="C771" s="10" t="str">
        <x:v>CLI056</x:v>
      </x:c>
      <x:c r="D771" s="10" t="str">
        <x:v>CC007</x:v>
      </x:c>
      <x:c r="E771" s="10" t="str">
        <x:v>CAT002</x:v>
      </x:c>
      <x:c r="F771" s="10" t="str">
        <x:v>CTA005</x:v>
      </x:c>
      <x:c r="G771" s="10" t="str">
        <x:v>FAT-200770</x:v>
      </x:c>
      <x:c r="H771" s="10" t="str">
        <x:v>Venda de produtos</x:v>
      </x:c>
      <x:c r="I771" s="16" t="n">
        <x:v>45771.03669741898</x:v>
      </x:c>
      <x:c r="J771" s="16" t="n">
        <x:v>45801.03669741898</x:v>
      </x:c>
      <x:c r="K771" s="16" t="n">
        <x:v>45797.03669741898</x:v>
      </x:c>
      <x:c r="L771" s="20" t="n">
        <x:v>19646.27</x:v>
      </x:c>
      <x:c r="M771" s="20" t="n">
        <x:v>0</x:v>
      </x:c>
      <x:c r="N771" s="20" t="n">
        <x:v>0</x:v>
      </x:c>
      <x:c r="O771" s="20" t="n">
        <x:v>19646.27</x:v>
      </x:c>
      <x:c r="P771" s="20" t="n">
        <x:v>0</x:v>
      </x:c>
      <x:c r="Q771" s="10" t="str">
        <x:v>Recebido</x:v>
      </x:c>
      <x:c r="R771" s="10" t="str">
        <x:v>TED</x:v>
      </x:c>
      <x:c r="S771" s="10" t="str">
        <x:v>2025-04</x:v>
      </x:c>
      <x:c r="T771" s="10" t="n">
        <x:v>0</x:v>
      </x:c>
      <x:c r="U771" s="10" t="str">
        <x:v>Liquidado</x:v>
      </x:c>
      <x:c r="V771" s="10" t="str">
        <x:v>Baixo</x:v>
      </x:c>
      <x:c r="W771" s="10" t="str">
        <x:v>Tecnologia</x:v>
      </x:c>
      <x:c r="X771" s="10" t="str">
        <x:v>UND004</x:v>
      </x:c>
    </x:row>
    <x:row r="772" ht="18" customHeight="1">
      <x:c r="A772" s="10" t="str">
        <x:v>REC00771</x:v>
      </x:c>
      <x:c r="B772" s="10" t="str">
        <x:v>EMP001</x:v>
      </x:c>
      <x:c r="C772" s="10" t="str">
        <x:v>CLI034</x:v>
      </x:c>
      <x:c r="D772" s="10" t="str">
        <x:v>CC004</x:v>
      </x:c>
      <x:c r="E772" s="10" t="str">
        <x:v>CAT003</x:v>
      </x:c>
      <x:c r="F772" s="10" t="str">
        <x:v>CTA001</x:v>
      </x:c>
      <x:c r="G772" s="10" t="str">
        <x:v>FAT-200771</x:v>
      </x:c>
      <x:c r="H772" s="10" t="str">
        <x:v>Frete faturado</x:v>
      </x:c>
      <x:c r="I772" s="16" t="n">
        <x:v>45506.317104305555</x:v>
      </x:c>
      <x:c r="J772" s="16" t="n">
        <x:v>45521.317104305555</x:v>
      </x:c>
      <x:c r="K772" s="16" t="n">
        <x:v>45518.317104305555</x:v>
      </x:c>
      <x:c r="L772" s="20" t="n">
        <x:v>25231.21</x:v>
      </x:c>
      <x:c r="M772" s="20" t="n">
        <x:v>0</x:v>
      </x:c>
      <x:c r="N772" s="20" t="n">
        <x:v>126.16</x:v>
      </x:c>
      <x:c r="O772" s="20" t="n">
        <x:v>25105.05</x:v>
      </x:c>
      <x:c r="P772" s="20" t="n">
        <x:v>0</x:v>
      </x:c>
      <x:c r="Q772" s="10" t="str">
        <x:v>Recebido</x:v>
      </x:c>
      <x:c r="R772" s="10" t="str">
        <x:v>TED</x:v>
      </x:c>
      <x:c r="S772" s="10" t="str">
        <x:v>2024-08</x:v>
      </x:c>
      <x:c r="T772" s="10" t="n">
        <x:v>0</x:v>
      </x:c>
      <x:c r="U772" s="10" t="str">
        <x:v>Liquidado</x:v>
      </x:c>
      <x:c r="V772" s="10" t="str">
        <x:v>Médio</x:v>
      </x:c>
      <x:c r="W772" s="10" t="str">
        <x:v>Indústria</x:v>
      </x:c>
      <x:c r="X772" s="10" t="str">
        <x:v>UND002</x:v>
      </x:c>
    </x:row>
    <x:row r="773" ht="18" customHeight="1">
      <x:c r="A773" s="10" t="str">
        <x:v>REC00772</x:v>
      </x:c>
      <x:c r="B773" s="10" t="str">
        <x:v>EMP003</x:v>
      </x:c>
      <x:c r="C773" s="10" t="str">
        <x:v>CLI037</x:v>
      </x:c>
      <x:c r="D773" s="10" t="str">
        <x:v>CC004</x:v>
      </x:c>
      <x:c r="E773" s="10" t="str">
        <x:v>CAT001</x:v>
      </x:c>
      <x:c r="F773" s="10" t="str">
        <x:v>CTA005</x:v>
      </x:c>
      <x:c r="G773" s="10" t="str">
        <x:v>FAT-200772</x:v>
      </x:c>
      <x:c r="H773" s="10" t="str">
        <x:v>Contrato mensal</x:v>
      </x:c>
      <x:c r="I773" s="16" t="n">
        <x:v>45586.050581006944</x:v>
      </x:c>
      <x:c r="J773" s="16" t="n">
        <x:v>45621.050581006944</x:v>
      </x:c>
      <x:c r="K773" s="16"/>
      <x:c r="L773" s="20" t="n">
        <x:v>91516.44</x:v>
      </x:c>
      <x:c r="M773" s="20" t="n">
        <x:v>0</x:v>
      </x:c>
      <x:c r="N773" s="20" t="n">
        <x:v>0</x:v>
      </x:c>
      <x:c r="O773" s="20" t="n">
        <x:v>0</x:v>
      </x:c>
      <x:c r="P773" s="20" t="n">
        <x:v>91516.44</x:v>
      </x:c>
      <x:c r="Q773" s="10" t="str">
        <x:v>Vencido</x:v>
      </x:c>
      <x:c r="R773" s="10" t="str">
        <x:v>Débito em Conta</x:v>
      </x:c>
      <x:c r="S773" s="10" t="str">
        <x:v>2024-10</x:v>
      </x:c>
      <x:c r="T773" s="10" t="n">
        <x:v>400</x:v>
      </x:c>
      <x:c r="U773" s="10" t="str">
        <x:v>&gt; 120 dias</x:v>
      </x:c>
      <x:c r="V773" s="10" t="str">
        <x:v>Baixo</x:v>
      </x:c>
      <x:c r="W773" s="10" t="str">
        <x:v>Serviços</x:v>
      </x:c>
      <x:c r="X773" s="10" t="str">
        <x:v>UND004</x:v>
      </x:c>
    </x:row>
    <x:row r="774" ht="18" customHeight="1">
      <x:c r="A774" s="10" t="str">
        <x:v>REC00773</x:v>
      </x:c>
      <x:c r="B774" s="10" t="str">
        <x:v>EMP001</x:v>
      </x:c>
      <x:c r="C774" s="10" t="str">
        <x:v>CLI044</x:v>
      </x:c>
      <x:c r="D774" s="10" t="str">
        <x:v>CC002</x:v>
      </x:c>
      <x:c r="E774" s="10" t="str">
        <x:v>CAT004</x:v>
      </x:c>
      <x:c r="F774" s="10" t="str">
        <x:v>CTA002</x:v>
      </x:c>
      <x:c r="G774" s="10" t="str">
        <x:v>FAT-200773</x:v>
      </x:c>
      <x:c r="H774" s="10" t="str">
        <x:v>Frete faturado</x:v>
      </x:c>
      <x:c r="I774" s="16" t="n">
        <x:v>45945.03394818287</x:v>
      </x:c>
      <x:c r="J774" s="16" t="n">
        <x:v>45966.03394818287</x:v>
      </x:c>
      <x:c r="K774" s="16" t="n">
        <x:v>45980.03394818287</x:v>
      </x:c>
      <x:c r="L774" s="20" t="n">
        <x:v>115906.71</x:v>
      </x:c>
      <x:c r="M774" s="20" t="n">
        <x:v>1298.16</x:v>
      </x:c>
      <x:c r="N774" s="20" t="n">
        <x:v>0</x:v>
      </x:c>
      <x:c r="O774" s="20" t="n">
        <x:v>117204.87</x:v>
      </x:c>
      <x:c r="P774" s="20" t="n">
        <x:v>0</x:v>
      </x:c>
      <x:c r="Q774" s="10" t="str">
        <x:v>Recebido</x:v>
      </x:c>
      <x:c r="R774" s="10" t="str">
        <x:v>Cartão</x:v>
      </x:c>
      <x:c r="S774" s="10" t="str">
        <x:v>2025-10</x:v>
      </x:c>
      <x:c r="T774" s="10" t="n">
        <x:v>0</x:v>
      </x:c>
      <x:c r="U774" s="10" t="str">
        <x:v>Liquidado</x:v>
      </x:c>
      <x:c r="V774" s="10" t="str">
        <x:v>Alto</x:v>
      </x:c>
      <x:c r="W774" s="10" t="str">
        <x:v>Varejo</x:v>
      </x:c>
      <x:c r="X774" s="10" t="str">
        <x:v>UND002</x:v>
      </x:c>
    </x:row>
    <x:row r="775" ht="18" customHeight="1">
      <x:c r="A775" s="10" t="str">
        <x:v>REC00774</x:v>
      </x:c>
      <x:c r="B775" s="10" t="str">
        <x:v>EMP003</x:v>
      </x:c>
      <x:c r="C775" s="10" t="str">
        <x:v>CLI016</x:v>
      </x:c>
      <x:c r="D775" s="10" t="str">
        <x:v>CC002</x:v>
      </x:c>
      <x:c r="E775" s="10" t="str">
        <x:v>CAT004</x:v>
      </x:c>
      <x:c r="F775" s="10" t="str">
        <x:v>CTA005</x:v>
      </x:c>
      <x:c r="G775" s="10" t="str">
        <x:v>FAT-200774</x:v>
      </x:c>
      <x:c r="H775" s="10" t="str">
        <x:v>Projeto especial</x:v>
      </x:c>
      <x:c r="I775" s="16" t="n">
        <x:v>45871.114456076386</x:v>
      </x:c>
      <x:c r="J775" s="16" t="n">
        <x:v>45931.114456076386</x:v>
      </x:c>
      <x:c r="K775" s="16" t="n">
        <x:v>45931.114456076386</x:v>
      </x:c>
      <x:c r="L775" s="20" t="n">
        <x:v>113984.75</x:v>
      </x:c>
      <x:c r="M775" s="20" t="n">
        <x:v>0</x:v>
      </x:c>
      <x:c r="N775" s="20" t="n">
        <x:v>0</x:v>
      </x:c>
      <x:c r="O775" s="20" t="n">
        <x:v>113984.75</x:v>
      </x:c>
      <x:c r="P775" s="20" t="n">
        <x:v>0</x:v>
      </x:c>
      <x:c r="Q775" s="10" t="str">
        <x:v>Recebido</x:v>
      </x:c>
      <x:c r="R775" s="10" t="str">
        <x:v>PIX</x:v>
      </x:c>
      <x:c r="S775" s="10" t="str">
        <x:v>2025-08</x:v>
      </x:c>
      <x:c r="T775" s="10" t="n">
        <x:v>0</x:v>
      </x:c>
      <x:c r="U775" s="10" t="str">
        <x:v>Liquidado</x:v>
      </x:c>
      <x:c r="V775" s="10" t="str">
        <x:v>Baixo</x:v>
      </x:c>
      <x:c r="W775" s="10" t="str">
        <x:v>Serviços</x:v>
      </x:c>
      <x:c r="X775" s="10" t="str">
        <x:v>UND004</x:v>
      </x:c>
    </x:row>
    <x:row r="776" ht="18" customHeight="1">
      <x:c r="A776" s="10" t="str">
        <x:v>REC00775</x:v>
      </x:c>
      <x:c r="B776" s="10" t="str">
        <x:v>EMP001</x:v>
      </x:c>
      <x:c r="C776" s="10" t="str">
        <x:v>CLI037</x:v>
      </x:c>
      <x:c r="D776" s="10" t="str">
        <x:v>CC003</x:v>
      </x:c>
      <x:c r="E776" s="10" t="str">
        <x:v>CAT001</x:v>
      </x:c>
      <x:c r="F776" s="10" t="str">
        <x:v>CTA001</x:v>
      </x:c>
      <x:c r="G776" s="10" t="str">
        <x:v>FAT-200775</x:v>
      </x:c>
      <x:c r="H776" s="10" t="str">
        <x:v>Prestação de serviços</x:v>
      </x:c>
      <x:c r="I776" s="16" t="n">
        <x:v>45352.27236016204</x:v>
      </x:c>
      <x:c r="J776" s="16" t="n">
        <x:v>45412.27236016204</x:v>
      </x:c>
      <x:c r="K776" s="16" t="n">
        <x:v>45419.27236016204</x:v>
      </x:c>
      <x:c r="L776" s="20" t="n">
        <x:v>13232.95</x:v>
      </x:c>
      <x:c r="M776" s="20" t="n">
        <x:v>74.1</x:v>
      </x:c>
      <x:c r="N776" s="20" t="n">
        <x:v>0</x:v>
      </x:c>
      <x:c r="O776" s="20" t="n">
        <x:v>13307.05</x:v>
      </x:c>
      <x:c r="P776" s="20" t="n">
        <x:v>0</x:v>
      </x:c>
      <x:c r="Q776" s="10" t="str">
        <x:v>Recebido</x:v>
      </x:c>
      <x:c r="R776" s="10" t="str">
        <x:v>Cartão</x:v>
      </x:c>
      <x:c r="S776" s="10" t="str">
        <x:v>2024-03</x:v>
      </x:c>
      <x:c r="T776" s="10" t="n">
        <x:v>0</x:v>
      </x:c>
      <x:c r="U776" s="10" t="str">
        <x:v>Liquidado</x:v>
      </x:c>
      <x:c r="V776" s="10" t="str">
        <x:v>Baixo</x:v>
      </x:c>
      <x:c r="W776" s="10" t="str">
        <x:v>Serviços</x:v>
      </x:c>
      <x:c r="X776" s="10" t="str">
        <x:v>UND001</x:v>
      </x:c>
    </x:row>
    <x:row r="777" ht="18" customHeight="1">
      <x:c r="A777" s="10" t="str">
        <x:v>REC00776</x:v>
      </x:c>
      <x:c r="B777" s="10" t="str">
        <x:v>EMP001</x:v>
      </x:c>
      <x:c r="C777" s="10" t="str">
        <x:v>CLI015</x:v>
      </x:c>
      <x:c r="D777" s="10" t="str">
        <x:v>CC006</x:v>
      </x:c>
      <x:c r="E777" s="10" t="str">
        <x:v>CAT002</x:v>
      </x:c>
      <x:c r="F777" s="10" t="str">
        <x:v>CTA002</x:v>
      </x:c>
      <x:c r="G777" s="10" t="str">
        <x:v>FAT-200776</x:v>
      </x:c>
      <x:c r="H777" s="10" t="str">
        <x:v>Prestação de serviços</x:v>
      </x:c>
      <x:c r="I777" s="16" t="n">
        <x:v>45610.825157280095</x:v>
      </x:c>
      <x:c r="J777" s="16" t="n">
        <x:v>45625.825157280095</x:v>
      </x:c>
      <x:c r="K777" s="16" t="n">
        <x:v>45625.825157280095</x:v>
      </x:c>
      <x:c r="L777" s="20" t="n">
        <x:v>128898.65</x:v>
      </x:c>
      <x:c r="M777" s="20" t="n">
        <x:v>0</x:v>
      </x:c>
      <x:c r="N777" s="20" t="n">
        <x:v>0</x:v>
      </x:c>
      <x:c r="O777" s="20" t="n">
        <x:v>128898.65</x:v>
      </x:c>
      <x:c r="P777" s="20" t="n">
        <x:v>0</x:v>
      </x:c>
      <x:c r="Q777" s="10" t="str">
        <x:v>Recebido</x:v>
      </x:c>
      <x:c r="R777" s="10" t="str">
        <x:v>Cartão</x:v>
      </x:c>
      <x:c r="S777" s="10" t="str">
        <x:v>2024-11</x:v>
      </x:c>
      <x:c r="T777" s="10" t="n">
        <x:v>0</x:v>
      </x:c>
      <x:c r="U777" s="10" t="str">
        <x:v>Liquidado</x:v>
      </x:c>
      <x:c r="V777" s="10" t="str">
        <x:v>Baixo</x:v>
      </x:c>
      <x:c r="W777" s="10" t="str">
        <x:v>Atacado</x:v>
      </x:c>
      <x:c r="X777" s="10" t="str">
        <x:v>UND002</x:v>
      </x:c>
    </x:row>
    <x:row r="778" ht="18" customHeight="1">
      <x:c r="A778" s="10" t="str">
        <x:v>REC00777</x:v>
      </x:c>
      <x:c r="B778" s="10" t="str">
        <x:v>EMP003</x:v>
      </x:c>
      <x:c r="C778" s="10" t="str">
        <x:v>CLI002</x:v>
      </x:c>
      <x:c r="D778" s="10" t="str">
        <x:v>CC003</x:v>
      </x:c>
      <x:c r="E778" s="10" t="str">
        <x:v>CAT004</x:v>
      </x:c>
      <x:c r="F778" s="10" t="str">
        <x:v>CTA005</x:v>
      </x:c>
      <x:c r="G778" s="10" t="str">
        <x:v>FAT-200777</x:v>
      </x:c>
      <x:c r="H778" s="10" t="str">
        <x:v>Contrato mensal</x:v>
      </x:c>
      <x:c r="I778" s="16" t="n">
        <x:v>45527.08254957176</x:v>
      </x:c>
      <x:c r="J778" s="16" t="n">
        <x:v>45542.08254957176</x:v>
      </x:c>
      <x:c r="K778" s="16" t="n">
        <x:v>45561.08254957176</x:v>
      </x:c>
      <x:c r="L778" s="20" t="n">
        <x:v>38851.68</x:v>
      </x:c>
      <x:c r="M778" s="20" t="n">
        <x:v>590.55</x:v>
      </x:c>
      <x:c r="N778" s="20" t="n">
        <x:v>0</x:v>
      </x:c>
      <x:c r="O778" s="20" t="n">
        <x:v>39442.23</x:v>
      </x:c>
      <x:c r="P778" s="20" t="n">
        <x:v>0</x:v>
      </x:c>
      <x:c r="Q778" s="10" t="str">
        <x:v>Recebido</x:v>
      </x:c>
      <x:c r="R778" s="10" t="str">
        <x:v>Boleto</x:v>
      </x:c>
      <x:c r="S778" s="10" t="str">
        <x:v>2024-08</x:v>
      </x:c>
      <x:c r="T778" s="10" t="n">
        <x:v>0</x:v>
      </x:c>
      <x:c r="U778" s="10" t="str">
        <x:v>Liquidado</x:v>
      </x:c>
      <x:c r="V778" s="10" t="str">
        <x:v>Alto</x:v>
      </x:c>
      <x:c r="W778" s="10" t="str">
        <x:v>Serviços</x:v>
      </x:c>
      <x:c r="X778" s="10" t="str">
        <x:v>UND004</x:v>
      </x:c>
    </x:row>
    <x:row r="779" ht="18" customHeight="1">
      <x:c r="A779" s="10" t="str">
        <x:v>REC00778</x:v>
      </x:c>
      <x:c r="B779" s="10" t="str">
        <x:v>EMP003</x:v>
      </x:c>
      <x:c r="C779" s="10" t="str">
        <x:v>CLI061</x:v>
      </x:c>
      <x:c r="D779" s="10" t="str">
        <x:v>CC007</x:v>
      </x:c>
      <x:c r="E779" s="10" t="str">
        <x:v>CAT004</x:v>
      </x:c>
      <x:c r="F779" s="10" t="str">
        <x:v>CTA005</x:v>
      </x:c>
      <x:c r="G779" s="10" t="str">
        <x:v>FAT-200778</x:v>
      </x:c>
      <x:c r="H779" s="10" t="str">
        <x:v>Frete faturado</x:v>
      </x:c>
      <x:c r="I779" s="16" t="n">
        <x:v>45539.26800701389</x:v>
      </x:c>
      <x:c r="J779" s="16" t="n">
        <x:v>45574.26800701389</x:v>
      </x:c>
      <x:c r="K779" s="16" t="n">
        <x:v>45581.26800701389</x:v>
      </x:c>
      <x:c r="L779" s="20" t="n">
        <x:v>18083.03</x:v>
      </x:c>
      <x:c r="M779" s="20" t="n">
        <x:v>101.26</x:v>
      </x:c>
      <x:c r="N779" s="20" t="n">
        <x:v>0</x:v>
      </x:c>
      <x:c r="O779" s="20" t="n">
        <x:v>18184.29</x:v>
      </x:c>
      <x:c r="P779" s="20" t="n">
        <x:v>0</x:v>
      </x:c>
      <x:c r="Q779" s="10" t="str">
        <x:v>Recebido</x:v>
      </x:c>
      <x:c r="R779" s="10" t="str">
        <x:v>PIX</x:v>
      </x:c>
      <x:c r="S779" s="10" t="str">
        <x:v>2024-09</x:v>
      </x:c>
      <x:c r="T779" s="10" t="n">
        <x:v>0</x:v>
      </x:c>
      <x:c r="U779" s="10" t="str">
        <x:v>Liquidado</x:v>
      </x:c>
      <x:c r="V779" s="10" t="str">
        <x:v>Baixo</x:v>
      </x:c>
      <x:c r="W779" s="10" t="str">
        <x:v>Serviços</x:v>
      </x:c>
      <x:c r="X779" s="10" t="str">
        <x:v>UND004</x:v>
      </x:c>
    </x:row>
    <x:row r="780" ht="18" customHeight="1">
      <x:c r="A780" s="10" t="str">
        <x:v>REC00779</x:v>
      </x:c>
      <x:c r="B780" s="10" t="str">
        <x:v>EMP001</x:v>
      </x:c>
      <x:c r="C780" s="10" t="str">
        <x:v>CLI051</x:v>
      </x:c>
      <x:c r="D780" s="10" t="str">
        <x:v>CC007</x:v>
      </x:c>
      <x:c r="E780" s="10" t="str">
        <x:v>CAT001</x:v>
      </x:c>
      <x:c r="F780" s="10" t="str">
        <x:v>CTA001</x:v>
      </x:c>
      <x:c r="G780" s="10" t="str">
        <x:v>FAT-200779</x:v>
      </x:c>
      <x:c r="H780" s="10" t="str">
        <x:v>Prestação de serviços</x:v>
      </x:c>
      <x:c r="I780" s="16" t="n">
        <x:v>45889.91180818287</x:v>
      </x:c>
      <x:c r="J780" s="16" t="n">
        <x:v>45917.91180818287</x:v>
      </x:c>
      <x:c r="K780" s="16" t="n">
        <x:v>45918.91180818287</x:v>
      </x:c>
      <x:c r="L780" s="20" t="n">
        <x:v>51874.72</x:v>
      </x:c>
      <x:c r="M780" s="20" t="n">
        <x:v>41.5</x:v>
      </x:c>
      <x:c r="N780" s="20" t="n">
        <x:v>0</x:v>
      </x:c>
      <x:c r="O780" s="20" t="n">
        <x:v>51916.22</x:v>
      </x:c>
      <x:c r="P780" s="20" t="n">
        <x:v>0</x:v>
      </x:c>
      <x:c r="Q780" s="10" t="str">
        <x:v>Recebido</x:v>
      </x:c>
      <x:c r="R780" s="10" t="str">
        <x:v>Boleto</x:v>
      </x:c>
      <x:c r="S780" s="10" t="str">
        <x:v>2025-08</x:v>
      </x:c>
      <x:c r="T780" s="10" t="n">
        <x:v>0</x:v>
      </x:c>
      <x:c r="U780" s="10" t="str">
        <x:v>Liquidado</x:v>
      </x:c>
      <x:c r="V780" s="10" t="str">
        <x:v>Médio</x:v>
      </x:c>
      <x:c r="W780" s="10" t="str">
        <x:v>Saúde</x:v>
      </x:c>
      <x:c r="X780" s="10" t="str">
        <x:v>UND002</x:v>
      </x:c>
    </x:row>
    <x:row r="781" ht="18" customHeight="1">
      <x:c r="A781" s="10" t="str">
        <x:v>REC00780</x:v>
      </x:c>
      <x:c r="B781" s="10" t="str">
        <x:v>EMP002</x:v>
      </x:c>
      <x:c r="C781" s="10" t="str">
        <x:v>CLI048</x:v>
      </x:c>
      <x:c r="D781" s="10" t="str">
        <x:v>CC002</x:v>
      </x:c>
      <x:c r="E781" s="10" t="str">
        <x:v>CAT003</x:v>
      </x:c>
      <x:c r="F781" s="10" t="str">
        <x:v>CTA004</x:v>
      </x:c>
      <x:c r="G781" s="10" t="str">
        <x:v>FAT-200780</x:v>
      </x:c>
      <x:c r="H781" s="10" t="str">
        <x:v>Projeto especial</x:v>
      </x:c>
      <x:c r="I781" s="16" t="n">
        <x:v>45706.32525502315</x:v>
      </x:c>
      <x:c r="J781" s="16" t="n">
        <x:v>45766.32525502315</x:v>
      </x:c>
      <x:c r="K781" s="16" t="n">
        <x:v>45770.32525502315</x:v>
      </x:c>
      <x:c r="L781" s="20" t="n">
        <x:v>2772.02</x:v>
      </x:c>
      <x:c r="M781" s="20" t="n">
        <x:v>8.87</x:v>
      </x:c>
      <x:c r="N781" s="20" t="n">
        <x:v>0</x:v>
      </x:c>
      <x:c r="O781" s="20" t="n">
        <x:v>2780.89</x:v>
      </x:c>
      <x:c r="P781" s="20" t="n">
        <x:v>0</x:v>
      </x:c>
      <x:c r="Q781" s="10" t="str">
        <x:v>Recebido</x:v>
      </x:c>
      <x:c r="R781" s="10" t="str">
        <x:v>PIX</x:v>
      </x:c>
      <x:c r="S781" s="10" t="str">
        <x:v>2025-02</x:v>
      </x:c>
      <x:c r="T781" s="10" t="n">
        <x:v>0</x:v>
      </x:c>
      <x:c r="U781" s="10" t="str">
        <x:v>Liquidado</x:v>
      </x:c>
      <x:c r="V781" s="10" t="str">
        <x:v>Baixo</x:v>
      </x:c>
      <x:c r="W781" s="10" t="str">
        <x:v>Tecnologia</x:v>
      </x:c>
      <x:c r="X781" s="10" t="str">
        <x:v>UND003</x:v>
      </x:c>
    </x:row>
    <x:row r="782" ht="18" customHeight="1">
      <x:c r="A782" s="10" t="str">
        <x:v>REC00781</x:v>
      </x:c>
      <x:c r="B782" s="10" t="str">
        <x:v>EMP002</x:v>
      </x:c>
      <x:c r="C782" s="10" t="str">
        <x:v>CLI056</x:v>
      </x:c>
      <x:c r="D782" s="10" t="str">
        <x:v>CC005</x:v>
      </x:c>
      <x:c r="E782" s="10" t="str">
        <x:v>CAT003</x:v>
      </x:c>
      <x:c r="F782" s="10" t="str">
        <x:v>CTA003</x:v>
      </x:c>
      <x:c r="G782" s="10" t="str">
        <x:v>FAT-200781</x:v>
      </x:c>
      <x:c r="H782" s="10" t="str">
        <x:v>Frete faturado</x:v>
      </x:c>
      <x:c r="I782" s="16" t="n">
        <x:v>45751.293515763886</x:v>
      </x:c>
      <x:c r="J782" s="16" t="n">
        <x:v>45779.293515763886</x:v>
      </x:c>
      <x:c r="K782" s="16" t="n">
        <x:v>45781.293515763886</x:v>
      </x:c>
      <x:c r="L782" s="20" t="n">
        <x:v>70853.91</x:v>
      </x:c>
      <x:c r="M782" s="20" t="n">
        <x:v>113.37</x:v>
      </x:c>
      <x:c r="N782" s="20" t="n">
        <x:v>0</x:v>
      </x:c>
      <x:c r="O782" s="20" t="n">
        <x:v>70967.28</x:v>
      </x:c>
      <x:c r="P782" s="20" t="n">
        <x:v>0</x:v>
      </x:c>
      <x:c r="Q782" s="10" t="str">
        <x:v>Recebido</x:v>
      </x:c>
      <x:c r="R782" s="10" t="str">
        <x:v>Débito em Conta</x:v>
      </x:c>
      <x:c r="S782" s="10" t="str">
        <x:v>2025-04</x:v>
      </x:c>
      <x:c r="T782" s="10" t="n">
        <x:v>0</x:v>
      </x:c>
      <x:c r="U782" s="10" t="str">
        <x:v>Liquidado</x:v>
      </x:c>
      <x:c r="V782" s="10" t="str">
        <x:v>Baixo</x:v>
      </x:c>
      <x:c r="W782" s="10" t="str">
        <x:v>Tecnologia</x:v>
      </x:c>
      <x:c r="X782" s="10" t="str">
        <x:v>UND003</x:v>
      </x:c>
    </x:row>
    <x:row r="783" ht="18" customHeight="1">
      <x:c r="A783" s="10" t="str">
        <x:v>REC00782</x:v>
      </x:c>
      <x:c r="B783" s="10" t="str">
        <x:v>EMP001</x:v>
      </x:c>
      <x:c r="C783" s="10" t="str">
        <x:v>CLI068</x:v>
      </x:c>
      <x:c r="D783" s="10" t="str">
        <x:v>CC008</x:v>
      </x:c>
      <x:c r="E783" s="10" t="str">
        <x:v>CAT002</x:v>
      </x:c>
      <x:c r="F783" s="10" t="str">
        <x:v>CTA002</x:v>
      </x:c>
      <x:c r="G783" s="10" t="str">
        <x:v>FAT-200782</x:v>
      </x:c>
      <x:c r="H783" s="10" t="str">
        <x:v>Prestação de serviços</x:v>
      </x:c>
      <x:c r="I783" s="16" t="n">
        <x:v>45603.47655987269</x:v>
      </x:c>
      <x:c r="J783" s="16" t="n">
        <x:v>45618.47655987269</x:v>
      </x:c>
      <x:c r="K783" s="16" t="n">
        <x:v>45615.47655987269</x:v>
      </x:c>
      <x:c r="L783" s="20" t="n">
        <x:v>144927.88</x:v>
      </x:c>
      <x:c r="M783" s="20" t="n">
        <x:v>0</x:v>
      </x:c>
      <x:c r="N783" s="20" t="n">
        <x:v>0</x:v>
      </x:c>
      <x:c r="O783" s="20" t="n">
        <x:v>144927.88</x:v>
      </x:c>
      <x:c r="P783" s="20" t="n">
        <x:v>0</x:v>
      </x:c>
      <x:c r="Q783" s="10" t="str">
        <x:v>Recebido</x:v>
      </x:c>
      <x:c r="R783" s="10" t="str">
        <x:v>Cartão</x:v>
      </x:c>
      <x:c r="S783" s="10" t="str">
        <x:v>2024-11</x:v>
      </x:c>
      <x:c r="T783" s="10" t="n">
        <x:v>0</x:v>
      </x:c>
      <x:c r="U783" s="10" t="str">
        <x:v>Liquidado</x:v>
      </x:c>
      <x:c r="V783" s="10" t="str">
        <x:v>Médio</x:v>
      </x:c>
      <x:c r="W783" s="10" t="str">
        <x:v>Varejo</x:v>
      </x:c>
      <x:c r="X783" s="10" t="str">
        <x:v>UND002</x:v>
      </x:c>
    </x:row>
    <x:row r="784" ht="18" customHeight="1">
      <x:c r="A784" s="10" t="str">
        <x:v>REC00783</x:v>
      </x:c>
      <x:c r="B784" s="10" t="str">
        <x:v>EMP001</x:v>
      </x:c>
      <x:c r="C784" s="10" t="str">
        <x:v>CLI053</x:v>
      </x:c>
      <x:c r="D784" s="10" t="str">
        <x:v>CC002</x:v>
      </x:c>
      <x:c r="E784" s="10" t="str">
        <x:v>CAT002</x:v>
      </x:c>
      <x:c r="F784" s="10" t="str">
        <x:v>CTA002</x:v>
      </x:c>
      <x:c r="G784" s="10" t="str">
        <x:v>FAT-200783</x:v>
      </x:c>
      <x:c r="H784" s="10" t="str">
        <x:v>Venda de produtos</x:v>
      </x:c>
      <x:c r="I784" s="16" t="n">
        <x:v>45443.99836082176</x:v>
      </x:c>
      <x:c r="J784" s="16" t="n">
        <x:v>45488.99836082176</x:v>
      </x:c>
      <x:c r="K784" s="16" t="n">
        <x:v>45483.99836082176</x:v>
      </x:c>
      <x:c r="L784" s="20" t="n">
        <x:v>59881.66</x:v>
      </x:c>
      <x:c r="M784" s="20" t="n">
        <x:v>0</x:v>
      </x:c>
      <x:c r="N784" s="20" t="n">
        <x:v>0</x:v>
      </x:c>
      <x:c r="O784" s="20" t="n">
        <x:v>59881.66</x:v>
      </x:c>
      <x:c r="P784" s="20" t="n">
        <x:v>0</x:v>
      </x:c>
      <x:c r="Q784" s="10" t="str">
        <x:v>Recebido</x:v>
      </x:c>
      <x:c r="R784" s="10" t="str">
        <x:v>TED</x:v>
      </x:c>
      <x:c r="S784" s="10" t="str">
        <x:v>2024-05</x:v>
      </x:c>
      <x:c r="T784" s="10" t="n">
        <x:v>0</x:v>
      </x:c>
      <x:c r="U784" s="10" t="str">
        <x:v>Liquidado</x:v>
      </x:c>
      <x:c r="V784" s="10" t="str">
        <x:v>Baixo</x:v>
      </x:c>
      <x:c r="W784" s="10" t="str">
        <x:v>Saúde</x:v>
      </x:c>
      <x:c r="X784" s="10" t="str">
        <x:v>UND001</x:v>
      </x:c>
    </x:row>
    <x:row r="785" ht="18" customHeight="1">
      <x:c r="A785" s="10" t="str">
        <x:v>REC00784</x:v>
      </x:c>
      <x:c r="B785" s="10" t="str">
        <x:v>EMP001</x:v>
      </x:c>
      <x:c r="C785" s="10" t="str">
        <x:v>CLI023</x:v>
      </x:c>
      <x:c r="D785" s="10" t="str">
        <x:v>CC001</x:v>
      </x:c>
      <x:c r="E785" s="10" t="str">
        <x:v>CAT001</x:v>
      </x:c>
      <x:c r="F785" s="10" t="str">
        <x:v>CTA002</x:v>
      </x:c>
      <x:c r="G785" s="10" t="str">
        <x:v>FAT-200784</x:v>
      </x:c>
      <x:c r="H785" s="10" t="str">
        <x:v>Venda de produtos</x:v>
      </x:c>
      <x:c r="I785" s="16" t="n">
        <x:v>45700.89580398148</x:v>
      </x:c>
      <x:c r="J785" s="16" t="n">
        <x:v>45721.89580398148</x:v>
      </x:c>
      <x:c r="K785" s="16"/>
      <x:c r="L785" s="20" t="n">
        <x:v>100715.62</x:v>
      </x:c>
      <x:c r="M785" s="20" t="n">
        <x:v>0</x:v>
      </x:c>
      <x:c r="N785" s="20" t="n">
        <x:v>0</x:v>
      </x:c>
      <x:c r="O785" s="20" t="n">
        <x:v>0</x:v>
      </x:c>
      <x:c r="P785" s="20" t="n">
        <x:v>100715.62</x:v>
      </x:c>
      <x:c r="Q785" s="10" t="str">
        <x:v>Vencido</x:v>
      </x:c>
      <x:c r="R785" s="10" t="str">
        <x:v>Débito em Conta</x:v>
      </x:c>
      <x:c r="S785" s="10" t="str">
        <x:v>2025-02</x:v>
      </x:c>
      <x:c r="T785" s="10" t="n">
        <x:v>300</x:v>
      </x:c>
      <x:c r="U785" s="10" t="str">
        <x:v>&gt; 120 dias</x:v>
      </x:c>
      <x:c r="V785" s="10" t="str">
        <x:v>Médio</x:v>
      </x:c>
      <x:c r="W785" s="10" t="str">
        <x:v>Atacado</x:v>
      </x:c>
      <x:c r="X785" s="10" t="str">
        <x:v>UND002</x:v>
      </x:c>
    </x:row>
    <x:row r="786" ht="18" customHeight="1">
      <x:c r="A786" s="10" t="str">
        <x:v>REC00785</x:v>
      </x:c>
      <x:c r="B786" s="10" t="str">
        <x:v>EMP003</x:v>
      </x:c>
      <x:c r="C786" s="10" t="str">
        <x:v>CLI044</x:v>
      </x:c>
      <x:c r="D786" s="10" t="str">
        <x:v>CC005</x:v>
      </x:c>
      <x:c r="E786" s="10" t="str">
        <x:v>CAT001</x:v>
      </x:c>
      <x:c r="F786" s="10" t="str">
        <x:v>CTA005</x:v>
      </x:c>
      <x:c r="G786" s="10" t="str">
        <x:v>FAT-200785</x:v>
      </x:c>
      <x:c r="H786" s="10" t="str">
        <x:v>Contrato mensal</x:v>
      </x:c>
      <x:c r="I786" s="16" t="n">
        <x:v>45911.92950157407</x:v>
      </x:c>
      <x:c r="J786" s="16" t="n">
        <x:v>45971.92950157407</x:v>
      </x:c>
      <x:c r="K786" s="16" t="n">
        <x:v>45967.92950157407</x:v>
      </x:c>
      <x:c r="L786" s="20" t="n">
        <x:v>5896.76</x:v>
      </x:c>
      <x:c r="M786" s="20" t="n">
        <x:v>0</x:v>
      </x:c>
      <x:c r="N786" s="20" t="n">
        <x:v>0</x:v>
      </x:c>
      <x:c r="O786" s="20" t="n">
        <x:v>5896.76</x:v>
      </x:c>
      <x:c r="P786" s="20" t="n">
        <x:v>0</x:v>
      </x:c>
      <x:c r="Q786" s="10" t="str">
        <x:v>Recebido</x:v>
      </x:c>
      <x:c r="R786" s="10" t="str">
        <x:v>Débito em Conta</x:v>
      </x:c>
      <x:c r="S786" s="10" t="str">
        <x:v>2025-09</x:v>
      </x:c>
      <x:c r="T786" s="10" t="n">
        <x:v>0</x:v>
      </x:c>
      <x:c r="U786" s="10" t="str">
        <x:v>Liquidado</x:v>
      </x:c>
      <x:c r="V786" s="10" t="str">
        <x:v>Alto</x:v>
      </x:c>
      <x:c r="W786" s="10" t="str">
        <x:v>Varejo</x:v>
      </x:c>
      <x:c r="X786" s="10" t="str">
        <x:v>UND004</x:v>
      </x:c>
    </x:row>
    <x:row r="787" ht="18" customHeight="1">
      <x:c r="A787" s="10" t="str">
        <x:v>REC00786</x:v>
      </x:c>
      <x:c r="B787" s="10" t="str">
        <x:v>EMP002</x:v>
      </x:c>
      <x:c r="C787" s="10" t="str">
        <x:v>CLI005</x:v>
      </x:c>
      <x:c r="D787" s="10" t="str">
        <x:v>CC003</x:v>
      </x:c>
      <x:c r="E787" s="10" t="str">
        <x:v>CAT004</x:v>
      </x:c>
      <x:c r="F787" s="10" t="str">
        <x:v>CTA004</x:v>
      </x:c>
      <x:c r="G787" s="10" t="str">
        <x:v>FAT-200786</x:v>
      </x:c>
      <x:c r="H787" s="10" t="str">
        <x:v>Prestação de serviços</x:v>
      </x:c>
      <x:c r="I787" s="16" t="n">
        <x:v>46008.83478380787</x:v>
      </x:c>
      <x:c r="J787" s="16" t="n">
        <x:v>46023.83478380787</x:v>
      </x:c>
      <x:c r="K787" s="16"/>
      <x:c r="L787" s="20" t="n">
        <x:v>3004.72</x:v>
      </x:c>
      <x:c r="M787" s="20" t="n">
        <x:v>0</x:v>
      </x:c>
      <x:c r="N787" s="20" t="n">
        <x:v>0</x:v>
      </x:c>
      <x:c r="O787" s="20" t="n">
        <x:v>0</x:v>
      </x:c>
      <x:c r="P787" s="20" t="n">
        <x:v>3004.72</x:v>
      </x:c>
      <x:c r="Q787" s="10" t="str">
        <x:v>A vencer</x:v>
      </x:c>
      <x:c r="R787" s="10" t="str">
        <x:v>TED</x:v>
      </x:c>
      <x:c r="S787" s="10" t="str">
        <x:v>2025-12</x:v>
      </x:c>
      <x:c r="T787" s="10" t="n">
        <x:v>0</x:v>
      </x:c>
      <x:c r="U787" s="10" t="str">
        <x:v>A vencer</x:v>
      </x:c>
      <x:c r="V787" s="10" t="str">
        <x:v>Baixo</x:v>
      </x:c>
      <x:c r="W787" s="10" t="str">
        <x:v>Atacado</x:v>
      </x:c>
      <x:c r="X787" s="10" t="str">
        <x:v>UND003</x:v>
      </x:c>
    </x:row>
    <x:row r="788" ht="18" customHeight="1">
      <x:c r="A788" s="10" t="str">
        <x:v>REC00787</x:v>
      </x:c>
      <x:c r="B788" s="10" t="str">
        <x:v>EMP003</x:v>
      </x:c>
      <x:c r="C788" s="10" t="str">
        <x:v>CLI029</x:v>
      </x:c>
      <x:c r="D788" s="10" t="str">
        <x:v>CC007</x:v>
      </x:c>
      <x:c r="E788" s="10" t="str">
        <x:v>CAT002</x:v>
      </x:c>
      <x:c r="F788" s="10" t="str">
        <x:v>CTA006</x:v>
      </x:c>
      <x:c r="G788" s="10" t="str">
        <x:v>FAT-200787</x:v>
      </x:c>
      <x:c r="H788" s="10" t="str">
        <x:v>Contrato mensal</x:v>
      </x:c>
      <x:c r="I788" s="16" t="n">
        <x:v>45638.43437016204</x:v>
      </x:c>
      <x:c r="J788" s="16" t="n">
        <x:v>45673.43437016204</x:v>
      </x:c>
      <x:c r="K788" s="16" t="n">
        <x:v>45673.43437016204</x:v>
      </x:c>
      <x:c r="L788" s="20" t="n">
        <x:v>64784.54</x:v>
      </x:c>
      <x:c r="M788" s="20" t="n">
        <x:v>0</x:v>
      </x:c>
      <x:c r="N788" s="20" t="n">
        <x:v>0</x:v>
      </x:c>
      <x:c r="O788" s="20" t="n">
        <x:v>64784.54</x:v>
      </x:c>
      <x:c r="P788" s="20" t="n">
        <x:v>0</x:v>
      </x:c>
      <x:c r="Q788" s="10" t="str">
        <x:v>Recebido</x:v>
      </x:c>
      <x:c r="R788" s="10" t="str">
        <x:v>Débito em Conta</x:v>
      </x:c>
      <x:c r="S788" s="10" t="str">
        <x:v>2024-12</x:v>
      </x:c>
      <x:c r="T788" s="10" t="n">
        <x:v>0</x:v>
      </x:c>
      <x:c r="U788" s="10" t="str">
        <x:v>Liquidado</x:v>
      </x:c>
      <x:c r="V788" s="10" t="str">
        <x:v>Baixo</x:v>
      </x:c>
      <x:c r="W788" s="10" t="str">
        <x:v>Tecnologia</x:v>
      </x:c>
      <x:c r="X788" s="10" t="str">
        <x:v>UND004</x:v>
      </x:c>
    </x:row>
    <x:row r="789" ht="18" customHeight="1">
      <x:c r="A789" s="10" t="str">
        <x:v>REC00788</x:v>
      </x:c>
      <x:c r="B789" s="10" t="str">
        <x:v>EMP002</x:v>
      </x:c>
      <x:c r="C789" s="10" t="str">
        <x:v>CLI077</x:v>
      </x:c>
      <x:c r="D789" s="10" t="str">
        <x:v>CC003</x:v>
      </x:c>
      <x:c r="E789" s="10" t="str">
        <x:v>CAT001</x:v>
      </x:c>
      <x:c r="F789" s="10" t="str">
        <x:v>CTA003</x:v>
      </x:c>
      <x:c r="G789" s="10" t="str">
        <x:v>FAT-200788</x:v>
      </x:c>
      <x:c r="H789" s="10" t="str">
        <x:v>Projeto especial</x:v>
      </x:c>
      <x:c r="I789" s="16" t="n">
        <x:v>45467.30685975694</x:v>
      </x:c>
      <x:c r="J789" s="16" t="n">
        <x:v>45497.30685975694</x:v>
      </x:c>
      <x:c r="K789" s="16" t="n">
        <x:v>45495.30685975694</x:v>
      </x:c>
      <x:c r="L789" s="20" t="n">
        <x:v>133735.01</x:v>
      </x:c>
      <x:c r="M789" s="20" t="n">
        <x:v>0</x:v>
      </x:c>
      <x:c r="N789" s="20" t="n">
        <x:v>0</x:v>
      </x:c>
      <x:c r="O789" s="20" t="n">
        <x:v>133735.01</x:v>
      </x:c>
      <x:c r="P789" s="20" t="n">
        <x:v>0</x:v>
      </x:c>
      <x:c r="Q789" s="10" t="str">
        <x:v>Recebido</x:v>
      </x:c>
      <x:c r="R789" s="10" t="str">
        <x:v>Cartão</x:v>
      </x:c>
      <x:c r="S789" s="10" t="str">
        <x:v>2024-06</x:v>
      </x:c>
      <x:c r="T789" s="10" t="n">
        <x:v>0</x:v>
      </x:c>
      <x:c r="U789" s="10" t="str">
        <x:v>Liquidado</x:v>
      </x:c>
      <x:c r="V789" s="10" t="str">
        <x:v>Médio</x:v>
      </x:c>
      <x:c r="W789" s="10" t="str">
        <x:v>Serviços</x:v>
      </x:c>
      <x:c r="X789" s="10" t="str">
        <x:v>UND003</x:v>
      </x:c>
    </x:row>
    <x:row r="790" ht="18" customHeight="1">
      <x:c r="A790" s="10" t="str">
        <x:v>REC00789</x:v>
      </x:c>
      <x:c r="B790" s="10" t="str">
        <x:v>EMP002</x:v>
      </x:c>
      <x:c r="C790" s="10" t="str">
        <x:v>CLI060</x:v>
      </x:c>
      <x:c r="D790" s="10" t="str">
        <x:v>CC004</x:v>
      </x:c>
      <x:c r="E790" s="10" t="str">
        <x:v>CAT002</x:v>
      </x:c>
      <x:c r="F790" s="10" t="str">
        <x:v>CTA003</x:v>
      </x:c>
      <x:c r="G790" s="10" t="str">
        <x:v>FAT-200789</x:v>
      </x:c>
      <x:c r="H790" s="10" t="str">
        <x:v>Prestação de serviços</x:v>
      </x:c>
      <x:c r="I790" s="16" t="n">
        <x:v>45468.59916164352</x:v>
      </x:c>
      <x:c r="J790" s="16" t="n">
        <x:v>45496.59916164352</x:v>
      </x:c>
      <x:c r="K790" s="16" t="n">
        <x:v>45500.59916164352</x:v>
      </x:c>
      <x:c r="L790" s="20" t="n">
        <x:v>118390.38</x:v>
      </x:c>
      <x:c r="M790" s="20" t="n">
        <x:v>378.85</x:v>
      </x:c>
      <x:c r="N790" s="20" t="n">
        <x:v>0</x:v>
      </x:c>
      <x:c r="O790" s="20" t="n">
        <x:v>118769.23</x:v>
      </x:c>
      <x:c r="P790" s="20" t="n">
        <x:v>0</x:v>
      </x:c>
      <x:c r="Q790" s="10" t="str">
        <x:v>Recebido</x:v>
      </x:c>
      <x:c r="R790" s="10" t="str">
        <x:v>TED</x:v>
      </x:c>
      <x:c r="S790" s="10" t="str">
        <x:v>2024-06</x:v>
      </x:c>
      <x:c r="T790" s="10" t="n">
        <x:v>0</x:v>
      </x:c>
      <x:c r="U790" s="10" t="str">
        <x:v>Liquidado</x:v>
      </x:c>
      <x:c r="V790" s="10" t="str">
        <x:v>Baixo</x:v>
      </x:c>
      <x:c r="W790" s="10" t="str">
        <x:v>Atacado</x:v>
      </x:c>
      <x:c r="X790" s="10" t="str">
        <x:v>UND003</x:v>
      </x:c>
    </x:row>
    <x:row r="791" ht="18" customHeight="1">
      <x:c r="A791" s="10" t="str">
        <x:v>REC00790</x:v>
      </x:c>
      <x:c r="B791" s="10" t="str">
        <x:v>EMP001</x:v>
      </x:c>
      <x:c r="C791" s="10" t="str">
        <x:v>CLI001</x:v>
      </x:c>
      <x:c r="D791" s="10" t="str">
        <x:v>CC002</x:v>
      </x:c>
      <x:c r="E791" s="10" t="str">
        <x:v>CAT002</x:v>
      </x:c>
      <x:c r="F791" s="10" t="str">
        <x:v>CTA002</x:v>
      </x:c>
      <x:c r="G791" s="10" t="str">
        <x:v>FAT-200790</x:v>
      </x:c>
      <x:c r="H791" s="10" t="str">
        <x:v>Frete faturado</x:v>
      </x:c>
      <x:c r="I791" s="16" t="n">
        <x:v>45931.83453074074</x:v>
      </x:c>
      <x:c r="J791" s="16" t="n">
        <x:v>45976.83453074074</x:v>
      </x:c>
      <x:c r="K791" s="16" t="n">
        <x:v>45981.83453074074</x:v>
      </x:c>
      <x:c r="L791" s="20" t="n">
        <x:v>38804.5</x:v>
      </x:c>
      <x:c r="M791" s="20" t="n">
        <x:v>155.22</x:v>
      </x:c>
      <x:c r="N791" s="20" t="n">
        <x:v>0</x:v>
      </x:c>
      <x:c r="O791" s="20" t="n">
        <x:v>38959.72</x:v>
      </x:c>
      <x:c r="P791" s="20" t="n">
        <x:v>0</x:v>
      </x:c>
      <x:c r="Q791" s="10" t="str">
        <x:v>Recebido</x:v>
      </x:c>
      <x:c r="R791" s="10" t="str">
        <x:v>Cartão</x:v>
      </x:c>
      <x:c r="S791" s="10" t="str">
        <x:v>2025-10</x:v>
      </x:c>
      <x:c r="T791" s="10" t="n">
        <x:v>0</x:v>
      </x:c>
      <x:c r="U791" s="10" t="str">
        <x:v>Liquidado</x:v>
      </x:c>
      <x:c r="V791" s="10" t="str">
        <x:v>Baixo</x:v>
      </x:c>
      <x:c r="W791" s="10" t="str">
        <x:v>Serviços</x:v>
      </x:c>
      <x:c r="X791" s="10" t="str">
        <x:v>UND002</x:v>
      </x:c>
    </x:row>
    <x:row r="792" ht="18" customHeight="1">
      <x:c r="A792" s="10" t="str">
        <x:v>REC00791</x:v>
      </x:c>
      <x:c r="B792" s="10" t="str">
        <x:v>EMP003</x:v>
      </x:c>
      <x:c r="C792" s="10" t="str">
        <x:v>CLI050</x:v>
      </x:c>
      <x:c r="D792" s="10" t="str">
        <x:v>CC005</x:v>
      </x:c>
      <x:c r="E792" s="10" t="str">
        <x:v>CAT002</x:v>
      </x:c>
      <x:c r="F792" s="10" t="str">
        <x:v>CTA005</x:v>
      </x:c>
      <x:c r="G792" s="10" t="str">
        <x:v>FAT-200791</x:v>
      </x:c>
      <x:c r="H792" s="10" t="str">
        <x:v>Projeto especial</x:v>
      </x:c>
      <x:c r="I792" s="16" t="n">
        <x:v>45978.43827446759</x:v>
      </x:c>
      <x:c r="J792" s="16" t="n">
        <x:v>45993.43827446759</x:v>
      </x:c>
      <x:c r="K792" s="16" t="n">
        <x:v>45988.43827446759</x:v>
      </x:c>
      <x:c r="L792" s="20" t="n">
        <x:v>91863.96</x:v>
      </x:c>
      <x:c r="M792" s="20" t="n">
        <x:v>0</x:v>
      </x:c>
      <x:c r="N792" s="20" t="n">
        <x:v>0</x:v>
      </x:c>
      <x:c r="O792" s="20" t="n">
        <x:v>91863.96</x:v>
      </x:c>
      <x:c r="P792" s="20" t="n">
        <x:v>0</x:v>
      </x:c>
      <x:c r="Q792" s="10" t="str">
        <x:v>Recebido</x:v>
      </x:c>
      <x:c r="R792" s="10" t="str">
        <x:v>PIX</x:v>
      </x:c>
      <x:c r="S792" s="10" t="str">
        <x:v>2025-11</x:v>
      </x:c>
      <x:c r="T792" s="10" t="n">
        <x:v>0</x:v>
      </x:c>
      <x:c r="U792" s="10" t="str">
        <x:v>Liquidado</x:v>
      </x:c>
      <x:c r="V792" s="10" t="str">
        <x:v>Baixo</x:v>
      </x:c>
      <x:c r="W792" s="10" t="str">
        <x:v>Tecnologia</x:v>
      </x:c>
      <x:c r="X792" s="10" t="str">
        <x:v>UND004</x:v>
      </x:c>
    </x:row>
    <x:row r="793" ht="18" customHeight="1">
      <x:c r="A793" s="10" t="str">
        <x:v>REC00792</x:v>
      </x:c>
      <x:c r="B793" s="10" t="str">
        <x:v>EMP002</x:v>
      </x:c>
      <x:c r="C793" s="10" t="str">
        <x:v>CLI074</x:v>
      </x:c>
      <x:c r="D793" s="10" t="str">
        <x:v>CC005</x:v>
      </x:c>
      <x:c r="E793" s="10" t="str">
        <x:v>CAT003</x:v>
      </x:c>
      <x:c r="F793" s="10" t="str">
        <x:v>CTA004</x:v>
      </x:c>
      <x:c r="G793" s="10" t="str">
        <x:v>FAT-200792</x:v>
      </x:c>
      <x:c r="H793" s="10" t="str">
        <x:v>Projeto especial</x:v>
      </x:c>
      <x:c r="I793" s="16" t="n">
        <x:v>45431.21208604167</x:v>
      </x:c>
      <x:c r="J793" s="16" t="n">
        <x:v>45452.21208604167</x:v>
      </x:c>
      <x:c r="K793" s="16" t="n">
        <x:v>45454.21208604167</x:v>
      </x:c>
      <x:c r="L793" s="20" t="n">
        <x:v>2142.27</x:v>
      </x:c>
      <x:c r="M793" s="20" t="n">
        <x:v>3.43</x:v>
      </x:c>
      <x:c r="N793" s="20" t="n">
        <x:v>0</x:v>
      </x:c>
      <x:c r="O793" s="20" t="n">
        <x:v>2145.7</x:v>
      </x:c>
      <x:c r="P793" s="20" t="n">
        <x:v>0</x:v>
      </x:c>
      <x:c r="Q793" s="10" t="str">
        <x:v>Recebido</x:v>
      </x:c>
      <x:c r="R793" s="10" t="str">
        <x:v>Débito em Conta</x:v>
      </x:c>
      <x:c r="S793" s="10" t="str">
        <x:v>2024-05</x:v>
      </x:c>
      <x:c r="T793" s="10" t="n">
        <x:v>0</x:v>
      </x:c>
      <x:c r="U793" s="10" t="str">
        <x:v>Liquidado</x:v>
      </x:c>
      <x:c r="V793" s="10" t="str">
        <x:v>Médio</x:v>
      </x:c>
      <x:c r="W793" s="10" t="str">
        <x:v>Tecnologia</x:v>
      </x:c>
      <x:c r="X793" s="10" t="str">
        <x:v>UND003</x:v>
      </x:c>
    </x:row>
    <x:row r="794" ht="18" customHeight="1">
      <x:c r="A794" s="10" t="str">
        <x:v>REC00793</x:v>
      </x:c>
      <x:c r="B794" s="10" t="str">
        <x:v>EMP003</x:v>
      </x:c>
      <x:c r="C794" s="10" t="str">
        <x:v>CLI071</x:v>
      </x:c>
      <x:c r="D794" s="10" t="str">
        <x:v>CC004</x:v>
      </x:c>
      <x:c r="E794" s="10" t="str">
        <x:v>CAT001</x:v>
      </x:c>
      <x:c r="F794" s="10" t="str">
        <x:v>CTA006</x:v>
      </x:c>
      <x:c r="G794" s="10" t="str">
        <x:v>FAT-200793</x:v>
      </x:c>
      <x:c r="H794" s="10" t="str">
        <x:v>Prestação de serviços</x:v>
      </x:c>
      <x:c r="I794" s="16" t="n">
        <x:v>45691.24689048611</x:v>
      </x:c>
      <x:c r="J794" s="16" t="n">
        <x:v>45721.24689048611</x:v>
      </x:c>
      <x:c r="K794" s="16" t="n">
        <x:v>45719.24689048611</x:v>
      </x:c>
      <x:c r="L794" s="20" t="n">
        <x:v>73672.43</x:v>
      </x:c>
      <x:c r="M794" s="20" t="n">
        <x:v>0</x:v>
      </x:c>
      <x:c r="N794" s="20" t="n">
        <x:v>1473.45</x:v>
      </x:c>
      <x:c r="O794" s="20" t="n">
        <x:v>72198.98</x:v>
      </x:c>
      <x:c r="P794" s="20" t="n">
        <x:v>0</x:v>
      </x:c>
      <x:c r="Q794" s="10" t="str">
        <x:v>Recebido</x:v>
      </x:c>
      <x:c r="R794" s="10" t="str">
        <x:v>TED</x:v>
      </x:c>
      <x:c r="S794" s="10" t="str">
        <x:v>2025-02</x:v>
      </x:c>
      <x:c r="T794" s="10" t="n">
        <x:v>0</x:v>
      </x:c>
      <x:c r="U794" s="10" t="str">
        <x:v>Liquidado</x:v>
      </x:c>
      <x:c r="V794" s="10" t="str">
        <x:v>Baixo</x:v>
      </x:c>
      <x:c r="W794" s="10" t="str">
        <x:v>Tecnologia</x:v>
      </x:c>
      <x:c r="X794" s="10" t="str">
        <x:v>UND004</x:v>
      </x:c>
    </x:row>
    <x:row r="795" ht="18" customHeight="1">
      <x:c r="A795" s="10" t="str">
        <x:v>REC00794</x:v>
      </x:c>
      <x:c r="B795" s="10" t="str">
        <x:v>EMP002</x:v>
      </x:c>
      <x:c r="C795" s="10" t="str">
        <x:v>CLI029</x:v>
      </x:c>
      <x:c r="D795" s="10" t="str">
        <x:v>CC003</x:v>
      </x:c>
      <x:c r="E795" s="10" t="str">
        <x:v>CAT004</x:v>
      </x:c>
      <x:c r="F795" s="10" t="str">
        <x:v>CTA004</x:v>
      </x:c>
      <x:c r="G795" s="10" t="str">
        <x:v>FAT-200794</x:v>
      </x:c>
      <x:c r="H795" s="10" t="str">
        <x:v>Projeto especial</x:v>
      </x:c>
      <x:c r="I795" s="16" t="n">
        <x:v>45803.786689768516</x:v>
      </x:c>
      <x:c r="J795" s="16" t="n">
        <x:v>45818.786689768516</x:v>
      </x:c>
      <x:c r="K795" s="16" t="n">
        <x:v>45825.786689768516</x:v>
      </x:c>
      <x:c r="L795" s="20" t="n">
        <x:v>7091.12</x:v>
      </x:c>
      <x:c r="M795" s="20" t="n">
        <x:v>39.71</x:v>
      </x:c>
      <x:c r="N795" s="20" t="n">
        <x:v>0</x:v>
      </x:c>
      <x:c r="O795" s="20" t="n">
        <x:v>7130.83</x:v>
      </x:c>
      <x:c r="P795" s="20" t="n">
        <x:v>0</x:v>
      </x:c>
      <x:c r="Q795" s="10" t="str">
        <x:v>Recebido</x:v>
      </x:c>
      <x:c r="R795" s="10" t="str">
        <x:v>TED</x:v>
      </x:c>
      <x:c r="S795" s="10" t="str">
        <x:v>2025-05</x:v>
      </x:c>
      <x:c r="T795" s="10" t="n">
        <x:v>0</x:v>
      </x:c>
      <x:c r="U795" s="10" t="str">
        <x:v>Liquidado</x:v>
      </x:c>
      <x:c r="V795" s="10" t="str">
        <x:v>Baixo</x:v>
      </x:c>
      <x:c r="W795" s="10" t="str">
        <x:v>Tecnologia</x:v>
      </x:c>
      <x:c r="X795" s="10" t="str">
        <x:v>UND003</x:v>
      </x:c>
    </x:row>
    <x:row r="796" ht="18" customHeight="1">
      <x:c r="A796" s="10" t="str">
        <x:v>REC00795</x:v>
      </x:c>
      <x:c r="B796" s="10" t="str">
        <x:v>EMP003</x:v>
      </x:c>
      <x:c r="C796" s="10" t="str">
        <x:v>CLI031</x:v>
      </x:c>
      <x:c r="D796" s="10" t="str">
        <x:v>CC001</x:v>
      </x:c>
      <x:c r="E796" s="10" t="str">
        <x:v>CAT003</x:v>
      </x:c>
      <x:c r="F796" s="10" t="str">
        <x:v>CTA005</x:v>
      </x:c>
      <x:c r="G796" s="10" t="str">
        <x:v>FAT-200795</x:v>
      </x:c>
      <x:c r="H796" s="10" t="str">
        <x:v>Projeto especial</x:v>
      </x:c>
      <x:c r="I796" s="16" t="n">
        <x:v>45785.72806579861</x:v>
      </x:c>
      <x:c r="J796" s="16" t="n">
        <x:v>45845.72806579861</x:v>
      </x:c>
      <x:c r="K796" s="16" t="n">
        <x:v>45840.72806579861</x:v>
      </x:c>
      <x:c r="L796" s="20" t="n">
        <x:v>10868.09</x:v>
      </x:c>
      <x:c r="M796" s="20" t="n">
        <x:v>0</x:v>
      </x:c>
      <x:c r="N796" s="20" t="n">
        <x:v>0</x:v>
      </x:c>
      <x:c r="O796" s="20" t="n">
        <x:v>10868.09</x:v>
      </x:c>
      <x:c r="P796" s="20" t="n">
        <x:v>0</x:v>
      </x:c>
      <x:c r="Q796" s="10" t="str">
        <x:v>Recebido</x:v>
      </x:c>
      <x:c r="R796" s="10" t="str">
        <x:v>PIX</x:v>
      </x:c>
      <x:c r="S796" s="10" t="str">
        <x:v>2025-05</x:v>
      </x:c>
      <x:c r="T796" s="10" t="n">
        <x:v>0</x:v>
      </x:c>
      <x:c r="U796" s="10" t="str">
        <x:v>Liquidado</x:v>
      </x:c>
      <x:c r="V796" s="10" t="str">
        <x:v>Baixo</x:v>
      </x:c>
      <x:c r="W796" s="10" t="str">
        <x:v>Serviços</x:v>
      </x:c>
      <x:c r="X796" s="10" t="str">
        <x:v>UND004</x:v>
      </x:c>
    </x:row>
    <x:row r="797" ht="18" customHeight="1">
      <x:c r="A797" s="10" t="str">
        <x:v>REC00796</x:v>
      </x:c>
      <x:c r="B797" s="10" t="str">
        <x:v>EMP001</x:v>
      </x:c>
      <x:c r="C797" s="10" t="str">
        <x:v>CLI025</x:v>
      </x:c>
      <x:c r="D797" s="10" t="str">
        <x:v>CC005</x:v>
      </x:c>
      <x:c r="E797" s="10" t="str">
        <x:v>CAT003</x:v>
      </x:c>
      <x:c r="F797" s="10" t="str">
        <x:v>CTA002</x:v>
      </x:c>
      <x:c r="G797" s="10" t="str">
        <x:v>FAT-200796</x:v>
      </x:c>
      <x:c r="H797" s="10" t="str">
        <x:v>Frete faturado</x:v>
      </x:c>
      <x:c r="I797" s="16" t="n">
        <x:v>45990.2798425463</x:v>
      </x:c>
      <x:c r="J797" s="16" t="n">
        <x:v>46018.2798425463</x:v>
      </x:c>
      <x:c r="K797" s="16" t="n">
        <x:v>46015.2798425463</x:v>
      </x:c>
      <x:c r="L797" s="20" t="n">
        <x:v>132457.57</x:v>
      </x:c>
      <x:c r="M797" s="20" t="n">
        <x:v>0</x:v>
      </x:c>
      <x:c r="N797" s="20" t="n">
        <x:v>0</x:v>
      </x:c>
      <x:c r="O797" s="20" t="n">
        <x:v>132457.57</x:v>
      </x:c>
      <x:c r="P797" s="20" t="n">
        <x:v>0</x:v>
      </x:c>
      <x:c r="Q797" s="10" t="str">
        <x:v>Recebido</x:v>
      </x:c>
      <x:c r="R797" s="10" t="str">
        <x:v>TED</x:v>
      </x:c>
      <x:c r="S797" s="10" t="str">
        <x:v>2025-11</x:v>
      </x:c>
      <x:c r="T797" s="10" t="n">
        <x:v>0</x:v>
      </x:c>
      <x:c r="U797" s="10" t="str">
        <x:v>Liquidado</x:v>
      </x:c>
      <x:c r="V797" s="10" t="str">
        <x:v>Médio</x:v>
      </x:c>
      <x:c r="W797" s="10" t="str">
        <x:v>Indústria</x:v>
      </x:c>
      <x:c r="X797" s="10" t="str">
        <x:v>UND002</x:v>
      </x:c>
    </x:row>
    <x:row r="798" ht="18" customHeight="1">
      <x:c r="A798" s="10" t="str">
        <x:v>REC00797</x:v>
      </x:c>
      <x:c r="B798" s="10" t="str">
        <x:v>EMP003</x:v>
      </x:c>
      <x:c r="C798" s="10" t="str">
        <x:v>CLI029</x:v>
      </x:c>
      <x:c r="D798" s="10" t="str">
        <x:v>CC004</x:v>
      </x:c>
      <x:c r="E798" s="10" t="str">
        <x:v>CAT004</x:v>
      </x:c>
      <x:c r="F798" s="10" t="str">
        <x:v>CTA005</x:v>
      </x:c>
      <x:c r="G798" s="10" t="str">
        <x:v>FAT-200797</x:v>
      </x:c>
      <x:c r="H798" s="10" t="str">
        <x:v>Venda de produtos</x:v>
      </x:c>
      <x:c r="I798" s="16" t="n">
        <x:v>45577.25724273148</x:v>
      </x:c>
      <x:c r="J798" s="16" t="n">
        <x:v>45607.25724273148</x:v>
      </x:c>
      <x:c r="K798" s="16" t="n">
        <x:v>45614.25724273148</x:v>
      </x:c>
      <x:c r="L798" s="20" t="n">
        <x:v>123214.31</x:v>
      </x:c>
      <x:c r="M798" s="20" t="n">
        <x:v>690</x:v>
      </x:c>
      <x:c r="N798" s="20" t="n">
        <x:v>0</x:v>
      </x:c>
      <x:c r="O798" s="20" t="n">
        <x:v>123904.31</x:v>
      </x:c>
      <x:c r="P798" s="20" t="n">
        <x:v>0</x:v>
      </x:c>
      <x:c r="Q798" s="10" t="str">
        <x:v>Recebido</x:v>
      </x:c>
      <x:c r="R798" s="10" t="str">
        <x:v>Débito em Conta</x:v>
      </x:c>
      <x:c r="S798" s="10" t="str">
        <x:v>2024-10</x:v>
      </x:c>
      <x:c r="T798" s="10" t="n">
        <x:v>0</x:v>
      </x:c>
      <x:c r="U798" s="10" t="str">
        <x:v>Liquidado</x:v>
      </x:c>
      <x:c r="V798" s="10" t="str">
        <x:v>Baixo</x:v>
      </x:c>
      <x:c r="W798" s="10" t="str">
        <x:v>Tecnologia</x:v>
      </x:c>
      <x:c r="X798" s="10" t="str">
        <x:v>UND004</x:v>
      </x:c>
    </x:row>
    <x:row r="799" ht="18" customHeight="1">
      <x:c r="A799" s="10" t="str">
        <x:v>REC00798</x:v>
      </x:c>
      <x:c r="B799" s="10" t="str">
        <x:v>EMP001</x:v>
      </x:c>
      <x:c r="C799" s="10" t="str">
        <x:v>CLI013</x:v>
      </x:c>
      <x:c r="D799" s="10" t="str">
        <x:v>CC008</x:v>
      </x:c>
      <x:c r="E799" s="10" t="str">
        <x:v>CAT004</x:v>
      </x:c>
      <x:c r="F799" s="10" t="str">
        <x:v>CTA001</x:v>
      </x:c>
      <x:c r="G799" s="10" t="str">
        <x:v>FAT-200798</x:v>
      </x:c>
      <x:c r="H799" s="10" t="str">
        <x:v>Prestação de serviços</x:v>
      </x:c>
      <x:c r="I799" s="16" t="n">
        <x:v>45917.44837511574</x:v>
      </x:c>
      <x:c r="J799" s="16" t="n">
        <x:v>45945.44837511574</x:v>
      </x:c>
      <x:c r="K799" s="16"/>
      <x:c r="L799" s="20" t="n">
        <x:v>136751.53</x:v>
      </x:c>
      <x:c r="M799" s="20" t="n">
        <x:v>0</x:v>
      </x:c>
      <x:c r="N799" s="20" t="n">
        <x:v>0</x:v>
      </x:c>
      <x:c r="O799" s="20" t="n">
        <x:v>0</x:v>
      </x:c>
      <x:c r="P799" s="20" t="n">
        <x:v>136751.53</x:v>
      </x:c>
      <x:c r="Q799" s="10" t="str">
        <x:v>Vencido</x:v>
      </x:c>
      <x:c r="R799" s="10" t="str">
        <x:v>Débito em Conta</x:v>
      </x:c>
      <x:c r="S799" s="10" t="str">
        <x:v>2025-09</x:v>
      </x:c>
      <x:c r="T799" s="10" t="n">
        <x:v>76</x:v>
      </x:c>
      <x:c r="U799" s="10" t="str">
        <x:v>61 a 90 dias</x:v>
      </x:c>
      <x:c r="V799" s="10" t="str">
        <x:v>Baixo</x:v>
      </x:c>
      <x:c r="W799" s="10" t="str">
        <x:v>Serviços</x:v>
      </x:c>
      <x:c r="X799" s="10" t="str">
        <x:v>UND002</x:v>
      </x:c>
    </x:row>
    <x:row r="800" ht="18" customHeight="1">
      <x:c r="A800" s="10" t="str">
        <x:v>REC00799</x:v>
      </x:c>
      <x:c r="B800" s="10" t="str">
        <x:v>EMP001</x:v>
      </x:c>
      <x:c r="C800" s="10" t="str">
        <x:v>CLI005</x:v>
      </x:c>
      <x:c r="D800" s="10" t="str">
        <x:v>CC008</x:v>
      </x:c>
      <x:c r="E800" s="10" t="str">
        <x:v>CAT004</x:v>
      </x:c>
      <x:c r="F800" s="10" t="str">
        <x:v>CTA002</x:v>
      </x:c>
      <x:c r="G800" s="10" t="str">
        <x:v>FAT-200799</x:v>
      </x:c>
      <x:c r="H800" s="10" t="str">
        <x:v>Prestação de serviços</x:v>
      </x:c>
      <x:c r="I800" s="16" t="n">
        <x:v>45696.48441186343</x:v>
      </x:c>
      <x:c r="J800" s="16" t="n">
        <x:v>45741.48441186343</x:v>
      </x:c>
      <x:c r="K800" s="16"/>
      <x:c r="L800" s="20" t="n">
        <x:v>129119.9</x:v>
      </x:c>
      <x:c r="M800" s="20" t="n">
        <x:v>0</x:v>
      </x:c>
      <x:c r="N800" s="20" t="n">
        <x:v>0</x:v>
      </x:c>
      <x:c r="O800" s="20" t="n">
        <x:v>0</x:v>
      </x:c>
      <x:c r="P800" s="20" t="n">
        <x:v>0</x:v>
      </x:c>
      <x:c r="Q800" s="10" t="str">
        <x:v>Cancelado</x:v>
      </x:c>
      <x:c r="R800" s="10" t="str">
        <x:v>TED</x:v>
      </x:c>
      <x:c r="S800" s="10" t="str">
        <x:v>2025-02</x:v>
      </x:c>
      <x:c r="T800" s="10" t="n">
        <x:v>0</x:v>
      </x:c>
      <x:c r="U800" s="10" t="str">
        <x:v>Cancelado</x:v>
      </x:c>
      <x:c r="V800" s="10" t="str">
        <x:v>Baixo</x:v>
      </x:c>
      <x:c r="W800" s="10" t="str">
        <x:v>Atacado</x:v>
      </x:c>
      <x:c r="X800" s="10" t="str">
        <x:v>UND002</x:v>
      </x:c>
    </x:row>
    <x:row r="801" ht="18" customHeight="1">
      <x:c r="A801" s="10" t="str">
        <x:v>REC00800</x:v>
      </x:c>
      <x:c r="B801" s="10" t="str">
        <x:v>EMP001</x:v>
      </x:c>
      <x:c r="C801" s="10" t="str">
        <x:v>CLI017</x:v>
      </x:c>
      <x:c r="D801" s="10" t="str">
        <x:v>CC001</x:v>
      </x:c>
      <x:c r="E801" s="10" t="str">
        <x:v>CAT001</x:v>
      </x:c>
      <x:c r="F801" s="10" t="str">
        <x:v>CTA002</x:v>
      </x:c>
      <x:c r="G801" s="10" t="str">
        <x:v>FAT-200800</x:v>
      </x:c>
      <x:c r="H801" s="10" t="str">
        <x:v>Contrato mensal</x:v>
      </x:c>
      <x:c r="I801" s="16" t="n">
        <x:v>45527.680990810186</x:v>
      </x:c>
      <x:c r="J801" s="16" t="n">
        <x:v>45562.680990810186</x:v>
      </x:c>
      <x:c r="K801" s="16" t="n">
        <x:v>45569.680990810186</x:v>
      </x:c>
      <x:c r="L801" s="20" t="n">
        <x:v>4490.29</x:v>
      </x:c>
      <x:c r="M801" s="20" t="n">
        <x:v>25.15</x:v>
      </x:c>
      <x:c r="N801" s="20" t="n">
        <x:v>0</x:v>
      </x:c>
      <x:c r="O801" s="20" t="n">
        <x:v>4515.44</x:v>
      </x:c>
      <x:c r="P801" s="20" t="n">
        <x:v>0</x:v>
      </x:c>
      <x:c r="Q801" s="10" t="str">
        <x:v>Recebido</x:v>
      </x:c>
      <x:c r="R801" s="10" t="str">
        <x:v>Cartão</x:v>
      </x:c>
      <x:c r="S801" s="10" t="str">
        <x:v>2024-08</x:v>
      </x:c>
      <x:c r="T801" s="10" t="n">
        <x:v>0</x:v>
      </x:c>
      <x:c r="U801" s="10" t="str">
        <x:v>Liquidado</x:v>
      </x:c>
      <x:c r="V801" s="10" t="str">
        <x:v>Médio</x:v>
      </x:c>
      <x:c r="W801" s="10" t="str">
        <x:v>Atacado</x:v>
      </x:c>
      <x:c r="X801" s="10" t="str">
        <x:v>UND001</x:v>
      </x:c>
    </x:row>
    <x:row r="802" ht="18" customHeight="1">
      <x:c r="A802" s="10" t="str">
        <x:v>REC00801</x:v>
      </x:c>
      <x:c r="B802" s="10" t="str">
        <x:v>EMP003</x:v>
      </x:c>
      <x:c r="C802" s="10" t="str">
        <x:v>CLI063</x:v>
      </x:c>
      <x:c r="D802" s="10" t="str">
        <x:v>CC004</x:v>
      </x:c>
      <x:c r="E802" s="10" t="str">
        <x:v>CAT004</x:v>
      </x:c>
      <x:c r="F802" s="10" t="str">
        <x:v>CTA006</x:v>
      </x:c>
      <x:c r="G802" s="10" t="str">
        <x:v>FAT-200801</x:v>
      </x:c>
      <x:c r="H802" s="10" t="str">
        <x:v>Venda de produtos</x:v>
      </x:c>
      <x:c r="I802" s="16" t="n">
        <x:v>45662.80715085648</x:v>
      </x:c>
      <x:c r="J802" s="16" t="n">
        <x:v>45722.80715085648</x:v>
      </x:c>
      <x:c r="K802" s="16" t="n">
        <x:v>45725.80715085648</x:v>
      </x:c>
      <x:c r="L802" s="20" t="n">
        <x:v>11051.72</x:v>
      </x:c>
      <x:c r="M802" s="20" t="n">
        <x:v>26.52</x:v>
      </x:c>
      <x:c r="N802" s="20" t="n">
        <x:v>0</x:v>
      </x:c>
      <x:c r="O802" s="20" t="n">
        <x:v>11078.24</x:v>
      </x:c>
      <x:c r="P802" s="20" t="n">
        <x:v>0</x:v>
      </x:c>
      <x:c r="Q802" s="10" t="str">
        <x:v>Recebido</x:v>
      </x:c>
      <x:c r="R802" s="10" t="str">
        <x:v>Cartão</x:v>
      </x:c>
      <x:c r="S802" s="10" t="str">
        <x:v>2025-01</x:v>
      </x:c>
      <x:c r="T802" s="10" t="n">
        <x:v>0</x:v>
      </x:c>
      <x:c r="U802" s="10" t="str">
        <x:v>Liquidado</x:v>
      </x:c>
      <x:c r="V802" s="10" t="str">
        <x:v>Baixo</x:v>
      </x:c>
      <x:c r="W802" s="10" t="str">
        <x:v>Serviços</x:v>
      </x:c>
      <x:c r="X802" s="10" t="str">
        <x:v>UND004</x:v>
      </x:c>
    </x:row>
    <x:row r="803" ht="18" customHeight="1">
      <x:c r="A803" s="10" t="str">
        <x:v>REC00802</x:v>
      </x:c>
      <x:c r="B803" s="10" t="str">
        <x:v>EMP002</x:v>
      </x:c>
      <x:c r="C803" s="10" t="str">
        <x:v>CLI025</x:v>
      </x:c>
      <x:c r="D803" s="10" t="str">
        <x:v>CC008</x:v>
      </x:c>
      <x:c r="E803" s="10" t="str">
        <x:v>CAT001</x:v>
      </x:c>
      <x:c r="F803" s="10" t="str">
        <x:v>CTA003</x:v>
      </x:c>
      <x:c r="G803" s="10" t="str">
        <x:v>FAT-200802</x:v>
      </x:c>
      <x:c r="H803" s="10" t="str">
        <x:v>Projeto especial</x:v>
      </x:c>
      <x:c r="I803" s="16" t="n">
        <x:v>45968.92733934028</x:v>
      </x:c>
      <x:c r="J803" s="16" t="n">
        <x:v>46013.92733934028</x:v>
      </x:c>
      <x:c r="K803" s="16"/>
      <x:c r="L803" s="20" t="n">
        <x:v>52218.44</x:v>
      </x:c>
      <x:c r="M803" s="20" t="n">
        <x:v>0</x:v>
      </x:c>
      <x:c r="N803" s="20" t="n">
        <x:v>0</x:v>
      </x:c>
      <x:c r="O803" s="20" t="n">
        <x:v>0</x:v>
      </x:c>
      <x:c r="P803" s="20" t="n">
        <x:v>52218.44</x:v>
      </x:c>
      <x:c r="Q803" s="10" t="str">
        <x:v>Vencido</x:v>
      </x:c>
      <x:c r="R803" s="10" t="str">
        <x:v>Boleto</x:v>
      </x:c>
      <x:c r="S803" s="10" t="str">
        <x:v>2025-11</x:v>
      </x:c>
      <x:c r="T803" s="10" t="n">
        <x:v>8</x:v>
      </x:c>
      <x:c r="U803" s="10" t="str">
        <x:v>1 a 30 dias</x:v>
      </x:c>
      <x:c r="V803" s="10" t="str">
        <x:v>Médio</x:v>
      </x:c>
      <x:c r="W803" s="10" t="str">
        <x:v>Indústria</x:v>
      </x:c>
      <x:c r="X803" s="10" t="str">
        <x:v>UND003</x:v>
      </x:c>
    </x:row>
    <x:row r="804" ht="18" customHeight="1">
      <x:c r="A804" s="10" t="str">
        <x:v>REC00803</x:v>
      </x:c>
      <x:c r="B804" s="10" t="str">
        <x:v>EMP002</x:v>
      </x:c>
      <x:c r="C804" s="10" t="str">
        <x:v>CLI053</x:v>
      </x:c>
      <x:c r="D804" s="10" t="str">
        <x:v>CC006</x:v>
      </x:c>
      <x:c r="E804" s="10" t="str">
        <x:v>CAT002</x:v>
      </x:c>
      <x:c r="F804" s="10" t="str">
        <x:v>CTA003</x:v>
      </x:c>
      <x:c r="G804" s="10" t="str">
        <x:v>FAT-200803</x:v>
      </x:c>
      <x:c r="H804" s="10" t="str">
        <x:v>Venda de produtos</x:v>
      </x:c>
      <x:c r="I804" s="16" t="n">
        <x:v>45985.65705664352</x:v>
      </x:c>
      <x:c r="J804" s="16" t="n">
        <x:v>46006.65705664352</x:v>
      </x:c>
      <x:c r="K804" s="16" t="n">
        <x:v>46008.65705664352</x:v>
      </x:c>
      <x:c r="L804" s="20" t="n">
        <x:v>96603.41</x:v>
      </x:c>
      <x:c r="M804" s="20" t="n">
        <x:v>154.57</x:v>
      </x:c>
      <x:c r="N804" s="20" t="n">
        <x:v>0</x:v>
      </x:c>
      <x:c r="O804" s="20" t="n">
        <x:v>96757.98</x:v>
      </x:c>
      <x:c r="P804" s="20" t="n">
        <x:v>0</x:v>
      </x:c>
      <x:c r="Q804" s="10" t="str">
        <x:v>Recebido</x:v>
      </x:c>
      <x:c r="R804" s="10" t="str">
        <x:v>PIX</x:v>
      </x:c>
      <x:c r="S804" s="10" t="str">
        <x:v>2025-11</x:v>
      </x:c>
      <x:c r="T804" s="10" t="n">
        <x:v>0</x:v>
      </x:c>
      <x:c r="U804" s="10" t="str">
        <x:v>Liquidado</x:v>
      </x:c>
      <x:c r="V804" s="10" t="str">
        <x:v>Baixo</x:v>
      </x:c>
      <x:c r="W804" s="10" t="str">
        <x:v>Saúde</x:v>
      </x:c>
      <x:c r="X804" s="10" t="str">
        <x:v>UND003</x:v>
      </x:c>
    </x:row>
    <x:row r="805" ht="18" customHeight="1">
      <x:c r="A805" s="10" t="str">
        <x:v>REC00804</x:v>
      </x:c>
      <x:c r="B805" s="10" t="str">
        <x:v>EMP003</x:v>
      </x:c>
      <x:c r="C805" s="10" t="str">
        <x:v>CLI071</x:v>
      </x:c>
      <x:c r="D805" s="10" t="str">
        <x:v>CC008</x:v>
      </x:c>
      <x:c r="E805" s="10" t="str">
        <x:v>CAT002</x:v>
      </x:c>
      <x:c r="F805" s="10" t="str">
        <x:v>CTA006</x:v>
      </x:c>
      <x:c r="G805" s="10" t="str">
        <x:v>FAT-200804</x:v>
      </x:c>
      <x:c r="H805" s="10" t="str">
        <x:v>Projeto especial</x:v>
      </x:c>
      <x:c r="I805" s="16" t="n">
        <x:v>45740.81971688657</x:v>
      </x:c>
      <x:c r="J805" s="16" t="n">
        <x:v>45775.81971688657</x:v>
      </x:c>
      <x:c r="K805" s="16" t="n">
        <x:v>45773.81971688657</x:v>
      </x:c>
      <x:c r="L805" s="20" t="n">
        <x:v>77257.3</x:v>
      </x:c>
      <x:c r="M805" s="20" t="n">
        <x:v>0</x:v>
      </x:c>
      <x:c r="N805" s="20" t="n">
        <x:v>772.57</x:v>
      </x:c>
      <x:c r="O805" s="20" t="n">
        <x:v>76484.73</x:v>
      </x:c>
      <x:c r="P805" s="20" t="n">
        <x:v>0</x:v>
      </x:c>
      <x:c r="Q805" s="10" t="str">
        <x:v>Recebido</x:v>
      </x:c>
      <x:c r="R805" s="10" t="str">
        <x:v>Cartão</x:v>
      </x:c>
      <x:c r="S805" s="10" t="str">
        <x:v>2025-03</x:v>
      </x:c>
      <x:c r="T805" s="10" t="n">
        <x:v>0</x:v>
      </x:c>
      <x:c r="U805" s="10" t="str">
        <x:v>Liquidado</x:v>
      </x:c>
      <x:c r="V805" s="10" t="str">
        <x:v>Baixo</x:v>
      </x:c>
      <x:c r="W805" s="10" t="str">
        <x:v>Tecnologia</x:v>
      </x:c>
      <x:c r="X805" s="10" t="str">
        <x:v>UND004</x:v>
      </x:c>
    </x:row>
    <x:row r="806" ht="18" customHeight="1">
      <x:c r="A806" s="10" t="str">
        <x:v>REC00805</x:v>
      </x:c>
      <x:c r="B806" s="10" t="str">
        <x:v>EMP002</x:v>
      </x:c>
      <x:c r="C806" s="10" t="str">
        <x:v>CLI054</x:v>
      </x:c>
      <x:c r="D806" s="10" t="str">
        <x:v>CC005</x:v>
      </x:c>
      <x:c r="E806" s="10" t="str">
        <x:v>CAT001</x:v>
      </x:c>
      <x:c r="F806" s="10" t="str">
        <x:v>CTA003</x:v>
      </x:c>
      <x:c r="G806" s="10" t="str">
        <x:v>FAT-200805</x:v>
      </x:c>
      <x:c r="H806" s="10" t="str">
        <x:v>Venda de produtos</x:v>
      </x:c>
      <x:c r="I806" s="16" t="n">
        <x:v>45363.606426956016</x:v>
      </x:c>
      <x:c r="J806" s="16" t="n">
        <x:v>45391.606426956016</x:v>
      </x:c>
      <x:c r="K806" s="16"/>
      <x:c r="L806" s="20" t="n">
        <x:v>23333.91</x:v>
      </x:c>
      <x:c r="M806" s="20" t="n">
        <x:v>0</x:v>
      </x:c>
      <x:c r="N806" s="20" t="n">
        <x:v>0</x:v>
      </x:c>
      <x:c r="O806" s="20" t="n">
        <x:v>0</x:v>
      </x:c>
      <x:c r="P806" s="20" t="n">
        <x:v>23333.91</x:v>
      </x:c>
      <x:c r="Q806" s="10" t="str">
        <x:v>Vencido</x:v>
      </x:c>
      <x:c r="R806" s="10" t="str">
        <x:v>Boleto</x:v>
      </x:c>
      <x:c r="S806" s="10" t="str">
        <x:v>2024-03</x:v>
      </x:c>
      <x:c r="T806" s="10" t="n">
        <x:v>630</x:v>
      </x:c>
      <x:c r="U806" s="10" t="str">
        <x:v>&gt; 120 dias</x:v>
      </x:c>
      <x:c r="V806" s="10" t="str">
        <x:v>Médio</x:v>
      </x:c>
      <x:c r="W806" s="10" t="str">
        <x:v>Indústria</x:v>
      </x:c>
      <x:c r="X806" s="10" t="str">
        <x:v>UND003</x:v>
      </x:c>
    </x:row>
    <x:row r="807" ht="18" customHeight="1">
      <x:c r="A807" s="10" t="str">
        <x:v>REC00806</x:v>
      </x:c>
      <x:c r="B807" s="10" t="str">
        <x:v>EMP002</x:v>
      </x:c>
      <x:c r="C807" s="10" t="str">
        <x:v>CLI036</x:v>
      </x:c>
      <x:c r="D807" s="10" t="str">
        <x:v>CC003</x:v>
      </x:c>
      <x:c r="E807" s="10" t="str">
        <x:v>CAT004</x:v>
      </x:c>
      <x:c r="F807" s="10" t="str">
        <x:v>CTA003</x:v>
      </x:c>
      <x:c r="G807" s="10" t="str">
        <x:v>FAT-200806</x:v>
      </x:c>
      <x:c r="H807" s="10" t="str">
        <x:v>Venda de produtos</x:v>
      </x:c>
      <x:c r="I807" s="16" t="n">
        <x:v>45605.189213530095</x:v>
      </x:c>
      <x:c r="J807" s="16" t="n">
        <x:v>45635.189213530095</x:v>
      </x:c>
      <x:c r="K807" s="16"/>
      <x:c r="L807" s="20" t="n">
        <x:v>30828.2</x:v>
      </x:c>
      <x:c r="M807" s="20" t="n">
        <x:v>0</x:v>
      </x:c>
      <x:c r="N807" s="20" t="n">
        <x:v>0</x:v>
      </x:c>
      <x:c r="O807" s="20" t="n">
        <x:v>0</x:v>
      </x:c>
      <x:c r="P807" s="20" t="n">
        <x:v>30828.2</x:v>
      </x:c>
      <x:c r="Q807" s="10" t="str">
        <x:v>Vencido</x:v>
      </x:c>
      <x:c r="R807" s="10" t="str">
        <x:v>PIX</x:v>
      </x:c>
      <x:c r="S807" s="10" t="str">
        <x:v>2024-11</x:v>
      </x:c>
      <x:c r="T807" s="10" t="n">
        <x:v>386</x:v>
      </x:c>
      <x:c r="U807" s="10" t="str">
        <x:v>&gt; 120 dias</x:v>
      </x:c>
      <x:c r="V807" s="10" t="str">
        <x:v>Baixo</x:v>
      </x:c>
      <x:c r="W807" s="10" t="str">
        <x:v>Atacado</x:v>
      </x:c>
      <x:c r="X807" s="10" t="str">
        <x:v>UND003</x:v>
      </x:c>
    </x:row>
    <x:row r="808" ht="18" customHeight="1">
      <x:c r="A808" s="10" t="str">
        <x:v>REC00807</x:v>
      </x:c>
      <x:c r="B808" s="10" t="str">
        <x:v>EMP003</x:v>
      </x:c>
      <x:c r="C808" s="10" t="str">
        <x:v>CLI060</x:v>
      </x:c>
      <x:c r="D808" s="10" t="str">
        <x:v>CC001</x:v>
      </x:c>
      <x:c r="E808" s="10" t="str">
        <x:v>CAT003</x:v>
      </x:c>
      <x:c r="F808" s="10" t="str">
        <x:v>CTA006</x:v>
      </x:c>
      <x:c r="G808" s="10" t="str">
        <x:v>FAT-200807</x:v>
      </x:c>
      <x:c r="H808" s="10" t="str">
        <x:v>Prestação de serviços</x:v>
      </x:c>
      <x:c r="I808" s="16" t="n">
        <x:v>45603.37832363426</x:v>
      </x:c>
      <x:c r="J808" s="16" t="n">
        <x:v>45624.37832363426</x:v>
      </x:c>
      <x:c r="K808" s="16" t="n">
        <x:v>45629.37832363426</x:v>
      </x:c>
      <x:c r="L808" s="20" t="n">
        <x:v>79627.43</x:v>
      </x:c>
      <x:c r="M808" s="20" t="n">
        <x:v>318.51</x:v>
      </x:c>
      <x:c r="N808" s="20" t="n">
        <x:v>0</x:v>
      </x:c>
      <x:c r="O808" s="20" t="n">
        <x:v>79945.94</x:v>
      </x:c>
      <x:c r="P808" s="20" t="n">
        <x:v>0</x:v>
      </x:c>
      <x:c r="Q808" s="10" t="str">
        <x:v>Recebido</x:v>
      </x:c>
      <x:c r="R808" s="10" t="str">
        <x:v>PIX</x:v>
      </x:c>
      <x:c r="S808" s="10" t="str">
        <x:v>2024-11</x:v>
      </x:c>
      <x:c r="T808" s="10" t="n">
        <x:v>0</x:v>
      </x:c>
      <x:c r="U808" s="10" t="str">
        <x:v>Liquidado</x:v>
      </x:c>
      <x:c r="V808" s="10" t="str">
        <x:v>Baixo</x:v>
      </x:c>
      <x:c r="W808" s="10" t="str">
        <x:v>Atacado</x:v>
      </x:c>
      <x:c r="X808" s="10" t="str">
        <x:v>UND004</x:v>
      </x:c>
    </x:row>
    <x:row r="809" ht="18" customHeight="1">
      <x:c r="A809" s="10" t="str">
        <x:v>REC00808</x:v>
      </x:c>
      <x:c r="B809" s="10" t="str">
        <x:v>EMP001</x:v>
      </x:c>
      <x:c r="C809" s="10" t="str">
        <x:v>CLI042</x:v>
      </x:c>
      <x:c r="D809" s="10" t="str">
        <x:v>CC001</x:v>
      </x:c>
      <x:c r="E809" s="10" t="str">
        <x:v>CAT003</x:v>
      </x:c>
      <x:c r="F809" s="10" t="str">
        <x:v>CTA001</x:v>
      </x:c>
      <x:c r="G809" s="10" t="str">
        <x:v>FAT-200808</x:v>
      </x:c>
      <x:c r="H809" s="10" t="str">
        <x:v>Venda de produtos</x:v>
      </x:c>
      <x:c r="I809" s="16" t="n">
        <x:v>45967.88637787037</x:v>
      </x:c>
      <x:c r="J809" s="16" t="n">
        <x:v>46027.88637787037</x:v>
      </x:c>
      <x:c r="K809" s="16"/>
      <x:c r="L809" s="20" t="n">
        <x:v>1311.9</x:v>
      </x:c>
      <x:c r="M809" s="20" t="n">
        <x:v>0</x:v>
      </x:c>
      <x:c r="N809" s="20" t="n">
        <x:v>0</x:v>
      </x:c>
      <x:c r="O809" s="20" t="n">
        <x:v>0</x:v>
      </x:c>
      <x:c r="P809" s="20" t="n">
        <x:v>1311.9</x:v>
      </x:c>
      <x:c r="Q809" s="10" t="str">
        <x:v>A vencer</x:v>
      </x:c>
      <x:c r="R809" s="10" t="str">
        <x:v>Boleto</x:v>
      </x:c>
      <x:c r="S809" s="10" t="str">
        <x:v>2025-11</x:v>
      </x:c>
      <x:c r="T809" s="10" t="n">
        <x:v>0</x:v>
      </x:c>
      <x:c r="U809" s="10" t="str">
        <x:v>A vencer</x:v>
      </x:c>
      <x:c r="V809" s="10" t="str">
        <x:v>Baixo</x:v>
      </x:c>
      <x:c r="W809" s="10" t="str">
        <x:v>Varejo</x:v>
      </x:c>
      <x:c r="X809" s="10" t="str">
        <x:v>UND002</x:v>
      </x:c>
    </x:row>
    <x:row r="810" ht="18" customHeight="1">
      <x:c r="A810" s="10" t="str">
        <x:v>REC00809</x:v>
      </x:c>
      <x:c r="B810" s="10" t="str">
        <x:v>EMP001</x:v>
      </x:c>
      <x:c r="C810" s="10" t="str">
        <x:v>CLI017</x:v>
      </x:c>
      <x:c r="D810" s="10" t="str">
        <x:v>CC007</x:v>
      </x:c>
      <x:c r="E810" s="10" t="str">
        <x:v>CAT002</x:v>
      </x:c>
      <x:c r="F810" s="10" t="str">
        <x:v>CTA001</x:v>
      </x:c>
      <x:c r="G810" s="10" t="str">
        <x:v>FAT-200809</x:v>
      </x:c>
      <x:c r="H810" s="10" t="str">
        <x:v>Frete faturado</x:v>
      </x:c>
      <x:c r="I810" s="16" t="n">
        <x:v>45685.451739351854</x:v>
      </x:c>
      <x:c r="J810" s="16" t="n">
        <x:v>45745.451739351854</x:v>
      </x:c>
      <x:c r="K810" s="16"/>
      <x:c r="L810" s="20" t="n">
        <x:v>82542.93</x:v>
      </x:c>
      <x:c r="M810" s="20" t="n">
        <x:v>0</x:v>
      </x:c>
      <x:c r="N810" s="20" t="n">
        <x:v>0</x:v>
      </x:c>
      <x:c r="O810" s="20" t="n">
        <x:v>0</x:v>
      </x:c>
      <x:c r="P810" s="20" t="n">
        <x:v>82542.93</x:v>
      </x:c>
      <x:c r="Q810" s="10" t="str">
        <x:v>Vencido</x:v>
      </x:c>
      <x:c r="R810" s="10" t="str">
        <x:v>TED</x:v>
      </x:c>
      <x:c r="S810" s="10" t="str">
        <x:v>2025-01</x:v>
      </x:c>
      <x:c r="T810" s="10" t="n">
        <x:v>276</x:v>
      </x:c>
      <x:c r="U810" s="10" t="str">
        <x:v>&gt; 120 dias</x:v>
      </x:c>
      <x:c r="V810" s="10" t="str">
        <x:v>Médio</x:v>
      </x:c>
      <x:c r="W810" s="10" t="str">
        <x:v>Atacado</x:v>
      </x:c>
      <x:c r="X810" s="10" t="str">
        <x:v>UND001</x:v>
      </x:c>
    </x:row>
    <x:row r="811" ht="18" customHeight="1">
      <x:c r="A811" s="10" t="str">
        <x:v>REC00810</x:v>
      </x:c>
      <x:c r="B811" s="10" t="str">
        <x:v>EMP001</x:v>
      </x:c>
      <x:c r="C811" s="10" t="str">
        <x:v>CLI047</x:v>
      </x:c>
      <x:c r="D811" s="10" t="str">
        <x:v>CC005</x:v>
      </x:c>
      <x:c r="E811" s="10" t="str">
        <x:v>CAT003</x:v>
      </x:c>
      <x:c r="F811" s="10" t="str">
        <x:v>CTA001</x:v>
      </x:c>
      <x:c r="G811" s="10" t="str">
        <x:v>FAT-200810</x:v>
      </x:c>
      <x:c r="H811" s="10" t="str">
        <x:v>Projeto especial</x:v>
      </x:c>
      <x:c r="I811" s="16" t="n">
        <x:v>45963.58744859954</x:v>
      </x:c>
      <x:c r="J811" s="16" t="n">
        <x:v>46023.58744859954</x:v>
      </x:c>
      <x:c r="K811" s="16"/>
      <x:c r="L811" s="20" t="n">
        <x:v>61718.67</x:v>
      </x:c>
      <x:c r="M811" s="20" t="n">
        <x:v>0</x:v>
      </x:c>
      <x:c r="N811" s="20" t="n">
        <x:v>0</x:v>
      </x:c>
      <x:c r="O811" s="20" t="n">
        <x:v>0</x:v>
      </x:c>
      <x:c r="P811" s="20" t="n">
        <x:v>61718.67</x:v>
      </x:c>
      <x:c r="Q811" s="10" t="str">
        <x:v>A vencer</x:v>
      </x:c>
      <x:c r="R811" s="10" t="str">
        <x:v>PIX</x:v>
      </x:c>
      <x:c r="S811" s="10" t="str">
        <x:v>2025-11</x:v>
      </x:c>
      <x:c r="T811" s="10" t="n">
        <x:v>0</x:v>
      </x:c>
      <x:c r="U811" s="10" t="str">
        <x:v>A vencer</x:v>
      </x:c>
      <x:c r="V811" s="10" t="str">
        <x:v>Baixo</x:v>
      </x:c>
      <x:c r="W811" s="10" t="str">
        <x:v>Serviços</x:v>
      </x:c>
      <x:c r="X811" s="10" t="str">
        <x:v>UND001</x:v>
      </x:c>
    </x:row>
    <x:row r="812" ht="18" customHeight="1">
      <x:c r="A812" s="10" t="str">
        <x:v>REC00811</x:v>
      </x:c>
      <x:c r="B812" s="10" t="str">
        <x:v>EMP003</x:v>
      </x:c>
      <x:c r="C812" s="10" t="str">
        <x:v>CLI023</x:v>
      </x:c>
      <x:c r="D812" s="10" t="str">
        <x:v>CC006</x:v>
      </x:c>
      <x:c r="E812" s="10" t="str">
        <x:v>CAT002</x:v>
      </x:c>
      <x:c r="F812" s="10" t="str">
        <x:v>CTA006</x:v>
      </x:c>
      <x:c r="G812" s="10" t="str">
        <x:v>FAT-200811</x:v>
      </x:c>
      <x:c r="H812" s="10" t="str">
        <x:v>Contrato mensal</x:v>
      </x:c>
      <x:c r="I812" s="16" t="n">
        <x:v>45531.1237725463</x:v>
      </x:c>
      <x:c r="J812" s="16" t="n">
        <x:v>45566.1237725463</x:v>
      </x:c>
      <x:c r="K812" s="16" t="n">
        <x:v>45561.1237725463</x:v>
      </x:c>
      <x:c r="L812" s="20" t="n">
        <x:v>129990.74</x:v>
      </x:c>
      <x:c r="M812" s="20" t="n">
        <x:v>0</x:v>
      </x:c>
      <x:c r="N812" s="20" t="n">
        <x:v>0</x:v>
      </x:c>
      <x:c r="O812" s="20" t="n">
        <x:v>129990.74</x:v>
      </x:c>
      <x:c r="P812" s="20" t="n">
        <x:v>0</x:v>
      </x:c>
      <x:c r="Q812" s="10" t="str">
        <x:v>Recebido</x:v>
      </x:c>
      <x:c r="R812" s="10" t="str">
        <x:v>Boleto</x:v>
      </x:c>
      <x:c r="S812" s="10" t="str">
        <x:v>2024-08</x:v>
      </x:c>
      <x:c r="T812" s="10" t="n">
        <x:v>0</x:v>
      </x:c>
      <x:c r="U812" s="10" t="str">
        <x:v>Liquidado</x:v>
      </x:c>
      <x:c r="V812" s="10" t="str">
        <x:v>Médio</x:v>
      </x:c>
      <x:c r="W812" s="10" t="str">
        <x:v>Atacado</x:v>
      </x:c>
      <x:c r="X812" s="10" t="str">
        <x:v>UND004</x:v>
      </x:c>
    </x:row>
    <x:row r="813" ht="18" customHeight="1">
      <x:c r="A813" s="10" t="str">
        <x:v>REC00812</x:v>
      </x:c>
      <x:c r="B813" s="10" t="str">
        <x:v>EMP002</x:v>
      </x:c>
      <x:c r="C813" s="10" t="str">
        <x:v>CLI044</x:v>
      </x:c>
      <x:c r="D813" s="10" t="str">
        <x:v>CC006</x:v>
      </x:c>
      <x:c r="E813" s="10" t="str">
        <x:v>CAT001</x:v>
      </x:c>
      <x:c r="F813" s="10" t="str">
        <x:v>CTA004</x:v>
      </x:c>
      <x:c r="G813" s="10" t="str">
        <x:v>FAT-200812</x:v>
      </x:c>
      <x:c r="H813" s="10" t="str">
        <x:v>Prestação de serviços</x:v>
      </x:c>
      <x:c r="I813" s="16" t="n">
        <x:v>45669.74483216435</x:v>
      </x:c>
      <x:c r="J813" s="16" t="n">
        <x:v>45697.74483216435</x:v>
      </x:c>
      <x:c r="K813" s="16" t="n">
        <x:v>45703.74483216435</x:v>
      </x:c>
      <x:c r="L813" s="20" t="n">
        <x:v>102997.78</x:v>
      </x:c>
      <x:c r="M813" s="20" t="n">
        <x:v>494.39</x:v>
      </x:c>
      <x:c r="N813" s="20" t="n">
        <x:v>0</x:v>
      </x:c>
      <x:c r="O813" s="20" t="n">
        <x:v>103492.17</x:v>
      </x:c>
      <x:c r="P813" s="20" t="n">
        <x:v>0</x:v>
      </x:c>
      <x:c r="Q813" s="10" t="str">
        <x:v>Recebido</x:v>
      </x:c>
      <x:c r="R813" s="10" t="str">
        <x:v>PIX</x:v>
      </x:c>
      <x:c r="S813" s="10" t="str">
        <x:v>2025-01</x:v>
      </x:c>
      <x:c r="T813" s="10" t="n">
        <x:v>0</x:v>
      </x:c>
      <x:c r="U813" s="10" t="str">
        <x:v>Liquidado</x:v>
      </x:c>
      <x:c r="V813" s="10" t="str">
        <x:v>Alto</x:v>
      </x:c>
      <x:c r="W813" s="10" t="str">
        <x:v>Varejo</x:v>
      </x:c>
      <x:c r="X813" s="10" t="str">
        <x:v>UND003</x:v>
      </x:c>
    </x:row>
    <x:row r="814" ht="18" customHeight="1">
      <x:c r="A814" s="10" t="str">
        <x:v>REC00813</x:v>
      </x:c>
      <x:c r="B814" s="10" t="str">
        <x:v>EMP001</x:v>
      </x:c>
      <x:c r="C814" s="10" t="str">
        <x:v>CLI042</x:v>
      </x:c>
      <x:c r="D814" s="10" t="str">
        <x:v>CC003</x:v>
      </x:c>
      <x:c r="E814" s="10" t="str">
        <x:v>CAT004</x:v>
      </x:c>
      <x:c r="F814" s="10" t="str">
        <x:v>CTA002</x:v>
      </x:c>
      <x:c r="G814" s="10" t="str">
        <x:v>FAT-200813</x:v>
      </x:c>
      <x:c r="H814" s="10" t="str">
        <x:v>Venda de produtos</x:v>
      </x:c>
      <x:c r="I814" s="16" t="n">
        <x:v>45646.74845954861</x:v>
      </x:c>
      <x:c r="J814" s="16" t="n">
        <x:v>45661.74845954861</x:v>
      </x:c>
      <x:c r="K814" s="16" t="n">
        <x:v>45663.74845954861</x:v>
      </x:c>
      <x:c r="L814" s="20" t="n">
        <x:v>59847.32</x:v>
      </x:c>
      <x:c r="M814" s="20" t="n">
        <x:v>95.76</x:v>
      </x:c>
      <x:c r="N814" s="20" t="n">
        <x:v>0</x:v>
      </x:c>
      <x:c r="O814" s="20" t="n">
        <x:v>59943.08</x:v>
      </x:c>
      <x:c r="P814" s="20" t="n">
        <x:v>0</x:v>
      </x:c>
      <x:c r="Q814" s="10" t="str">
        <x:v>Recebido</x:v>
      </x:c>
      <x:c r="R814" s="10" t="str">
        <x:v>PIX</x:v>
      </x:c>
      <x:c r="S814" s="10" t="str">
        <x:v>2024-12</x:v>
      </x:c>
      <x:c r="T814" s="10" t="n">
        <x:v>0</x:v>
      </x:c>
      <x:c r="U814" s="10" t="str">
        <x:v>Liquidado</x:v>
      </x:c>
      <x:c r="V814" s="10" t="str">
        <x:v>Baixo</x:v>
      </x:c>
      <x:c r="W814" s="10" t="str">
        <x:v>Varejo</x:v>
      </x:c>
      <x:c r="X814" s="10" t="str">
        <x:v>UND002</x:v>
      </x:c>
    </x:row>
    <x:row r="815" ht="18" customHeight="1">
      <x:c r="A815" s="10" t="str">
        <x:v>REC00814</x:v>
      </x:c>
      <x:c r="B815" s="10" t="str">
        <x:v>EMP001</x:v>
      </x:c>
      <x:c r="C815" s="10" t="str">
        <x:v>CLI034</x:v>
      </x:c>
      <x:c r="D815" s="10" t="str">
        <x:v>CC002</x:v>
      </x:c>
      <x:c r="E815" s="10" t="str">
        <x:v>CAT004</x:v>
      </x:c>
      <x:c r="F815" s="10" t="str">
        <x:v>CTA002</x:v>
      </x:c>
      <x:c r="G815" s="10" t="str">
        <x:v>FAT-200814</x:v>
      </x:c>
      <x:c r="H815" s="10" t="str">
        <x:v>Venda de produtos</x:v>
      </x:c>
      <x:c r="I815" s="16" t="n">
        <x:v>45722.4914003125</x:v>
      </x:c>
      <x:c r="J815" s="16" t="n">
        <x:v>45750.4914003125</x:v>
      </x:c>
      <x:c r="K815" s="16" t="n">
        <x:v>45746.4914003125</x:v>
      </x:c>
      <x:c r="L815" s="20" t="n">
        <x:v>16914.87</x:v>
      </x:c>
      <x:c r="M815" s="20" t="n">
        <x:v>0</x:v>
      </x:c>
      <x:c r="N815" s="20" t="n">
        <x:v>0</x:v>
      </x:c>
      <x:c r="O815" s="20" t="n">
        <x:v>16914.87</x:v>
      </x:c>
      <x:c r="P815" s="20" t="n">
        <x:v>0</x:v>
      </x:c>
      <x:c r="Q815" s="10" t="str">
        <x:v>Recebido</x:v>
      </x:c>
      <x:c r="R815" s="10" t="str">
        <x:v>TED</x:v>
      </x:c>
      <x:c r="S815" s="10" t="str">
        <x:v>2025-03</x:v>
      </x:c>
      <x:c r="T815" s="10" t="n">
        <x:v>0</x:v>
      </x:c>
      <x:c r="U815" s="10" t="str">
        <x:v>Liquidado</x:v>
      </x:c>
      <x:c r="V815" s="10" t="str">
        <x:v>Médio</x:v>
      </x:c>
      <x:c r="W815" s="10" t="str">
        <x:v>Indústria</x:v>
      </x:c>
      <x:c r="X815" s="10" t="str">
        <x:v>UND002</x:v>
      </x:c>
    </x:row>
    <x:row r="816" ht="18" customHeight="1">
      <x:c r="A816" s="10" t="str">
        <x:v>REC00815</x:v>
      </x:c>
      <x:c r="B816" s="10" t="str">
        <x:v>EMP003</x:v>
      </x:c>
      <x:c r="C816" s="10" t="str">
        <x:v>CLI057</x:v>
      </x:c>
      <x:c r="D816" s="10" t="str">
        <x:v>CC005</x:v>
      </x:c>
      <x:c r="E816" s="10" t="str">
        <x:v>CAT003</x:v>
      </x:c>
      <x:c r="F816" s="10" t="str">
        <x:v>CTA005</x:v>
      </x:c>
      <x:c r="G816" s="10" t="str">
        <x:v>FAT-200815</x:v>
      </x:c>
      <x:c r="H816" s="10" t="str">
        <x:v>Frete faturado</x:v>
      </x:c>
      <x:c r="I816" s="16" t="n">
        <x:v>45354.11150025463</x:v>
      </x:c>
      <x:c r="J816" s="16" t="n">
        <x:v>45389.11150025463</x:v>
      </x:c>
      <x:c r="K816" s="16" t="n">
        <x:v>45391.11150025463</x:v>
      </x:c>
      <x:c r="L816" s="20" t="n">
        <x:v>70216.51</x:v>
      </x:c>
      <x:c r="M816" s="20" t="n">
        <x:v>112.35</x:v>
      </x:c>
      <x:c r="N816" s="20" t="n">
        <x:v>0</x:v>
      </x:c>
      <x:c r="O816" s="20" t="n">
        <x:v>70328.86</x:v>
      </x:c>
      <x:c r="P816" s="20" t="n">
        <x:v>0</x:v>
      </x:c>
      <x:c r="Q816" s="10" t="str">
        <x:v>Recebido</x:v>
      </x:c>
      <x:c r="R816" s="10" t="str">
        <x:v>TED</x:v>
      </x:c>
      <x:c r="S816" s="10" t="str">
        <x:v>2024-03</x:v>
      </x:c>
      <x:c r="T816" s="10" t="n">
        <x:v>0</x:v>
      </x:c>
      <x:c r="U816" s="10" t="str">
        <x:v>Liquidado</x:v>
      </x:c>
      <x:c r="V816" s="10" t="str">
        <x:v>Alto</x:v>
      </x:c>
      <x:c r="W816" s="10" t="str">
        <x:v>Saúde</x:v>
      </x:c>
      <x:c r="X816" s="10" t="str">
        <x:v>UND004</x:v>
      </x:c>
    </x:row>
    <x:row r="817" ht="18" customHeight="1">
      <x:c r="A817" s="10" t="str">
        <x:v>REC00816</x:v>
      </x:c>
      <x:c r="B817" s="10" t="str">
        <x:v>EMP001</x:v>
      </x:c>
      <x:c r="C817" s="10" t="str">
        <x:v>CLI015</x:v>
      </x:c>
      <x:c r="D817" s="10" t="str">
        <x:v>CC004</x:v>
      </x:c>
      <x:c r="E817" s="10" t="str">
        <x:v>CAT004</x:v>
      </x:c>
      <x:c r="F817" s="10" t="str">
        <x:v>CTA002</x:v>
      </x:c>
      <x:c r="G817" s="10" t="str">
        <x:v>FAT-200816</x:v>
      </x:c>
      <x:c r="H817" s="10" t="str">
        <x:v>Frete faturado</x:v>
      </x:c>
      <x:c r="I817" s="16" t="n">
        <x:v>45524.265348506946</x:v>
      </x:c>
      <x:c r="J817" s="16" t="n">
        <x:v>45552.265348506946</x:v>
      </x:c>
      <x:c r="K817" s="16" t="n">
        <x:v>45553.265348506946</x:v>
      </x:c>
      <x:c r="L817" s="20" t="n">
        <x:v>125566.7</x:v>
      </x:c>
      <x:c r="M817" s="20" t="n">
        <x:v>100.45</x:v>
      </x:c>
      <x:c r="N817" s="20" t="n">
        <x:v>0</x:v>
      </x:c>
      <x:c r="O817" s="20" t="n">
        <x:v>125667.15</x:v>
      </x:c>
      <x:c r="P817" s="20" t="n">
        <x:v>0</x:v>
      </x:c>
      <x:c r="Q817" s="10" t="str">
        <x:v>Recebido</x:v>
      </x:c>
      <x:c r="R817" s="10" t="str">
        <x:v>Débito em Conta</x:v>
      </x:c>
      <x:c r="S817" s="10" t="str">
        <x:v>2024-08</x:v>
      </x:c>
      <x:c r="T817" s="10" t="n">
        <x:v>0</x:v>
      </x:c>
      <x:c r="U817" s="10" t="str">
        <x:v>Liquidado</x:v>
      </x:c>
      <x:c r="V817" s="10" t="str">
        <x:v>Baixo</x:v>
      </x:c>
      <x:c r="W817" s="10" t="str">
        <x:v>Atacado</x:v>
      </x:c>
      <x:c r="X817" s="10" t="str">
        <x:v>UND002</x:v>
      </x:c>
    </x:row>
    <x:row r="818" ht="18" customHeight="1">
      <x:c r="A818" s="10" t="str">
        <x:v>REC00817</x:v>
      </x:c>
      <x:c r="B818" s="10" t="str">
        <x:v>EMP002</x:v>
      </x:c>
      <x:c r="C818" s="10" t="str">
        <x:v>CLI061</x:v>
      </x:c>
      <x:c r="D818" s="10" t="str">
        <x:v>CC003</x:v>
      </x:c>
      <x:c r="E818" s="10" t="str">
        <x:v>CAT004</x:v>
      </x:c>
      <x:c r="F818" s="10" t="str">
        <x:v>CTA004</x:v>
      </x:c>
      <x:c r="G818" s="10" t="str">
        <x:v>FAT-200817</x:v>
      </x:c>
      <x:c r="H818" s="10" t="str">
        <x:v>Venda de produtos</x:v>
      </x:c>
      <x:c r="I818" s="16" t="n">
        <x:v>45924.142032233794</x:v>
      </x:c>
      <x:c r="J818" s="16" t="n">
        <x:v>45945.142032233794</x:v>
      </x:c>
      <x:c r="K818" s="16" t="n">
        <x:v>45939.142032233794</x:v>
      </x:c>
      <x:c r="L818" s="20" t="n">
        <x:v>966.98</x:v>
      </x:c>
      <x:c r="M818" s="20" t="n">
        <x:v>0</x:v>
      </x:c>
      <x:c r="N818" s="20" t="n">
        <x:v>0</x:v>
      </x:c>
      <x:c r="O818" s="20" t="n">
        <x:v>966.98</x:v>
      </x:c>
      <x:c r="P818" s="20" t="n">
        <x:v>0</x:v>
      </x:c>
      <x:c r="Q818" s="10" t="str">
        <x:v>Recebido</x:v>
      </x:c>
      <x:c r="R818" s="10" t="str">
        <x:v>Cartão</x:v>
      </x:c>
      <x:c r="S818" s="10" t="str">
        <x:v>2025-09</x:v>
      </x:c>
      <x:c r="T818" s="10" t="n">
        <x:v>0</x:v>
      </x:c>
      <x:c r="U818" s="10" t="str">
        <x:v>Liquidado</x:v>
      </x:c>
      <x:c r="V818" s="10" t="str">
        <x:v>Baixo</x:v>
      </x:c>
      <x:c r="W818" s="10" t="str">
        <x:v>Serviços</x:v>
      </x:c>
      <x:c r="X818" s="10" t="str">
        <x:v>UND003</x:v>
      </x:c>
    </x:row>
    <x:row r="819" ht="18" customHeight="1">
      <x:c r="A819" s="10" t="str">
        <x:v>REC00818</x:v>
      </x:c>
      <x:c r="B819" s="10" t="str">
        <x:v>EMP002</x:v>
      </x:c>
      <x:c r="C819" s="10" t="str">
        <x:v>CLI042</x:v>
      </x:c>
      <x:c r="D819" s="10" t="str">
        <x:v>CC005</x:v>
      </x:c>
      <x:c r="E819" s="10" t="str">
        <x:v>CAT002</x:v>
      </x:c>
      <x:c r="F819" s="10" t="str">
        <x:v>CTA003</x:v>
      </x:c>
      <x:c r="G819" s="10" t="str">
        <x:v>FAT-200818</x:v>
      </x:c>
      <x:c r="H819" s="10" t="str">
        <x:v>Contrato mensal</x:v>
      </x:c>
      <x:c r="I819" s="16" t="n">
        <x:v>45918.66770347222</x:v>
      </x:c>
      <x:c r="J819" s="16" t="n">
        <x:v>45939.66770347222</x:v>
      </x:c>
      <x:c r="K819" s="16" t="n">
        <x:v>45935.66770347222</x:v>
      </x:c>
      <x:c r="L819" s="20" t="n">
        <x:v>85656.37</x:v>
      </x:c>
      <x:c r="M819" s="20" t="n">
        <x:v>0</x:v>
      </x:c>
      <x:c r="N819" s="20" t="n">
        <x:v>0</x:v>
      </x:c>
      <x:c r="O819" s="20" t="n">
        <x:v>85656.37</x:v>
      </x:c>
      <x:c r="P819" s="20" t="n">
        <x:v>0</x:v>
      </x:c>
      <x:c r="Q819" s="10" t="str">
        <x:v>Recebido</x:v>
      </x:c>
      <x:c r="R819" s="10" t="str">
        <x:v>TED</x:v>
      </x:c>
      <x:c r="S819" s="10" t="str">
        <x:v>2025-09</x:v>
      </x:c>
      <x:c r="T819" s="10" t="n">
        <x:v>0</x:v>
      </x:c>
      <x:c r="U819" s="10" t="str">
        <x:v>Liquidado</x:v>
      </x:c>
      <x:c r="V819" s="10" t="str">
        <x:v>Baixo</x:v>
      </x:c>
      <x:c r="W819" s="10" t="str">
        <x:v>Varejo</x:v>
      </x:c>
      <x:c r="X819" s="10" t="str">
        <x:v>UND003</x:v>
      </x:c>
    </x:row>
    <x:row r="820" ht="18" customHeight="1">
      <x:c r="A820" s="10" t="str">
        <x:v>REC00819</x:v>
      </x:c>
      <x:c r="B820" s="10" t="str">
        <x:v>EMP003</x:v>
      </x:c>
      <x:c r="C820" s="10" t="str">
        <x:v>CLI043</x:v>
      </x:c>
      <x:c r="D820" s="10" t="str">
        <x:v>CC001</x:v>
      </x:c>
      <x:c r="E820" s="10" t="str">
        <x:v>CAT004</x:v>
      </x:c>
      <x:c r="F820" s="10" t="str">
        <x:v>CTA006</x:v>
      </x:c>
      <x:c r="G820" s="10" t="str">
        <x:v>FAT-200819</x:v>
      </x:c>
      <x:c r="H820" s="10" t="str">
        <x:v>Projeto especial</x:v>
      </x:c>
      <x:c r="I820" s="16" t="n">
        <x:v>45977.96311510417</x:v>
      </x:c>
      <x:c r="J820" s="16" t="n">
        <x:v>46007.96311510417</x:v>
      </x:c>
      <x:c r="K820" s="16" t="n">
        <x:v>46002.96311510417</x:v>
      </x:c>
      <x:c r="L820" s="20" t="n">
        <x:v>11752.41</x:v>
      </x:c>
      <x:c r="M820" s="20" t="n">
        <x:v>0</x:v>
      </x:c>
      <x:c r="N820" s="20" t="n">
        <x:v>0</x:v>
      </x:c>
      <x:c r="O820" s="20" t="n">
        <x:v>11752.41</x:v>
      </x:c>
      <x:c r="P820" s="20" t="n">
        <x:v>0</x:v>
      </x:c>
      <x:c r="Q820" s="10" t="str">
        <x:v>Recebido</x:v>
      </x:c>
      <x:c r="R820" s="10" t="str">
        <x:v>TED</x:v>
      </x:c>
      <x:c r="S820" s="10" t="str">
        <x:v>2025-11</x:v>
      </x:c>
      <x:c r="T820" s="10" t="n">
        <x:v>0</x:v>
      </x:c>
      <x:c r="U820" s="10" t="str">
        <x:v>Liquidado</x:v>
      </x:c>
      <x:c r="V820" s="10" t="str">
        <x:v>Baixo</x:v>
      </x:c>
      <x:c r="W820" s="10" t="str">
        <x:v>Atacado</x:v>
      </x:c>
      <x:c r="X820" s="10" t="str">
        <x:v>UND004</x:v>
      </x:c>
    </x:row>
    <x:row r="821" ht="18" customHeight="1">
      <x:c r="A821" s="10" t="str">
        <x:v>REC00820</x:v>
      </x:c>
      <x:c r="B821" s="10" t="str">
        <x:v>EMP001</x:v>
      </x:c>
      <x:c r="C821" s="10" t="str">
        <x:v>CLI010</x:v>
      </x:c>
      <x:c r="D821" s="10" t="str">
        <x:v>CC001</x:v>
      </x:c>
      <x:c r="E821" s="10" t="str">
        <x:v>CAT003</x:v>
      </x:c>
      <x:c r="F821" s="10" t="str">
        <x:v>CTA001</x:v>
      </x:c>
      <x:c r="G821" s="10" t="str">
        <x:v>FAT-200820</x:v>
      </x:c>
      <x:c r="H821" s="10" t="str">
        <x:v>Prestação de serviços</x:v>
      </x:c>
      <x:c r="I821" s="16" t="n">
        <x:v>45574.37652208333</x:v>
      </x:c>
      <x:c r="J821" s="16" t="n">
        <x:v>45619.37652208333</x:v>
      </x:c>
      <x:c r="K821" s="16" t="n">
        <x:v>45623.37652208333</x:v>
      </x:c>
      <x:c r="L821" s="20" t="n">
        <x:v>87706.19</x:v>
      </x:c>
      <x:c r="M821" s="20" t="n">
        <x:v>280.66</x:v>
      </x:c>
      <x:c r="N821" s="20" t="n">
        <x:v>0</x:v>
      </x:c>
      <x:c r="O821" s="20" t="n">
        <x:v>87986.85</x:v>
      </x:c>
      <x:c r="P821" s="20" t="n">
        <x:v>0</x:v>
      </x:c>
      <x:c r="Q821" s="10" t="str">
        <x:v>Recebido</x:v>
      </x:c>
      <x:c r="R821" s="10" t="str">
        <x:v>Cartão</x:v>
      </x:c>
      <x:c r="S821" s="10" t="str">
        <x:v>2024-10</x:v>
      </x:c>
      <x:c r="T821" s="10" t="n">
        <x:v>0</x:v>
      </x:c>
      <x:c r="U821" s="10" t="str">
        <x:v>Liquidado</x:v>
      </x:c>
      <x:c r="V821" s="10" t="str">
        <x:v>Baixo</x:v>
      </x:c>
      <x:c r="W821" s="10" t="str">
        <x:v>Indústria</x:v>
      </x:c>
      <x:c r="X821" s="10" t="str">
        <x:v>UND001</x:v>
      </x:c>
    </x:row>
    <x:row r="822" ht="18" customHeight="1">
      <x:c r="A822" s="10" t="str">
        <x:v>REC00821</x:v>
      </x:c>
      <x:c r="B822" s="10" t="str">
        <x:v>EMP002</x:v>
      </x:c>
      <x:c r="C822" s="10" t="str">
        <x:v>CLI022</x:v>
      </x:c>
      <x:c r="D822" s="10" t="str">
        <x:v>CC005</x:v>
      </x:c>
      <x:c r="E822" s="10" t="str">
        <x:v>CAT001</x:v>
      </x:c>
      <x:c r="F822" s="10" t="str">
        <x:v>CTA003</x:v>
      </x:c>
      <x:c r="G822" s="10" t="str">
        <x:v>FAT-200821</x:v>
      </x:c>
      <x:c r="H822" s="10" t="str">
        <x:v>Frete faturado</x:v>
      </x:c>
      <x:c r="I822" s="16" t="n">
        <x:v>45799.4995449537</x:v>
      </x:c>
      <x:c r="J822" s="16" t="n">
        <x:v>45829.4995449537</x:v>
      </x:c>
      <x:c r="K822" s="16" t="n">
        <x:v>45840.4995449537</x:v>
      </x:c>
      <x:c r="L822" s="20" t="n">
        <x:v>16552.16</x:v>
      </x:c>
      <x:c r="M822" s="20" t="n">
        <x:v>145.66</x:v>
      </x:c>
      <x:c r="N822" s="20" t="n">
        <x:v>0</x:v>
      </x:c>
      <x:c r="O822" s="20" t="n">
        <x:v>16697.82</x:v>
      </x:c>
      <x:c r="P822" s="20" t="n">
        <x:v>0</x:v>
      </x:c>
      <x:c r="Q822" s="10" t="str">
        <x:v>Recebido</x:v>
      </x:c>
      <x:c r="R822" s="10" t="str">
        <x:v>Cartão</x:v>
      </x:c>
      <x:c r="S822" s="10" t="str">
        <x:v>2025-05</x:v>
      </x:c>
      <x:c r="T822" s="10" t="n">
        <x:v>0</x:v>
      </x:c>
      <x:c r="U822" s="10" t="str">
        <x:v>Liquidado</x:v>
      </x:c>
      <x:c r="V822" s="10" t="str">
        <x:v>Alto</x:v>
      </x:c>
      <x:c r="W822" s="10" t="str">
        <x:v>Tecnologia</x:v>
      </x:c>
      <x:c r="X822" s="10" t="str">
        <x:v>UND003</x:v>
      </x:c>
    </x:row>
    <x:row r="823" ht="18" customHeight="1">
      <x:c r="A823" s="10" t="str">
        <x:v>REC00822</x:v>
      </x:c>
      <x:c r="B823" s="10" t="str">
        <x:v>EMP002</x:v>
      </x:c>
      <x:c r="C823" s="10" t="str">
        <x:v>CLI076</x:v>
      </x:c>
      <x:c r="D823" s="10" t="str">
        <x:v>CC003</x:v>
      </x:c>
      <x:c r="E823" s="10" t="str">
        <x:v>CAT001</x:v>
      </x:c>
      <x:c r="F823" s="10" t="str">
        <x:v>CTA003</x:v>
      </x:c>
      <x:c r="G823" s="10" t="str">
        <x:v>FAT-200822</x:v>
      </x:c>
      <x:c r="H823" s="10" t="str">
        <x:v>Frete faturado</x:v>
      </x:c>
      <x:c r="I823" s="16" t="n">
        <x:v>45673.55772907408</x:v>
      </x:c>
      <x:c r="J823" s="16" t="n">
        <x:v>45718.55772907408</x:v>
      </x:c>
      <x:c r="K823" s="16" t="n">
        <x:v>45720.55772907408</x:v>
      </x:c>
      <x:c r="L823" s="20" t="n">
        <x:v>37216.39</x:v>
      </x:c>
      <x:c r="M823" s="20" t="n">
        <x:v>59.55</x:v>
      </x:c>
      <x:c r="N823" s="20" t="n">
        <x:v>0</x:v>
      </x:c>
      <x:c r="O823" s="20" t="n">
        <x:v>37275.94</x:v>
      </x:c>
      <x:c r="P823" s="20" t="n">
        <x:v>0</x:v>
      </x:c>
      <x:c r="Q823" s="10" t="str">
        <x:v>Recebido</x:v>
      </x:c>
      <x:c r="R823" s="10" t="str">
        <x:v>Débito em Conta</x:v>
      </x:c>
      <x:c r="S823" s="10" t="str">
        <x:v>2025-01</x:v>
      </x:c>
      <x:c r="T823" s="10" t="n">
        <x:v>0</x:v>
      </x:c>
      <x:c r="U823" s="10" t="str">
        <x:v>Liquidado</x:v>
      </x:c>
      <x:c r="V823" s="10" t="str">
        <x:v>Baixo</x:v>
      </x:c>
      <x:c r="W823" s="10" t="str">
        <x:v>Tecnologia</x:v>
      </x:c>
      <x:c r="X823" s="10" t="str">
        <x:v>UND003</x:v>
      </x:c>
    </x:row>
    <x:row r="824" ht="18" customHeight="1">
      <x:c r="A824" s="10" t="str">
        <x:v>REC00823</x:v>
      </x:c>
      <x:c r="B824" s="10" t="str">
        <x:v>EMP001</x:v>
      </x:c>
      <x:c r="C824" s="10" t="str">
        <x:v>CLI022</x:v>
      </x:c>
      <x:c r="D824" s="10" t="str">
        <x:v>CC003</x:v>
      </x:c>
      <x:c r="E824" s="10" t="str">
        <x:v>CAT002</x:v>
      </x:c>
      <x:c r="F824" s="10" t="str">
        <x:v>CTA001</x:v>
      </x:c>
      <x:c r="G824" s="10" t="str">
        <x:v>FAT-200823</x:v>
      </x:c>
      <x:c r="H824" s="10" t="str">
        <x:v>Venda de produtos</x:v>
      </x:c>
      <x:c r="I824" s="16" t="n">
        <x:v>45906.343911944445</x:v>
      </x:c>
      <x:c r="J824" s="16" t="n">
        <x:v>45941.343911944445</x:v>
      </x:c>
      <x:c r="K824" s="16" t="n">
        <x:v>45952.343911944445</x:v>
      </x:c>
      <x:c r="L824" s="20" t="n">
        <x:v>3824.39</x:v>
      </x:c>
      <x:c r="M824" s="20" t="n">
        <x:v>33.65</x:v>
      </x:c>
      <x:c r="N824" s="20" t="n">
        <x:v>0</x:v>
      </x:c>
      <x:c r="O824" s="20" t="n">
        <x:v>3858.04</x:v>
      </x:c>
      <x:c r="P824" s="20" t="n">
        <x:v>0</x:v>
      </x:c>
      <x:c r="Q824" s="10" t="str">
        <x:v>Recebido</x:v>
      </x:c>
      <x:c r="R824" s="10" t="str">
        <x:v>Cartão</x:v>
      </x:c>
      <x:c r="S824" s="10" t="str">
        <x:v>2025-09</x:v>
      </x:c>
      <x:c r="T824" s="10" t="n">
        <x:v>0</x:v>
      </x:c>
      <x:c r="U824" s="10" t="str">
        <x:v>Liquidado</x:v>
      </x:c>
      <x:c r="V824" s="10" t="str">
        <x:v>Alto</x:v>
      </x:c>
      <x:c r="W824" s="10" t="str">
        <x:v>Tecnologia</x:v>
      </x:c>
      <x:c r="X824" s="10" t="str">
        <x:v>UND001</x:v>
      </x:c>
    </x:row>
    <x:row r="825" ht="18" customHeight="1">
      <x:c r="A825" s="10" t="str">
        <x:v>REC00824</x:v>
      </x:c>
      <x:c r="B825" s="10" t="str">
        <x:v>EMP001</x:v>
      </x:c>
      <x:c r="C825" s="10" t="str">
        <x:v>CLI001</x:v>
      </x:c>
      <x:c r="D825" s="10" t="str">
        <x:v>CC007</x:v>
      </x:c>
      <x:c r="E825" s="10" t="str">
        <x:v>CAT001</x:v>
      </x:c>
      <x:c r="F825" s="10" t="str">
        <x:v>CTA001</x:v>
      </x:c>
      <x:c r="G825" s="10" t="str">
        <x:v>FAT-200824</x:v>
      </x:c>
      <x:c r="H825" s="10" t="str">
        <x:v>Venda de produtos</x:v>
      </x:c>
      <x:c r="I825" s="16" t="n">
        <x:v>45358.52865862269</x:v>
      </x:c>
      <x:c r="J825" s="16" t="n">
        <x:v>45418.52865862269</x:v>
      </x:c>
      <x:c r="K825" s="16" t="n">
        <x:v>45412.52865862269</x:v>
      </x:c>
      <x:c r="L825" s="20" t="n">
        <x:v>14988.71</x:v>
      </x:c>
      <x:c r="M825" s="20" t="n">
        <x:v>0</x:v>
      </x:c>
      <x:c r="N825" s="20" t="n">
        <x:v>74.94</x:v>
      </x:c>
      <x:c r="O825" s="20" t="n">
        <x:v>14913.77</x:v>
      </x:c>
      <x:c r="P825" s="20" t="n">
        <x:v>0</x:v>
      </x:c>
      <x:c r="Q825" s="10" t="str">
        <x:v>Recebido</x:v>
      </x:c>
      <x:c r="R825" s="10" t="str">
        <x:v>Boleto</x:v>
      </x:c>
      <x:c r="S825" s="10" t="str">
        <x:v>2024-03</x:v>
      </x:c>
      <x:c r="T825" s="10" t="n">
        <x:v>0</x:v>
      </x:c>
      <x:c r="U825" s="10" t="str">
        <x:v>Liquidado</x:v>
      </x:c>
      <x:c r="V825" s="10" t="str">
        <x:v>Baixo</x:v>
      </x:c>
      <x:c r="W825" s="10" t="str">
        <x:v>Serviços</x:v>
      </x:c>
      <x:c r="X825" s="10" t="str">
        <x:v>UND001</x:v>
      </x:c>
    </x:row>
    <x:row r="826" ht="18" customHeight="1">
      <x:c r="A826" s="10" t="str">
        <x:v>REC00825</x:v>
      </x:c>
      <x:c r="B826" s="10" t="str">
        <x:v>EMP003</x:v>
      </x:c>
      <x:c r="C826" s="10" t="str">
        <x:v>CLI042</x:v>
      </x:c>
      <x:c r="D826" s="10" t="str">
        <x:v>CC008</x:v>
      </x:c>
      <x:c r="E826" s="10" t="str">
        <x:v>CAT002</x:v>
      </x:c>
      <x:c r="F826" s="10" t="str">
        <x:v>CTA006</x:v>
      </x:c>
      <x:c r="G826" s="10" t="str">
        <x:v>FAT-200825</x:v>
      </x:c>
      <x:c r="H826" s="10" t="str">
        <x:v>Prestação de serviços</x:v>
      </x:c>
      <x:c r="I826" s="16" t="n">
        <x:v>45846.9034865162</x:v>
      </x:c>
      <x:c r="J826" s="16" t="n">
        <x:v>45906.9034865162</x:v>
      </x:c>
      <x:c r="K826" s="16" t="n">
        <x:v>45906.9034865162</x:v>
      </x:c>
      <x:c r="L826" s="20" t="n">
        <x:v>112641.84</x:v>
      </x:c>
      <x:c r="M826" s="20" t="n">
        <x:v>0</x:v>
      </x:c>
      <x:c r="N826" s="20" t="n">
        <x:v>0</x:v>
      </x:c>
      <x:c r="O826" s="20" t="n">
        <x:v>112641.84</x:v>
      </x:c>
      <x:c r="P826" s="20" t="n">
        <x:v>0</x:v>
      </x:c>
      <x:c r="Q826" s="10" t="str">
        <x:v>Recebido</x:v>
      </x:c>
      <x:c r="R826" s="10" t="str">
        <x:v>Boleto</x:v>
      </x:c>
      <x:c r="S826" s="10" t="str">
        <x:v>2025-07</x:v>
      </x:c>
      <x:c r="T826" s="10" t="n">
        <x:v>0</x:v>
      </x:c>
      <x:c r="U826" s="10" t="str">
        <x:v>Liquidado</x:v>
      </x:c>
      <x:c r="V826" s="10" t="str">
        <x:v>Baixo</x:v>
      </x:c>
      <x:c r="W826" s="10" t="str">
        <x:v>Varejo</x:v>
      </x:c>
      <x:c r="X826" s="10" t="str">
        <x:v>UND004</x:v>
      </x:c>
    </x:row>
    <x:row r="827" ht="18" customHeight="1">
      <x:c r="A827" s="10" t="str">
        <x:v>REC00826</x:v>
      </x:c>
      <x:c r="B827" s="10" t="str">
        <x:v>EMP001</x:v>
      </x:c>
      <x:c r="C827" s="10" t="str">
        <x:v>CLI069</x:v>
      </x:c>
      <x:c r="D827" s="10" t="str">
        <x:v>CC004</x:v>
      </x:c>
      <x:c r="E827" s="10" t="str">
        <x:v>CAT004</x:v>
      </x:c>
      <x:c r="F827" s="10" t="str">
        <x:v>CTA001</x:v>
      </x:c>
      <x:c r="G827" s="10" t="str">
        <x:v>FAT-200826</x:v>
      </x:c>
      <x:c r="H827" s="10" t="str">
        <x:v>Contrato mensal</x:v>
      </x:c>
      <x:c r="I827" s="16" t="n">
        <x:v>45585.54108282407</x:v>
      </x:c>
      <x:c r="J827" s="16" t="n">
        <x:v>45645.54108282407</x:v>
      </x:c>
      <x:c r="K827" s="16" t="n">
        <x:v>45667.54108282407</x:v>
      </x:c>
      <x:c r="L827" s="20" t="n">
        <x:v>11597.91</x:v>
      </x:c>
      <x:c r="M827" s="20" t="n">
        <x:v>204.12</x:v>
      </x:c>
      <x:c r="N827" s="20" t="n">
        <x:v>0</x:v>
      </x:c>
      <x:c r="O827" s="20" t="n">
        <x:v>11802.03</x:v>
      </x:c>
      <x:c r="P827" s="20" t="n">
        <x:v>0</x:v>
      </x:c>
      <x:c r="Q827" s="10" t="str">
        <x:v>Recebido</x:v>
      </x:c>
      <x:c r="R827" s="10" t="str">
        <x:v>Débito em Conta</x:v>
      </x:c>
      <x:c r="S827" s="10" t="str">
        <x:v>2024-10</x:v>
      </x:c>
      <x:c r="T827" s="10" t="n">
        <x:v>0</x:v>
      </x:c>
      <x:c r="U827" s="10" t="str">
        <x:v>Liquidado</x:v>
      </x:c>
      <x:c r="V827" s="10" t="str">
        <x:v>Alto</x:v>
      </x:c>
      <x:c r="W827" s="10" t="str">
        <x:v>Tecnologia</x:v>
      </x:c>
      <x:c r="X827" s="10" t="str">
        <x:v>UND002</x:v>
      </x:c>
    </x:row>
    <x:row r="828" ht="18" customHeight="1">
      <x:c r="A828" s="10" t="str">
        <x:v>REC00827</x:v>
      </x:c>
      <x:c r="B828" s="10" t="str">
        <x:v>EMP001</x:v>
      </x:c>
      <x:c r="C828" s="10" t="str">
        <x:v>CLI075</x:v>
      </x:c>
      <x:c r="D828" s="10" t="str">
        <x:v>CC006</x:v>
      </x:c>
      <x:c r="E828" s="10" t="str">
        <x:v>CAT003</x:v>
      </x:c>
      <x:c r="F828" s="10" t="str">
        <x:v>CTA001</x:v>
      </x:c>
      <x:c r="G828" s="10" t="str">
        <x:v>FAT-200827</x:v>
      </x:c>
      <x:c r="H828" s="10" t="str">
        <x:v>Projeto especial</x:v>
      </x:c>
      <x:c r="I828" s="16" t="n">
        <x:v>45600.95559755787</x:v>
      </x:c>
      <x:c r="J828" s="16" t="n">
        <x:v>45645.95559755787</x:v>
      </x:c>
      <x:c r="K828" s="16"/>
      <x:c r="L828" s="20" t="n">
        <x:v>1992.4</x:v>
      </x:c>
      <x:c r="M828" s="20" t="n">
        <x:v>0</x:v>
      </x:c>
      <x:c r="N828" s="20" t="n">
        <x:v>0</x:v>
      </x:c>
      <x:c r="O828" s="20" t="n">
        <x:v>0</x:v>
      </x:c>
      <x:c r="P828" s="20" t="n">
        <x:v>1992.4</x:v>
      </x:c>
      <x:c r="Q828" s="10" t="str">
        <x:v>Vencido</x:v>
      </x:c>
      <x:c r="R828" s="10" t="str">
        <x:v>TED</x:v>
      </x:c>
      <x:c r="S828" s="10" t="str">
        <x:v>2024-11</x:v>
      </x:c>
      <x:c r="T828" s="10" t="n">
        <x:v>376</x:v>
      </x:c>
      <x:c r="U828" s="10" t="str">
        <x:v>&gt; 120 dias</x:v>
      </x:c>
      <x:c r="V828" s="10" t="str">
        <x:v>Médio</x:v>
      </x:c>
      <x:c r="W828" s="10" t="str">
        <x:v>Varejo</x:v>
      </x:c>
      <x:c r="X828" s="10" t="str">
        <x:v>UND001</x:v>
      </x:c>
    </x:row>
    <x:row r="829" ht="18" customHeight="1">
      <x:c r="A829" s="10" t="str">
        <x:v>REC00828</x:v>
      </x:c>
      <x:c r="B829" s="10" t="str">
        <x:v>EMP001</x:v>
      </x:c>
      <x:c r="C829" s="10" t="str">
        <x:v>CLI066</x:v>
      </x:c>
      <x:c r="D829" s="10" t="str">
        <x:v>CC007</x:v>
      </x:c>
      <x:c r="E829" s="10" t="str">
        <x:v>CAT003</x:v>
      </x:c>
      <x:c r="F829" s="10" t="str">
        <x:v>CTA002</x:v>
      </x:c>
      <x:c r="G829" s="10" t="str">
        <x:v>FAT-200828</x:v>
      </x:c>
      <x:c r="H829" s="10" t="str">
        <x:v>Prestação de serviços</x:v>
      </x:c>
      <x:c r="I829" s="16" t="n">
        <x:v>45552.42103917824</x:v>
      </x:c>
      <x:c r="J829" s="16" t="n">
        <x:v>45597.42103917824</x:v>
      </x:c>
      <x:c r="K829" s="16" t="n">
        <x:v>45597.42103917824</x:v>
      </x:c>
      <x:c r="L829" s="20" t="n">
        <x:v>142936.62</x:v>
      </x:c>
      <x:c r="M829" s="20" t="n">
        <x:v>0</x:v>
      </x:c>
      <x:c r="N829" s="20" t="n">
        <x:v>0</x:v>
      </x:c>
      <x:c r="O829" s="20" t="n">
        <x:v>142936.62</x:v>
      </x:c>
      <x:c r="P829" s="20" t="n">
        <x:v>0</x:v>
      </x:c>
      <x:c r="Q829" s="10" t="str">
        <x:v>Recebido</x:v>
      </x:c>
      <x:c r="R829" s="10" t="str">
        <x:v>TED</x:v>
      </x:c>
      <x:c r="S829" s="10" t="str">
        <x:v>2024-09</x:v>
      </x:c>
      <x:c r="T829" s="10" t="n">
        <x:v>0</x:v>
      </x:c>
      <x:c r="U829" s="10" t="str">
        <x:v>Liquidado</x:v>
      </x:c>
      <x:c r="V829" s="10" t="str">
        <x:v>Baixo</x:v>
      </x:c>
      <x:c r="W829" s="10" t="str">
        <x:v>Varejo</x:v>
      </x:c>
      <x:c r="X829" s="10" t="str">
        <x:v>UND001</x:v>
      </x:c>
    </x:row>
    <x:row r="830" ht="18" customHeight="1">
      <x:c r="A830" s="10" t="str">
        <x:v>REC00829</x:v>
      </x:c>
      <x:c r="B830" s="10" t="str">
        <x:v>EMP003</x:v>
      </x:c>
      <x:c r="C830" s="10" t="str">
        <x:v>CLI022</x:v>
      </x:c>
      <x:c r="D830" s="10" t="str">
        <x:v>CC005</x:v>
      </x:c>
      <x:c r="E830" s="10" t="str">
        <x:v>CAT002</x:v>
      </x:c>
      <x:c r="F830" s="10" t="str">
        <x:v>CTA005</x:v>
      </x:c>
      <x:c r="G830" s="10" t="str">
        <x:v>FAT-200829</x:v>
      </x:c>
      <x:c r="H830" s="10" t="str">
        <x:v>Venda de produtos</x:v>
      </x:c>
      <x:c r="I830" s="16" t="n">
        <x:v>45729.92885679398</x:v>
      </x:c>
      <x:c r="J830" s="16" t="n">
        <x:v>45757.92885679398</x:v>
      </x:c>
      <x:c r="K830" s="16" t="n">
        <x:v>45756.92885679398</x:v>
      </x:c>
      <x:c r="L830" s="20" t="n">
        <x:v>62576.62</x:v>
      </x:c>
      <x:c r="M830" s="20" t="n">
        <x:v>0</x:v>
      </x:c>
      <x:c r="N830" s="20" t="n">
        <x:v>0</x:v>
      </x:c>
      <x:c r="O830" s="20" t="n">
        <x:v>62576.62</x:v>
      </x:c>
      <x:c r="P830" s="20" t="n">
        <x:v>0</x:v>
      </x:c>
      <x:c r="Q830" s="10" t="str">
        <x:v>Recebido</x:v>
      </x:c>
      <x:c r="R830" s="10" t="str">
        <x:v>PIX</x:v>
      </x:c>
      <x:c r="S830" s="10" t="str">
        <x:v>2025-03</x:v>
      </x:c>
      <x:c r="T830" s="10" t="n">
        <x:v>0</x:v>
      </x:c>
      <x:c r="U830" s="10" t="str">
        <x:v>Liquidado</x:v>
      </x:c>
      <x:c r="V830" s="10" t="str">
        <x:v>Alto</x:v>
      </x:c>
      <x:c r="W830" s="10" t="str">
        <x:v>Tecnologia</x:v>
      </x:c>
      <x:c r="X830" s="10" t="str">
        <x:v>UND004</x:v>
      </x:c>
    </x:row>
    <x:row r="831" ht="18" customHeight="1">
      <x:c r="A831" s="10" t="str">
        <x:v>REC00830</x:v>
      </x:c>
      <x:c r="B831" s="10" t="str">
        <x:v>EMP003</x:v>
      </x:c>
      <x:c r="C831" s="10" t="str">
        <x:v>CLI007</x:v>
      </x:c>
      <x:c r="D831" s="10" t="str">
        <x:v>CC007</x:v>
      </x:c>
      <x:c r="E831" s="10" t="str">
        <x:v>CAT001</x:v>
      </x:c>
      <x:c r="F831" s="10" t="str">
        <x:v>CTA005</x:v>
      </x:c>
      <x:c r="G831" s="10" t="str">
        <x:v>FAT-200830</x:v>
      </x:c>
      <x:c r="H831" s="10" t="str">
        <x:v>Projeto especial</x:v>
      </x:c>
      <x:c r="I831" s="16" t="n">
        <x:v>45412.66833746528</x:v>
      </x:c>
      <x:c r="J831" s="16" t="n">
        <x:v>45427.66833746528</x:v>
      </x:c>
      <x:c r="K831" s="16" t="n">
        <x:v>45430.66833746528</x:v>
      </x:c>
      <x:c r="L831" s="20" t="n">
        <x:v>3026.61</x:v>
      </x:c>
      <x:c r="M831" s="20" t="n">
        <x:v>7.26</x:v>
      </x:c>
      <x:c r="N831" s="20" t="n">
        <x:v>0</x:v>
      </x:c>
      <x:c r="O831" s="20" t="n">
        <x:v>3033.87</x:v>
      </x:c>
      <x:c r="P831" s="20" t="n">
        <x:v>0</x:v>
      </x:c>
      <x:c r="Q831" s="10" t="str">
        <x:v>Recebido</x:v>
      </x:c>
      <x:c r="R831" s="10" t="str">
        <x:v>TED</x:v>
      </x:c>
      <x:c r="S831" s="10" t="str">
        <x:v>2024-04</x:v>
      </x:c>
      <x:c r="T831" s="10" t="n">
        <x:v>0</x:v>
      </x:c>
      <x:c r="U831" s="10" t="str">
        <x:v>Liquidado</x:v>
      </x:c>
      <x:c r="V831" s="10" t="str">
        <x:v>Baixo</x:v>
      </x:c>
      <x:c r="W831" s="10" t="str">
        <x:v>Atacado</x:v>
      </x:c>
      <x:c r="X831" s="10" t="str">
        <x:v>UND004</x:v>
      </x:c>
    </x:row>
    <x:row r="832" ht="18" customHeight="1">
      <x:c r="A832" s="10" t="str">
        <x:v>REC00831</x:v>
      </x:c>
      <x:c r="B832" s="10" t="str">
        <x:v>EMP003</x:v>
      </x:c>
      <x:c r="C832" s="10" t="str">
        <x:v>CLI017</x:v>
      </x:c>
      <x:c r="D832" s="10" t="str">
        <x:v>CC004</x:v>
      </x:c>
      <x:c r="E832" s="10" t="str">
        <x:v>CAT004</x:v>
      </x:c>
      <x:c r="F832" s="10" t="str">
        <x:v>CTA006</x:v>
      </x:c>
      <x:c r="G832" s="10" t="str">
        <x:v>FAT-200831</x:v>
      </x:c>
      <x:c r="H832" s="10" t="str">
        <x:v>Frete faturado</x:v>
      </x:c>
      <x:c r="I832" s="16" t="n">
        <x:v>45683.79856</x:v>
      </x:c>
      <x:c r="J832" s="16" t="n">
        <x:v>45728.79856</x:v>
      </x:c>
      <x:c r="K832" s="16" t="n">
        <x:v>45729.79856</x:v>
      </x:c>
      <x:c r="L832" s="20" t="n">
        <x:v>81618.3</x:v>
      </x:c>
      <x:c r="M832" s="20" t="n">
        <x:v>65.29</x:v>
      </x:c>
      <x:c r="N832" s="20" t="n">
        <x:v>0</x:v>
      </x:c>
      <x:c r="O832" s="20" t="n">
        <x:v>81683.59</x:v>
      </x:c>
      <x:c r="P832" s="20" t="n">
        <x:v>0</x:v>
      </x:c>
      <x:c r="Q832" s="10" t="str">
        <x:v>Recebido</x:v>
      </x:c>
      <x:c r="R832" s="10" t="str">
        <x:v>Cartão</x:v>
      </x:c>
      <x:c r="S832" s="10" t="str">
        <x:v>2025-01</x:v>
      </x:c>
      <x:c r="T832" s="10" t="n">
        <x:v>0</x:v>
      </x:c>
      <x:c r="U832" s="10" t="str">
        <x:v>Liquidado</x:v>
      </x:c>
      <x:c r="V832" s="10" t="str">
        <x:v>Médio</x:v>
      </x:c>
      <x:c r="W832" s="10" t="str">
        <x:v>Atacado</x:v>
      </x:c>
      <x:c r="X832" s="10" t="str">
        <x:v>UND004</x:v>
      </x:c>
    </x:row>
    <x:row r="833" ht="18" customHeight="1">
      <x:c r="A833" s="10" t="str">
        <x:v>REC00832</x:v>
      </x:c>
      <x:c r="B833" s="10" t="str">
        <x:v>EMP003</x:v>
      </x:c>
      <x:c r="C833" s="10" t="str">
        <x:v>CLI023</x:v>
      </x:c>
      <x:c r="D833" s="10" t="str">
        <x:v>CC007</x:v>
      </x:c>
      <x:c r="E833" s="10" t="str">
        <x:v>CAT004</x:v>
      </x:c>
      <x:c r="F833" s="10" t="str">
        <x:v>CTA005</x:v>
      </x:c>
      <x:c r="G833" s="10" t="str">
        <x:v>FAT-200832</x:v>
      </x:c>
      <x:c r="H833" s="10" t="str">
        <x:v>Contrato mensal</x:v>
      </x:c>
      <x:c r="I833" s="16" t="n">
        <x:v>45501.53446831019</x:v>
      </x:c>
      <x:c r="J833" s="16" t="n">
        <x:v>45529.53446831019</x:v>
      </x:c>
      <x:c r="K833" s="16"/>
      <x:c r="L833" s="20" t="n">
        <x:v>105203.53</x:v>
      </x:c>
      <x:c r="M833" s="20" t="n">
        <x:v>0</x:v>
      </x:c>
      <x:c r="N833" s="20" t="n">
        <x:v>0</x:v>
      </x:c>
      <x:c r="O833" s="20" t="n">
        <x:v>0</x:v>
      </x:c>
      <x:c r="P833" s="20" t="n">
        <x:v>105203.53</x:v>
      </x:c>
      <x:c r="Q833" s="10" t="str">
        <x:v>Vencido</x:v>
      </x:c>
      <x:c r="R833" s="10" t="str">
        <x:v>Débito em Conta</x:v>
      </x:c>
      <x:c r="S833" s="10" t="str">
        <x:v>2024-07</x:v>
      </x:c>
      <x:c r="T833" s="10" t="n">
        <x:v>492</x:v>
      </x:c>
      <x:c r="U833" s="10" t="str">
        <x:v>&gt; 120 dias</x:v>
      </x:c>
      <x:c r="V833" s="10" t="str">
        <x:v>Médio</x:v>
      </x:c>
      <x:c r="W833" s="10" t="str">
        <x:v>Atacado</x:v>
      </x:c>
      <x:c r="X833" s="10" t="str">
        <x:v>UND004</x:v>
      </x:c>
    </x:row>
    <x:row r="834" ht="18" customHeight="1">
      <x:c r="A834" s="10" t="str">
        <x:v>REC00833</x:v>
      </x:c>
      <x:c r="B834" s="10" t="str">
        <x:v>EMP002</x:v>
      </x:c>
      <x:c r="C834" s="10" t="str">
        <x:v>CLI016</x:v>
      </x:c>
      <x:c r="D834" s="10" t="str">
        <x:v>CC004</x:v>
      </x:c>
      <x:c r="E834" s="10" t="str">
        <x:v>CAT001</x:v>
      </x:c>
      <x:c r="F834" s="10" t="str">
        <x:v>CTA003</x:v>
      </x:c>
      <x:c r="G834" s="10" t="str">
        <x:v>FAT-200833</x:v>
      </x:c>
      <x:c r="H834" s="10" t="str">
        <x:v>Venda de produtos</x:v>
      </x:c>
      <x:c r="I834" s="16" t="n">
        <x:v>45940.31059738426</x:v>
      </x:c>
      <x:c r="J834" s="16" t="n">
        <x:v>45985.31059738426</x:v>
      </x:c>
      <x:c r="K834" s="16" t="n">
        <x:v>45980.31059738426</x:v>
      </x:c>
      <x:c r="L834" s="20" t="n">
        <x:v>88502.35</x:v>
      </x:c>
      <x:c r="M834" s="20" t="n">
        <x:v>0</x:v>
      </x:c>
      <x:c r="N834" s="20" t="n">
        <x:v>0</x:v>
      </x:c>
      <x:c r="O834" s="20" t="n">
        <x:v>88502.35</x:v>
      </x:c>
      <x:c r="P834" s="20" t="n">
        <x:v>0</x:v>
      </x:c>
      <x:c r="Q834" s="10" t="str">
        <x:v>Recebido</x:v>
      </x:c>
      <x:c r="R834" s="10" t="str">
        <x:v>Boleto</x:v>
      </x:c>
      <x:c r="S834" s="10" t="str">
        <x:v>2025-10</x:v>
      </x:c>
      <x:c r="T834" s="10" t="n">
        <x:v>0</x:v>
      </x:c>
      <x:c r="U834" s="10" t="str">
        <x:v>Liquidado</x:v>
      </x:c>
      <x:c r="V834" s="10" t="str">
        <x:v>Baixo</x:v>
      </x:c>
      <x:c r="W834" s="10" t="str">
        <x:v>Serviços</x:v>
      </x:c>
      <x:c r="X834" s="10" t="str">
        <x:v>UND003</x:v>
      </x:c>
    </x:row>
    <x:row r="835" ht="18" customHeight="1">
      <x:c r="A835" s="10" t="str">
        <x:v>REC00834</x:v>
      </x:c>
      <x:c r="B835" s="10" t="str">
        <x:v>EMP001</x:v>
      </x:c>
      <x:c r="C835" s="10" t="str">
        <x:v>CLI065</x:v>
      </x:c>
      <x:c r="D835" s="10" t="str">
        <x:v>CC001</x:v>
      </x:c>
      <x:c r="E835" s="10" t="str">
        <x:v>CAT001</x:v>
      </x:c>
      <x:c r="F835" s="10" t="str">
        <x:v>CTA001</x:v>
      </x:c>
      <x:c r="G835" s="10" t="str">
        <x:v>FAT-200834</x:v>
      </x:c>
      <x:c r="H835" s="10" t="str">
        <x:v>Prestação de serviços</x:v>
      </x:c>
      <x:c r="I835" s="16" t="n">
        <x:v>45990.16622953704</x:v>
      </x:c>
      <x:c r="J835" s="16" t="n">
        <x:v>46005.16622953704</x:v>
      </x:c>
      <x:c r="K835" s="16" t="n">
        <x:v>46019.16622953704</x:v>
      </x:c>
      <x:c r="L835" s="20" t="n">
        <x:v>1601.72</x:v>
      </x:c>
      <x:c r="M835" s="20" t="n">
        <x:v>17.94</x:v>
      </x:c>
      <x:c r="N835" s="20" t="n">
        <x:v>0</x:v>
      </x:c>
      <x:c r="O835" s="20" t="n">
        <x:v>1619.66</x:v>
      </x:c>
      <x:c r="P835" s="20" t="n">
        <x:v>0</x:v>
      </x:c>
      <x:c r="Q835" s="10" t="str">
        <x:v>Recebido</x:v>
      </x:c>
      <x:c r="R835" s="10" t="str">
        <x:v>Cartão</x:v>
      </x:c>
      <x:c r="S835" s="10" t="str">
        <x:v>2025-11</x:v>
      </x:c>
      <x:c r="T835" s="10" t="n">
        <x:v>0</x:v>
      </x:c>
      <x:c r="U835" s="10" t="str">
        <x:v>Liquidado</x:v>
      </x:c>
      <x:c r="V835" s="10" t="str">
        <x:v>Médio</x:v>
      </x:c>
      <x:c r="W835" s="10" t="str">
        <x:v>Serviços</x:v>
      </x:c>
      <x:c r="X835" s="10" t="str">
        <x:v>UND002</x:v>
      </x:c>
    </x:row>
    <x:row r="836" ht="18" customHeight="1">
      <x:c r="A836" s="10" t="str">
        <x:v>REC00835</x:v>
      </x:c>
      <x:c r="B836" s="10" t="str">
        <x:v>EMP003</x:v>
      </x:c>
      <x:c r="C836" s="10" t="str">
        <x:v>CLI010</x:v>
      </x:c>
      <x:c r="D836" s="10" t="str">
        <x:v>CC005</x:v>
      </x:c>
      <x:c r="E836" s="10" t="str">
        <x:v>CAT001</x:v>
      </x:c>
      <x:c r="F836" s="10" t="str">
        <x:v>CTA005</x:v>
      </x:c>
      <x:c r="G836" s="10" t="str">
        <x:v>FAT-200835</x:v>
      </x:c>
      <x:c r="H836" s="10" t="str">
        <x:v>Contrato mensal</x:v>
      </x:c>
      <x:c r="I836" s="16" t="n">
        <x:v>45347.301406099534</x:v>
      </x:c>
      <x:c r="J836" s="16" t="n">
        <x:v>45362.301406099534</x:v>
      </x:c>
      <x:c r="K836" s="16" t="n">
        <x:v>45360.301406099534</x:v>
      </x:c>
      <x:c r="L836" s="20" t="n">
        <x:v>9568.62</x:v>
      </x:c>
      <x:c r="M836" s="20" t="n">
        <x:v>0</x:v>
      </x:c>
      <x:c r="N836" s="20" t="n">
        <x:v>0</x:v>
      </x:c>
      <x:c r="O836" s="20" t="n">
        <x:v>9568.62</x:v>
      </x:c>
      <x:c r="P836" s="20" t="n">
        <x:v>0</x:v>
      </x:c>
      <x:c r="Q836" s="10" t="str">
        <x:v>Recebido</x:v>
      </x:c>
      <x:c r="R836" s="10" t="str">
        <x:v>Boleto</x:v>
      </x:c>
      <x:c r="S836" s="10" t="str">
        <x:v>2024-02</x:v>
      </x:c>
      <x:c r="T836" s="10" t="n">
        <x:v>0</x:v>
      </x:c>
      <x:c r="U836" s="10" t="str">
        <x:v>Liquidado</x:v>
      </x:c>
      <x:c r="V836" s="10" t="str">
        <x:v>Baixo</x:v>
      </x:c>
      <x:c r="W836" s="10" t="str">
        <x:v>Indústria</x:v>
      </x:c>
      <x:c r="X836" s="10" t="str">
        <x:v>UND004</x:v>
      </x:c>
    </x:row>
    <x:row r="837" ht="18" customHeight="1">
      <x:c r="A837" s="10" t="str">
        <x:v>REC00836</x:v>
      </x:c>
      <x:c r="B837" s="10" t="str">
        <x:v>EMP003</x:v>
      </x:c>
      <x:c r="C837" s="10" t="str">
        <x:v>CLI076</x:v>
      </x:c>
      <x:c r="D837" s="10" t="str">
        <x:v>CC008</x:v>
      </x:c>
      <x:c r="E837" s="10" t="str">
        <x:v>CAT004</x:v>
      </x:c>
      <x:c r="F837" s="10" t="str">
        <x:v>CTA006</x:v>
      </x:c>
      <x:c r="G837" s="10" t="str">
        <x:v>FAT-200836</x:v>
      </x:c>
      <x:c r="H837" s="10" t="str">
        <x:v>Prestação de serviços</x:v>
      </x:c>
      <x:c r="I837" s="16" t="n">
        <x:v>45436.9186008912</x:v>
      </x:c>
      <x:c r="J837" s="16" t="n">
        <x:v>45481.9186008912</x:v>
      </x:c>
      <x:c r="K837" s="16" t="n">
        <x:v>45481.9186008912</x:v>
      </x:c>
      <x:c r="L837" s="20" t="n">
        <x:v>14339.4</x:v>
      </x:c>
      <x:c r="M837" s="20" t="n">
        <x:v>0</x:v>
      </x:c>
      <x:c r="N837" s="20" t="n">
        <x:v>0</x:v>
      </x:c>
      <x:c r="O837" s="20" t="n">
        <x:v>14339.4</x:v>
      </x:c>
      <x:c r="P837" s="20" t="n">
        <x:v>0</x:v>
      </x:c>
      <x:c r="Q837" s="10" t="str">
        <x:v>Recebido</x:v>
      </x:c>
      <x:c r="R837" s="10" t="str">
        <x:v>Boleto</x:v>
      </x:c>
      <x:c r="S837" s="10" t="str">
        <x:v>2024-05</x:v>
      </x:c>
      <x:c r="T837" s="10" t="n">
        <x:v>0</x:v>
      </x:c>
      <x:c r="U837" s="10" t="str">
        <x:v>Liquidado</x:v>
      </x:c>
      <x:c r="V837" s="10" t="str">
        <x:v>Baixo</x:v>
      </x:c>
      <x:c r="W837" s="10" t="str">
        <x:v>Tecnologia</x:v>
      </x:c>
      <x:c r="X837" s="10" t="str">
        <x:v>UND004</x:v>
      </x:c>
    </x:row>
    <x:row r="838" ht="18" customHeight="1">
      <x:c r="A838" s="10" t="str">
        <x:v>REC00837</x:v>
      </x:c>
      <x:c r="B838" s="10" t="str">
        <x:v>EMP001</x:v>
      </x:c>
      <x:c r="C838" s="10" t="str">
        <x:v>CLI063</x:v>
      </x:c>
      <x:c r="D838" s="10" t="str">
        <x:v>CC008</x:v>
      </x:c>
      <x:c r="E838" s="10" t="str">
        <x:v>CAT003</x:v>
      </x:c>
      <x:c r="F838" s="10" t="str">
        <x:v>CTA002</x:v>
      </x:c>
      <x:c r="G838" s="10" t="str">
        <x:v>FAT-200837</x:v>
      </x:c>
      <x:c r="H838" s="10" t="str">
        <x:v>Contrato mensal</x:v>
      </x:c>
      <x:c r="I838" s="16" t="n">
        <x:v>45347.64686020833</x:v>
      </x:c>
      <x:c r="J838" s="16" t="n">
        <x:v>45407.64686020833</x:v>
      </x:c>
      <x:c r="K838" s="16" t="n">
        <x:v>45403.64686020833</x:v>
      </x:c>
      <x:c r="L838" s="20" t="n">
        <x:v>43474.48</x:v>
      </x:c>
      <x:c r="M838" s="20" t="n">
        <x:v>0</x:v>
      </x:c>
      <x:c r="N838" s="20" t="n">
        <x:v>0</x:v>
      </x:c>
      <x:c r="O838" s="20" t="n">
        <x:v>43474.48</x:v>
      </x:c>
      <x:c r="P838" s="20" t="n">
        <x:v>0</x:v>
      </x:c>
      <x:c r="Q838" s="10" t="str">
        <x:v>Recebido</x:v>
      </x:c>
      <x:c r="R838" s="10" t="str">
        <x:v>Boleto</x:v>
      </x:c>
      <x:c r="S838" s="10" t="str">
        <x:v>2024-02</x:v>
      </x:c>
      <x:c r="T838" s="10" t="n">
        <x:v>0</x:v>
      </x:c>
      <x:c r="U838" s="10" t="str">
        <x:v>Liquidado</x:v>
      </x:c>
      <x:c r="V838" s="10" t="str">
        <x:v>Baixo</x:v>
      </x:c>
      <x:c r="W838" s="10" t="str">
        <x:v>Serviços</x:v>
      </x:c>
      <x:c r="X838" s="10" t="str">
        <x:v>UND001</x:v>
      </x:c>
    </x:row>
    <x:row r="839" ht="18" customHeight="1">
      <x:c r="A839" s="10" t="str">
        <x:v>REC00838</x:v>
      </x:c>
      <x:c r="B839" s="10" t="str">
        <x:v>EMP002</x:v>
      </x:c>
      <x:c r="C839" s="10" t="str">
        <x:v>CLI019</x:v>
      </x:c>
      <x:c r="D839" s="10" t="str">
        <x:v>CC004</x:v>
      </x:c>
      <x:c r="E839" s="10" t="str">
        <x:v>CAT002</x:v>
      </x:c>
      <x:c r="F839" s="10" t="str">
        <x:v>CTA003</x:v>
      </x:c>
      <x:c r="G839" s="10" t="str">
        <x:v>FAT-200838</x:v>
      </x:c>
      <x:c r="H839" s="10" t="str">
        <x:v>Venda de produtos</x:v>
      </x:c>
      <x:c r="I839" s="16" t="n">
        <x:v>45343.55764446759</x:v>
      </x:c>
      <x:c r="J839" s="16" t="n">
        <x:v>45403.55764446759</x:v>
      </x:c>
      <x:c r="K839" s="16" t="n">
        <x:v>45397.55764446759</x:v>
      </x:c>
      <x:c r="L839" s="20" t="n">
        <x:v>62230.63</x:v>
      </x:c>
      <x:c r="M839" s="20" t="n">
        <x:v>0</x:v>
      </x:c>
      <x:c r="N839" s="20" t="n">
        <x:v>0</x:v>
      </x:c>
      <x:c r="O839" s="20" t="n">
        <x:v>62230.63</x:v>
      </x:c>
      <x:c r="P839" s="20" t="n">
        <x:v>0</x:v>
      </x:c>
      <x:c r="Q839" s="10" t="str">
        <x:v>Recebido</x:v>
      </x:c>
      <x:c r="R839" s="10" t="str">
        <x:v>PIX</x:v>
      </x:c>
      <x:c r="S839" s="10" t="str">
        <x:v>2024-02</x:v>
      </x:c>
      <x:c r="T839" s="10" t="n">
        <x:v>0</x:v>
      </x:c>
      <x:c r="U839" s="10" t="str">
        <x:v>Liquidado</x:v>
      </x:c>
      <x:c r="V839" s="10" t="str">
        <x:v>Alto</x:v>
      </x:c>
      <x:c r="W839" s="10" t="str">
        <x:v>Saúde</x:v>
      </x:c>
      <x:c r="X839" s="10" t="str">
        <x:v>UND003</x:v>
      </x:c>
    </x:row>
    <x:row r="840" ht="18" customHeight="1">
      <x:c r="A840" s="10" t="str">
        <x:v>REC00839</x:v>
      </x:c>
      <x:c r="B840" s="10" t="str">
        <x:v>EMP001</x:v>
      </x:c>
      <x:c r="C840" s="10" t="str">
        <x:v>CLI061</x:v>
      </x:c>
      <x:c r="D840" s="10" t="str">
        <x:v>CC005</x:v>
      </x:c>
      <x:c r="E840" s="10" t="str">
        <x:v>CAT001</x:v>
      </x:c>
      <x:c r="F840" s="10" t="str">
        <x:v>CTA001</x:v>
      </x:c>
      <x:c r="G840" s="10" t="str">
        <x:v>FAT-200839</x:v>
      </x:c>
      <x:c r="H840" s="10" t="str">
        <x:v>Contrato mensal</x:v>
      </x:c>
      <x:c r="I840" s="16" t="n">
        <x:v>45781.8560669213</x:v>
      </x:c>
      <x:c r="J840" s="16" t="n">
        <x:v>45826.8560669213</x:v>
      </x:c>
      <x:c r="K840" s="16"/>
      <x:c r="L840" s="20" t="n">
        <x:v>2534.1</x:v>
      </x:c>
      <x:c r="M840" s="20" t="n">
        <x:v>0</x:v>
      </x:c>
      <x:c r="N840" s="20" t="n">
        <x:v>0</x:v>
      </x:c>
      <x:c r="O840" s="20" t="n">
        <x:v>0</x:v>
      </x:c>
      <x:c r="P840" s="20" t="n">
        <x:v>2534.1</x:v>
      </x:c>
      <x:c r="Q840" s="10" t="str">
        <x:v>Vencido</x:v>
      </x:c>
      <x:c r="R840" s="10" t="str">
        <x:v>PIX</x:v>
      </x:c>
      <x:c r="S840" s="10" t="str">
        <x:v>2025-05</x:v>
      </x:c>
      <x:c r="T840" s="10" t="n">
        <x:v>195</x:v>
      </x:c>
      <x:c r="U840" s="10" t="str">
        <x:v>&gt; 120 dias</x:v>
      </x:c>
      <x:c r="V840" s="10" t="str">
        <x:v>Baixo</x:v>
      </x:c>
      <x:c r="W840" s="10" t="str">
        <x:v>Serviços</x:v>
      </x:c>
      <x:c r="X840" s="10" t="str">
        <x:v>UND002</x:v>
      </x:c>
    </x:row>
    <x:row r="841" ht="18" customHeight="1">
      <x:c r="A841" s="10" t="str">
        <x:v>REC00840</x:v>
      </x:c>
      <x:c r="B841" s="10" t="str">
        <x:v>EMP002</x:v>
      </x:c>
      <x:c r="C841" s="10" t="str">
        <x:v>CLI027</x:v>
      </x:c>
      <x:c r="D841" s="10" t="str">
        <x:v>CC004</x:v>
      </x:c>
      <x:c r="E841" s="10" t="str">
        <x:v>CAT003</x:v>
      </x:c>
      <x:c r="F841" s="10" t="str">
        <x:v>CTA004</x:v>
      </x:c>
      <x:c r="G841" s="10" t="str">
        <x:v>FAT-200840</x:v>
      </x:c>
      <x:c r="H841" s="10" t="str">
        <x:v>Projeto especial</x:v>
      </x:c>
      <x:c r="I841" s="16" t="n">
        <x:v>45411.17615184028</x:v>
      </x:c>
      <x:c r="J841" s="16" t="n">
        <x:v>45441.17615184028</x:v>
      </x:c>
      <x:c r="K841" s="16" t="n">
        <x:v>45444.17615184028</x:v>
      </x:c>
      <x:c r="L841" s="20" t="n">
        <x:v>98600.27</x:v>
      </x:c>
      <x:c r="M841" s="20" t="n">
        <x:v>236.64</x:v>
      </x:c>
      <x:c r="N841" s="20" t="n">
        <x:v>0</x:v>
      </x:c>
      <x:c r="O841" s="20" t="n">
        <x:v>98836.91</x:v>
      </x:c>
      <x:c r="P841" s="20" t="n">
        <x:v>0</x:v>
      </x:c>
      <x:c r="Q841" s="10" t="str">
        <x:v>Recebido</x:v>
      </x:c>
      <x:c r="R841" s="10" t="str">
        <x:v>Boleto</x:v>
      </x:c>
      <x:c r="S841" s="10" t="str">
        <x:v>2024-04</x:v>
      </x:c>
      <x:c r="T841" s="10" t="n">
        <x:v>0</x:v>
      </x:c>
      <x:c r="U841" s="10" t="str">
        <x:v>Liquidado</x:v>
      </x:c>
      <x:c r="V841" s="10" t="str">
        <x:v>Alto</x:v>
      </x:c>
      <x:c r="W841" s="10" t="str">
        <x:v>Serviços</x:v>
      </x:c>
      <x:c r="X841" s="10" t="str">
        <x:v>UND003</x:v>
      </x:c>
    </x:row>
    <x:row r="842" ht="18" customHeight="1">
      <x:c r="A842" s="10" t="str">
        <x:v>REC00841</x:v>
      </x:c>
      <x:c r="B842" s="10" t="str">
        <x:v>EMP003</x:v>
      </x:c>
      <x:c r="C842" s="10" t="str">
        <x:v>CLI008</x:v>
      </x:c>
      <x:c r="D842" s="10" t="str">
        <x:v>CC005</x:v>
      </x:c>
      <x:c r="E842" s="10" t="str">
        <x:v>CAT001</x:v>
      </x:c>
      <x:c r="F842" s="10" t="str">
        <x:v>CTA005</x:v>
      </x:c>
      <x:c r="G842" s="10" t="str">
        <x:v>FAT-200841</x:v>
      </x:c>
      <x:c r="H842" s="10" t="str">
        <x:v>Prestação de serviços</x:v>
      </x:c>
      <x:c r="I842" s="16" t="n">
        <x:v>45562.15513443287</x:v>
      </x:c>
      <x:c r="J842" s="16" t="n">
        <x:v>45597.15513443287</x:v>
      </x:c>
      <x:c r="K842" s="16" t="n">
        <x:v>45611.15513443287</x:v>
      </x:c>
      <x:c r="L842" s="20" t="n">
        <x:v>37524.74</x:v>
      </x:c>
      <x:c r="M842" s="20" t="n">
        <x:v>420.28</x:v>
      </x:c>
      <x:c r="N842" s="20" t="n">
        <x:v>0</x:v>
      </x:c>
      <x:c r="O842" s="20" t="n">
        <x:v>37945.02</x:v>
      </x:c>
      <x:c r="P842" s="20" t="n">
        <x:v>0</x:v>
      </x:c>
      <x:c r="Q842" s="10" t="str">
        <x:v>Recebido</x:v>
      </x:c>
      <x:c r="R842" s="10" t="str">
        <x:v>Boleto</x:v>
      </x:c>
      <x:c r="S842" s="10" t="str">
        <x:v>2024-09</x:v>
      </x:c>
      <x:c r="T842" s="10" t="n">
        <x:v>0</x:v>
      </x:c>
      <x:c r="U842" s="10" t="str">
        <x:v>Liquidado</x:v>
      </x:c>
      <x:c r="V842" s="10" t="str">
        <x:v>Médio</x:v>
      </x:c>
      <x:c r="W842" s="10" t="str">
        <x:v>Saúde</x:v>
      </x:c>
      <x:c r="X842" s="10" t="str">
        <x:v>UND004</x:v>
      </x:c>
    </x:row>
    <x:row r="843" ht="18" customHeight="1">
      <x:c r="A843" s="10" t="str">
        <x:v>REC00842</x:v>
      </x:c>
      <x:c r="B843" s="10" t="str">
        <x:v>EMP002</x:v>
      </x:c>
      <x:c r="C843" s="10" t="str">
        <x:v>CLI033</x:v>
      </x:c>
      <x:c r="D843" s="10" t="str">
        <x:v>CC002</x:v>
      </x:c>
      <x:c r="E843" s="10" t="str">
        <x:v>CAT004</x:v>
      </x:c>
      <x:c r="F843" s="10" t="str">
        <x:v>CTA003</x:v>
      </x:c>
      <x:c r="G843" s="10" t="str">
        <x:v>FAT-200842</x:v>
      </x:c>
      <x:c r="H843" s="10" t="str">
        <x:v>Prestação de serviços</x:v>
      </x:c>
      <x:c r="I843" s="16" t="n">
        <x:v>45695.03816844907</x:v>
      </x:c>
      <x:c r="J843" s="16" t="n">
        <x:v>45755.03816844907</x:v>
      </x:c>
      <x:c r="K843" s="16" t="n">
        <x:v>45752.03816844907</x:v>
      </x:c>
      <x:c r="L843" s="20" t="n">
        <x:v>85122.55</x:v>
      </x:c>
      <x:c r="M843" s="20" t="n">
        <x:v>0</x:v>
      </x:c>
      <x:c r="N843" s="20" t="n">
        <x:v>0</x:v>
      </x:c>
      <x:c r="O843" s="20" t="n">
        <x:v>85122.55</x:v>
      </x:c>
      <x:c r="P843" s="20" t="n">
        <x:v>0</x:v>
      </x:c>
      <x:c r="Q843" s="10" t="str">
        <x:v>Recebido</x:v>
      </x:c>
      <x:c r="R843" s="10" t="str">
        <x:v>TED</x:v>
      </x:c>
      <x:c r="S843" s="10" t="str">
        <x:v>2025-02</x:v>
      </x:c>
      <x:c r="T843" s="10" t="n">
        <x:v>0</x:v>
      </x:c>
      <x:c r="U843" s="10" t="str">
        <x:v>Liquidado</x:v>
      </x:c>
      <x:c r="V843" s="10" t="str">
        <x:v>Médio</x:v>
      </x:c>
      <x:c r="W843" s="10" t="str">
        <x:v>Varejo</x:v>
      </x:c>
      <x:c r="X843" s="10" t="str">
        <x:v>UND003</x:v>
      </x:c>
    </x:row>
    <x:row r="844" ht="18" customHeight="1">
      <x:c r="A844" s="10" t="str">
        <x:v>REC00843</x:v>
      </x:c>
      <x:c r="B844" s="10" t="str">
        <x:v>EMP002</x:v>
      </x:c>
      <x:c r="C844" s="10" t="str">
        <x:v>CLI040</x:v>
      </x:c>
      <x:c r="D844" s="10" t="str">
        <x:v>CC006</x:v>
      </x:c>
      <x:c r="E844" s="10" t="str">
        <x:v>CAT004</x:v>
      </x:c>
      <x:c r="F844" s="10" t="str">
        <x:v>CTA003</x:v>
      </x:c>
      <x:c r="G844" s="10" t="str">
        <x:v>FAT-200843</x:v>
      </x:c>
      <x:c r="H844" s="10" t="str">
        <x:v>Venda de produtos</x:v>
      </x:c>
      <x:c r="I844" s="16" t="n">
        <x:v>45720.86220761574</x:v>
      </x:c>
      <x:c r="J844" s="16" t="n">
        <x:v>45750.86220761574</x:v>
      </x:c>
      <x:c r="K844" s="16" t="n">
        <x:v>45747.86220761574</x:v>
      </x:c>
      <x:c r="L844" s="20" t="n">
        <x:v>74562.79</x:v>
      </x:c>
      <x:c r="M844" s="20" t="n">
        <x:v>0</x:v>
      </x:c>
      <x:c r="N844" s="20" t="n">
        <x:v>0</x:v>
      </x:c>
      <x:c r="O844" s="20" t="n">
        <x:v>74562.79</x:v>
      </x:c>
      <x:c r="P844" s="20" t="n">
        <x:v>0</x:v>
      </x:c>
      <x:c r="Q844" s="10" t="str">
        <x:v>Recebido</x:v>
      </x:c>
      <x:c r="R844" s="10" t="str">
        <x:v>Débito em Conta</x:v>
      </x:c>
      <x:c r="S844" s="10" t="str">
        <x:v>2025-03</x:v>
      </x:c>
      <x:c r="T844" s="10" t="n">
        <x:v>0</x:v>
      </x:c>
      <x:c r="U844" s="10" t="str">
        <x:v>Liquidado</x:v>
      </x:c>
      <x:c r="V844" s="10" t="str">
        <x:v>Baixo</x:v>
      </x:c>
      <x:c r="W844" s="10" t="str">
        <x:v>Saúde</x:v>
      </x:c>
      <x:c r="X844" s="10" t="str">
        <x:v>UND003</x:v>
      </x:c>
    </x:row>
    <x:row r="845" ht="18" customHeight="1">
      <x:c r="A845" s="10" t="str">
        <x:v>REC00844</x:v>
      </x:c>
      <x:c r="B845" s="10" t="str">
        <x:v>EMP001</x:v>
      </x:c>
      <x:c r="C845" s="10" t="str">
        <x:v>CLI073</x:v>
      </x:c>
      <x:c r="D845" s="10" t="str">
        <x:v>CC001</x:v>
      </x:c>
      <x:c r="E845" s="10" t="str">
        <x:v>CAT002</x:v>
      </x:c>
      <x:c r="F845" s="10" t="str">
        <x:v>CTA002</x:v>
      </x:c>
      <x:c r="G845" s="10" t="str">
        <x:v>FAT-200844</x:v>
      </x:c>
      <x:c r="H845" s="10" t="str">
        <x:v>Prestação de serviços</x:v>
      </x:c>
      <x:c r="I845" s="16" t="n">
        <x:v>45765.37690145833</x:v>
      </x:c>
      <x:c r="J845" s="16" t="n">
        <x:v>45810.37690145833</x:v>
      </x:c>
      <x:c r="K845" s="16" t="n">
        <x:v>45807.37690145833</x:v>
      </x:c>
      <x:c r="L845" s="20" t="n">
        <x:v>111893.53</x:v>
      </x:c>
      <x:c r="M845" s="20" t="n">
        <x:v>0</x:v>
      </x:c>
      <x:c r="N845" s="20" t="n">
        <x:v>1118.94</x:v>
      </x:c>
      <x:c r="O845" s="20" t="n">
        <x:v>110774.59</x:v>
      </x:c>
      <x:c r="P845" s="20" t="n">
        <x:v>0</x:v>
      </x:c>
      <x:c r="Q845" s="10" t="str">
        <x:v>Recebido</x:v>
      </x:c>
      <x:c r="R845" s="10" t="str">
        <x:v>Boleto</x:v>
      </x:c>
      <x:c r="S845" s="10" t="str">
        <x:v>2025-04</x:v>
      </x:c>
      <x:c r="T845" s="10" t="n">
        <x:v>0</x:v>
      </x:c>
      <x:c r="U845" s="10" t="str">
        <x:v>Liquidado</x:v>
      </x:c>
      <x:c r="V845" s="10" t="str">
        <x:v>Alto</x:v>
      </x:c>
      <x:c r="W845" s="10" t="str">
        <x:v>Tecnologia</x:v>
      </x:c>
      <x:c r="X845" s="10" t="str">
        <x:v>UND001</x:v>
      </x:c>
    </x:row>
    <x:row r="846" ht="18" customHeight="1">
      <x:c r="A846" s="10" t="str">
        <x:v>REC00845</x:v>
      </x:c>
      <x:c r="B846" s="10" t="str">
        <x:v>EMP003</x:v>
      </x:c>
      <x:c r="C846" s="10" t="str">
        <x:v>CLI008</x:v>
      </x:c>
      <x:c r="D846" s="10" t="str">
        <x:v>CC006</x:v>
      </x:c>
      <x:c r="E846" s="10" t="str">
        <x:v>CAT001</x:v>
      </x:c>
      <x:c r="F846" s="10" t="str">
        <x:v>CTA006</x:v>
      </x:c>
      <x:c r="G846" s="10" t="str">
        <x:v>FAT-200845</x:v>
      </x:c>
      <x:c r="H846" s="10" t="str">
        <x:v>Contrato mensal</x:v>
      </x:c>
      <x:c r="I846" s="16" t="n">
        <x:v>45954.417289791665</x:v>
      </x:c>
      <x:c r="J846" s="16" t="n">
        <x:v>46014.417289791665</x:v>
      </x:c>
      <x:c r="K846" s="16"/>
      <x:c r="L846" s="20" t="n">
        <x:v>44336.87</x:v>
      </x:c>
      <x:c r="M846" s="20" t="n">
        <x:v>0</x:v>
      </x:c>
      <x:c r="N846" s="20" t="n">
        <x:v>0</x:v>
      </x:c>
      <x:c r="O846" s="20" t="n">
        <x:v>0</x:v>
      </x:c>
      <x:c r="P846" s="20" t="n">
        <x:v>44336.87</x:v>
      </x:c>
      <x:c r="Q846" s="10" t="str">
        <x:v>Vencido</x:v>
      </x:c>
      <x:c r="R846" s="10" t="str">
        <x:v>Boleto</x:v>
      </x:c>
      <x:c r="S846" s="10" t="str">
        <x:v>2025-10</x:v>
      </x:c>
      <x:c r="T846" s="10" t="n">
        <x:v>7</x:v>
      </x:c>
      <x:c r="U846" s="10" t="str">
        <x:v>1 a 30 dias</x:v>
      </x:c>
      <x:c r="V846" s="10" t="str">
        <x:v>Médio</x:v>
      </x:c>
      <x:c r="W846" s="10" t="str">
        <x:v>Saúde</x:v>
      </x:c>
      <x:c r="X846" s="10" t="str">
        <x:v>UND004</x:v>
      </x:c>
    </x:row>
    <x:row r="847" ht="18" customHeight="1">
      <x:c r="A847" s="10" t="str">
        <x:v>REC00846</x:v>
      </x:c>
      <x:c r="B847" s="10" t="str">
        <x:v>EMP002</x:v>
      </x:c>
      <x:c r="C847" s="10" t="str">
        <x:v>CLI037</x:v>
      </x:c>
      <x:c r="D847" s="10" t="str">
        <x:v>CC001</x:v>
      </x:c>
      <x:c r="E847" s="10" t="str">
        <x:v>CAT003</x:v>
      </x:c>
      <x:c r="F847" s="10" t="str">
        <x:v>CTA004</x:v>
      </x:c>
      <x:c r="G847" s="10" t="str">
        <x:v>FAT-200846</x:v>
      </x:c>
      <x:c r="H847" s="10" t="str">
        <x:v>Contrato mensal</x:v>
      </x:c>
      <x:c r="I847" s="16" t="n">
        <x:v>45478.76288123843</x:v>
      </x:c>
      <x:c r="J847" s="16" t="n">
        <x:v>45506.76288123843</x:v>
      </x:c>
      <x:c r="K847" s="16"/>
      <x:c r="L847" s="20" t="n">
        <x:v>51558.13</x:v>
      </x:c>
      <x:c r="M847" s="20" t="n">
        <x:v>0</x:v>
      </x:c>
      <x:c r="N847" s="20" t="n">
        <x:v>0</x:v>
      </x:c>
      <x:c r="O847" s="20" t="n">
        <x:v>0</x:v>
      </x:c>
      <x:c r="P847" s="20" t="n">
        <x:v>51558.13</x:v>
      </x:c>
      <x:c r="Q847" s="10" t="str">
        <x:v>Vencido</x:v>
      </x:c>
      <x:c r="R847" s="10" t="str">
        <x:v>Cartão</x:v>
      </x:c>
      <x:c r="S847" s="10" t="str">
        <x:v>2024-07</x:v>
      </x:c>
      <x:c r="T847" s="10" t="n">
        <x:v>515</x:v>
      </x:c>
      <x:c r="U847" s="10" t="str">
        <x:v>&gt; 120 dias</x:v>
      </x:c>
      <x:c r="V847" s="10" t="str">
        <x:v>Baixo</x:v>
      </x:c>
      <x:c r="W847" s="10" t="str">
        <x:v>Serviços</x:v>
      </x:c>
      <x:c r="X847" s="10" t="str">
        <x:v>UND003</x:v>
      </x:c>
    </x:row>
    <x:row r="848" ht="18" customHeight="1">
      <x:c r="A848" s="10" t="str">
        <x:v>REC00847</x:v>
      </x:c>
      <x:c r="B848" s="10" t="str">
        <x:v>EMP003</x:v>
      </x:c>
      <x:c r="C848" s="10" t="str">
        <x:v>CLI037</x:v>
      </x:c>
      <x:c r="D848" s="10" t="str">
        <x:v>CC003</x:v>
      </x:c>
      <x:c r="E848" s="10" t="str">
        <x:v>CAT001</x:v>
      </x:c>
      <x:c r="F848" s="10" t="str">
        <x:v>CTA006</x:v>
      </x:c>
      <x:c r="G848" s="10" t="str">
        <x:v>FAT-200847</x:v>
      </x:c>
      <x:c r="H848" s="10" t="str">
        <x:v>Frete faturado</x:v>
      </x:c>
      <x:c r="I848" s="16" t="n">
        <x:v>45449.085227881944</x:v>
      </x:c>
      <x:c r="J848" s="16" t="n">
        <x:v>45494.085227881944</x:v>
      </x:c>
      <x:c r="K848" s="16" t="n">
        <x:v>45498.085227881944</x:v>
      </x:c>
      <x:c r="L848" s="20" t="n">
        <x:v>9591.96</x:v>
      </x:c>
      <x:c r="M848" s="20" t="n">
        <x:v>30.69</x:v>
      </x:c>
      <x:c r="N848" s="20" t="n">
        <x:v>0</x:v>
      </x:c>
      <x:c r="O848" s="20" t="n">
        <x:v>9622.65</x:v>
      </x:c>
      <x:c r="P848" s="20" t="n">
        <x:v>0</x:v>
      </x:c>
      <x:c r="Q848" s="10" t="str">
        <x:v>Recebido</x:v>
      </x:c>
      <x:c r="R848" s="10" t="str">
        <x:v>PIX</x:v>
      </x:c>
      <x:c r="S848" s="10" t="str">
        <x:v>2024-06</x:v>
      </x:c>
      <x:c r="T848" s="10" t="n">
        <x:v>0</x:v>
      </x:c>
      <x:c r="U848" s="10" t="str">
        <x:v>Liquidado</x:v>
      </x:c>
      <x:c r="V848" s="10" t="str">
        <x:v>Baixo</x:v>
      </x:c>
      <x:c r="W848" s="10" t="str">
        <x:v>Serviços</x:v>
      </x:c>
      <x:c r="X848" s="10" t="str">
        <x:v>UND004</x:v>
      </x:c>
    </x:row>
    <x:row r="849" ht="18" customHeight="1">
      <x:c r="A849" s="10" t="str">
        <x:v>REC00848</x:v>
      </x:c>
      <x:c r="B849" s="10" t="str">
        <x:v>EMP001</x:v>
      </x:c>
      <x:c r="C849" s="10" t="str">
        <x:v>CLI007</x:v>
      </x:c>
      <x:c r="D849" s="10" t="str">
        <x:v>CC003</x:v>
      </x:c>
      <x:c r="E849" s="10" t="str">
        <x:v>CAT001</x:v>
      </x:c>
      <x:c r="F849" s="10" t="str">
        <x:v>CTA002</x:v>
      </x:c>
      <x:c r="G849" s="10" t="str">
        <x:v>FAT-200848</x:v>
      </x:c>
      <x:c r="H849" s="10" t="str">
        <x:v>Venda de produtos</x:v>
      </x:c>
      <x:c r="I849" s="16" t="n">
        <x:v>45465.294683148146</x:v>
      </x:c>
      <x:c r="J849" s="16" t="n">
        <x:v>45493.294683148146</x:v>
      </x:c>
      <x:c r="K849" s="16" t="n">
        <x:v>45498.294683148146</x:v>
      </x:c>
      <x:c r="L849" s="20" t="n">
        <x:v>22342.02</x:v>
      </x:c>
      <x:c r="M849" s="20" t="n">
        <x:v>89.37</x:v>
      </x:c>
      <x:c r="N849" s="20" t="n">
        <x:v>0</x:v>
      </x:c>
      <x:c r="O849" s="20" t="n">
        <x:v>22431.39</x:v>
      </x:c>
      <x:c r="P849" s="20" t="n">
        <x:v>0</x:v>
      </x:c>
      <x:c r="Q849" s="10" t="str">
        <x:v>Recebido</x:v>
      </x:c>
      <x:c r="R849" s="10" t="str">
        <x:v>Boleto</x:v>
      </x:c>
      <x:c r="S849" s="10" t="str">
        <x:v>2024-06</x:v>
      </x:c>
      <x:c r="T849" s="10" t="n">
        <x:v>0</x:v>
      </x:c>
      <x:c r="U849" s="10" t="str">
        <x:v>Liquidado</x:v>
      </x:c>
      <x:c r="V849" s="10" t="str">
        <x:v>Baixo</x:v>
      </x:c>
      <x:c r="W849" s="10" t="str">
        <x:v>Atacado</x:v>
      </x:c>
      <x:c r="X849" s="10" t="str">
        <x:v>UND001</x:v>
      </x:c>
    </x:row>
    <x:row r="850" ht="18" customHeight="1">
      <x:c r="A850" s="10" t="str">
        <x:v>REC00849</x:v>
      </x:c>
      <x:c r="B850" s="10" t="str">
        <x:v>EMP001</x:v>
      </x:c>
      <x:c r="C850" s="10" t="str">
        <x:v>CLI010</x:v>
      </x:c>
      <x:c r="D850" s="10" t="str">
        <x:v>CC005</x:v>
      </x:c>
      <x:c r="E850" s="10" t="str">
        <x:v>CAT004</x:v>
      </x:c>
      <x:c r="F850" s="10" t="str">
        <x:v>CTA002</x:v>
      </x:c>
      <x:c r="G850" s="10" t="str">
        <x:v>FAT-200849</x:v>
      </x:c>
      <x:c r="H850" s="10" t="str">
        <x:v>Contrato mensal</x:v>
      </x:c>
      <x:c r="I850" s="16" t="n">
        <x:v>45321.292386712965</x:v>
      </x:c>
      <x:c r="J850" s="16" t="n">
        <x:v>45351.292386712965</x:v>
      </x:c>
      <x:c r="K850" s="16" t="n">
        <x:v>45348.292386712965</x:v>
      </x:c>
      <x:c r="L850" s="20" t="n">
        <x:v>6999.37</x:v>
      </x:c>
      <x:c r="M850" s="20" t="n">
        <x:v>0</x:v>
      </x:c>
      <x:c r="N850" s="20" t="n">
        <x:v>0</x:v>
      </x:c>
      <x:c r="O850" s="20" t="n">
        <x:v>6999.37</x:v>
      </x:c>
      <x:c r="P850" s="20" t="n">
        <x:v>0</x:v>
      </x:c>
      <x:c r="Q850" s="10" t="str">
        <x:v>Recebido</x:v>
      </x:c>
      <x:c r="R850" s="10" t="str">
        <x:v>TED</x:v>
      </x:c>
      <x:c r="S850" s="10" t="str">
        <x:v>2024-01</x:v>
      </x:c>
      <x:c r="T850" s="10" t="n">
        <x:v>0</x:v>
      </x:c>
      <x:c r="U850" s="10" t="str">
        <x:v>Liquidado</x:v>
      </x:c>
      <x:c r="V850" s="10" t="str">
        <x:v>Baixo</x:v>
      </x:c>
      <x:c r="W850" s="10" t="str">
        <x:v>Indústria</x:v>
      </x:c>
      <x:c r="X850" s="10" t="str">
        <x:v>UND002</x:v>
      </x:c>
    </x:row>
    <x:row r="851" ht="18" customHeight="1">
      <x:c r="A851" s="10" t="str">
        <x:v>REC00850</x:v>
      </x:c>
      <x:c r="B851" s="10" t="str">
        <x:v>EMP003</x:v>
      </x:c>
      <x:c r="C851" s="10" t="str">
        <x:v>CLI004</x:v>
      </x:c>
      <x:c r="D851" s="10" t="str">
        <x:v>CC007</x:v>
      </x:c>
      <x:c r="E851" s="10" t="str">
        <x:v>CAT004</x:v>
      </x:c>
      <x:c r="F851" s="10" t="str">
        <x:v>CTA005</x:v>
      </x:c>
      <x:c r="G851" s="10" t="str">
        <x:v>FAT-200850</x:v>
      </x:c>
      <x:c r="H851" s="10" t="str">
        <x:v>Contrato mensal</x:v>
      </x:c>
      <x:c r="I851" s="16" t="n">
        <x:v>45737.44713961805</x:v>
      </x:c>
      <x:c r="J851" s="16" t="n">
        <x:v>45758.44713961805</x:v>
      </x:c>
      <x:c r="K851" s="16" t="n">
        <x:v>45777.44713961805</x:v>
      </x:c>
      <x:c r="L851" s="20" t="n">
        <x:v>124421.34</x:v>
      </x:c>
      <x:c r="M851" s="20" t="n">
        <x:v>1891.2</x:v>
      </x:c>
      <x:c r="N851" s="20" t="n">
        <x:v>0</x:v>
      </x:c>
      <x:c r="O851" s="20" t="n">
        <x:v>126312.54</x:v>
      </x:c>
      <x:c r="P851" s="20" t="n">
        <x:v>0</x:v>
      </x:c>
      <x:c r="Q851" s="10" t="str">
        <x:v>Recebido</x:v>
      </x:c>
      <x:c r="R851" s="10" t="str">
        <x:v>Boleto</x:v>
      </x:c>
      <x:c r="S851" s="10" t="str">
        <x:v>2025-03</x:v>
      </x:c>
      <x:c r="T851" s="10" t="n">
        <x:v>0</x:v>
      </x:c>
      <x:c r="U851" s="10" t="str">
        <x:v>Liquidado</x:v>
      </x:c>
      <x:c r="V851" s="10" t="str">
        <x:v>Alto</x:v>
      </x:c>
      <x:c r="W851" s="10" t="str">
        <x:v>Varejo</x:v>
      </x:c>
      <x:c r="X851" s="10" t="str">
        <x:v>UND004</x:v>
      </x:c>
    </x:row>
    <x:row r="852" ht="18" customHeight="1">
      <x:c r="A852" s="10" t="str">
        <x:v>REC00851</x:v>
      </x:c>
      <x:c r="B852" s="10" t="str">
        <x:v>EMP002</x:v>
      </x:c>
      <x:c r="C852" s="10" t="str">
        <x:v>CLI052</x:v>
      </x:c>
      <x:c r="D852" s="10" t="str">
        <x:v>CC001</x:v>
      </x:c>
      <x:c r="E852" s="10" t="str">
        <x:v>CAT002</x:v>
      </x:c>
      <x:c r="F852" s="10" t="str">
        <x:v>CTA003</x:v>
      </x:c>
      <x:c r="G852" s="10" t="str">
        <x:v>FAT-200851</x:v>
      </x:c>
      <x:c r="H852" s="10" t="str">
        <x:v>Frete faturado</x:v>
      </x:c>
      <x:c r="I852" s="16" t="n">
        <x:v>45471.622849050924</x:v>
      </x:c>
      <x:c r="J852" s="16" t="n">
        <x:v>45506.622849050924</x:v>
      </x:c>
      <x:c r="K852" s="16" t="n">
        <x:v>45502.622849050924</x:v>
      </x:c>
      <x:c r="L852" s="20" t="n">
        <x:v>22564.29</x:v>
      </x:c>
      <x:c r="M852" s="20" t="n">
        <x:v>0</x:v>
      </x:c>
      <x:c r="N852" s="20" t="n">
        <x:v>0</x:v>
      </x:c>
      <x:c r="O852" s="20" t="n">
        <x:v>22564.29</x:v>
      </x:c>
      <x:c r="P852" s="20" t="n">
        <x:v>0</x:v>
      </x:c>
      <x:c r="Q852" s="10" t="str">
        <x:v>Recebido</x:v>
      </x:c>
      <x:c r="R852" s="10" t="str">
        <x:v>TED</x:v>
      </x:c>
      <x:c r="S852" s="10" t="str">
        <x:v>2024-06</x:v>
      </x:c>
      <x:c r="T852" s="10" t="n">
        <x:v>0</x:v>
      </x:c>
      <x:c r="U852" s="10" t="str">
        <x:v>Liquidado</x:v>
      </x:c>
      <x:c r="V852" s="10" t="str">
        <x:v>Baixo</x:v>
      </x:c>
      <x:c r="W852" s="10" t="str">
        <x:v>Varejo</x:v>
      </x:c>
      <x:c r="X852" s="10" t="str">
        <x:v>UND003</x:v>
      </x:c>
    </x:row>
    <x:row r="853" ht="18" customHeight="1">
      <x:c r="A853" s="10" t="str">
        <x:v>REC00852</x:v>
      </x:c>
      <x:c r="B853" s="10" t="str">
        <x:v>EMP001</x:v>
      </x:c>
      <x:c r="C853" s="10" t="str">
        <x:v>CLI022</x:v>
      </x:c>
      <x:c r="D853" s="10" t="str">
        <x:v>CC002</x:v>
      </x:c>
      <x:c r="E853" s="10" t="str">
        <x:v>CAT002</x:v>
      </x:c>
      <x:c r="F853" s="10" t="str">
        <x:v>CTA001</x:v>
      </x:c>
      <x:c r="G853" s="10" t="str">
        <x:v>FAT-200852</x:v>
      </x:c>
      <x:c r="H853" s="10" t="str">
        <x:v>Venda de produtos</x:v>
      </x:c>
      <x:c r="I853" s="16" t="n">
        <x:v>45861.16512896991</x:v>
      </x:c>
      <x:c r="J853" s="16" t="n">
        <x:v>45921.16512896991</x:v>
      </x:c>
      <x:c r="K853" s="16"/>
      <x:c r="L853" s="20" t="n">
        <x:v>14483.85</x:v>
      </x:c>
      <x:c r="M853" s="20" t="n">
        <x:v>0</x:v>
      </x:c>
      <x:c r="N853" s="20" t="n">
        <x:v>0</x:v>
      </x:c>
      <x:c r="O853" s="20" t="n">
        <x:v>0</x:v>
      </x:c>
      <x:c r="P853" s="20" t="n">
        <x:v>14483.85</x:v>
      </x:c>
      <x:c r="Q853" s="10" t="str">
        <x:v>Vencido</x:v>
      </x:c>
      <x:c r="R853" s="10" t="str">
        <x:v>Boleto</x:v>
      </x:c>
      <x:c r="S853" s="10" t="str">
        <x:v>2025-07</x:v>
      </x:c>
      <x:c r="T853" s="10" t="n">
        <x:v>100</x:v>
      </x:c>
      <x:c r="U853" s="10" t="str">
        <x:v>91 a 120 dias</x:v>
      </x:c>
      <x:c r="V853" s="10" t="str">
        <x:v>Alto</x:v>
      </x:c>
      <x:c r="W853" s="10" t="str">
        <x:v>Tecnologia</x:v>
      </x:c>
      <x:c r="X853" s="10" t="str">
        <x:v>UND001</x:v>
      </x:c>
    </x:row>
    <x:row r="854" ht="18" customHeight="1">
      <x:c r="A854" s="10" t="str">
        <x:v>REC00853</x:v>
      </x:c>
      <x:c r="B854" s="10" t="str">
        <x:v>EMP002</x:v>
      </x:c>
      <x:c r="C854" s="10" t="str">
        <x:v>CLI038</x:v>
      </x:c>
      <x:c r="D854" s="10" t="str">
        <x:v>CC005</x:v>
      </x:c>
      <x:c r="E854" s="10" t="str">
        <x:v>CAT002</x:v>
      </x:c>
      <x:c r="F854" s="10" t="str">
        <x:v>CTA004</x:v>
      </x:c>
      <x:c r="G854" s="10" t="str">
        <x:v>FAT-200853</x:v>
      </x:c>
      <x:c r="H854" s="10" t="str">
        <x:v>Venda de produtos</x:v>
      </x:c>
      <x:c r="I854" s="16" t="n">
        <x:v>45699.50302001157</x:v>
      </x:c>
      <x:c r="J854" s="16" t="n">
        <x:v>45759.50302001157</x:v>
      </x:c>
      <x:c r="K854" s="16" t="n">
        <x:v>45766.50302001157</x:v>
      </x:c>
      <x:c r="L854" s="20" t="n">
        <x:v>35863.95</x:v>
      </x:c>
      <x:c r="M854" s="20" t="n">
        <x:v>200.84</x:v>
      </x:c>
      <x:c r="N854" s="20" t="n">
        <x:v>0</x:v>
      </x:c>
      <x:c r="O854" s="20" t="n">
        <x:v>36064.79</x:v>
      </x:c>
      <x:c r="P854" s="20" t="n">
        <x:v>0</x:v>
      </x:c>
      <x:c r="Q854" s="10" t="str">
        <x:v>Recebido</x:v>
      </x:c>
      <x:c r="R854" s="10" t="str">
        <x:v>Cartão</x:v>
      </x:c>
      <x:c r="S854" s="10" t="str">
        <x:v>2025-02</x:v>
      </x:c>
      <x:c r="T854" s="10" t="n">
        <x:v>0</x:v>
      </x:c>
      <x:c r="U854" s="10" t="str">
        <x:v>Liquidado</x:v>
      </x:c>
      <x:c r="V854" s="10" t="str">
        <x:v>Baixo</x:v>
      </x:c>
      <x:c r="W854" s="10" t="str">
        <x:v>Varejo</x:v>
      </x:c>
      <x:c r="X854" s="10" t="str">
        <x:v>UND003</x:v>
      </x:c>
    </x:row>
    <x:row r="855" ht="18" customHeight="1">
      <x:c r="A855" s="10" t="str">
        <x:v>REC00854</x:v>
      </x:c>
      <x:c r="B855" s="10" t="str">
        <x:v>EMP001</x:v>
      </x:c>
      <x:c r="C855" s="10" t="str">
        <x:v>CLI076</x:v>
      </x:c>
      <x:c r="D855" s="10" t="str">
        <x:v>CC002</x:v>
      </x:c>
      <x:c r="E855" s="10" t="str">
        <x:v>CAT002</x:v>
      </x:c>
      <x:c r="F855" s="10" t="str">
        <x:v>CTA001</x:v>
      </x:c>
      <x:c r="G855" s="10" t="str">
        <x:v>FAT-200854</x:v>
      </x:c>
      <x:c r="H855" s="10" t="str">
        <x:v>Prestação de serviços</x:v>
      </x:c>
      <x:c r="I855" s="16" t="n">
        <x:v>45418.137357465275</x:v>
      </x:c>
      <x:c r="J855" s="16" t="n">
        <x:v>45448.137357465275</x:v>
      </x:c>
      <x:c r="K855" s="16" t="n">
        <x:v>45447.137357465275</x:v>
      </x:c>
      <x:c r="L855" s="20" t="n">
        <x:v>108027.96</x:v>
      </x:c>
      <x:c r="M855" s="20" t="n">
        <x:v>0</x:v>
      </x:c>
      <x:c r="N855" s="20" t="n">
        <x:v>0</x:v>
      </x:c>
      <x:c r="O855" s="20" t="n">
        <x:v>108027.96</x:v>
      </x:c>
      <x:c r="P855" s="20" t="n">
        <x:v>0</x:v>
      </x:c>
      <x:c r="Q855" s="10" t="str">
        <x:v>Recebido</x:v>
      </x:c>
      <x:c r="R855" s="10" t="str">
        <x:v>PIX</x:v>
      </x:c>
      <x:c r="S855" s="10" t="str">
        <x:v>2024-05</x:v>
      </x:c>
      <x:c r="T855" s="10" t="n">
        <x:v>0</x:v>
      </x:c>
      <x:c r="U855" s="10" t="str">
        <x:v>Liquidado</x:v>
      </x:c>
      <x:c r="V855" s="10" t="str">
        <x:v>Baixo</x:v>
      </x:c>
      <x:c r="W855" s="10" t="str">
        <x:v>Tecnologia</x:v>
      </x:c>
      <x:c r="X855" s="10" t="str">
        <x:v>UND002</x:v>
      </x:c>
    </x:row>
    <x:row r="856" ht="18" customHeight="1">
      <x:c r="A856" s="10" t="str">
        <x:v>REC00855</x:v>
      </x:c>
      <x:c r="B856" s="10" t="str">
        <x:v>EMP001</x:v>
      </x:c>
      <x:c r="C856" s="10" t="str">
        <x:v>CLI018</x:v>
      </x:c>
      <x:c r="D856" s="10" t="str">
        <x:v>CC008</x:v>
      </x:c>
      <x:c r="E856" s="10" t="str">
        <x:v>CAT003</x:v>
      </x:c>
      <x:c r="F856" s="10" t="str">
        <x:v>CTA001</x:v>
      </x:c>
      <x:c r="G856" s="10" t="str">
        <x:v>FAT-200855</x:v>
      </x:c>
      <x:c r="H856" s="10" t="str">
        <x:v>Contrato mensal</x:v>
      </x:c>
      <x:c r="I856" s="16" t="n">
        <x:v>45540.13674702546</x:v>
      </x:c>
      <x:c r="J856" s="16" t="n">
        <x:v>45600.13674702546</x:v>
      </x:c>
      <x:c r="K856" s="16" t="n">
        <x:v>45609.13674702546</x:v>
      </x:c>
      <x:c r="L856" s="20" t="n">
        <x:v>144448.55</x:v>
      </x:c>
      <x:c r="M856" s="20" t="n">
        <x:v>1040.03</x:v>
      </x:c>
      <x:c r="N856" s="20" t="n">
        <x:v>0</x:v>
      </x:c>
      <x:c r="O856" s="20" t="n">
        <x:v>145488.58</x:v>
      </x:c>
      <x:c r="P856" s="20" t="n">
        <x:v>0</x:v>
      </x:c>
      <x:c r="Q856" s="10" t="str">
        <x:v>Recebido</x:v>
      </x:c>
      <x:c r="R856" s="10" t="str">
        <x:v>Débito em Conta</x:v>
      </x:c>
      <x:c r="S856" s="10" t="str">
        <x:v>2024-09</x:v>
      </x:c>
      <x:c r="T856" s="10" t="n">
        <x:v>0</x:v>
      </x:c>
      <x:c r="U856" s="10" t="str">
        <x:v>Liquidado</x:v>
      </x:c>
      <x:c r="V856" s="10" t="str">
        <x:v>Médio</x:v>
      </x:c>
      <x:c r="W856" s="10" t="str">
        <x:v>Indústria</x:v>
      </x:c>
      <x:c r="X856" s="10" t="str">
        <x:v>UND002</x:v>
      </x:c>
    </x:row>
    <x:row r="857" ht="18" customHeight="1">
      <x:c r="A857" s="10" t="str">
        <x:v>REC00856</x:v>
      </x:c>
      <x:c r="B857" s="10" t="str">
        <x:v>EMP003</x:v>
      </x:c>
      <x:c r="C857" s="10" t="str">
        <x:v>CLI009</x:v>
      </x:c>
      <x:c r="D857" s="10" t="str">
        <x:v>CC007</x:v>
      </x:c>
      <x:c r="E857" s="10" t="str">
        <x:v>CAT001</x:v>
      </x:c>
      <x:c r="F857" s="10" t="str">
        <x:v>CTA005</x:v>
      </x:c>
      <x:c r="G857" s="10" t="str">
        <x:v>FAT-200856</x:v>
      </x:c>
      <x:c r="H857" s="10" t="str">
        <x:v>Contrato mensal</x:v>
      </x:c>
      <x:c r="I857" s="16" t="n">
        <x:v>45337.863377430556</x:v>
      </x:c>
      <x:c r="J857" s="16" t="n">
        <x:v>45352.863377430556</x:v>
      </x:c>
      <x:c r="K857" s="16" t="n">
        <x:v>45351.863377430556</x:v>
      </x:c>
      <x:c r="L857" s="20" t="n">
        <x:v>142174.45</x:v>
      </x:c>
      <x:c r="M857" s="20" t="n">
        <x:v>0</x:v>
      </x:c>
      <x:c r="N857" s="20" t="n">
        <x:v>0</x:v>
      </x:c>
      <x:c r="O857" s="20" t="n">
        <x:v>142174.45</x:v>
      </x:c>
      <x:c r="P857" s="20" t="n">
        <x:v>0</x:v>
      </x:c>
      <x:c r="Q857" s="10" t="str">
        <x:v>Recebido</x:v>
      </x:c>
      <x:c r="R857" s="10" t="str">
        <x:v>Débito em Conta</x:v>
      </x:c>
      <x:c r="S857" s="10" t="str">
        <x:v>2024-02</x:v>
      </x:c>
      <x:c r="T857" s="10" t="n">
        <x:v>0</x:v>
      </x:c>
      <x:c r="U857" s="10" t="str">
        <x:v>Liquidado</x:v>
      </x:c>
      <x:c r="V857" s="10" t="str">
        <x:v>Médio</x:v>
      </x:c>
      <x:c r="W857" s="10" t="str">
        <x:v>Saúde</x:v>
      </x:c>
      <x:c r="X857" s="10" t="str">
        <x:v>UND004</x:v>
      </x:c>
    </x:row>
    <x:row r="858" ht="18" customHeight="1">
      <x:c r="A858" s="10" t="str">
        <x:v>REC00857</x:v>
      </x:c>
      <x:c r="B858" s="10" t="str">
        <x:v>EMP002</x:v>
      </x:c>
      <x:c r="C858" s="10" t="str">
        <x:v>CLI041</x:v>
      </x:c>
      <x:c r="D858" s="10" t="str">
        <x:v>CC008</x:v>
      </x:c>
      <x:c r="E858" s="10" t="str">
        <x:v>CAT001</x:v>
      </x:c>
      <x:c r="F858" s="10" t="str">
        <x:v>CTA003</x:v>
      </x:c>
      <x:c r="G858" s="10" t="str">
        <x:v>FAT-200857</x:v>
      </x:c>
      <x:c r="H858" s="10" t="str">
        <x:v>Venda de produtos</x:v>
      </x:c>
      <x:c r="I858" s="16" t="n">
        <x:v>45719.948266354164</x:v>
      </x:c>
      <x:c r="J858" s="16" t="n">
        <x:v>45740.948266354164</x:v>
      </x:c>
      <x:c r="K858" s="16" t="n">
        <x:v>45762.948266354164</x:v>
      </x:c>
      <x:c r="L858" s="20" t="n">
        <x:v>57129.6</x:v>
      </x:c>
      <x:c r="M858" s="20" t="n">
        <x:v>1005.48</x:v>
      </x:c>
      <x:c r="N858" s="20" t="n">
        <x:v>0</x:v>
      </x:c>
      <x:c r="O858" s="20" t="n">
        <x:v>58135.08</x:v>
      </x:c>
      <x:c r="P858" s="20" t="n">
        <x:v>0</x:v>
      </x:c>
      <x:c r="Q858" s="10" t="str">
        <x:v>Recebido</x:v>
      </x:c>
      <x:c r="R858" s="10" t="str">
        <x:v>TED</x:v>
      </x:c>
      <x:c r="S858" s="10" t="str">
        <x:v>2025-03</x:v>
      </x:c>
      <x:c r="T858" s="10" t="n">
        <x:v>0</x:v>
      </x:c>
      <x:c r="U858" s="10" t="str">
        <x:v>Liquidado</x:v>
      </x:c>
      <x:c r="V858" s="10" t="str">
        <x:v>Alto</x:v>
      </x:c>
      <x:c r="W858" s="10" t="str">
        <x:v>Indústria</x:v>
      </x:c>
      <x:c r="X858" s="10" t="str">
        <x:v>UND003</x:v>
      </x:c>
    </x:row>
    <x:row r="859" ht="18" customHeight="1">
      <x:c r="A859" s="10" t="str">
        <x:v>REC00858</x:v>
      </x:c>
      <x:c r="B859" s="10" t="str">
        <x:v>EMP002</x:v>
      </x:c>
      <x:c r="C859" s="10" t="str">
        <x:v>CLI057</x:v>
      </x:c>
      <x:c r="D859" s="10" t="str">
        <x:v>CC002</x:v>
      </x:c>
      <x:c r="E859" s="10" t="str">
        <x:v>CAT002</x:v>
      </x:c>
      <x:c r="F859" s="10" t="str">
        <x:v>CTA003</x:v>
      </x:c>
      <x:c r="G859" s="10" t="str">
        <x:v>FAT-200858</x:v>
      </x:c>
      <x:c r="H859" s="10" t="str">
        <x:v>Venda de produtos</x:v>
      </x:c>
      <x:c r="I859" s="16" t="n">
        <x:v>45536.36630127315</x:v>
      </x:c>
      <x:c r="J859" s="16" t="n">
        <x:v>45557.36630127315</x:v>
      </x:c>
      <x:c r="K859" s="16" t="n">
        <x:v>45559.36630127315</x:v>
      </x:c>
      <x:c r="L859" s="20" t="n">
        <x:v>131206.57</x:v>
      </x:c>
      <x:c r="M859" s="20" t="n">
        <x:v>209.93</x:v>
      </x:c>
      <x:c r="N859" s="20" t="n">
        <x:v>0</x:v>
      </x:c>
      <x:c r="O859" s="20" t="n">
        <x:v>131416.5</x:v>
      </x:c>
      <x:c r="P859" s="20" t="n">
        <x:v>0</x:v>
      </x:c>
      <x:c r="Q859" s="10" t="str">
        <x:v>Recebido</x:v>
      </x:c>
      <x:c r="R859" s="10" t="str">
        <x:v>Cartão</x:v>
      </x:c>
      <x:c r="S859" s="10" t="str">
        <x:v>2024-09</x:v>
      </x:c>
      <x:c r="T859" s="10" t="n">
        <x:v>0</x:v>
      </x:c>
      <x:c r="U859" s="10" t="str">
        <x:v>Liquidado</x:v>
      </x:c>
      <x:c r="V859" s="10" t="str">
        <x:v>Alto</x:v>
      </x:c>
      <x:c r="W859" s="10" t="str">
        <x:v>Saúde</x:v>
      </x:c>
      <x:c r="X859" s="10" t="str">
        <x:v>UND003</x:v>
      </x:c>
    </x:row>
    <x:row r="860" ht="18" customHeight="1">
      <x:c r="A860" s="10" t="str">
        <x:v>REC00859</x:v>
      </x:c>
      <x:c r="B860" s="10" t="str">
        <x:v>EMP002</x:v>
      </x:c>
      <x:c r="C860" s="10" t="str">
        <x:v>CLI035</x:v>
      </x:c>
      <x:c r="D860" s="10" t="str">
        <x:v>CC002</x:v>
      </x:c>
      <x:c r="E860" s="10" t="str">
        <x:v>CAT003</x:v>
      </x:c>
      <x:c r="F860" s="10" t="str">
        <x:v>CTA003</x:v>
      </x:c>
      <x:c r="G860" s="10" t="str">
        <x:v>FAT-200859</x:v>
      </x:c>
      <x:c r="H860" s="10" t="str">
        <x:v>Contrato mensal</x:v>
      </x:c>
      <x:c r="I860" s="16" t="n">
        <x:v>45953.985521030096</x:v>
      </x:c>
      <x:c r="J860" s="16" t="n">
        <x:v>45974.985521030096</x:v>
      </x:c>
      <x:c r="K860" s="16"/>
      <x:c r="L860" s="20" t="n">
        <x:v>100283.38</x:v>
      </x:c>
      <x:c r="M860" s="20" t="n">
        <x:v>0</x:v>
      </x:c>
      <x:c r="N860" s="20" t="n">
        <x:v>0</x:v>
      </x:c>
      <x:c r="O860" s="20" t="n">
        <x:v>0</x:v>
      </x:c>
      <x:c r="P860" s="20" t="n">
        <x:v>100283.38</x:v>
      </x:c>
      <x:c r="Q860" s="10" t="str">
        <x:v>Vencido</x:v>
      </x:c>
      <x:c r="R860" s="10" t="str">
        <x:v>Cartão</x:v>
      </x:c>
      <x:c r="S860" s="10" t="str">
        <x:v>2025-10</x:v>
      </x:c>
      <x:c r="T860" s="10" t="n">
        <x:v>47</x:v>
      </x:c>
      <x:c r="U860" s="10" t="str">
        <x:v>31 a 60 dias</x:v>
      </x:c>
      <x:c r="V860" s="10" t="str">
        <x:v>Médio</x:v>
      </x:c>
      <x:c r="W860" s="10" t="str">
        <x:v>Varejo</x:v>
      </x:c>
      <x:c r="X860" s="10" t="str">
        <x:v>UND003</x:v>
      </x:c>
    </x:row>
    <x:row r="861" ht="18" customHeight="1">
      <x:c r="A861" s="10" t="str">
        <x:v>REC00860</x:v>
      </x:c>
      <x:c r="B861" s="10" t="str">
        <x:v>EMP001</x:v>
      </x:c>
      <x:c r="C861" s="10" t="str">
        <x:v>CLI003</x:v>
      </x:c>
      <x:c r="D861" s="10" t="str">
        <x:v>CC002</x:v>
      </x:c>
      <x:c r="E861" s="10" t="str">
        <x:v>CAT004</x:v>
      </x:c>
      <x:c r="F861" s="10" t="str">
        <x:v>CTA001</x:v>
      </x:c>
      <x:c r="G861" s="10" t="str">
        <x:v>FAT-200860</x:v>
      </x:c>
      <x:c r="H861" s="10" t="str">
        <x:v>Venda de produtos</x:v>
      </x:c>
      <x:c r="I861" s="16" t="n">
        <x:v>45820.41201734954</x:v>
      </x:c>
      <x:c r="J861" s="16" t="n">
        <x:v>45841.41201734954</x:v>
      </x:c>
      <x:c r="K861" s="16" t="n">
        <x:v>45853.41201734954</x:v>
      </x:c>
      <x:c r="L861" s="20" t="n">
        <x:v>79086.32</x:v>
      </x:c>
      <x:c r="M861" s="20" t="n">
        <x:v>759.23</x:v>
      </x:c>
      <x:c r="N861" s="20" t="n">
        <x:v>0</x:v>
      </x:c>
      <x:c r="O861" s="20" t="n">
        <x:v>79845.55</x:v>
      </x:c>
      <x:c r="P861" s="20" t="n">
        <x:v>0</x:v>
      </x:c>
      <x:c r="Q861" s="10" t="str">
        <x:v>Recebido</x:v>
      </x:c>
      <x:c r="R861" s="10" t="str">
        <x:v>Cartão</x:v>
      </x:c>
      <x:c r="S861" s="10" t="str">
        <x:v>2025-06</x:v>
      </x:c>
      <x:c r="T861" s="10" t="n">
        <x:v>0</x:v>
      </x:c>
      <x:c r="U861" s="10" t="str">
        <x:v>Liquidado</x:v>
      </x:c>
      <x:c r="V861" s="10" t="str">
        <x:v>Médio</x:v>
      </x:c>
      <x:c r="W861" s="10" t="str">
        <x:v>Saúde</x:v>
      </x:c>
      <x:c r="X861" s="10" t="str">
        <x:v>UND001</x:v>
      </x:c>
    </x:row>
    <x:row r="862" ht="18" customHeight="1">
      <x:c r="A862" s="10" t="str">
        <x:v>REC00861</x:v>
      </x:c>
      <x:c r="B862" s="10" t="str">
        <x:v>EMP001</x:v>
      </x:c>
      <x:c r="C862" s="10" t="str">
        <x:v>CLI006</x:v>
      </x:c>
      <x:c r="D862" s="10" t="str">
        <x:v>CC005</x:v>
      </x:c>
      <x:c r="E862" s="10" t="str">
        <x:v>CAT004</x:v>
      </x:c>
      <x:c r="F862" s="10" t="str">
        <x:v>CTA002</x:v>
      </x:c>
      <x:c r="G862" s="10" t="str">
        <x:v>FAT-200861</x:v>
      </x:c>
      <x:c r="H862" s="10" t="str">
        <x:v>Projeto especial</x:v>
      </x:c>
      <x:c r="I862" s="16" t="n">
        <x:v>45373.12223013889</x:v>
      </x:c>
      <x:c r="J862" s="16" t="n">
        <x:v>45408.12223013889</x:v>
      </x:c>
      <x:c r="K862" s="16" t="n">
        <x:v>45404.12223013889</x:v>
      </x:c>
      <x:c r="L862" s="20" t="n">
        <x:v>1161.23</x:v>
      </x:c>
      <x:c r="M862" s="20" t="n">
        <x:v>0</x:v>
      </x:c>
      <x:c r="N862" s="20" t="n">
        <x:v>0</x:v>
      </x:c>
      <x:c r="O862" s="20" t="n">
        <x:v>1161.23</x:v>
      </x:c>
      <x:c r="P862" s="20" t="n">
        <x:v>0</x:v>
      </x:c>
      <x:c r="Q862" s="10" t="str">
        <x:v>Recebido</x:v>
      </x:c>
      <x:c r="R862" s="10" t="str">
        <x:v>PIX</x:v>
      </x:c>
      <x:c r="S862" s="10" t="str">
        <x:v>2024-03</x:v>
      </x:c>
      <x:c r="T862" s="10" t="n">
        <x:v>0</x:v>
      </x:c>
      <x:c r="U862" s="10" t="str">
        <x:v>Liquidado</x:v>
      </x:c>
      <x:c r="V862" s="10" t="str">
        <x:v>Baixo</x:v>
      </x:c>
      <x:c r="W862" s="10" t="str">
        <x:v>Varejo</x:v>
      </x:c>
      <x:c r="X862" s="10" t="str">
        <x:v>UND002</x:v>
      </x:c>
    </x:row>
    <x:row r="863" ht="18" customHeight="1">
      <x:c r="A863" s="10" t="str">
        <x:v>REC00862</x:v>
      </x:c>
      <x:c r="B863" s="10" t="str">
        <x:v>EMP002</x:v>
      </x:c>
      <x:c r="C863" s="10" t="str">
        <x:v>CLI072</x:v>
      </x:c>
      <x:c r="D863" s="10" t="str">
        <x:v>CC006</x:v>
      </x:c>
      <x:c r="E863" s="10" t="str">
        <x:v>CAT001</x:v>
      </x:c>
      <x:c r="F863" s="10" t="str">
        <x:v>CTA004</x:v>
      </x:c>
      <x:c r="G863" s="10" t="str">
        <x:v>FAT-200862</x:v>
      </x:c>
      <x:c r="H863" s="10" t="str">
        <x:v>Frete faturado</x:v>
      </x:c>
      <x:c r="I863" s="16" t="n">
        <x:v>45620.762558449074</x:v>
      </x:c>
      <x:c r="J863" s="16" t="n">
        <x:v>45635.762558449074</x:v>
      </x:c>
      <x:c r="K863" s="16" t="n">
        <x:v>45643.762558449074</x:v>
      </x:c>
      <x:c r="L863" s="20" t="n">
        <x:v>82101.57</x:v>
      </x:c>
      <x:c r="M863" s="20" t="n">
        <x:v>525.45</x:v>
      </x:c>
      <x:c r="N863" s="20" t="n">
        <x:v>0</x:v>
      </x:c>
      <x:c r="O863" s="20" t="n">
        <x:v>82627.02</x:v>
      </x:c>
      <x:c r="P863" s="20" t="n">
        <x:v>0</x:v>
      </x:c>
      <x:c r="Q863" s="10" t="str">
        <x:v>Recebido</x:v>
      </x:c>
      <x:c r="R863" s="10" t="str">
        <x:v>PIX</x:v>
      </x:c>
      <x:c r="S863" s="10" t="str">
        <x:v>2024-11</x:v>
      </x:c>
      <x:c r="T863" s="10" t="n">
        <x:v>0</x:v>
      </x:c>
      <x:c r="U863" s="10" t="str">
        <x:v>Liquidado</x:v>
      </x:c>
      <x:c r="V863" s="10" t="str">
        <x:v>Alto</x:v>
      </x:c>
      <x:c r="W863" s="10" t="str">
        <x:v>Varejo</x:v>
      </x:c>
      <x:c r="X863" s="10" t="str">
        <x:v>UND003</x:v>
      </x:c>
    </x:row>
    <x:row r="864" ht="18" customHeight="1">
      <x:c r="A864" s="10" t="str">
        <x:v>REC00863</x:v>
      </x:c>
      <x:c r="B864" s="10" t="str">
        <x:v>EMP001</x:v>
      </x:c>
      <x:c r="C864" s="10" t="str">
        <x:v>CLI055</x:v>
      </x:c>
      <x:c r="D864" s="10" t="str">
        <x:v>CC001</x:v>
      </x:c>
      <x:c r="E864" s="10" t="str">
        <x:v>CAT001</x:v>
      </x:c>
      <x:c r="F864" s="10" t="str">
        <x:v>CTA002</x:v>
      </x:c>
      <x:c r="G864" s="10" t="str">
        <x:v>FAT-200863</x:v>
      </x:c>
      <x:c r="H864" s="10" t="str">
        <x:v>Venda de produtos</x:v>
      </x:c>
      <x:c r="I864" s="16" t="n">
        <x:v>45561.212773831016</x:v>
      </x:c>
      <x:c r="J864" s="16" t="n">
        <x:v>45591.212773831016</x:v>
      </x:c>
      <x:c r="K864" s="16" t="n">
        <x:v>45598.212773831016</x:v>
      </x:c>
      <x:c r="L864" s="20" t="n">
        <x:v>125154.47</x:v>
      </x:c>
      <x:c r="M864" s="20" t="n">
        <x:v>700.87</x:v>
      </x:c>
      <x:c r="N864" s="20" t="n">
        <x:v>0</x:v>
      </x:c>
      <x:c r="O864" s="20" t="n">
        <x:v>125855.34</x:v>
      </x:c>
      <x:c r="P864" s="20" t="n">
        <x:v>0</x:v>
      </x:c>
      <x:c r="Q864" s="10" t="str">
        <x:v>Recebido</x:v>
      </x:c>
      <x:c r="R864" s="10" t="str">
        <x:v>Débito em Conta</x:v>
      </x:c>
      <x:c r="S864" s="10" t="str">
        <x:v>2024-09</x:v>
      </x:c>
      <x:c r="T864" s="10" t="n">
        <x:v>0</x:v>
      </x:c>
      <x:c r="U864" s="10" t="str">
        <x:v>Liquidado</x:v>
      </x:c>
      <x:c r="V864" s="10" t="str">
        <x:v>Baixo</x:v>
      </x:c>
      <x:c r="W864" s="10" t="str">
        <x:v>Serviços</x:v>
      </x:c>
      <x:c r="X864" s="10" t="str">
        <x:v>UND001</x:v>
      </x:c>
    </x:row>
    <x:row r="865" ht="18" customHeight="1">
      <x:c r="A865" s="10" t="str">
        <x:v>REC00864</x:v>
      </x:c>
      <x:c r="B865" s="10" t="str">
        <x:v>EMP002</x:v>
      </x:c>
      <x:c r="C865" s="10" t="str">
        <x:v>CLI059</x:v>
      </x:c>
      <x:c r="D865" s="10" t="str">
        <x:v>CC004</x:v>
      </x:c>
      <x:c r="E865" s="10" t="str">
        <x:v>CAT004</x:v>
      </x:c>
      <x:c r="F865" s="10" t="str">
        <x:v>CTA004</x:v>
      </x:c>
      <x:c r="G865" s="10" t="str">
        <x:v>FAT-200864</x:v>
      </x:c>
      <x:c r="H865" s="10" t="str">
        <x:v>Venda de produtos</x:v>
      </x:c>
      <x:c r="I865" s="16" t="n">
        <x:v>45375.998796203705</x:v>
      </x:c>
      <x:c r="J865" s="16" t="n">
        <x:v>45396.998796203705</x:v>
      </x:c>
      <x:c r="K865" s="16" t="n">
        <x:v>45394.998796203705</x:v>
      </x:c>
      <x:c r="L865" s="20" t="n">
        <x:v>126522.94</x:v>
      </x:c>
      <x:c r="M865" s="20" t="n">
        <x:v>0</x:v>
      </x:c>
      <x:c r="N865" s="20" t="n">
        <x:v>0</x:v>
      </x:c>
      <x:c r="O865" s="20" t="n">
        <x:v>126522.94</x:v>
      </x:c>
      <x:c r="P865" s="20" t="n">
        <x:v>0</x:v>
      </x:c>
      <x:c r="Q865" s="10" t="str">
        <x:v>Recebido</x:v>
      </x:c>
      <x:c r="R865" s="10" t="str">
        <x:v>PIX</x:v>
      </x:c>
      <x:c r="S865" s="10" t="str">
        <x:v>2024-03</x:v>
      </x:c>
      <x:c r="T865" s="10" t="n">
        <x:v>0</x:v>
      </x:c>
      <x:c r="U865" s="10" t="str">
        <x:v>Liquidado</x:v>
      </x:c>
      <x:c r="V865" s="10" t="str">
        <x:v>Baixo</x:v>
      </x:c>
      <x:c r="W865" s="10" t="str">
        <x:v>Indústria</x:v>
      </x:c>
      <x:c r="X865" s="10" t="str">
        <x:v>UND003</x:v>
      </x:c>
    </x:row>
    <x:row r="866" ht="18" customHeight="1">
      <x:c r="A866" s="10" t="str">
        <x:v>REC00865</x:v>
      </x:c>
      <x:c r="B866" s="10" t="str">
        <x:v>EMP003</x:v>
      </x:c>
      <x:c r="C866" s="10" t="str">
        <x:v>CLI078</x:v>
      </x:c>
      <x:c r="D866" s="10" t="str">
        <x:v>CC007</x:v>
      </x:c>
      <x:c r="E866" s="10" t="str">
        <x:v>CAT004</x:v>
      </x:c>
      <x:c r="F866" s="10" t="str">
        <x:v>CTA006</x:v>
      </x:c>
      <x:c r="G866" s="10" t="str">
        <x:v>FAT-200865</x:v>
      </x:c>
      <x:c r="H866" s="10" t="str">
        <x:v>Prestação de serviços</x:v>
      </x:c>
      <x:c r="I866" s="16" t="n">
        <x:v>45798.87024004629</x:v>
      </x:c>
      <x:c r="J866" s="16" t="n">
        <x:v>45858.87024004629</x:v>
      </x:c>
      <x:c r="K866" s="16"/>
      <x:c r="L866" s="20" t="n">
        <x:v>24632.57</x:v>
      </x:c>
      <x:c r="M866" s="20" t="n">
        <x:v>0</x:v>
      </x:c>
      <x:c r="N866" s="20" t="n">
        <x:v>0</x:v>
      </x:c>
      <x:c r="O866" s="20" t="n">
        <x:v>0</x:v>
      </x:c>
      <x:c r="P866" s="20" t="n">
        <x:v>24632.57</x:v>
      </x:c>
      <x:c r="Q866" s="10" t="str">
        <x:v>Vencido</x:v>
      </x:c>
      <x:c r="R866" s="10" t="str">
        <x:v>Boleto</x:v>
      </x:c>
      <x:c r="S866" s="10" t="str">
        <x:v>2025-05</x:v>
      </x:c>
      <x:c r="T866" s="10" t="n">
        <x:v>163</x:v>
      </x:c>
      <x:c r="U866" s="10" t="str">
        <x:v>&gt; 120 dias</x:v>
      </x:c>
      <x:c r="V866" s="10" t="str">
        <x:v>Médio</x:v>
      </x:c>
      <x:c r="W866" s="10" t="str">
        <x:v>Tecnologia</x:v>
      </x:c>
      <x:c r="X866" s="10" t="str">
        <x:v>UND004</x:v>
      </x:c>
    </x:row>
    <x:row r="867" ht="18" customHeight="1">
      <x:c r="A867" s="10" t="str">
        <x:v>REC00866</x:v>
      </x:c>
      <x:c r="B867" s="10" t="str">
        <x:v>EMP001</x:v>
      </x:c>
      <x:c r="C867" s="10" t="str">
        <x:v>CLI075</x:v>
      </x:c>
      <x:c r="D867" s="10" t="str">
        <x:v>CC003</x:v>
      </x:c>
      <x:c r="E867" s="10" t="str">
        <x:v>CAT002</x:v>
      </x:c>
      <x:c r="F867" s="10" t="str">
        <x:v>CTA002</x:v>
      </x:c>
      <x:c r="G867" s="10" t="str">
        <x:v>FAT-200866</x:v>
      </x:c>
      <x:c r="H867" s="10" t="str">
        <x:v>Projeto especial</x:v>
      </x:c>
      <x:c r="I867" s="16" t="n">
        <x:v>45586.21868392361</x:v>
      </x:c>
      <x:c r="J867" s="16" t="n">
        <x:v>45646.21868392361</x:v>
      </x:c>
      <x:c r="K867" s="16" t="n">
        <x:v>45660.21868392361</x:v>
      </x:c>
      <x:c r="L867" s="20" t="n">
        <x:v>15023.38</x:v>
      </x:c>
      <x:c r="M867" s="20" t="n">
        <x:v>168.26</x:v>
      </x:c>
      <x:c r="N867" s="20" t="n">
        <x:v>0</x:v>
      </x:c>
      <x:c r="O867" s="20" t="n">
        <x:v>15191.64</x:v>
      </x:c>
      <x:c r="P867" s="20" t="n">
        <x:v>0</x:v>
      </x:c>
      <x:c r="Q867" s="10" t="str">
        <x:v>Recebido</x:v>
      </x:c>
      <x:c r="R867" s="10" t="str">
        <x:v>Débito em Conta</x:v>
      </x:c>
      <x:c r="S867" s="10" t="str">
        <x:v>2024-10</x:v>
      </x:c>
      <x:c r="T867" s="10" t="n">
        <x:v>0</x:v>
      </x:c>
      <x:c r="U867" s="10" t="str">
        <x:v>Liquidado</x:v>
      </x:c>
      <x:c r="V867" s="10" t="str">
        <x:v>Médio</x:v>
      </x:c>
      <x:c r="W867" s="10" t="str">
        <x:v>Varejo</x:v>
      </x:c>
      <x:c r="X867" s="10" t="str">
        <x:v>UND002</x:v>
      </x:c>
    </x:row>
    <x:row r="868" ht="18" customHeight="1">
      <x:c r="A868" s="10" t="str">
        <x:v>REC00867</x:v>
      </x:c>
      <x:c r="B868" s="10" t="str">
        <x:v>EMP003</x:v>
      </x:c>
      <x:c r="C868" s="10" t="str">
        <x:v>CLI005</x:v>
      </x:c>
      <x:c r="D868" s="10" t="str">
        <x:v>CC005</x:v>
      </x:c>
      <x:c r="E868" s="10" t="str">
        <x:v>CAT003</x:v>
      </x:c>
      <x:c r="F868" s="10" t="str">
        <x:v>CTA006</x:v>
      </x:c>
      <x:c r="G868" s="10" t="str">
        <x:v>FAT-200867</x:v>
      </x:c>
      <x:c r="H868" s="10" t="str">
        <x:v>Frete faturado</x:v>
      </x:c>
      <x:c r="I868" s="16" t="n">
        <x:v>45717.87121733796</x:v>
      </x:c>
      <x:c r="J868" s="16" t="n">
        <x:v>45738.87121733796</x:v>
      </x:c>
      <x:c r="K868" s="16" t="n">
        <x:v>45732.87121733796</x:v>
      </x:c>
      <x:c r="L868" s="20" t="n">
        <x:v>17726.35</x:v>
      </x:c>
      <x:c r="M868" s="20" t="n">
        <x:v>0</x:v>
      </x:c>
      <x:c r="N868" s="20" t="n">
        <x:v>0</x:v>
      </x:c>
      <x:c r="O868" s="20" t="n">
        <x:v>17726.35</x:v>
      </x:c>
      <x:c r="P868" s="20" t="n">
        <x:v>0</x:v>
      </x:c>
      <x:c r="Q868" s="10" t="str">
        <x:v>Recebido</x:v>
      </x:c>
      <x:c r="R868" s="10" t="str">
        <x:v>Cartão</x:v>
      </x:c>
      <x:c r="S868" s="10" t="str">
        <x:v>2025-03</x:v>
      </x:c>
      <x:c r="T868" s="10" t="n">
        <x:v>0</x:v>
      </x:c>
      <x:c r="U868" s="10" t="str">
        <x:v>Liquidado</x:v>
      </x:c>
      <x:c r="V868" s="10" t="str">
        <x:v>Baixo</x:v>
      </x:c>
      <x:c r="W868" s="10" t="str">
        <x:v>Atacado</x:v>
      </x:c>
      <x:c r="X868" s="10" t="str">
        <x:v>UND004</x:v>
      </x:c>
    </x:row>
    <x:row r="869" ht="18" customHeight="1">
      <x:c r="A869" s="10" t="str">
        <x:v>REC00868</x:v>
      </x:c>
      <x:c r="B869" s="10" t="str">
        <x:v>EMP003</x:v>
      </x:c>
      <x:c r="C869" s="10" t="str">
        <x:v>CLI025</x:v>
      </x:c>
      <x:c r="D869" s="10" t="str">
        <x:v>CC008</x:v>
      </x:c>
      <x:c r="E869" s="10" t="str">
        <x:v>CAT002</x:v>
      </x:c>
      <x:c r="F869" s="10" t="str">
        <x:v>CTA005</x:v>
      </x:c>
      <x:c r="G869" s="10" t="str">
        <x:v>FAT-200868</x:v>
      </x:c>
      <x:c r="H869" s="10" t="str">
        <x:v>Prestação de serviços</x:v>
      </x:c>
      <x:c r="I869" s="16" t="n">
        <x:v>45427.90338894676</x:v>
      </x:c>
      <x:c r="J869" s="16" t="n">
        <x:v>45455.90338894676</x:v>
      </x:c>
      <x:c r="K869" s="16" t="n">
        <x:v>45457.90338894676</x:v>
      </x:c>
      <x:c r="L869" s="20" t="n">
        <x:v>107108.25</x:v>
      </x:c>
      <x:c r="M869" s="20" t="n">
        <x:v>171.37</x:v>
      </x:c>
      <x:c r="N869" s="20" t="n">
        <x:v>0</x:v>
      </x:c>
      <x:c r="O869" s="20" t="n">
        <x:v>107279.62</x:v>
      </x:c>
      <x:c r="P869" s="20" t="n">
        <x:v>0</x:v>
      </x:c>
      <x:c r="Q869" s="10" t="str">
        <x:v>Recebido</x:v>
      </x:c>
      <x:c r="R869" s="10" t="str">
        <x:v>Débito em Conta</x:v>
      </x:c>
      <x:c r="S869" s="10" t="str">
        <x:v>2024-05</x:v>
      </x:c>
      <x:c r="T869" s="10" t="n">
        <x:v>0</x:v>
      </x:c>
      <x:c r="U869" s="10" t="str">
        <x:v>Liquidado</x:v>
      </x:c>
      <x:c r="V869" s="10" t="str">
        <x:v>Médio</x:v>
      </x:c>
      <x:c r="W869" s="10" t="str">
        <x:v>Indústria</x:v>
      </x:c>
      <x:c r="X869" s="10" t="str">
        <x:v>UND004</x:v>
      </x:c>
    </x:row>
    <x:row r="870" ht="18" customHeight="1">
      <x:c r="A870" s="10" t="str">
        <x:v>REC00869</x:v>
      </x:c>
      <x:c r="B870" s="10" t="str">
        <x:v>EMP002</x:v>
      </x:c>
      <x:c r="C870" s="10" t="str">
        <x:v>CLI048</x:v>
      </x:c>
      <x:c r="D870" s="10" t="str">
        <x:v>CC008</x:v>
      </x:c>
      <x:c r="E870" s="10" t="str">
        <x:v>CAT001</x:v>
      </x:c>
      <x:c r="F870" s="10" t="str">
        <x:v>CTA003</x:v>
      </x:c>
      <x:c r="G870" s="10" t="str">
        <x:v>FAT-200869</x:v>
      </x:c>
      <x:c r="H870" s="10" t="str">
        <x:v>Prestação de serviços</x:v>
      </x:c>
      <x:c r="I870" s="16" t="n">
        <x:v>45560.935937835646</x:v>
      </x:c>
      <x:c r="J870" s="16" t="n">
        <x:v>45588.935937835646</x:v>
      </x:c>
      <x:c r="K870" s="16"/>
      <x:c r="L870" s="20" t="n">
        <x:v>121901.3</x:v>
      </x:c>
      <x:c r="M870" s="20" t="n">
        <x:v>0</x:v>
      </x:c>
      <x:c r="N870" s="20" t="n">
        <x:v>0</x:v>
      </x:c>
      <x:c r="O870" s="20" t="n">
        <x:v>0</x:v>
      </x:c>
      <x:c r="P870" s="20" t="n">
        <x:v>121901.3</x:v>
      </x:c>
      <x:c r="Q870" s="10" t="str">
        <x:v>Vencido</x:v>
      </x:c>
      <x:c r="R870" s="10" t="str">
        <x:v>PIX</x:v>
      </x:c>
      <x:c r="S870" s="10" t="str">
        <x:v>2024-09</x:v>
      </x:c>
      <x:c r="T870" s="10" t="n">
        <x:v>433</x:v>
      </x:c>
      <x:c r="U870" s="10" t="str">
        <x:v>&gt; 120 dias</x:v>
      </x:c>
      <x:c r="V870" s="10" t="str">
        <x:v>Baixo</x:v>
      </x:c>
      <x:c r="W870" s="10" t="str">
        <x:v>Tecnologia</x:v>
      </x:c>
      <x:c r="X870" s="10" t="str">
        <x:v>UND003</x:v>
      </x:c>
    </x:row>
    <x:row r="871" ht="18" customHeight="1">
      <x:c r="A871" s="10" t="str">
        <x:v>REC00870</x:v>
      </x:c>
      <x:c r="B871" s="10" t="str">
        <x:v>EMP001</x:v>
      </x:c>
      <x:c r="C871" s="10" t="str">
        <x:v>CLI019</x:v>
      </x:c>
      <x:c r="D871" s="10" t="str">
        <x:v>CC008</x:v>
      </x:c>
      <x:c r="E871" s="10" t="str">
        <x:v>CAT003</x:v>
      </x:c>
      <x:c r="F871" s="10" t="str">
        <x:v>CTA001</x:v>
      </x:c>
      <x:c r="G871" s="10" t="str">
        <x:v>FAT-200870</x:v>
      </x:c>
      <x:c r="H871" s="10" t="str">
        <x:v>Contrato mensal</x:v>
      </x:c>
      <x:c r="I871" s="16" t="n">
        <x:v>45438.62585945602</x:v>
      </x:c>
      <x:c r="J871" s="16" t="n">
        <x:v>45466.62585945602</x:v>
      </x:c>
      <x:c r="K871" s="16" t="n">
        <x:v>45464.62585945602</x:v>
      </x:c>
      <x:c r="L871" s="20" t="n">
        <x:v>124024.17</x:v>
      </x:c>
      <x:c r="M871" s="20" t="n">
        <x:v>0</x:v>
      </x:c>
      <x:c r="N871" s="20" t="n">
        <x:v>0</x:v>
      </x:c>
      <x:c r="O871" s="20" t="n">
        <x:v>124024.17</x:v>
      </x:c>
      <x:c r="P871" s="20" t="n">
        <x:v>0</x:v>
      </x:c>
      <x:c r="Q871" s="10" t="str">
        <x:v>Recebido</x:v>
      </x:c>
      <x:c r="R871" s="10" t="str">
        <x:v>Débito em Conta</x:v>
      </x:c>
      <x:c r="S871" s="10" t="str">
        <x:v>2024-05</x:v>
      </x:c>
      <x:c r="T871" s="10" t="n">
        <x:v>0</x:v>
      </x:c>
      <x:c r="U871" s="10" t="str">
        <x:v>Liquidado</x:v>
      </x:c>
      <x:c r="V871" s="10" t="str">
        <x:v>Alto</x:v>
      </x:c>
      <x:c r="W871" s="10" t="str">
        <x:v>Saúde</x:v>
      </x:c>
      <x:c r="X871" s="10" t="str">
        <x:v>UND001</x:v>
      </x:c>
    </x:row>
    <x:row r="872" ht="18" customHeight="1">
      <x:c r="A872" s="10" t="str">
        <x:v>REC00871</x:v>
      </x:c>
      <x:c r="B872" s="10" t="str">
        <x:v>EMP001</x:v>
      </x:c>
      <x:c r="C872" s="10" t="str">
        <x:v>CLI019</x:v>
      </x:c>
      <x:c r="D872" s="10" t="str">
        <x:v>CC004</x:v>
      </x:c>
      <x:c r="E872" s="10" t="str">
        <x:v>CAT001</x:v>
      </x:c>
      <x:c r="F872" s="10" t="str">
        <x:v>CTA002</x:v>
      </x:c>
      <x:c r="G872" s="10" t="str">
        <x:v>FAT-200871</x:v>
      </x:c>
      <x:c r="H872" s="10" t="str">
        <x:v>Venda de produtos</x:v>
      </x:c>
      <x:c r="I872" s="16" t="n">
        <x:v>45738.78784230324</x:v>
      </x:c>
      <x:c r="J872" s="16" t="n">
        <x:v>45773.78784230324</x:v>
      </x:c>
      <x:c r="K872" s="16" t="n">
        <x:v>45775.78784230324</x:v>
      </x:c>
      <x:c r="L872" s="20" t="n">
        <x:v>89784.47</x:v>
      </x:c>
      <x:c r="M872" s="20" t="n">
        <x:v>143.66</x:v>
      </x:c>
      <x:c r="N872" s="20" t="n">
        <x:v>0</x:v>
      </x:c>
      <x:c r="O872" s="20" t="n">
        <x:v>89928.13</x:v>
      </x:c>
      <x:c r="P872" s="20" t="n">
        <x:v>0</x:v>
      </x:c>
      <x:c r="Q872" s="10" t="str">
        <x:v>Recebido</x:v>
      </x:c>
      <x:c r="R872" s="10" t="str">
        <x:v>TED</x:v>
      </x:c>
      <x:c r="S872" s="10" t="str">
        <x:v>2025-03</x:v>
      </x:c>
      <x:c r="T872" s="10" t="n">
        <x:v>0</x:v>
      </x:c>
      <x:c r="U872" s="10" t="str">
        <x:v>Liquidado</x:v>
      </x:c>
      <x:c r="V872" s="10" t="str">
        <x:v>Alto</x:v>
      </x:c>
      <x:c r="W872" s="10" t="str">
        <x:v>Saúde</x:v>
      </x:c>
      <x:c r="X872" s="10" t="str">
        <x:v>UND002</x:v>
      </x:c>
    </x:row>
    <x:row r="873" ht="18" customHeight="1">
      <x:c r="A873" s="10" t="str">
        <x:v>REC00872</x:v>
      </x:c>
      <x:c r="B873" s="10" t="str">
        <x:v>EMP003</x:v>
      </x:c>
      <x:c r="C873" s="10" t="str">
        <x:v>CLI002</x:v>
      </x:c>
      <x:c r="D873" s="10" t="str">
        <x:v>CC004</x:v>
      </x:c>
      <x:c r="E873" s="10" t="str">
        <x:v>CAT004</x:v>
      </x:c>
      <x:c r="F873" s="10" t="str">
        <x:v>CTA005</x:v>
      </x:c>
      <x:c r="G873" s="10" t="str">
        <x:v>FAT-200872</x:v>
      </x:c>
      <x:c r="H873" s="10" t="str">
        <x:v>Prestação de serviços</x:v>
      </x:c>
      <x:c r="I873" s="16" t="n">
        <x:v>45817.32744613426</x:v>
      </x:c>
      <x:c r="J873" s="16" t="n">
        <x:v>45852.32744613426</x:v>
      </x:c>
      <x:c r="K873" s="16" t="n">
        <x:v>45858.32744613426</x:v>
      </x:c>
      <x:c r="L873" s="20" t="n">
        <x:v>34190.38</x:v>
      </x:c>
      <x:c r="M873" s="20" t="n">
        <x:v>164.11</x:v>
      </x:c>
      <x:c r="N873" s="20" t="n">
        <x:v>0</x:v>
      </x:c>
      <x:c r="O873" s="20" t="n">
        <x:v>34354.49</x:v>
      </x:c>
      <x:c r="P873" s="20" t="n">
        <x:v>0</x:v>
      </x:c>
      <x:c r="Q873" s="10" t="str">
        <x:v>Recebido</x:v>
      </x:c>
      <x:c r="R873" s="10" t="str">
        <x:v>TED</x:v>
      </x:c>
      <x:c r="S873" s="10" t="str">
        <x:v>2025-06</x:v>
      </x:c>
      <x:c r="T873" s="10" t="n">
        <x:v>0</x:v>
      </x:c>
      <x:c r="U873" s="10" t="str">
        <x:v>Liquidado</x:v>
      </x:c>
      <x:c r="V873" s="10" t="str">
        <x:v>Alto</x:v>
      </x:c>
      <x:c r="W873" s="10" t="str">
        <x:v>Serviços</x:v>
      </x:c>
      <x:c r="X873" s="10" t="str">
        <x:v>UND004</x:v>
      </x:c>
    </x:row>
    <x:row r="874" ht="18" customHeight="1">
      <x:c r="A874" s="10" t="str">
        <x:v>REC00873</x:v>
      </x:c>
      <x:c r="B874" s="10" t="str">
        <x:v>EMP001</x:v>
      </x:c>
      <x:c r="C874" s="10" t="str">
        <x:v>CLI070</x:v>
      </x:c>
      <x:c r="D874" s="10" t="str">
        <x:v>CC003</x:v>
      </x:c>
      <x:c r="E874" s="10" t="str">
        <x:v>CAT004</x:v>
      </x:c>
      <x:c r="F874" s="10" t="str">
        <x:v>CTA001</x:v>
      </x:c>
      <x:c r="G874" s="10" t="str">
        <x:v>FAT-200873</x:v>
      </x:c>
      <x:c r="H874" s="10" t="str">
        <x:v>Projeto especial</x:v>
      </x:c>
      <x:c r="I874" s="16" t="n">
        <x:v>45503.536695601855</x:v>
      </x:c>
      <x:c r="J874" s="16" t="n">
        <x:v>45548.536695601855</x:v>
      </x:c>
      <x:c r="K874" s="16" t="n">
        <x:v>45543.536695601855</x:v>
      </x:c>
      <x:c r="L874" s="20" t="n">
        <x:v>38317.15</x:v>
      </x:c>
      <x:c r="M874" s="20" t="n">
        <x:v>0</x:v>
      </x:c>
      <x:c r="N874" s="20" t="n">
        <x:v>0</x:v>
      </x:c>
      <x:c r="O874" s="20" t="n">
        <x:v>38317.15</x:v>
      </x:c>
      <x:c r="P874" s="20" t="n">
        <x:v>0</x:v>
      </x:c>
      <x:c r="Q874" s="10" t="str">
        <x:v>Recebido</x:v>
      </x:c>
      <x:c r="R874" s="10" t="str">
        <x:v>Débito em Conta</x:v>
      </x:c>
      <x:c r="S874" s="10" t="str">
        <x:v>2024-07</x:v>
      </x:c>
      <x:c r="T874" s="10" t="n">
        <x:v>0</x:v>
      </x:c>
      <x:c r="U874" s="10" t="str">
        <x:v>Liquidado</x:v>
      </x:c>
      <x:c r="V874" s="10" t="str">
        <x:v>Baixo</x:v>
      </x:c>
      <x:c r="W874" s="10" t="str">
        <x:v>Saúde</x:v>
      </x:c>
      <x:c r="X874" s="10" t="str">
        <x:v>UND001</x:v>
      </x:c>
    </x:row>
    <x:row r="875" ht="18" customHeight="1">
      <x:c r="A875" s="10" t="str">
        <x:v>REC00874</x:v>
      </x:c>
      <x:c r="B875" s="10" t="str">
        <x:v>EMP002</x:v>
      </x:c>
      <x:c r="C875" s="10" t="str">
        <x:v>CLI030</x:v>
      </x:c>
      <x:c r="D875" s="10" t="str">
        <x:v>CC002</x:v>
      </x:c>
      <x:c r="E875" s="10" t="str">
        <x:v>CAT004</x:v>
      </x:c>
      <x:c r="F875" s="10" t="str">
        <x:v>CTA003</x:v>
      </x:c>
      <x:c r="G875" s="10" t="str">
        <x:v>FAT-200874</x:v>
      </x:c>
      <x:c r="H875" s="10" t="str">
        <x:v>Venda de produtos</x:v>
      </x:c>
      <x:c r="I875" s="16" t="n">
        <x:v>45848.56564540509</x:v>
      </x:c>
      <x:c r="J875" s="16" t="n">
        <x:v>45893.56564540509</x:v>
      </x:c>
      <x:c r="K875" s="16" t="n">
        <x:v>45893.56564540509</x:v>
      </x:c>
      <x:c r="L875" s="20" t="n">
        <x:v>25655.03</x:v>
      </x:c>
      <x:c r="M875" s="20" t="n">
        <x:v>0</x:v>
      </x:c>
      <x:c r="N875" s="20" t="n">
        <x:v>0</x:v>
      </x:c>
      <x:c r="O875" s="20" t="n">
        <x:v>25655.03</x:v>
      </x:c>
      <x:c r="P875" s="20" t="n">
        <x:v>0</x:v>
      </x:c>
      <x:c r="Q875" s="10" t="str">
        <x:v>Recebido</x:v>
      </x:c>
      <x:c r="R875" s="10" t="str">
        <x:v>Boleto</x:v>
      </x:c>
      <x:c r="S875" s="10" t="str">
        <x:v>2025-07</x:v>
      </x:c>
      <x:c r="T875" s="10" t="n">
        <x:v>0</x:v>
      </x:c>
      <x:c r="U875" s="10" t="str">
        <x:v>Liquidado</x:v>
      </x:c>
      <x:c r="V875" s="10" t="str">
        <x:v>Baixo</x:v>
      </x:c>
      <x:c r="W875" s="10" t="str">
        <x:v>Tecnologia</x:v>
      </x:c>
      <x:c r="X875" s="10" t="str">
        <x:v>UND003</x:v>
      </x:c>
    </x:row>
    <x:row r="876" ht="18" customHeight="1">
      <x:c r="A876" s="10" t="str">
        <x:v>REC00875</x:v>
      </x:c>
      <x:c r="B876" s="10" t="str">
        <x:v>EMP003</x:v>
      </x:c>
      <x:c r="C876" s="10" t="str">
        <x:v>CLI003</x:v>
      </x:c>
      <x:c r="D876" s="10" t="str">
        <x:v>CC004</x:v>
      </x:c>
      <x:c r="E876" s="10" t="str">
        <x:v>CAT004</x:v>
      </x:c>
      <x:c r="F876" s="10" t="str">
        <x:v>CTA005</x:v>
      </x:c>
      <x:c r="G876" s="10" t="str">
        <x:v>FAT-200875</x:v>
      </x:c>
      <x:c r="H876" s="10" t="str">
        <x:v>Frete faturado</x:v>
      </x:c>
      <x:c r="I876" s="16" t="n">
        <x:v>45810.805367256944</x:v>
      </x:c>
      <x:c r="J876" s="16" t="n">
        <x:v>45838.805367256944</x:v>
      </x:c>
      <x:c r="K876" s="16" t="n">
        <x:v>45845.805367256944</x:v>
      </x:c>
      <x:c r="L876" s="20" t="n">
        <x:v>144511.18</x:v>
      </x:c>
      <x:c r="M876" s="20" t="n">
        <x:v>809.26</x:v>
      </x:c>
      <x:c r="N876" s="20" t="n">
        <x:v>0</x:v>
      </x:c>
      <x:c r="O876" s="20" t="n">
        <x:v>145320.44</x:v>
      </x:c>
      <x:c r="P876" s="20" t="n">
        <x:v>0</x:v>
      </x:c>
      <x:c r="Q876" s="10" t="str">
        <x:v>Recebido</x:v>
      </x:c>
      <x:c r="R876" s="10" t="str">
        <x:v>PIX</x:v>
      </x:c>
      <x:c r="S876" s="10" t="str">
        <x:v>2025-06</x:v>
      </x:c>
      <x:c r="T876" s="10" t="n">
        <x:v>0</x:v>
      </x:c>
      <x:c r="U876" s="10" t="str">
        <x:v>Liquidado</x:v>
      </x:c>
      <x:c r="V876" s="10" t="str">
        <x:v>Médio</x:v>
      </x:c>
      <x:c r="W876" s="10" t="str">
        <x:v>Saúde</x:v>
      </x:c>
      <x:c r="X876" s="10" t="str">
        <x:v>UND004</x:v>
      </x:c>
    </x:row>
    <x:row r="877" ht="18" customHeight="1">
      <x:c r="A877" s="10" t="str">
        <x:v>REC00876</x:v>
      </x:c>
      <x:c r="B877" s="10" t="str">
        <x:v>EMP003</x:v>
      </x:c>
      <x:c r="C877" s="10" t="str">
        <x:v>CLI014</x:v>
      </x:c>
      <x:c r="D877" s="10" t="str">
        <x:v>CC008</x:v>
      </x:c>
      <x:c r="E877" s="10" t="str">
        <x:v>CAT004</x:v>
      </x:c>
      <x:c r="F877" s="10" t="str">
        <x:v>CTA006</x:v>
      </x:c>
      <x:c r="G877" s="10" t="str">
        <x:v>FAT-200876</x:v>
      </x:c>
      <x:c r="H877" s="10" t="str">
        <x:v>Frete faturado</x:v>
      </x:c>
      <x:c r="I877" s="16" t="n">
        <x:v>45847.26291760417</x:v>
      </x:c>
      <x:c r="J877" s="16" t="n">
        <x:v>45877.26291760417</x:v>
      </x:c>
      <x:c r="K877" s="16" t="n">
        <x:v>45879.26291760417</x:v>
      </x:c>
      <x:c r="L877" s="20" t="n">
        <x:v>80149.83</x:v>
      </x:c>
      <x:c r="M877" s="20" t="n">
        <x:v>128.24</x:v>
      </x:c>
      <x:c r="N877" s="20" t="n">
        <x:v>0</x:v>
      </x:c>
      <x:c r="O877" s="20" t="n">
        <x:v>80278.07</x:v>
      </x:c>
      <x:c r="P877" s="20" t="n">
        <x:v>0</x:v>
      </x:c>
      <x:c r="Q877" s="10" t="str">
        <x:v>Recebido</x:v>
      </x:c>
      <x:c r="R877" s="10" t="str">
        <x:v>Boleto</x:v>
      </x:c>
      <x:c r="S877" s="10" t="str">
        <x:v>2025-07</x:v>
      </x:c>
      <x:c r="T877" s="10" t="n">
        <x:v>0</x:v>
      </x:c>
      <x:c r="U877" s="10" t="str">
        <x:v>Liquidado</x:v>
      </x:c>
      <x:c r="V877" s="10" t="str">
        <x:v>Médio</x:v>
      </x:c>
      <x:c r="W877" s="10" t="str">
        <x:v>Saúde</x:v>
      </x:c>
      <x:c r="X877" s="10" t="str">
        <x:v>UND004</x:v>
      </x:c>
    </x:row>
    <x:row r="878" ht="18" customHeight="1">
      <x:c r="A878" s="10" t="str">
        <x:v>REC00877</x:v>
      </x:c>
      <x:c r="B878" s="10" t="str">
        <x:v>EMP001</x:v>
      </x:c>
      <x:c r="C878" s="10" t="str">
        <x:v>CLI045</x:v>
      </x:c>
      <x:c r="D878" s="10" t="str">
        <x:v>CC007</x:v>
      </x:c>
      <x:c r="E878" s="10" t="str">
        <x:v>CAT001</x:v>
      </x:c>
      <x:c r="F878" s="10" t="str">
        <x:v>CTA001</x:v>
      </x:c>
      <x:c r="G878" s="10" t="str">
        <x:v>FAT-200877</x:v>
      </x:c>
      <x:c r="H878" s="10" t="str">
        <x:v>Prestação de serviços</x:v>
      </x:c>
      <x:c r="I878" s="16" t="n">
        <x:v>45509.900329525466</x:v>
      </x:c>
      <x:c r="J878" s="16" t="n">
        <x:v>45530.900329525466</x:v>
      </x:c>
      <x:c r="K878" s="16"/>
      <x:c r="L878" s="20" t="n">
        <x:v>107671.41</x:v>
      </x:c>
      <x:c r="M878" s="20" t="n">
        <x:v>0</x:v>
      </x:c>
      <x:c r="N878" s="20" t="n">
        <x:v>0</x:v>
      </x:c>
      <x:c r="O878" s="20" t="n">
        <x:v>0</x:v>
      </x:c>
      <x:c r="P878" s="20" t="n">
        <x:v>107671.41</x:v>
      </x:c>
      <x:c r="Q878" s="10" t="str">
        <x:v>Vencido</x:v>
      </x:c>
      <x:c r="R878" s="10" t="str">
        <x:v>Cartão</x:v>
      </x:c>
      <x:c r="S878" s="10" t="str">
        <x:v>2024-08</x:v>
      </x:c>
      <x:c r="T878" s="10" t="n">
        <x:v>491</x:v>
      </x:c>
      <x:c r="U878" s="10" t="str">
        <x:v>&gt; 120 dias</x:v>
      </x:c>
      <x:c r="V878" s="10" t="str">
        <x:v>Baixo</x:v>
      </x:c>
      <x:c r="W878" s="10" t="str">
        <x:v>Varejo</x:v>
      </x:c>
      <x:c r="X878" s="10" t="str">
        <x:v>UND002</x:v>
      </x:c>
    </x:row>
    <x:row r="879" ht="18" customHeight="1">
      <x:c r="A879" s="10" t="str">
        <x:v>REC00878</x:v>
      </x:c>
      <x:c r="B879" s="10" t="str">
        <x:v>EMP002</x:v>
      </x:c>
      <x:c r="C879" s="10" t="str">
        <x:v>CLI040</x:v>
      </x:c>
      <x:c r="D879" s="10" t="str">
        <x:v>CC002</x:v>
      </x:c>
      <x:c r="E879" s="10" t="str">
        <x:v>CAT002</x:v>
      </x:c>
      <x:c r="F879" s="10" t="str">
        <x:v>CTA003</x:v>
      </x:c>
      <x:c r="G879" s="10" t="str">
        <x:v>FAT-200878</x:v>
      </x:c>
      <x:c r="H879" s="10" t="str">
        <x:v>Frete faturado</x:v>
      </x:c>
      <x:c r="I879" s="16" t="n">
        <x:v>45412.15968302084</x:v>
      </x:c>
      <x:c r="J879" s="16" t="n">
        <x:v>45440.15968302084</x:v>
      </x:c>
      <x:c r="K879" s="16" t="n">
        <x:v>45443.15968302084</x:v>
      </x:c>
      <x:c r="L879" s="20" t="n">
        <x:v>79740.41</x:v>
      </x:c>
      <x:c r="M879" s="20" t="n">
        <x:v>191.38</x:v>
      </x:c>
      <x:c r="N879" s="20" t="n">
        <x:v>0</x:v>
      </x:c>
      <x:c r="O879" s="20" t="n">
        <x:v>79931.79</x:v>
      </x:c>
      <x:c r="P879" s="20" t="n">
        <x:v>0</x:v>
      </x:c>
      <x:c r="Q879" s="10" t="str">
        <x:v>Recebido</x:v>
      </x:c>
      <x:c r="R879" s="10" t="str">
        <x:v>Débito em Conta</x:v>
      </x:c>
      <x:c r="S879" s="10" t="str">
        <x:v>2024-04</x:v>
      </x:c>
      <x:c r="T879" s="10" t="n">
        <x:v>0</x:v>
      </x:c>
      <x:c r="U879" s="10" t="str">
        <x:v>Liquidado</x:v>
      </x:c>
      <x:c r="V879" s="10" t="str">
        <x:v>Baixo</x:v>
      </x:c>
      <x:c r="W879" s="10" t="str">
        <x:v>Saúde</x:v>
      </x:c>
      <x:c r="X879" s="10" t="str">
        <x:v>UND003</x:v>
      </x:c>
    </x:row>
    <x:row r="880" ht="18" customHeight="1">
      <x:c r="A880" s="10" t="str">
        <x:v>REC00879</x:v>
      </x:c>
      <x:c r="B880" s="10" t="str">
        <x:v>EMP001</x:v>
      </x:c>
      <x:c r="C880" s="10" t="str">
        <x:v>CLI057</x:v>
      </x:c>
      <x:c r="D880" s="10" t="str">
        <x:v>CC006</x:v>
      </x:c>
      <x:c r="E880" s="10" t="str">
        <x:v>CAT003</x:v>
      </x:c>
      <x:c r="F880" s="10" t="str">
        <x:v>CTA001</x:v>
      </x:c>
      <x:c r="G880" s="10" t="str">
        <x:v>FAT-200879</x:v>
      </x:c>
      <x:c r="H880" s="10" t="str">
        <x:v>Venda de produtos</x:v>
      </x:c>
      <x:c r="I880" s="16" t="n">
        <x:v>45407.93546047454</x:v>
      </x:c>
      <x:c r="J880" s="16" t="n">
        <x:v>45442.93546047454</x:v>
      </x:c>
      <x:c r="K880" s="16" t="n">
        <x:v>45461.93546047454</x:v>
      </x:c>
      <x:c r="L880" s="20" t="n">
        <x:v>142921.92</x:v>
      </x:c>
      <x:c r="M880" s="20" t="n">
        <x:v>2172.41</x:v>
      </x:c>
      <x:c r="N880" s="20" t="n">
        <x:v>0</x:v>
      </x:c>
      <x:c r="O880" s="20" t="n">
        <x:v>145094.33</x:v>
      </x:c>
      <x:c r="P880" s="20" t="n">
        <x:v>0</x:v>
      </x:c>
      <x:c r="Q880" s="10" t="str">
        <x:v>Recebido</x:v>
      </x:c>
      <x:c r="R880" s="10" t="str">
        <x:v>Cartão</x:v>
      </x:c>
      <x:c r="S880" s="10" t="str">
        <x:v>2024-04</x:v>
      </x:c>
      <x:c r="T880" s="10" t="n">
        <x:v>0</x:v>
      </x:c>
      <x:c r="U880" s="10" t="str">
        <x:v>Liquidado</x:v>
      </x:c>
      <x:c r="V880" s="10" t="str">
        <x:v>Alto</x:v>
      </x:c>
      <x:c r="W880" s="10" t="str">
        <x:v>Saúde</x:v>
      </x:c>
      <x:c r="X880" s="10" t="str">
        <x:v>UND002</x:v>
      </x:c>
    </x:row>
    <x:row r="881" ht="18" customHeight="1">
      <x:c r="A881" s="10" t="str">
        <x:v>REC00880</x:v>
      </x:c>
      <x:c r="B881" s="10" t="str">
        <x:v>EMP001</x:v>
      </x:c>
      <x:c r="C881" s="10" t="str">
        <x:v>CLI030</x:v>
      </x:c>
      <x:c r="D881" s="10" t="str">
        <x:v>CC006</x:v>
      </x:c>
      <x:c r="E881" s="10" t="str">
        <x:v>CAT001</x:v>
      </x:c>
      <x:c r="F881" s="10" t="str">
        <x:v>CTA002</x:v>
      </x:c>
      <x:c r="G881" s="10" t="str">
        <x:v>FAT-200880</x:v>
      </x:c>
      <x:c r="H881" s="10" t="str">
        <x:v>Frete faturado</x:v>
      </x:c>
      <x:c r="I881" s="16" t="n">
        <x:v>45353.95838266204</x:v>
      </x:c>
      <x:c r="J881" s="16" t="n">
        <x:v>45383.95838266204</x:v>
      </x:c>
      <x:c r="K881" s="16" t="n">
        <x:v>45378.95838266204</x:v>
      </x:c>
      <x:c r="L881" s="20" t="n">
        <x:v>85054.2</x:v>
      </x:c>
      <x:c r="M881" s="20" t="n">
        <x:v>0</x:v>
      </x:c>
      <x:c r="N881" s="20" t="n">
        <x:v>425.27</x:v>
      </x:c>
      <x:c r="O881" s="20" t="n">
        <x:v>84628.93</x:v>
      </x:c>
      <x:c r="P881" s="20" t="n">
        <x:v>0</x:v>
      </x:c>
      <x:c r="Q881" s="10" t="str">
        <x:v>Recebido</x:v>
      </x:c>
      <x:c r="R881" s="10" t="str">
        <x:v>Boleto</x:v>
      </x:c>
      <x:c r="S881" s="10" t="str">
        <x:v>2024-03</x:v>
      </x:c>
      <x:c r="T881" s="10" t="n">
        <x:v>0</x:v>
      </x:c>
      <x:c r="U881" s="10" t="str">
        <x:v>Liquidado</x:v>
      </x:c>
      <x:c r="V881" s="10" t="str">
        <x:v>Baixo</x:v>
      </x:c>
      <x:c r="W881" s="10" t="str">
        <x:v>Tecnologia</x:v>
      </x:c>
      <x:c r="X881" s="10" t="str">
        <x:v>UND002</x:v>
      </x:c>
    </x:row>
    <x:row r="882" ht="18" customHeight="1">
      <x:c r="A882" s="10" t="str">
        <x:v>REC00881</x:v>
      </x:c>
      <x:c r="B882" s="10" t="str">
        <x:v>EMP002</x:v>
      </x:c>
      <x:c r="C882" s="10" t="str">
        <x:v>CLI080</x:v>
      </x:c>
      <x:c r="D882" s="10" t="str">
        <x:v>CC001</x:v>
      </x:c>
      <x:c r="E882" s="10" t="str">
        <x:v>CAT001</x:v>
      </x:c>
      <x:c r="F882" s="10" t="str">
        <x:v>CTA004</x:v>
      </x:c>
      <x:c r="G882" s="10" t="str">
        <x:v>FAT-200881</x:v>
      </x:c>
      <x:c r="H882" s="10" t="str">
        <x:v>Frete faturado</x:v>
      </x:c>
      <x:c r="I882" s="16" t="n">
        <x:v>45872.08935422454</x:v>
      </x:c>
      <x:c r="J882" s="16" t="n">
        <x:v>45932.08935422454</x:v>
      </x:c>
      <x:c r="K882" s="16" t="n">
        <x:v>45939.08935422454</x:v>
      </x:c>
      <x:c r="L882" s="20" t="n">
        <x:v>8342.43</x:v>
      </x:c>
      <x:c r="M882" s="20" t="n">
        <x:v>46.72</x:v>
      </x:c>
      <x:c r="N882" s="20" t="n">
        <x:v>0</x:v>
      </x:c>
      <x:c r="O882" s="20" t="n">
        <x:v>8389.15</x:v>
      </x:c>
      <x:c r="P882" s="20" t="n">
        <x:v>0</x:v>
      </x:c>
      <x:c r="Q882" s="10" t="str">
        <x:v>Recebido</x:v>
      </x:c>
      <x:c r="R882" s="10" t="str">
        <x:v>TED</x:v>
      </x:c>
      <x:c r="S882" s="10" t="str">
        <x:v>2025-08</x:v>
      </x:c>
      <x:c r="T882" s="10" t="n">
        <x:v>0</x:v>
      </x:c>
      <x:c r="U882" s="10" t="str">
        <x:v>Liquidado</x:v>
      </x:c>
      <x:c r="V882" s="10" t="str">
        <x:v>Médio</x:v>
      </x:c>
      <x:c r="W882" s="10" t="str">
        <x:v>Atacado</x:v>
      </x:c>
      <x:c r="X882" s="10" t="str">
        <x:v>UND003</x:v>
      </x:c>
    </x:row>
    <x:row r="883" ht="18" customHeight="1">
      <x:c r="A883" s="10" t="str">
        <x:v>REC00882</x:v>
      </x:c>
      <x:c r="B883" s="10" t="str">
        <x:v>EMP001</x:v>
      </x:c>
      <x:c r="C883" s="10" t="str">
        <x:v>CLI049</x:v>
      </x:c>
      <x:c r="D883" s="10" t="str">
        <x:v>CC003</x:v>
      </x:c>
      <x:c r="E883" s="10" t="str">
        <x:v>CAT002</x:v>
      </x:c>
      <x:c r="F883" s="10" t="str">
        <x:v>CTA002</x:v>
      </x:c>
      <x:c r="G883" s="10" t="str">
        <x:v>FAT-200882</x:v>
      </x:c>
      <x:c r="H883" s="10" t="str">
        <x:v>Frete faturado</x:v>
      </x:c>
      <x:c r="I883" s="16" t="n">
        <x:v>45974.92230766204</x:v>
      </x:c>
      <x:c r="J883" s="16" t="n">
        <x:v>46002.92230766204</x:v>
      </x:c>
      <x:c r="K883" s="16"/>
      <x:c r="L883" s="20" t="n">
        <x:v>36453.54</x:v>
      </x:c>
      <x:c r="M883" s="20" t="n">
        <x:v>0</x:v>
      </x:c>
      <x:c r="N883" s="20" t="n">
        <x:v>0</x:v>
      </x:c>
      <x:c r="O883" s="20" t="n">
        <x:v>0</x:v>
      </x:c>
      <x:c r="P883" s="20" t="n">
        <x:v>36453.54</x:v>
      </x:c>
      <x:c r="Q883" s="10" t="str">
        <x:v>Vencido</x:v>
      </x:c>
      <x:c r="R883" s="10" t="str">
        <x:v>TED</x:v>
      </x:c>
      <x:c r="S883" s="10" t="str">
        <x:v>2025-11</x:v>
      </x:c>
      <x:c r="T883" s="10" t="n">
        <x:v>19</x:v>
      </x:c>
      <x:c r="U883" s="10" t="str">
        <x:v>1 a 30 dias</x:v>
      </x:c>
      <x:c r="V883" s="10" t="str">
        <x:v>Médio</x:v>
      </x:c>
      <x:c r="W883" s="10" t="str">
        <x:v>Serviços</x:v>
      </x:c>
      <x:c r="X883" s="10" t="str">
        <x:v>UND002</x:v>
      </x:c>
    </x:row>
    <x:row r="884" ht="18" customHeight="1">
      <x:c r="A884" s="10" t="str">
        <x:v>REC00883</x:v>
      </x:c>
      <x:c r="B884" s="10" t="str">
        <x:v>EMP001</x:v>
      </x:c>
      <x:c r="C884" s="10" t="str">
        <x:v>CLI006</x:v>
      </x:c>
      <x:c r="D884" s="10" t="str">
        <x:v>CC001</x:v>
      </x:c>
      <x:c r="E884" s="10" t="str">
        <x:v>CAT004</x:v>
      </x:c>
      <x:c r="F884" s="10" t="str">
        <x:v>CTA002</x:v>
      </x:c>
      <x:c r="G884" s="10" t="str">
        <x:v>FAT-200883</x:v>
      </x:c>
      <x:c r="H884" s="10" t="str">
        <x:v>Contrato mensal</x:v>
      </x:c>
      <x:c r="I884" s="16" t="n">
        <x:v>45677.12379200231</x:v>
      </x:c>
      <x:c r="J884" s="16" t="n">
        <x:v>45707.12379200231</x:v>
      </x:c>
      <x:c r="K884" s="16" t="n">
        <x:v>45714.12379200231</x:v>
      </x:c>
      <x:c r="L884" s="20" t="n">
        <x:v>142741.96</x:v>
      </x:c>
      <x:c r="M884" s="20" t="n">
        <x:v>799.35</x:v>
      </x:c>
      <x:c r="N884" s="20" t="n">
        <x:v>0</x:v>
      </x:c>
      <x:c r="O884" s="20" t="n">
        <x:v>143541.31</x:v>
      </x:c>
      <x:c r="P884" s="20" t="n">
        <x:v>0</x:v>
      </x:c>
      <x:c r="Q884" s="10" t="str">
        <x:v>Recebido</x:v>
      </x:c>
      <x:c r="R884" s="10" t="str">
        <x:v>PIX</x:v>
      </x:c>
      <x:c r="S884" s="10" t="str">
        <x:v>2025-01</x:v>
      </x:c>
      <x:c r="T884" s="10" t="n">
        <x:v>0</x:v>
      </x:c>
      <x:c r="U884" s="10" t="str">
        <x:v>Liquidado</x:v>
      </x:c>
      <x:c r="V884" s="10" t="str">
        <x:v>Baixo</x:v>
      </x:c>
      <x:c r="W884" s="10" t="str">
        <x:v>Varejo</x:v>
      </x:c>
      <x:c r="X884" s="10" t="str">
        <x:v>UND001</x:v>
      </x:c>
    </x:row>
    <x:row r="885" ht="18" customHeight="1">
      <x:c r="A885" s="10" t="str">
        <x:v>REC00884</x:v>
      </x:c>
      <x:c r="B885" s="10" t="str">
        <x:v>EMP001</x:v>
      </x:c>
      <x:c r="C885" s="10" t="str">
        <x:v>CLI035</x:v>
      </x:c>
      <x:c r="D885" s="10" t="str">
        <x:v>CC002</x:v>
      </x:c>
      <x:c r="E885" s="10" t="str">
        <x:v>CAT003</x:v>
      </x:c>
      <x:c r="F885" s="10" t="str">
        <x:v>CTA001</x:v>
      </x:c>
      <x:c r="G885" s="10" t="str">
        <x:v>FAT-200884</x:v>
      </x:c>
      <x:c r="H885" s="10" t="str">
        <x:v>Projeto especial</x:v>
      </x:c>
      <x:c r="I885" s="16" t="n">
        <x:v>45737.790137662036</x:v>
      </x:c>
      <x:c r="J885" s="16" t="n">
        <x:v>45797.790137662036</x:v>
      </x:c>
      <x:c r="K885" s="16"/>
      <x:c r="L885" s="20" t="n">
        <x:v>5435.14</x:v>
      </x:c>
      <x:c r="M885" s="20" t="n">
        <x:v>0</x:v>
      </x:c>
      <x:c r="N885" s="20" t="n">
        <x:v>0</x:v>
      </x:c>
      <x:c r="O885" s="20" t="n">
        <x:v>0</x:v>
      </x:c>
      <x:c r="P885" s="20" t="n">
        <x:v>5435.14</x:v>
      </x:c>
      <x:c r="Q885" s="10" t="str">
        <x:v>Vencido</x:v>
      </x:c>
      <x:c r="R885" s="10" t="str">
        <x:v>Cartão</x:v>
      </x:c>
      <x:c r="S885" s="10" t="str">
        <x:v>2025-03</x:v>
      </x:c>
      <x:c r="T885" s="10" t="n">
        <x:v>224</x:v>
      </x:c>
      <x:c r="U885" s="10" t="str">
        <x:v>&gt; 120 dias</x:v>
      </x:c>
      <x:c r="V885" s="10" t="str">
        <x:v>Médio</x:v>
      </x:c>
      <x:c r="W885" s="10" t="str">
        <x:v>Varejo</x:v>
      </x:c>
      <x:c r="X885" s="10" t="str">
        <x:v>UND001</x:v>
      </x:c>
    </x:row>
    <x:row r="886" ht="18" customHeight="1">
      <x:c r="A886" s="10" t="str">
        <x:v>REC00885</x:v>
      </x:c>
      <x:c r="B886" s="10" t="str">
        <x:v>EMP001</x:v>
      </x:c>
      <x:c r="C886" s="10" t="str">
        <x:v>CLI035</x:v>
      </x:c>
      <x:c r="D886" s="10" t="str">
        <x:v>CC002</x:v>
      </x:c>
      <x:c r="E886" s="10" t="str">
        <x:v>CAT001</x:v>
      </x:c>
      <x:c r="F886" s="10" t="str">
        <x:v>CTA001</x:v>
      </x:c>
      <x:c r="G886" s="10" t="str">
        <x:v>FAT-200885</x:v>
      </x:c>
      <x:c r="H886" s="10" t="str">
        <x:v>Contrato mensal</x:v>
      </x:c>
      <x:c r="I886" s="16" t="n">
        <x:v>45573.86350836806</x:v>
      </x:c>
      <x:c r="J886" s="16" t="n">
        <x:v>45594.86350836806</x:v>
      </x:c>
      <x:c r="K886" s="16" t="n">
        <x:v>45603.86350836806</x:v>
      </x:c>
      <x:c r="L886" s="20" t="n">
        <x:v>25407.4</x:v>
      </x:c>
      <x:c r="M886" s="20" t="n">
        <x:v>182.93</x:v>
      </x:c>
      <x:c r="N886" s="20" t="n">
        <x:v>0</x:v>
      </x:c>
      <x:c r="O886" s="20" t="n">
        <x:v>25590.33</x:v>
      </x:c>
      <x:c r="P886" s="20" t="n">
        <x:v>0</x:v>
      </x:c>
      <x:c r="Q886" s="10" t="str">
        <x:v>Recebido</x:v>
      </x:c>
      <x:c r="R886" s="10" t="str">
        <x:v>TED</x:v>
      </x:c>
      <x:c r="S886" s="10" t="str">
        <x:v>2024-10</x:v>
      </x:c>
      <x:c r="T886" s="10" t="n">
        <x:v>0</x:v>
      </x:c>
      <x:c r="U886" s="10" t="str">
        <x:v>Liquidado</x:v>
      </x:c>
      <x:c r="V886" s="10" t="str">
        <x:v>Médio</x:v>
      </x:c>
      <x:c r="W886" s="10" t="str">
        <x:v>Varejo</x:v>
      </x:c>
      <x:c r="X886" s="10" t="str">
        <x:v>UND002</x:v>
      </x:c>
    </x:row>
    <x:row r="887" ht="18" customHeight="1">
      <x:c r="A887" s="10" t="str">
        <x:v>REC00886</x:v>
      </x:c>
      <x:c r="B887" s="10" t="str">
        <x:v>EMP002</x:v>
      </x:c>
      <x:c r="C887" s="10" t="str">
        <x:v>CLI035</x:v>
      </x:c>
      <x:c r="D887" s="10" t="str">
        <x:v>CC003</x:v>
      </x:c>
      <x:c r="E887" s="10" t="str">
        <x:v>CAT001</x:v>
      </x:c>
      <x:c r="F887" s="10" t="str">
        <x:v>CTA003</x:v>
      </x:c>
      <x:c r="G887" s="10" t="str">
        <x:v>FAT-200886</x:v>
      </x:c>
      <x:c r="H887" s="10" t="str">
        <x:v>Venda de produtos</x:v>
      </x:c>
      <x:c r="I887" s="16" t="n">
        <x:v>45304.61925646991</x:v>
      </x:c>
      <x:c r="J887" s="16" t="n">
        <x:v>45364.61925646991</x:v>
      </x:c>
      <x:c r="K887" s="16"/>
      <x:c r="L887" s="20" t="n">
        <x:v>99844.58</x:v>
      </x:c>
      <x:c r="M887" s="20" t="n">
        <x:v>0</x:v>
      </x:c>
      <x:c r="N887" s="20" t="n">
        <x:v>0</x:v>
      </x:c>
      <x:c r="O887" s="20" t="n">
        <x:v>0</x:v>
      </x:c>
      <x:c r="P887" s="20" t="n">
        <x:v>0</x:v>
      </x:c>
      <x:c r="Q887" s="10" t="str">
        <x:v>Cancelado</x:v>
      </x:c>
      <x:c r="R887" s="10" t="str">
        <x:v>Cartão</x:v>
      </x:c>
      <x:c r="S887" s="10" t="str">
        <x:v>2024-01</x:v>
      </x:c>
      <x:c r="T887" s="10" t="n">
        <x:v>0</x:v>
      </x:c>
      <x:c r="U887" s="10" t="str">
        <x:v>Cancelado</x:v>
      </x:c>
      <x:c r="V887" s="10" t="str">
        <x:v>Médio</x:v>
      </x:c>
      <x:c r="W887" s="10" t="str">
        <x:v>Varejo</x:v>
      </x:c>
      <x:c r="X887" s="10" t="str">
        <x:v>UND003</x:v>
      </x:c>
    </x:row>
    <x:row r="888" ht="18" customHeight="1">
      <x:c r="A888" s="10" t="str">
        <x:v>REC00887</x:v>
      </x:c>
      <x:c r="B888" s="10" t="str">
        <x:v>EMP002</x:v>
      </x:c>
      <x:c r="C888" s="10" t="str">
        <x:v>CLI038</x:v>
      </x:c>
      <x:c r="D888" s="10" t="str">
        <x:v>CC006</x:v>
      </x:c>
      <x:c r="E888" s="10" t="str">
        <x:v>CAT001</x:v>
      </x:c>
      <x:c r="F888" s="10" t="str">
        <x:v>CTA004</x:v>
      </x:c>
      <x:c r="G888" s="10" t="str">
        <x:v>FAT-200887</x:v>
      </x:c>
      <x:c r="H888" s="10" t="str">
        <x:v>Frete faturado</x:v>
      </x:c>
      <x:c r="I888" s="16" t="n">
        <x:v>45586.87385672454</x:v>
      </x:c>
      <x:c r="J888" s="16" t="n">
        <x:v>45601.87385672454</x:v>
      </x:c>
      <x:c r="K888" s="16" t="n">
        <x:v>45601.87385672454</x:v>
      </x:c>
      <x:c r="L888" s="20" t="n">
        <x:v>122455.2</x:v>
      </x:c>
      <x:c r="M888" s="20" t="n">
        <x:v>0</x:v>
      </x:c>
      <x:c r="N888" s="20" t="n">
        <x:v>0</x:v>
      </x:c>
      <x:c r="O888" s="20" t="n">
        <x:v>122455.2</x:v>
      </x:c>
      <x:c r="P888" s="20" t="n">
        <x:v>0</x:v>
      </x:c>
      <x:c r="Q888" s="10" t="str">
        <x:v>Recebido</x:v>
      </x:c>
      <x:c r="R888" s="10" t="str">
        <x:v>TED</x:v>
      </x:c>
      <x:c r="S888" s="10" t="str">
        <x:v>2024-10</x:v>
      </x:c>
      <x:c r="T888" s="10" t="n">
        <x:v>0</x:v>
      </x:c>
      <x:c r="U888" s="10" t="str">
        <x:v>Liquidado</x:v>
      </x:c>
      <x:c r="V888" s="10" t="str">
        <x:v>Baixo</x:v>
      </x:c>
      <x:c r="W888" s="10" t="str">
        <x:v>Varejo</x:v>
      </x:c>
      <x:c r="X888" s="10" t="str">
        <x:v>UND003</x:v>
      </x:c>
    </x:row>
    <x:row r="889" ht="18" customHeight="1">
      <x:c r="A889" s="10" t="str">
        <x:v>REC00888</x:v>
      </x:c>
      <x:c r="B889" s="10" t="str">
        <x:v>EMP003</x:v>
      </x:c>
      <x:c r="C889" s="10" t="str">
        <x:v>CLI036</x:v>
      </x:c>
      <x:c r="D889" s="10" t="str">
        <x:v>CC007</x:v>
      </x:c>
      <x:c r="E889" s="10" t="str">
        <x:v>CAT001</x:v>
      </x:c>
      <x:c r="F889" s="10" t="str">
        <x:v>CTA005</x:v>
      </x:c>
      <x:c r="G889" s="10" t="str">
        <x:v>FAT-200888</x:v>
      </x:c>
      <x:c r="H889" s="10" t="str">
        <x:v>Projeto especial</x:v>
      </x:c>
      <x:c r="I889" s="16" t="n">
        <x:v>45460.658238275464</x:v>
      </x:c>
      <x:c r="J889" s="16" t="n">
        <x:v>45475.658238275464</x:v>
      </x:c>
      <x:c r="K889" s="16"/>
      <x:c r="L889" s="20" t="n">
        <x:v>97868.8</x:v>
      </x:c>
      <x:c r="M889" s="20" t="n">
        <x:v>0</x:v>
      </x:c>
      <x:c r="N889" s="20" t="n">
        <x:v>0</x:v>
      </x:c>
      <x:c r="O889" s="20" t="n">
        <x:v>0</x:v>
      </x:c>
      <x:c r="P889" s="20" t="n">
        <x:v>97868.8</x:v>
      </x:c>
      <x:c r="Q889" s="10" t="str">
        <x:v>Vencido</x:v>
      </x:c>
      <x:c r="R889" s="10" t="str">
        <x:v>PIX</x:v>
      </x:c>
      <x:c r="S889" s="10" t="str">
        <x:v>2024-06</x:v>
      </x:c>
      <x:c r="T889" s="10" t="n">
        <x:v>546</x:v>
      </x:c>
      <x:c r="U889" s="10" t="str">
        <x:v>&gt; 120 dias</x:v>
      </x:c>
      <x:c r="V889" s="10" t="str">
        <x:v>Baixo</x:v>
      </x:c>
      <x:c r="W889" s="10" t="str">
        <x:v>Atacado</x:v>
      </x:c>
      <x:c r="X889" s="10" t="str">
        <x:v>UND004</x:v>
      </x:c>
    </x:row>
    <x:row r="890" ht="18" customHeight="1">
      <x:c r="A890" s="10" t="str">
        <x:v>REC00889</x:v>
      </x:c>
      <x:c r="B890" s="10" t="str">
        <x:v>EMP002</x:v>
      </x:c>
      <x:c r="C890" s="10" t="str">
        <x:v>CLI026</x:v>
      </x:c>
      <x:c r="D890" s="10" t="str">
        <x:v>CC001</x:v>
      </x:c>
      <x:c r="E890" s="10" t="str">
        <x:v>CAT002</x:v>
      </x:c>
      <x:c r="F890" s="10" t="str">
        <x:v>CTA004</x:v>
      </x:c>
      <x:c r="G890" s="10" t="str">
        <x:v>FAT-200889</x:v>
      </x:c>
      <x:c r="H890" s="10" t="str">
        <x:v>Contrato mensal</x:v>
      </x:c>
      <x:c r="I890" s="16" t="n">
        <x:v>45605.53081564815</x:v>
      </x:c>
      <x:c r="J890" s="16" t="n">
        <x:v>45633.53081564815</x:v>
      </x:c>
      <x:c r="K890" s="16" t="n">
        <x:v>45641.53081564815</x:v>
      </x:c>
      <x:c r="L890" s="20" t="n">
        <x:v>72799.94</x:v>
      </x:c>
      <x:c r="M890" s="20" t="n">
        <x:v>465.92</x:v>
      </x:c>
      <x:c r="N890" s="20" t="n">
        <x:v>0</x:v>
      </x:c>
      <x:c r="O890" s="20" t="n">
        <x:v>73265.86</x:v>
      </x:c>
      <x:c r="P890" s="20" t="n">
        <x:v>0</x:v>
      </x:c>
      <x:c r="Q890" s="10" t="str">
        <x:v>Recebido</x:v>
      </x:c>
      <x:c r="R890" s="10" t="str">
        <x:v>TED</x:v>
      </x:c>
      <x:c r="S890" s="10" t="str">
        <x:v>2024-11</x:v>
      </x:c>
      <x:c r="T890" s="10" t="n">
        <x:v>0</x:v>
      </x:c>
      <x:c r="U890" s="10" t="str">
        <x:v>Liquidado</x:v>
      </x:c>
      <x:c r="V890" s="10" t="str">
        <x:v>Médio</x:v>
      </x:c>
      <x:c r="W890" s="10" t="str">
        <x:v>Atacado</x:v>
      </x:c>
      <x:c r="X890" s="10" t="str">
        <x:v>UND003</x:v>
      </x:c>
    </x:row>
    <x:row r="891" ht="18" customHeight="1">
      <x:c r="A891" s="10" t="str">
        <x:v>REC00890</x:v>
      </x:c>
      <x:c r="B891" s="10" t="str">
        <x:v>EMP001</x:v>
      </x:c>
      <x:c r="C891" s="10" t="str">
        <x:v>CLI032</x:v>
      </x:c>
      <x:c r="D891" s="10" t="str">
        <x:v>CC007</x:v>
      </x:c>
      <x:c r="E891" s="10" t="str">
        <x:v>CAT001</x:v>
      </x:c>
      <x:c r="F891" s="10" t="str">
        <x:v>CTA002</x:v>
      </x:c>
      <x:c r="G891" s="10" t="str">
        <x:v>FAT-200890</x:v>
      </x:c>
      <x:c r="H891" s="10" t="str">
        <x:v>Prestação de serviços</x:v>
      </x:c>
      <x:c r="I891" s="16" t="n">
        <x:v>45574.41561644676</x:v>
      </x:c>
      <x:c r="J891" s="16" t="n">
        <x:v>45619.41561644676</x:v>
      </x:c>
      <x:c r="K891" s="16" t="n">
        <x:v>45614.41561644676</x:v>
      </x:c>
      <x:c r="L891" s="20" t="n">
        <x:v>43292.47</x:v>
      </x:c>
      <x:c r="M891" s="20" t="n">
        <x:v>0</x:v>
      </x:c>
      <x:c r="N891" s="20" t="n">
        <x:v>0</x:v>
      </x:c>
      <x:c r="O891" s="20" t="n">
        <x:v>43292.47</x:v>
      </x:c>
      <x:c r="P891" s="20" t="n">
        <x:v>0</x:v>
      </x:c>
      <x:c r="Q891" s="10" t="str">
        <x:v>Recebido</x:v>
      </x:c>
      <x:c r="R891" s="10" t="str">
        <x:v>PIX</x:v>
      </x:c>
      <x:c r="S891" s="10" t="str">
        <x:v>2024-10</x:v>
      </x:c>
      <x:c r="T891" s="10" t="n">
        <x:v>0</x:v>
      </x:c>
      <x:c r="U891" s="10" t="str">
        <x:v>Liquidado</x:v>
      </x:c>
      <x:c r="V891" s="10" t="str">
        <x:v>Baixo</x:v>
      </x:c>
      <x:c r="W891" s="10" t="str">
        <x:v>Tecnologia</x:v>
      </x:c>
      <x:c r="X891" s="10" t="str">
        <x:v>UND002</x:v>
      </x:c>
    </x:row>
    <x:row r="892" ht="18" customHeight="1">
      <x:c r="A892" s="10" t="str">
        <x:v>REC00891</x:v>
      </x:c>
      <x:c r="B892" s="10" t="str">
        <x:v>EMP003</x:v>
      </x:c>
      <x:c r="C892" s="10" t="str">
        <x:v>CLI055</x:v>
      </x:c>
      <x:c r="D892" s="10" t="str">
        <x:v>CC003</x:v>
      </x:c>
      <x:c r="E892" s="10" t="str">
        <x:v>CAT002</x:v>
      </x:c>
      <x:c r="F892" s="10" t="str">
        <x:v>CTA006</x:v>
      </x:c>
      <x:c r="G892" s="10" t="str">
        <x:v>FAT-200891</x:v>
      </x:c>
      <x:c r="H892" s="10" t="str">
        <x:v>Venda de produtos</x:v>
      </x:c>
      <x:c r="I892" s="16" t="n">
        <x:v>45431.21919792824</x:v>
      </x:c>
      <x:c r="J892" s="16" t="n">
        <x:v>45461.21919792824</x:v>
      </x:c>
      <x:c r="K892" s="16" t="n">
        <x:v>45467.21919792824</x:v>
      </x:c>
      <x:c r="L892" s="20" t="n">
        <x:v>143419.93</x:v>
      </x:c>
      <x:c r="M892" s="20" t="n">
        <x:v>688.42</x:v>
      </x:c>
      <x:c r="N892" s="20" t="n">
        <x:v>0</x:v>
      </x:c>
      <x:c r="O892" s="20" t="n">
        <x:v>144108.35</x:v>
      </x:c>
      <x:c r="P892" s="20" t="n">
        <x:v>0</x:v>
      </x:c>
      <x:c r="Q892" s="10" t="str">
        <x:v>Recebido</x:v>
      </x:c>
      <x:c r="R892" s="10" t="str">
        <x:v>Débito em Conta</x:v>
      </x:c>
      <x:c r="S892" s="10" t="str">
        <x:v>2024-05</x:v>
      </x:c>
      <x:c r="T892" s="10" t="n">
        <x:v>0</x:v>
      </x:c>
      <x:c r="U892" s="10" t="str">
        <x:v>Liquidado</x:v>
      </x:c>
      <x:c r="V892" s="10" t="str">
        <x:v>Baixo</x:v>
      </x:c>
      <x:c r="W892" s="10" t="str">
        <x:v>Serviços</x:v>
      </x:c>
      <x:c r="X892" s="10" t="str">
        <x:v>UND004</x:v>
      </x:c>
    </x:row>
    <x:row r="893" ht="18" customHeight="1">
      <x:c r="A893" s="10" t="str">
        <x:v>REC00892</x:v>
      </x:c>
      <x:c r="B893" s="10" t="str">
        <x:v>EMP003</x:v>
      </x:c>
      <x:c r="C893" s="10" t="str">
        <x:v>CLI056</x:v>
      </x:c>
      <x:c r="D893" s="10" t="str">
        <x:v>CC007</x:v>
      </x:c>
      <x:c r="E893" s="10" t="str">
        <x:v>CAT001</x:v>
      </x:c>
      <x:c r="F893" s="10" t="str">
        <x:v>CTA005</x:v>
      </x:c>
      <x:c r="G893" s="10" t="str">
        <x:v>FAT-200892</x:v>
      </x:c>
      <x:c r="H893" s="10" t="str">
        <x:v>Contrato mensal</x:v>
      </x:c>
      <x:c r="I893" s="16" t="n">
        <x:v>45986.88998331018</x:v>
      </x:c>
      <x:c r="J893" s="16" t="n">
        <x:v>46014.88998331018</x:v>
      </x:c>
      <x:c r="K893" s="16" t="n">
        <x:v>46015.88998331018</x:v>
      </x:c>
      <x:c r="L893" s="20" t="n">
        <x:v>121578.06</x:v>
      </x:c>
      <x:c r="M893" s="20" t="n">
        <x:v>97.26</x:v>
      </x:c>
      <x:c r="N893" s="20" t="n">
        <x:v>0</x:v>
      </x:c>
      <x:c r="O893" s="20" t="n">
        <x:v>121675.32</x:v>
      </x:c>
      <x:c r="P893" s="20" t="n">
        <x:v>0</x:v>
      </x:c>
      <x:c r="Q893" s="10" t="str">
        <x:v>Recebido</x:v>
      </x:c>
      <x:c r="R893" s="10" t="str">
        <x:v>Débito em Conta</x:v>
      </x:c>
      <x:c r="S893" s="10" t="str">
        <x:v>2025-11</x:v>
      </x:c>
      <x:c r="T893" s="10" t="n">
        <x:v>0</x:v>
      </x:c>
      <x:c r="U893" s="10" t="str">
        <x:v>Liquidado</x:v>
      </x:c>
      <x:c r="V893" s="10" t="str">
        <x:v>Baixo</x:v>
      </x:c>
      <x:c r="W893" s="10" t="str">
        <x:v>Tecnologia</x:v>
      </x:c>
      <x:c r="X893" s="10" t="str">
        <x:v>UND004</x:v>
      </x:c>
    </x:row>
    <x:row r="894" ht="18" customHeight="1">
      <x:c r="A894" s="10" t="str">
        <x:v>REC00893</x:v>
      </x:c>
      <x:c r="B894" s="10" t="str">
        <x:v>EMP001</x:v>
      </x:c>
      <x:c r="C894" s="10" t="str">
        <x:v>CLI006</x:v>
      </x:c>
      <x:c r="D894" s="10" t="str">
        <x:v>CC008</x:v>
      </x:c>
      <x:c r="E894" s="10" t="str">
        <x:v>CAT002</x:v>
      </x:c>
      <x:c r="F894" s="10" t="str">
        <x:v>CTA001</x:v>
      </x:c>
      <x:c r="G894" s="10" t="str">
        <x:v>FAT-200893</x:v>
      </x:c>
      <x:c r="H894" s="10" t="str">
        <x:v>Frete faturado</x:v>
      </x:c>
      <x:c r="I894" s="16" t="n">
        <x:v>45942.83371737268</x:v>
      </x:c>
      <x:c r="J894" s="16" t="n">
        <x:v>45987.83371737268</x:v>
      </x:c>
      <x:c r="K894" s="16" t="n">
        <x:v>45982.83371737268</x:v>
      </x:c>
      <x:c r="L894" s="20" t="n">
        <x:v>129026.86</x:v>
      </x:c>
      <x:c r="M894" s="20" t="n">
        <x:v>0</x:v>
      </x:c>
      <x:c r="N894" s="20" t="n">
        <x:v>0</x:v>
      </x:c>
      <x:c r="O894" s="20" t="n">
        <x:v>129026.86</x:v>
      </x:c>
      <x:c r="P894" s="20" t="n">
        <x:v>0</x:v>
      </x:c>
      <x:c r="Q894" s="10" t="str">
        <x:v>Recebido</x:v>
      </x:c>
      <x:c r="R894" s="10" t="str">
        <x:v>Cartão</x:v>
      </x:c>
      <x:c r="S894" s="10" t="str">
        <x:v>2025-10</x:v>
      </x:c>
      <x:c r="T894" s="10" t="n">
        <x:v>0</x:v>
      </x:c>
      <x:c r="U894" s="10" t="str">
        <x:v>Liquidado</x:v>
      </x:c>
      <x:c r="V894" s="10" t="str">
        <x:v>Baixo</x:v>
      </x:c>
      <x:c r="W894" s="10" t="str">
        <x:v>Varejo</x:v>
      </x:c>
      <x:c r="X894" s="10" t="str">
        <x:v>UND001</x:v>
      </x:c>
    </x:row>
    <x:row r="895" ht="18" customHeight="1">
      <x:c r="A895" s="10" t="str">
        <x:v>REC00894</x:v>
      </x:c>
      <x:c r="B895" s="10" t="str">
        <x:v>EMP001</x:v>
      </x:c>
      <x:c r="C895" s="10" t="str">
        <x:v>CLI003</x:v>
      </x:c>
      <x:c r="D895" s="10" t="str">
        <x:v>CC003</x:v>
      </x:c>
      <x:c r="E895" s="10" t="str">
        <x:v>CAT002</x:v>
      </x:c>
      <x:c r="F895" s="10" t="str">
        <x:v>CTA001</x:v>
      </x:c>
      <x:c r="G895" s="10" t="str">
        <x:v>FAT-200894</x:v>
      </x:c>
      <x:c r="H895" s="10" t="str">
        <x:v>Prestação de serviços</x:v>
      </x:c>
      <x:c r="I895" s="16" t="n">
        <x:v>45960.43782024305</x:v>
      </x:c>
      <x:c r="J895" s="16" t="n">
        <x:v>45995.43782024305</x:v>
      </x:c>
      <x:c r="K895" s="16" t="n">
        <x:v>45992.43782024305</x:v>
      </x:c>
      <x:c r="L895" s="20" t="n">
        <x:v>52262.44</x:v>
      </x:c>
      <x:c r="M895" s="20" t="n">
        <x:v>0</x:v>
      </x:c>
      <x:c r="N895" s="20" t="n">
        <x:v>0</x:v>
      </x:c>
      <x:c r="O895" s="20" t="n">
        <x:v>52262.44</x:v>
      </x:c>
      <x:c r="P895" s="20" t="n">
        <x:v>0</x:v>
      </x:c>
      <x:c r="Q895" s="10" t="str">
        <x:v>Recebido</x:v>
      </x:c>
      <x:c r="R895" s="10" t="str">
        <x:v>PIX</x:v>
      </x:c>
      <x:c r="S895" s="10" t="str">
        <x:v>2025-10</x:v>
      </x:c>
      <x:c r="T895" s="10" t="n">
        <x:v>0</x:v>
      </x:c>
      <x:c r="U895" s="10" t="str">
        <x:v>Liquidado</x:v>
      </x:c>
      <x:c r="V895" s="10" t="str">
        <x:v>Médio</x:v>
      </x:c>
      <x:c r="W895" s="10" t="str">
        <x:v>Saúde</x:v>
      </x:c>
      <x:c r="X895" s="10" t="str">
        <x:v>UND002</x:v>
      </x:c>
    </x:row>
    <x:row r="896" ht="18" customHeight="1">
      <x:c r="A896" s="10" t="str">
        <x:v>REC00895</x:v>
      </x:c>
      <x:c r="B896" s="10" t="str">
        <x:v>EMP002</x:v>
      </x:c>
      <x:c r="C896" s="10" t="str">
        <x:v>CLI060</x:v>
      </x:c>
      <x:c r="D896" s="10" t="str">
        <x:v>CC004</x:v>
      </x:c>
      <x:c r="E896" s="10" t="str">
        <x:v>CAT001</x:v>
      </x:c>
      <x:c r="F896" s="10" t="str">
        <x:v>CTA003</x:v>
      </x:c>
      <x:c r="G896" s="10" t="str">
        <x:v>FAT-200895</x:v>
      </x:c>
      <x:c r="H896" s="10" t="str">
        <x:v>Contrato mensal</x:v>
      </x:c>
      <x:c r="I896" s="16" t="n">
        <x:v>45324.75997737268</x:v>
      </x:c>
      <x:c r="J896" s="16" t="n">
        <x:v>45359.75997737268</x:v>
      </x:c>
      <x:c r="K896" s="16" t="n">
        <x:v>45365.75997737268</x:v>
      </x:c>
      <x:c r="L896" s="20" t="n">
        <x:v>5960.27</x:v>
      </x:c>
      <x:c r="M896" s="20" t="n">
        <x:v>28.61</x:v>
      </x:c>
      <x:c r="N896" s="20" t="n">
        <x:v>0</x:v>
      </x:c>
      <x:c r="O896" s="20" t="n">
        <x:v>5988.88</x:v>
      </x:c>
      <x:c r="P896" s="20" t="n">
        <x:v>0</x:v>
      </x:c>
      <x:c r="Q896" s="10" t="str">
        <x:v>Recebido</x:v>
      </x:c>
      <x:c r="R896" s="10" t="str">
        <x:v>Cartão</x:v>
      </x:c>
      <x:c r="S896" s="10" t="str">
        <x:v>2024-02</x:v>
      </x:c>
      <x:c r="T896" s="10" t="n">
        <x:v>0</x:v>
      </x:c>
      <x:c r="U896" s="10" t="str">
        <x:v>Liquidado</x:v>
      </x:c>
      <x:c r="V896" s="10" t="str">
        <x:v>Baixo</x:v>
      </x:c>
      <x:c r="W896" s="10" t="str">
        <x:v>Atacado</x:v>
      </x:c>
      <x:c r="X896" s="10" t="str">
        <x:v>UND003</x:v>
      </x:c>
    </x:row>
    <x:row r="897" ht="18" customHeight="1">
      <x:c r="A897" s="10" t="str">
        <x:v>REC00896</x:v>
      </x:c>
      <x:c r="B897" s="10" t="str">
        <x:v>EMP001</x:v>
      </x:c>
      <x:c r="C897" s="10" t="str">
        <x:v>CLI008</x:v>
      </x:c>
      <x:c r="D897" s="10" t="str">
        <x:v>CC002</x:v>
      </x:c>
      <x:c r="E897" s="10" t="str">
        <x:v>CAT003</x:v>
      </x:c>
      <x:c r="F897" s="10" t="str">
        <x:v>CTA002</x:v>
      </x:c>
      <x:c r="G897" s="10" t="str">
        <x:v>FAT-200896</x:v>
      </x:c>
      <x:c r="H897" s="10" t="str">
        <x:v>Frete faturado</x:v>
      </x:c>
      <x:c r="I897" s="16" t="n">
        <x:v>45695.84324454861</x:v>
      </x:c>
      <x:c r="J897" s="16" t="n">
        <x:v>45710.84324454861</x:v>
      </x:c>
      <x:c r="K897" s="16" t="n">
        <x:v>45719.84324454861</x:v>
      </x:c>
      <x:c r="L897" s="20" t="n">
        <x:v>850.34</x:v>
      </x:c>
      <x:c r="M897" s="20" t="n">
        <x:v>6.12</x:v>
      </x:c>
      <x:c r="N897" s="20" t="n">
        <x:v>0</x:v>
      </x:c>
      <x:c r="O897" s="20" t="n">
        <x:v>856.46</x:v>
      </x:c>
      <x:c r="P897" s="20" t="n">
        <x:v>0</x:v>
      </x:c>
      <x:c r="Q897" s="10" t="str">
        <x:v>Recebido</x:v>
      </x:c>
      <x:c r="R897" s="10" t="str">
        <x:v>PIX</x:v>
      </x:c>
      <x:c r="S897" s="10" t="str">
        <x:v>2025-02</x:v>
      </x:c>
      <x:c r="T897" s="10" t="n">
        <x:v>0</x:v>
      </x:c>
      <x:c r="U897" s="10" t="str">
        <x:v>Liquidado</x:v>
      </x:c>
      <x:c r="V897" s="10" t="str">
        <x:v>Médio</x:v>
      </x:c>
      <x:c r="W897" s="10" t="str">
        <x:v>Saúde</x:v>
      </x:c>
      <x:c r="X897" s="10" t="str">
        <x:v>UND001</x:v>
      </x:c>
    </x:row>
    <x:row r="898" ht="18" customHeight="1">
      <x:c r="A898" s="10" t="str">
        <x:v>REC00897</x:v>
      </x:c>
      <x:c r="B898" s="10" t="str">
        <x:v>EMP003</x:v>
      </x:c>
      <x:c r="C898" s="10" t="str">
        <x:v>CLI030</x:v>
      </x:c>
      <x:c r="D898" s="10" t="str">
        <x:v>CC007</x:v>
      </x:c>
      <x:c r="E898" s="10" t="str">
        <x:v>CAT002</x:v>
      </x:c>
      <x:c r="F898" s="10" t="str">
        <x:v>CTA005</x:v>
      </x:c>
      <x:c r="G898" s="10" t="str">
        <x:v>FAT-200897</x:v>
      </x:c>
      <x:c r="H898" s="10" t="str">
        <x:v>Frete faturado</x:v>
      </x:c>
      <x:c r="I898" s="16" t="n">
        <x:v>45859.58336157408</x:v>
      </x:c>
      <x:c r="J898" s="16" t="n">
        <x:v>45889.58336157408</x:v>
      </x:c>
      <x:c r="K898" s="16" t="n">
        <x:v>45884.58336157408</x:v>
      </x:c>
      <x:c r="L898" s="20" t="n">
        <x:v>18378.68</x:v>
      </x:c>
      <x:c r="M898" s="20" t="n">
        <x:v>0</x:v>
      </x:c>
      <x:c r="N898" s="20" t="n">
        <x:v>0</x:v>
      </x:c>
      <x:c r="O898" s="20" t="n">
        <x:v>18378.68</x:v>
      </x:c>
      <x:c r="P898" s="20" t="n">
        <x:v>0</x:v>
      </x:c>
      <x:c r="Q898" s="10" t="str">
        <x:v>Recebido</x:v>
      </x:c>
      <x:c r="R898" s="10" t="str">
        <x:v>Cartão</x:v>
      </x:c>
      <x:c r="S898" s="10" t="str">
        <x:v>2025-07</x:v>
      </x:c>
      <x:c r="T898" s="10" t="n">
        <x:v>0</x:v>
      </x:c>
      <x:c r="U898" s="10" t="str">
        <x:v>Liquidado</x:v>
      </x:c>
      <x:c r="V898" s="10" t="str">
        <x:v>Baixo</x:v>
      </x:c>
      <x:c r="W898" s="10" t="str">
        <x:v>Tecnologia</x:v>
      </x:c>
      <x:c r="X898" s="10" t="str">
        <x:v>UND004</x:v>
      </x:c>
    </x:row>
    <x:row r="899" ht="18" customHeight="1">
      <x:c r="A899" s="10" t="str">
        <x:v>REC00898</x:v>
      </x:c>
      <x:c r="B899" s="10" t="str">
        <x:v>EMP001</x:v>
      </x:c>
      <x:c r="C899" s="10" t="str">
        <x:v>CLI035</x:v>
      </x:c>
      <x:c r="D899" s="10" t="str">
        <x:v>CC004</x:v>
      </x:c>
      <x:c r="E899" s="10" t="str">
        <x:v>CAT004</x:v>
      </x:c>
      <x:c r="F899" s="10" t="str">
        <x:v>CTA001</x:v>
      </x:c>
      <x:c r="G899" s="10" t="str">
        <x:v>FAT-200898</x:v>
      </x:c>
      <x:c r="H899" s="10" t="str">
        <x:v>Venda de produtos</x:v>
      </x:c>
      <x:c r="I899" s="16" t="n">
        <x:v>45960.17857384259</x:v>
      </x:c>
      <x:c r="J899" s="16" t="n">
        <x:v>46020.17857384259</x:v>
      </x:c>
      <x:c r="K899" s="16"/>
      <x:c r="L899" s="20" t="n">
        <x:v>29027.35</x:v>
      </x:c>
      <x:c r="M899" s="20" t="n">
        <x:v>0</x:v>
      </x:c>
      <x:c r="N899" s="20" t="n">
        <x:v>0</x:v>
      </x:c>
      <x:c r="O899" s="20" t="n">
        <x:v>0</x:v>
      </x:c>
      <x:c r="P899" s="20" t="n">
        <x:v>29027.35</x:v>
      </x:c>
      <x:c r="Q899" s="10" t="str">
        <x:v>Vencido</x:v>
      </x:c>
      <x:c r="R899" s="10" t="str">
        <x:v>TED</x:v>
      </x:c>
      <x:c r="S899" s="10" t="str">
        <x:v>2025-10</x:v>
      </x:c>
      <x:c r="T899" s="10" t="n">
        <x:v>1</x:v>
      </x:c>
      <x:c r="U899" s="10" t="str">
        <x:v>1 a 30 dias</x:v>
      </x:c>
      <x:c r="V899" s="10" t="str">
        <x:v>Médio</x:v>
      </x:c>
      <x:c r="W899" s="10" t="str">
        <x:v>Varejo</x:v>
      </x:c>
      <x:c r="X899" s="10" t="str">
        <x:v>UND002</x:v>
      </x:c>
    </x:row>
    <x:row r="900" ht="18" customHeight="1">
      <x:c r="A900" s="10" t="str">
        <x:v>REC00899</x:v>
      </x:c>
      <x:c r="B900" s="10" t="str">
        <x:v>EMP003</x:v>
      </x:c>
      <x:c r="C900" s="10" t="str">
        <x:v>CLI009</x:v>
      </x:c>
      <x:c r="D900" s="10" t="str">
        <x:v>CC005</x:v>
      </x:c>
      <x:c r="E900" s="10" t="str">
        <x:v>CAT001</x:v>
      </x:c>
      <x:c r="F900" s="10" t="str">
        <x:v>CTA005</x:v>
      </x:c>
      <x:c r="G900" s="10" t="str">
        <x:v>FAT-200899</x:v>
      </x:c>
      <x:c r="H900" s="10" t="str">
        <x:v>Contrato mensal</x:v>
      </x:c>
      <x:c r="I900" s="16" t="n">
        <x:v>45679.249558483796</x:v>
      </x:c>
      <x:c r="J900" s="16" t="n">
        <x:v>45694.249558483796</x:v>
      </x:c>
      <x:c r="K900" s="16" t="n">
        <x:v>45698.249558483796</x:v>
      </x:c>
      <x:c r="L900" s="20" t="n">
        <x:v>65801.91</x:v>
      </x:c>
      <x:c r="M900" s="20" t="n">
        <x:v>210.57</x:v>
      </x:c>
      <x:c r="N900" s="20" t="n">
        <x:v>0</x:v>
      </x:c>
      <x:c r="O900" s="20" t="n">
        <x:v>66012.48</x:v>
      </x:c>
      <x:c r="P900" s="20" t="n">
        <x:v>0</x:v>
      </x:c>
      <x:c r="Q900" s="10" t="str">
        <x:v>Recebido</x:v>
      </x:c>
      <x:c r="R900" s="10" t="str">
        <x:v>PIX</x:v>
      </x:c>
      <x:c r="S900" s="10" t="str">
        <x:v>2025-01</x:v>
      </x:c>
      <x:c r="T900" s="10" t="n">
        <x:v>0</x:v>
      </x:c>
      <x:c r="U900" s="10" t="str">
        <x:v>Liquidado</x:v>
      </x:c>
      <x:c r="V900" s="10" t="str">
        <x:v>Médio</x:v>
      </x:c>
      <x:c r="W900" s="10" t="str">
        <x:v>Saúde</x:v>
      </x:c>
      <x:c r="X900" s="10" t="str">
        <x:v>UND004</x:v>
      </x:c>
    </x:row>
    <x:row r="901" ht="18" customHeight="1">
      <x:c r="A901" s="10" t="str">
        <x:v>REC00900</x:v>
      </x:c>
      <x:c r="B901" s="10" t="str">
        <x:v>EMP001</x:v>
      </x:c>
      <x:c r="C901" s="10" t="str">
        <x:v>CLI001</x:v>
      </x:c>
      <x:c r="D901" s="10" t="str">
        <x:v>CC001</x:v>
      </x:c>
      <x:c r="E901" s="10" t="str">
        <x:v>CAT004</x:v>
      </x:c>
      <x:c r="F901" s="10" t="str">
        <x:v>CTA002</x:v>
      </x:c>
      <x:c r="G901" s="10" t="str">
        <x:v>FAT-200900</x:v>
      </x:c>
      <x:c r="H901" s="10" t="str">
        <x:v>Frete faturado</x:v>
      </x:c>
      <x:c r="I901" s="16" t="n">
        <x:v>45522.85458216435</x:v>
      </x:c>
      <x:c r="J901" s="16" t="n">
        <x:v>45550.85458216435</x:v>
      </x:c>
      <x:c r="K901" s="16" t="n">
        <x:v>45548.85458216435</x:v>
      </x:c>
      <x:c r="L901" s="20" t="n">
        <x:v>6477.25</x:v>
      </x:c>
      <x:c r="M901" s="20" t="n">
        <x:v>0</x:v>
      </x:c>
      <x:c r="N901" s="20" t="n">
        <x:v>0</x:v>
      </x:c>
      <x:c r="O901" s="20" t="n">
        <x:v>6477.25</x:v>
      </x:c>
      <x:c r="P901" s="20" t="n">
        <x:v>0</x:v>
      </x:c>
      <x:c r="Q901" s="10" t="str">
        <x:v>Recebido</x:v>
      </x:c>
      <x:c r="R901" s="10" t="str">
        <x:v>TED</x:v>
      </x:c>
      <x:c r="S901" s="10" t="str">
        <x:v>2024-08</x:v>
      </x:c>
      <x:c r="T901" s="10" t="n">
        <x:v>0</x:v>
      </x:c>
      <x:c r="U901" s="10" t="str">
        <x:v>Liquidado</x:v>
      </x:c>
      <x:c r="V901" s="10" t="str">
        <x:v>Baixo</x:v>
      </x:c>
      <x:c r="W901" s="10" t="str">
        <x:v>Serviços</x:v>
      </x:c>
      <x:c r="X901" s="10" t="str">
        <x:v>UND002</x:v>
      </x:c>
    </x:row>
    <x:row r="902" ht="18" customHeight="1">
      <x:c r="A902" s="10" t="str">
        <x:v>REC00901</x:v>
      </x:c>
      <x:c r="B902" s="10" t="str">
        <x:v>EMP002</x:v>
      </x:c>
      <x:c r="C902" s="10" t="str">
        <x:v>CLI019</x:v>
      </x:c>
      <x:c r="D902" s="10" t="str">
        <x:v>CC004</x:v>
      </x:c>
      <x:c r="E902" s="10" t="str">
        <x:v>CAT001</x:v>
      </x:c>
      <x:c r="F902" s="10" t="str">
        <x:v>CTA004</x:v>
      </x:c>
      <x:c r="G902" s="10" t="str">
        <x:v>FAT-200901</x:v>
      </x:c>
      <x:c r="H902" s="10" t="str">
        <x:v>Projeto especial</x:v>
      </x:c>
      <x:c r="I902" s="16" t="n">
        <x:v>45756.33919181713</x:v>
      </x:c>
      <x:c r="J902" s="16" t="n">
        <x:v>45816.33919181713</x:v>
      </x:c>
      <x:c r="K902" s="16"/>
      <x:c r="L902" s="20" t="n">
        <x:v>37247.3</x:v>
      </x:c>
      <x:c r="M902" s="20" t="n">
        <x:v>0</x:v>
      </x:c>
      <x:c r="N902" s="20" t="n">
        <x:v>0</x:v>
      </x:c>
      <x:c r="O902" s="20" t="n">
        <x:v>0</x:v>
      </x:c>
      <x:c r="P902" s="20" t="n">
        <x:v>37247.3</x:v>
      </x:c>
      <x:c r="Q902" s="10" t="str">
        <x:v>Vencido</x:v>
      </x:c>
      <x:c r="R902" s="10" t="str">
        <x:v>TED</x:v>
      </x:c>
      <x:c r="S902" s="10" t="str">
        <x:v>2025-04</x:v>
      </x:c>
      <x:c r="T902" s="10" t="n">
        <x:v>205</x:v>
      </x:c>
      <x:c r="U902" s="10" t="str">
        <x:v>&gt; 120 dias</x:v>
      </x:c>
      <x:c r="V902" s="10" t="str">
        <x:v>Alto</x:v>
      </x:c>
      <x:c r="W902" s="10" t="str">
        <x:v>Saúde</x:v>
      </x:c>
      <x:c r="X902" s="10" t="str">
        <x:v>UND003</x:v>
      </x:c>
    </x:row>
    <x:row r="903" ht="18" customHeight="1">
      <x:c r="A903" s="10" t="str">
        <x:v>REC00902</x:v>
      </x:c>
      <x:c r="B903" s="10" t="str">
        <x:v>EMP002</x:v>
      </x:c>
      <x:c r="C903" s="10" t="str">
        <x:v>CLI062</x:v>
      </x:c>
      <x:c r="D903" s="10" t="str">
        <x:v>CC004</x:v>
      </x:c>
      <x:c r="E903" s="10" t="str">
        <x:v>CAT002</x:v>
      </x:c>
      <x:c r="F903" s="10" t="str">
        <x:v>CTA003</x:v>
      </x:c>
      <x:c r="G903" s="10" t="str">
        <x:v>FAT-200902</x:v>
      </x:c>
      <x:c r="H903" s="10" t="str">
        <x:v>Prestação de serviços</x:v>
      </x:c>
      <x:c r="I903" s="16" t="n">
        <x:v>45948.92291790509</x:v>
      </x:c>
      <x:c r="J903" s="16" t="n">
        <x:v>45978.92291790509</x:v>
      </x:c>
      <x:c r="K903" s="16" t="n">
        <x:v>45978.92291790509</x:v>
      </x:c>
      <x:c r="L903" s="20" t="n">
        <x:v>127465.13</x:v>
      </x:c>
      <x:c r="M903" s="20" t="n">
        <x:v>0</x:v>
      </x:c>
      <x:c r="N903" s="20" t="n">
        <x:v>0</x:v>
      </x:c>
      <x:c r="O903" s="20" t="n">
        <x:v>127465.13</x:v>
      </x:c>
      <x:c r="P903" s="20" t="n">
        <x:v>0</x:v>
      </x:c>
      <x:c r="Q903" s="10" t="str">
        <x:v>Recebido</x:v>
      </x:c>
      <x:c r="R903" s="10" t="str">
        <x:v>Débito em Conta</x:v>
      </x:c>
      <x:c r="S903" s="10" t="str">
        <x:v>2025-10</x:v>
      </x:c>
      <x:c r="T903" s="10" t="n">
        <x:v>0</x:v>
      </x:c>
      <x:c r="U903" s="10" t="str">
        <x:v>Liquidado</x:v>
      </x:c>
      <x:c r="V903" s="10" t="str">
        <x:v>Baixo</x:v>
      </x:c>
      <x:c r="W903" s="10" t="str">
        <x:v>Saúde</x:v>
      </x:c>
      <x:c r="X903" s="10" t="str">
        <x:v>UND003</x:v>
      </x:c>
    </x:row>
    <x:row r="904" ht="18" customHeight="1">
      <x:c r="A904" s="10" t="str">
        <x:v>REC00903</x:v>
      </x:c>
      <x:c r="B904" s="10" t="str">
        <x:v>EMP002</x:v>
      </x:c>
      <x:c r="C904" s="10" t="str">
        <x:v>CLI003</x:v>
      </x:c>
      <x:c r="D904" s="10" t="str">
        <x:v>CC008</x:v>
      </x:c>
      <x:c r="E904" s="10" t="str">
        <x:v>CAT003</x:v>
      </x:c>
      <x:c r="F904" s="10" t="str">
        <x:v>CTA003</x:v>
      </x:c>
      <x:c r="G904" s="10" t="str">
        <x:v>FAT-200903</x:v>
      </x:c>
      <x:c r="H904" s="10" t="str">
        <x:v>Prestação de serviços</x:v>
      </x:c>
      <x:c r="I904" s="16" t="n">
        <x:v>45822.84969858796</x:v>
      </x:c>
      <x:c r="J904" s="16" t="n">
        <x:v>45867.84969858796</x:v>
      </x:c>
      <x:c r="K904" s="16" t="n">
        <x:v>45870.84969858796</x:v>
      </x:c>
      <x:c r="L904" s="20" t="n">
        <x:v>14777.91</x:v>
      </x:c>
      <x:c r="M904" s="20" t="n">
        <x:v>35.47</x:v>
      </x:c>
      <x:c r="N904" s="20" t="n">
        <x:v>0</x:v>
      </x:c>
      <x:c r="O904" s="20" t="n">
        <x:v>14813.38</x:v>
      </x:c>
      <x:c r="P904" s="20" t="n">
        <x:v>0</x:v>
      </x:c>
      <x:c r="Q904" s="10" t="str">
        <x:v>Recebido</x:v>
      </x:c>
      <x:c r="R904" s="10" t="str">
        <x:v>Débito em Conta</x:v>
      </x:c>
      <x:c r="S904" s="10" t="str">
        <x:v>2025-06</x:v>
      </x:c>
      <x:c r="T904" s="10" t="n">
        <x:v>0</x:v>
      </x:c>
      <x:c r="U904" s="10" t="str">
        <x:v>Liquidado</x:v>
      </x:c>
      <x:c r="V904" s="10" t="str">
        <x:v>Médio</x:v>
      </x:c>
      <x:c r="W904" s="10" t="str">
        <x:v>Saúde</x:v>
      </x:c>
      <x:c r="X904" s="10" t="str">
        <x:v>UND003</x:v>
      </x:c>
    </x:row>
    <x:row r="905" ht="18" customHeight="1">
      <x:c r="A905" s="10" t="str">
        <x:v>REC00904</x:v>
      </x:c>
      <x:c r="B905" s="10" t="str">
        <x:v>EMP002</x:v>
      </x:c>
      <x:c r="C905" s="10" t="str">
        <x:v>CLI062</x:v>
      </x:c>
      <x:c r="D905" s="10" t="str">
        <x:v>CC006</x:v>
      </x:c>
      <x:c r="E905" s="10" t="str">
        <x:v>CAT001</x:v>
      </x:c>
      <x:c r="F905" s="10" t="str">
        <x:v>CTA003</x:v>
      </x:c>
      <x:c r="G905" s="10" t="str">
        <x:v>FAT-200904</x:v>
      </x:c>
      <x:c r="H905" s="10" t="str">
        <x:v>Projeto especial</x:v>
      </x:c>
      <x:c r="I905" s="16" t="n">
        <x:v>45681.364955717596</x:v>
      </x:c>
      <x:c r="J905" s="16" t="n">
        <x:v>45711.364955717596</x:v>
      </x:c>
      <x:c r="K905" s="16" t="n">
        <x:v>45715.364955717596</x:v>
      </x:c>
      <x:c r="L905" s="20" t="n">
        <x:v>138268.55</x:v>
      </x:c>
      <x:c r="M905" s="20" t="n">
        <x:v>442.46</x:v>
      </x:c>
      <x:c r="N905" s="20" t="n">
        <x:v>0</x:v>
      </x:c>
      <x:c r="O905" s="20" t="n">
        <x:v>138711.01</x:v>
      </x:c>
      <x:c r="P905" s="20" t="n">
        <x:v>0</x:v>
      </x:c>
      <x:c r="Q905" s="10" t="str">
        <x:v>Recebido</x:v>
      </x:c>
      <x:c r="R905" s="10" t="str">
        <x:v>PIX</x:v>
      </x:c>
      <x:c r="S905" s="10" t="str">
        <x:v>2025-01</x:v>
      </x:c>
      <x:c r="T905" s="10" t="n">
        <x:v>0</x:v>
      </x:c>
      <x:c r="U905" s="10" t="str">
        <x:v>Liquidado</x:v>
      </x:c>
      <x:c r="V905" s="10" t="str">
        <x:v>Baixo</x:v>
      </x:c>
      <x:c r="W905" s="10" t="str">
        <x:v>Saúde</x:v>
      </x:c>
      <x:c r="X905" s="10" t="str">
        <x:v>UND003</x:v>
      </x:c>
    </x:row>
    <x:row r="906" ht="18" customHeight="1">
      <x:c r="A906" s="10" t="str">
        <x:v>REC00905</x:v>
      </x:c>
      <x:c r="B906" s="10" t="str">
        <x:v>EMP002</x:v>
      </x:c>
      <x:c r="C906" s="10" t="str">
        <x:v>CLI034</x:v>
      </x:c>
      <x:c r="D906" s="10" t="str">
        <x:v>CC002</x:v>
      </x:c>
      <x:c r="E906" s="10" t="str">
        <x:v>CAT001</x:v>
      </x:c>
      <x:c r="F906" s="10" t="str">
        <x:v>CTA004</x:v>
      </x:c>
      <x:c r="G906" s="10" t="str">
        <x:v>FAT-200905</x:v>
      </x:c>
      <x:c r="H906" s="10" t="str">
        <x:v>Prestação de serviços</x:v>
      </x:c>
      <x:c r="I906" s="16" t="n">
        <x:v>45302.19712600695</x:v>
      </x:c>
      <x:c r="J906" s="16" t="n">
        <x:v>45332.19712600695</x:v>
      </x:c>
      <x:c r="K906" s="16"/>
      <x:c r="L906" s="20" t="n">
        <x:v>10446.27</x:v>
      </x:c>
      <x:c r="M906" s="20" t="n">
        <x:v>0</x:v>
      </x:c>
      <x:c r="N906" s="20" t="n">
        <x:v>0</x:v>
      </x:c>
      <x:c r="O906" s="20" t="n">
        <x:v>0</x:v>
      </x:c>
      <x:c r="P906" s="20" t="n">
        <x:v>10446.27</x:v>
      </x:c>
      <x:c r="Q906" s="10" t="str">
        <x:v>Vencido</x:v>
      </x:c>
      <x:c r="R906" s="10" t="str">
        <x:v>PIX</x:v>
      </x:c>
      <x:c r="S906" s="10" t="str">
        <x:v>2024-01</x:v>
      </x:c>
      <x:c r="T906" s="10" t="n">
        <x:v>689</x:v>
      </x:c>
      <x:c r="U906" s="10" t="str">
        <x:v>&gt; 120 dias</x:v>
      </x:c>
      <x:c r="V906" s="10" t="str">
        <x:v>Médio</x:v>
      </x:c>
      <x:c r="W906" s="10" t="str">
        <x:v>Indústria</x:v>
      </x:c>
      <x:c r="X906" s="10" t="str">
        <x:v>UND003</x:v>
      </x:c>
    </x:row>
    <x:row r="907" ht="18" customHeight="1">
      <x:c r="A907" s="10" t="str">
        <x:v>REC00906</x:v>
      </x:c>
      <x:c r="B907" s="10" t="str">
        <x:v>EMP001</x:v>
      </x:c>
      <x:c r="C907" s="10" t="str">
        <x:v>CLI055</x:v>
      </x:c>
      <x:c r="D907" s="10" t="str">
        <x:v>CC003</x:v>
      </x:c>
      <x:c r="E907" s="10" t="str">
        <x:v>CAT001</x:v>
      </x:c>
      <x:c r="F907" s="10" t="str">
        <x:v>CTA002</x:v>
      </x:c>
      <x:c r="G907" s="10" t="str">
        <x:v>FAT-200906</x:v>
      </x:c>
      <x:c r="H907" s="10" t="str">
        <x:v>Contrato mensal</x:v>
      </x:c>
      <x:c r="I907" s="16" t="n">
        <x:v>45986.84535956018</x:v>
      </x:c>
      <x:c r="J907" s="16" t="n">
        <x:v>46016.84535956018</x:v>
      </x:c>
      <x:c r="K907" s="16" t="n">
        <x:v>46019.84535956018</x:v>
      </x:c>
      <x:c r="L907" s="20" t="n">
        <x:v>24024.67</x:v>
      </x:c>
      <x:c r="M907" s="20" t="n">
        <x:v>57.66</x:v>
      </x:c>
      <x:c r="N907" s="20" t="n">
        <x:v>0</x:v>
      </x:c>
      <x:c r="O907" s="20" t="n">
        <x:v>24082.33</x:v>
      </x:c>
      <x:c r="P907" s="20" t="n">
        <x:v>0</x:v>
      </x:c>
      <x:c r="Q907" s="10" t="str">
        <x:v>Recebido</x:v>
      </x:c>
      <x:c r="R907" s="10" t="str">
        <x:v>TED</x:v>
      </x:c>
      <x:c r="S907" s="10" t="str">
        <x:v>2025-11</x:v>
      </x:c>
      <x:c r="T907" s="10" t="n">
        <x:v>0</x:v>
      </x:c>
      <x:c r="U907" s="10" t="str">
        <x:v>Liquidado</x:v>
      </x:c>
      <x:c r="V907" s="10" t="str">
        <x:v>Baixo</x:v>
      </x:c>
      <x:c r="W907" s="10" t="str">
        <x:v>Serviços</x:v>
      </x:c>
      <x:c r="X907" s="10" t="str">
        <x:v>UND002</x:v>
      </x:c>
    </x:row>
    <x:row r="908" ht="18" customHeight="1">
      <x:c r="A908" s="10" t="str">
        <x:v>REC00907</x:v>
      </x:c>
      <x:c r="B908" s="10" t="str">
        <x:v>EMP002</x:v>
      </x:c>
      <x:c r="C908" s="10" t="str">
        <x:v>CLI008</x:v>
      </x:c>
      <x:c r="D908" s="10" t="str">
        <x:v>CC003</x:v>
      </x:c>
      <x:c r="E908" s="10" t="str">
        <x:v>CAT003</x:v>
      </x:c>
      <x:c r="F908" s="10" t="str">
        <x:v>CTA004</x:v>
      </x:c>
      <x:c r="G908" s="10" t="str">
        <x:v>FAT-200907</x:v>
      </x:c>
      <x:c r="H908" s="10" t="str">
        <x:v>Prestação de serviços</x:v>
      </x:c>
      <x:c r="I908" s="16" t="n">
        <x:v>45424.93264212963</x:v>
      </x:c>
      <x:c r="J908" s="16" t="n">
        <x:v>45445.93264212963</x:v>
      </x:c>
      <x:c r="K908" s="16" t="n">
        <x:v>45450.93264212963</x:v>
      </x:c>
      <x:c r="L908" s="20" t="n">
        <x:v>28955.18</x:v>
      </x:c>
      <x:c r="M908" s="20" t="n">
        <x:v>115.82</x:v>
      </x:c>
      <x:c r="N908" s="20" t="n">
        <x:v>0</x:v>
      </x:c>
      <x:c r="O908" s="20" t="n">
        <x:v>29071</x:v>
      </x:c>
      <x:c r="P908" s="20" t="n">
        <x:v>0</x:v>
      </x:c>
      <x:c r="Q908" s="10" t="str">
        <x:v>Recebido</x:v>
      </x:c>
      <x:c r="R908" s="10" t="str">
        <x:v>Débito em Conta</x:v>
      </x:c>
      <x:c r="S908" s="10" t="str">
        <x:v>2024-05</x:v>
      </x:c>
      <x:c r="T908" s="10" t="n">
        <x:v>0</x:v>
      </x:c>
      <x:c r="U908" s="10" t="str">
        <x:v>Liquidado</x:v>
      </x:c>
      <x:c r="V908" s="10" t="str">
        <x:v>Médio</x:v>
      </x:c>
      <x:c r="W908" s="10" t="str">
        <x:v>Saúde</x:v>
      </x:c>
      <x:c r="X908" s="10" t="str">
        <x:v>UND003</x:v>
      </x:c>
    </x:row>
    <x:row r="909" ht="18" customHeight="1">
      <x:c r="A909" s="10" t="str">
        <x:v>REC00908</x:v>
      </x:c>
      <x:c r="B909" s="10" t="str">
        <x:v>EMP003</x:v>
      </x:c>
      <x:c r="C909" s="10" t="str">
        <x:v>CLI080</x:v>
      </x:c>
      <x:c r="D909" s="10" t="str">
        <x:v>CC005</x:v>
      </x:c>
      <x:c r="E909" s="10" t="str">
        <x:v>CAT004</x:v>
      </x:c>
      <x:c r="F909" s="10" t="str">
        <x:v>CTA006</x:v>
      </x:c>
      <x:c r="G909" s="10" t="str">
        <x:v>FAT-200908</x:v>
      </x:c>
      <x:c r="H909" s="10" t="str">
        <x:v>Frete faturado</x:v>
      </x:c>
      <x:c r="I909" s="16" t="n">
        <x:v>45894.2702427662</x:v>
      </x:c>
      <x:c r="J909" s="16" t="n">
        <x:v>45924.2702427662</x:v>
      </x:c>
      <x:c r="K909" s="16"/>
      <x:c r="L909" s="20" t="n">
        <x:v>84802.11</x:v>
      </x:c>
      <x:c r="M909" s="20" t="n">
        <x:v>0</x:v>
      </x:c>
      <x:c r="N909" s="20" t="n">
        <x:v>0</x:v>
      </x:c>
      <x:c r="O909" s="20" t="n">
        <x:v>0</x:v>
      </x:c>
      <x:c r="P909" s="20" t="n">
        <x:v>84802.11</x:v>
      </x:c>
      <x:c r="Q909" s="10" t="str">
        <x:v>Vencido</x:v>
      </x:c>
      <x:c r="R909" s="10" t="str">
        <x:v>Cartão</x:v>
      </x:c>
      <x:c r="S909" s="10" t="str">
        <x:v>2025-08</x:v>
      </x:c>
      <x:c r="T909" s="10" t="n">
        <x:v>97</x:v>
      </x:c>
      <x:c r="U909" s="10" t="str">
        <x:v>91 a 120 dias</x:v>
      </x:c>
      <x:c r="V909" s="10" t="str">
        <x:v>Médio</x:v>
      </x:c>
      <x:c r="W909" s="10" t="str">
        <x:v>Atacado</x:v>
      </x:c>
      <x:c r="X909" s="10" t="str">
        <x:v>UND004</x:v>
      </x:c>
    </x:row>
    <x:row r="910" ht="18" customHeight="1">
      <x:c r="A910" s="10" t="str">
        <x:v>REC00909</x:v>
      </x:c>
      <x:c r="B910" s="10" t="str">
        <x:v>EMP002</x:v>
      </x:c>
      <x:c r="C910" s="10" t="str">
        <x:v>CLI043</x:v>
      </x:c>
      <x:c r="D910" s="10" t="str">
        <x:v>CC006</x:v>
      </x:c>
      <x:c r="E910" s="10" t="str">
        <x:v>CAT002</x:v>
      </x:c>
      <x:c r="F910" s="10" t="str">
        <x:v>CTA003</x:v>
      </x:c>
      <x:c r="G910" s="10" t="str">
        <x:v>FAT-200909</x:v>
      </x:c>
      <x:c r="H910" s="10" t="str">
        <x:v>Projeto especial</x:v>
      </x:c>
      <x:c r="I910" s="16" t="n">
        <x:v>45630.134298171295</x:v>
      </x:c>
      <x:c r="J910" s="16" t="n">
        <x:v>45658.134298171295</x:v>
      </x:c>
      <x:c r="K910" s="16" t="n">
        <x:v>45654.134298171295</x:v>
      </x:c>
      <x:c r="L910" s="20" t="n">
        <x:v>2358.72</x:v>
      </x:c>
      <x:c r="M910" s="20" t="n">
        <x:v>0</x:v>
      </x:c>
      <x:c r="N910" s="20" t="n">
        <x:v>0</x:v>
      </x:c>
      <x:c r="O910" s="20" t="n">
        <x:v>2358.72</x:v>
      </x:c>
      <x:c r="P910" s="20" t="n">
        <x:v>0</x:v>
      </x:c>
      <x:c r="Q910" s="10" t="str">
        <x:v>Recebido</x:v>
      </x:c>
      <x:c r="R910" s="10" t="str">
        <x:v>TED</x:v>
      </x:c>
      <x:c r="S910" s="10" t="str">
        <x:v>2024-12</x:v>
      </x:c>
      <x:c r="T910" s="10" t="n">
        <x:v>0</x:v>
      </x:c>
      <x:c r="U910" s="10" t="str">
        <x:v>Liquidado</x:v>
      </x:c>
      <x:c r="V910" s="10" t="str">
        <x:v>Baixo</x:v>
      </x:c>
      <x:c r="W910" s="10" t="str">
        <x:v>Atacado</x:v>
      </x:c>
      <x:c r="X910" s="10" t="str">
        <x:v>UND003</x:v>
      </x:c>
    </x:row>
    <x:row r="911" ht="18" customHeight="1">
      <x:c r="A911" s="10" t="str">
        <x:v>REC00910</x:v>
      </x:c>
      <x:c r="B911" s="10" t="str">
        <x:v>EMP003</x:v>
      </x:c>
      <x:c r="C911" s="10" t="str">
        <x:v>CLI065</x:v>
      </x:c>
      <x:c r="D911" s="10" t="str">
        <x:v>CC003</x:v>
      </x:c>
      <x:c r="E911" s="10" t="str">
        <x:v>CAT002</x:v>
      </x:c>
      <x:c r="F911" s="10" t="str">
        <x:v>CTA005</x:v>
      </x:c>
      <x:c r="G911" s="10" t="str">
        <x:v>FAT-200910</x:v>
      </x:c>
      <x:c r="H911" s="10" t="str">
        <x:v>Contrato mensal</x:v>
      </x:c>
      <x:c r="I911" s="16" t="n">
        <x:v>45690.32042916667</x:v>
      </x:c>
      <x:c r="J911" s="16" t="n">
        <x:v>45735.32042916667</x:v>
      </x:c>
      <x:c r="K911" s="16"/>
      <x:c r="L911" s="20" t="n">
        <x:v>98051.1</x:v>
      </x:c>
      <x:c r="M911" s="20" t="n">
        <x:v>0</x:v>
      </x:c>
      <x:c r="N911" s="20" t="n">
        <x:v>0</x:v>
      </x:c>
      <x:c r="O911" s="20" t="n">
        <x:v>0</x:v>
      </x:c>
      <x:c r="P911" s="20" t="n">
        <x:v>0</x:v>
      </x:c>
      <x:c r="Q911" s="10" t="str">
        <x:v>Cancelado</x:v>
      </x:c>
      <x:c r="R911" s="10" t="str">
        <x:v>TED</x:v>
      </x:c>
      <x:c r="S911" s="10" t="str">
        <x:v>2025-02</x:v>
      </x:c>
      <x:c r="T911" s="10" t="n">
        <x:v>0</x:v>
      </x:c>
      <x:c r="U911" s="10" t="str">
        <x:v>Cancelado</x:v>
      </x:c>
      <x:c r="V911" s="10" t="str">
        <x:v>Médio</x:v>
      </x:c>
      <x:c r="W911" s="10" t="str">
        <x:v>Serviços</x:v>
      </x:c>
      <x:c r="X911" s="10" t="str">
        <x:v>UND004</x:v>
      </x:c>
    </x:row>
    <x:row r="912" ht="18" customHeight="1">
      <x:c r="A912" s="10" t="str">
        <x:v>REC00911</x:v>
      </x:c>
      <x:c r="B912" s="10" t="str">
        <x:v>EMP002</x:v>
      </x:c>
      <x:c r="C912" s="10" t="str">
        <x:v>CLI069</x:v>
      </x:c>
      <x:c r="D912" s="10" t="str">
        <x:v>CC001</x:v>
      </x:c>
      <x:c r="E912" s="10" t="str">
        <x:v>CAT003</x:v>
      </x:c>
      <x:c r="F912" s="10" t="str">
        <x:v>CTA003</x:v>
      </x:c>
      <x:c r="G912" s="10" t="str">
        <x:v>FAT-200911</x:v>
      </x:c>
      <x:c r="H912" s="10" t="str">
        <x:v>Venda de produtos</x:v>
      </x:c>
      <x:c r="I912" s="16" t="n">
        <x:v>45470.75718721065</x:v>
      </x:c>
      <x:c r="J912" s="16" t="n">
        <x:v>45500.75718721065</x:v>
      </x:c>
      <x:c r="K912" s="16" t="n">
        <x:v>45511.75718721065</x:v>
      </x:c>
      <x:c r="L912" s="20" t="n">
        <x:v>83083.2</x:v>
      </x:c>
      <x:c r="M912" s="20" t="n">
        <x:v>731.13</x:v>
      </x:c>
      <x:c r="N912" s="20" t="n">
        <x:v>0</x:v>
      </x:c>
      <x:c r="O912" s="20" t="n">
        <x:v>83814.33</x:v>
      </x:c>
      <x:c r="P912" s="20" t="n">
        <x:v>0</x:v>
      </x:c>
      <x:c r="Q912" s="10" t="str">
        <x:v>Recebido</x:v>
      </x:c>
      <x:c r="R912" s="10" t="str">
        <x:v>Boleto</x:v>
      </x:c>
      <x:c r="S912" s="10" t="str">
        <x:v>2024-06</x:v>
      </x:c>
      <x:c r="T912" s="10" t="n">
        <x:v>0</x:v>
      </x:c>
      <x:c r="U912" s="10" t="str">
        <x:v>Liquidado</x:v>
      </x:c>
      <x:c r="V912" s="10" t="str">
        <x:v>Alto</x:v>
      </x:c>
      <x:c r="W912" s="10" t="str">
        <x:v>Tecnologia</x:v>
      </x:c>
      <x:c r="X912" s="10" t="str">
        <x:v>UND003</x:v>
      </x:c>
    </x:row>
    <x:row r="913" ht="18" customHeight="1">
      <x:c r="A913" s="10" t="str">
        <x:v>REC00912</x:v>
      </x:c>
      <x:c r="B913" s="10" t="str">
        <x:v>EMP003</x:v>
      </x:c>
      <x:c r="C913" s="10" t="str">
        <x:v>CLI079</x:v>
      </x:c>
      <x:c r="D913" s="10" t="str">
        <x:v>CC003</x:v>
      </x:c>
      <x:c r="E913" s="10" t="str">
        <x:v>CAT002</x:v>
      </x:c>
      <x:c r="F913" s="10" t="str">
        <x:v>CTA006</x:v>
      </x:c>
      <x:c r="G913" s="10" t="str">
        <x:v>FAT-200912</x:v>
      </x:c>
      <x:c r="H913" s="10" t="str">
        <x:v>Contrato mensal</x:v>
      </x:c>
      <x:c r="I913" s="16" t="n">
        <x:v>45845.914672893516</x:v>
      </x:c>
      <x:c r="J913" s="16" t="n">
        <x:v>45860.914672893516</x:v>
      </x:c>
      <x:c r="K913" s="16" t="n">
        <x:v>45867.914672893516</x:v>
      </x:c>
      <x:c r="L913" s="20" t="n">
        <x:v>52689.64</x:v>
      </x:c>
      <x:c r="M913" s="20" t="n">
        <x:v>295.06</x:v>
      </x:c>
      <x:c r="N913" s="20" t="n">
        <x:v>0</x:v>
      </x:c>
      <x:c r="O913" s="20" t="n">
        <x:v>52984.7</x:v>
      </x:c>
      <x:c r="P913" s="20" t="n">
        <x:v>0</x:v>
      </x:c>
      <x:c r="Q913" s="10" t="str">
        <x:v>Recebido</x:v>
      </x:c>
      <x:c r="R913" s="10" t="str">
        <x:v>Boleto</x:v>
      </x:c>
      <x:c r="S913" s="10" t="str">
        <x:v>2025-07</x:v>
      </x:c>
      <x:c r="T913" s="10" t="n">
        <x:v>0</x:v>
      </x:c>
      <x:c r="U913" s="10" t="str">
        <x:v>Liquidado</x:v>
      </x:c>
      <x:c r="V913" s="10" t="str">
        <x:v>Baixo</x:v>
      </x:c>
      <x:c r="W913" s="10" t="str">
        <x:v>Tecnologia</x:v>
      </x:c>
      <x:c r="X913" s="10" t="str">
        <x:v>UND004</x:v>
      </x:c>
    </x:row>
    <x:row r="914" ht="18" customHeight="1">
      <x:c r="A914" s="10" t="str">
        <x:v>REC00913</x:v>
      </x:c>
      <x:c r="B914" s="10" t="str">
        <x:v>EMP002</x:v>
      </x:c>
      <x:c r="C914" s="10" t="str">
        <x:v>CLI074</x:v>
      </x:c>
      <x:c r="D914" s="10" t="str">
        <x:v>CC004</x:v>
      </x:c>
      <x:c r="E914" s="10" t="str">
        <x:v>CAT004</x:v>
      </x:c>
      <x:c r="F914" s="10" t="str">
        <x:v>CTA004</x:v>
      </x:c>
      <x:c r="G914" s="10" t="str">
        <x:v>FAT-200913</x:v>
      </x:c>
      <x:c r="H914" s="10" t="str">
        <x:v>Prestação de serviços</x:v>
      </x:c>
      <x:c r="I914" s="16" t="n">
        <x:v>45766.68453048611</x:v>
      </x:c>
      <x:c r="J914" s="16" t="n">
        <x:v>45794.68453048611</x:v>
      </x:c>
      <x:c r="K914" s="16" t="n">
        <x:v>45790.68453048611</x:v>
      </x:c>
      <x:c r="L914" s="20" t="n">
        <x:v>15830.87</x:v>
      </x:c>
      <x:c r="M914" s="20" t="n">
        <x:v>0</x:v>
      </x:c>
      <x:c r="N914" s="20" t="n">
        <x:v>0</x:v>
      </x:c>
      <x:c r="O914" s="20" t="n">
        <x:v>15830.87</x:v>
      </x:c>
      <x:c r="P914" s="20" t="n">
        <x:v>0</x:v>
      </x:c>
      <x:c r="Q914" s="10" t="str">
        <x:v>Recebido</x:v>
      </x:c>
      <x:c r="R914" s="10" t="str">
        <x:v>Cartão</x:v>
      </x:c>
      <x:c r="S914" s="10" t="str">
        <x:v>2025-04</x:v>
      </x:c>
      <x:c r="T914" s="10" t="n">
        <x:v>0</x:v>
      </x:c>
      <x:c r="U914" s="10" t="str">
        <x:v>Liquidado</x:v>
      </x:c>
      <x:c r="V914" s="10" t="str">
        <x:v>Médio</x:v>
      </x:c>
      <x:c r="W914" s="10" t="str">
        <x:v>Tecnologia</x:v>
      </x:c>
      <x:c r="X914" s="10" t="str">
        <x:v>UND003</x:v>
      </x:c>
    </x:row>
    <x:row r="915" ht="18" customHeight="1">
      <x:c r="A915" s="10" t="str">
        <x:v>REC00914</x:v>
      </x:c>
      <x:c r="B915" s="10" t="str">
        <x:v>EMP001</x:v>
      </x:c>
      <x:c r="C915" s="10" t="str">
        <x:v>CLI068</x:v>
      </x:c>
      <x:c r="D915" s="10" t="str">
        <x:v>CC005</x:v>
      </x:c>
      <x:c r="E915" s="10" t="str">
        <x:v>CAT003</x:v>
      </x:c>
      <x:c r="F915" s="10" t="str">
        <x:v>CTA001</x:v>
      </x:c>
      <x:c r="G915" s="10" t="str">
        <x:v>FAT-200914</x:v>
      </x:c>
      <x:c r="H915" s="10" t="str">
        <x:v>Venda de produtos</x:v>
      </x:c>
      <x:c r="I915" s="16" t="n">
        <x:v>45943.99886930556</x:v>
      </x:c>
      <x:c r="J915" s="16" t="n">
        <x:v>46003.99886930556</x:v>
      </x:c>
      <x:c r="K915" s="16"/>
      <x:c r="L915" s="20" t="n">
        <x:v>66865.67</x:v>
      </x:c>
      <x:c r="M915" s="20" t="n">
        <x:v>0</x:v>
      </x:c>
      <x:c r="N915" s="20" t="n">
        <x:v>0</x:v>
      </x:c>
      <x:c r="O915" s="20" t="n">
        <x:v>0</x:v>
      </x:c>
      <x:c r="P915" s="20" t="n">
        <x:v>66865.67</x:v>
      </x:c>
      <x:c r="Q915" s="10" t="str">
        <x:v>Vencido</x:v>
      </x:c>
      <x:c r="R915" s="10" t="str">
        <x:v>Boleto</x:v>
      </x:c>
      <x:c r="S915" s="10" t="str">
        <x:v>2025-10</x:v>
      </x:c>
      <x:c r="T915" s="10" t="n">
        <x:v>18</x:v>
      </x:c>
      <x:c r="U915" s="10" t="str">
        <x:v>1 a 30 dias</x:v>
      </x:c>
      <x:c r="V915" s="10" t="str">
        <x:v>Médio</x:v>
      </x:c>
      <x:c r="W915" s="10" t="str">
        <x:v>Varejo</x:v>
      </x:c>
      <x:c r="X915" s="10" t="str">
        <x:v>UND002</x:v>
      </x:c>
    </x:row>
    <x:row r="916" ht="18" customHeight="1">
      <x:c r="A916" s="10" t="str">
        <x:v>REC00915</x:v>
      </x:c>
      <x:c r="B916" s="10" t="str">
        <x:v>EMP003</x:v>
      </x:c>
      <x:c r="C916" s="10" t="str">
        <x:v>CLI008</x:v>
      </x:c>
      <x:c r="D916" s="10" t="str">
        <x:v>CC003</x:v>
      </x:c>
      <x:c r="E916" s="10" t="str">
        <x:v>CAT001</x:v>
      </x:c>
      <x:c r="F916" s="10" t="str">
        <x:v>CTA006</x:v>
      </x:c>
      <x:c r="G916" s="10" t="str">
        <x:v>FAT-200915</x:v>
      </x:c>
      <x:c r="H916" s="10" t="str">
        <x:v>Frete faturado</x:v>
      </x:c>
      <x:c r="I916" s="16" t="n">
        <x:v>45709.32054689815</x:v>
      </x:c>
      <x:c r="J916" s="16" t="n">
        <x:v>45754.32054689815</x:v>
      </x:c>
      <x:c r="K916" s="16" t="n">
        <x:v>45764.32054689815</x:v>
      </x:c>
      <x:c r="L916" s="20" t="n">
        <x:v>80934.63</x:v>
      </x:c>
      <x:c r="M916" s="20" t="n">
        <x:v>647.48</x:v>
      </x:c>
      <x:c r="N916" s="20" t="n">
        <x:v>0</x:v>
      </x:c>
      <x:c r="O916" s="20" t="n">
        <x:v>81582.11</x:v>
      </x:c>
      <x:c r="P916" s="20" t="n">
        <x:v>0</x:v>
      </x:c>
      <x:c r="Q916" s="10" t="str">
        <x:v>Recebido</x:v>
      </x:c>
      <x:c r="R916" s="10" t="str">
        <x:v>PIX</x:v>
      </x:c>
      <x:c r="S916" s="10" t="str">
        <x:v>2025-02</x:v>
      </x:c>
      <x:c r="T916" s="10" t="n">
        <x:v>0</x:v>
      </x:c>
      <x:c r="U916" s="10" t="str">
        <x:v>Liquidado</x:v>
      </x:c>
      <x:c r="V916" s="10" t="str">
        <x:v>Médio</x:v>
      </x:c>
      <x:c r="W916" s="10" t="str">
        <x:v>Saúde</x:v>
      </x:c>
      <x:c r="X916" s="10" t="str">
        <x:v>UND004</x:v>
      </x:c>
    </x:row>
    <x:row r="917" ht="18" customHeight="1">
      <x:c r="A917" s="10" t="str">
        <x:v>REC00916</x:v>
      </x:c>
      <x:c r="B917" s="10" t="str">
        <x:v>EMP002</x:v>
      </x:c>
      <x:c r="C917" s="10" t="str">
        <x:v>CLI033</x:v>
      </x:c>
      <x:c r="D917" s="10" t="str">
        <x:v>CC005</x:v>
      </x:c>
      <x:c r="E917" s="10" t="str">
        <x:v>CAT003</x:v>
      </x:c>
      <x:c r="F917" s="10" t="str">
        <x:v>CTA003</x:v>
      </x:c>
      <x:c r="G917" s="10" t="str">
        <x:v>FAT-200916</x:v>
      </x:c>
      <x:c r="H917" s="10" t="str">
        <x:v>Prestação de serviços</x:v>
      </x:c>
      <x:c r="I917" s="16" t="n">
        <x:v>45862.53346711805</x:v>
      </x:c>
      <x:c r="J917" s="16" t="n">
        <x:v>45883.53346711805</x:v>
      </x:c>
      <x:c r="K917" s="16" t="n">
        <x:v>45887.53346711805</x:v>
      </x:c>
      <x:c r="L917" s="20" t="n">
        <x:v>37678.02</x:v>
      </x:c>
      <x:c r="M917" s="20" t="n">
        <x:v>120.57</x:v>
      </x:c>
      <x:c r="N917" s="20" t="n">
        <x:v>0</x:v>
      </x:c>
      <x:c r="O917" s="20" t="n">
        <x:v>37798.59</x:v>
      </x:c>
      <x:c r="P917" s="20" t="n">
        <x:v>0</x:v>
      </x:c>
      <x:c r="Q917" s="10" t="str">
        <x:v>Recebido</x:v>
      </x:c>
      <x:c r="R917" s="10" t="str">
        <x:v>TED</x:v>
      </x:c>
      <x:c r="S917" s="10" t="str">
        <x:v>2025-07</x:v>
      </x:c>
      <x:c r="T917" s="10" t="n">
        <x:v>0</x:v>
      </x:c>
      <x:c r="U917" s="10" t="str">
        <x:v>Liquidado</x:v>
      </x:c>
      <x:c r="V917" s="10" t="str">
        <x:v>Médio</x:v>
      </x:c>
      <x:c r="W917" s="10" t="str">
        <x:v>Varejo</x:v>
      </x:c>
      <x:c r="X917" s="10" t="str">
        <x:v>UND003</x:v>
      </x:c>
    </x:row>
    <x:row r="918" ht="18" customHeight="1">
      <x:c r="A918" s="10" t="str">
        <x:v>REC00917</x:v>
      </x:c>
      <x:c r="B918" s="10" t="str">
        <x:v>EMP001</x:v>
      </x:c>
      <x:c r="C918" s="10" t="str">
        <x:v>CLI041</x:v>
      </x:c>
      <x:c r="D918" s="10" t="str">
        <x:v>CC006</x:v>
      </x:c>
      <x:c r="E918" s="10" t="str">
        <x:v>CAT004</x:v>
      </x:c>
      <x:c r="F918" s="10" t="str">
        <x:v>CTA002</x:v>
      </x:c>
      <x:c r="G918" s="10" t="str">
        <x:v>FAT-200917</x:v>
      </x:c>
      <x:c r="H918" s="10" t="str">
        <x:v>Venda de produtos</x:v>
      </x:c>
      <x:c r="I918" s="16" t="n">
        <x:v>45811.93266466435</x:v>
      </x:c>
      <x:c r="J918" s="16" t="n">
        <x:v>45846.93266466435</x:v>
      </x:c>
      <x:c r="K918" s="16" t="n">
        <x:v>45847.93266466435</x:v>
      </x:c>
      <x:c r="L918" s="20" t="n">
        <x:v>79752.44</x:v>
      </x:c>
      <x:c r="M918" s="20" t="n">
        <x:v>63.8</x:v>
      </x:c>
      <x:c r="N918" s="20" t="n">
        <x:v>0</x:v>
      </x:c>
      <x:c r="O918" s="20" t="n">
        <x:v>79816.24</x:v>
      </x:c>
      <x:c r="P918" s="20" t="n">
        <x:v>0</x:v>
      </x:c>
      <x:c r="Q918" s="10" t="str">
        <x:v>Recebido</x:v>
      </x:c>
      <x:c r="R918" s="10" t="str">
        <x:v>Boleto</x:v>
      </x:c>
      <x:c r="S918" s="10" t="str">
        <x:v>2025-06</x:v>
      </x:c>
      <x:c r="T918" s="10" t="n">
        <x:v>0</x:v>
      </x:c>
      <x:c r="U918" s="10" t="str">
        <x:v>Liquidado</x:v>
      </x:c>
      <x:c r="V918" s="10" t="str">
        <x:v>Alto</x:v>
      </x:c>
      <x:c r="W918" s="10" t="str">
        <x:v>Indústria</x:v>
      </x:c>
      <x:c r="X918" s="10" t="str">
        <x:v>UND001</x:v>
      </x:c>
    </x:row>
    <x:row r="919" ht="18" customHeight="1">
      <x:c r="A919" s="10" t="str">
        <x:v>REC00918</x:v>
      </x:c>
      <x:c r="B919" s="10" t="str">
        <x:v>EMP002</x:v>
      </x:c>
      <x:c r="C919" s="10" t="str">
        <x:v>CLI062</x:v>
      </x:c>
      <x:c r="D919" s="10" t="str">
        <x:v>CC002</x:v>
      </x:c>
      <x:c r="E919" s="10" t="str">
        <x:v>CAT001</x:v>
      </x:c>
      <x:c r="F919" s="10" t="str">
        <x:v>CTA004</x:v>
      </x:c>
      <x:c r="G919" s="10" t="str">
        <x:v>FAT-200918</x:v>
      </x:c>
      <x:c r="H919" s="10" t="str">
        <x:v>Venda de produtos</x:v>
      </x:c>
      <x:c r="I919" s="16" t="n">
        <x:v>45809.926150196756</x:v>
      </x:c>
      <x:c r="J919" s="16" t="n">
        <x:v>45824.926150196756</x:v>
      </x:c>
      <x:c r="K919" s="16" t="n">
        <x:v>45826.926150196756</x:v>
      </x:c>
      <x:c r="L919" s="20" t="n">
        <x:v>7698.01</x:v>
      </x:c>
      <x:c r="M919" s="20" t="n">
        <x:v>12.32</x:v>
      </x:c>
      <x:c r="N919" s="20" t="n">
        <x:v>0</x:v>
      </x:c>
      <x:c r="O919" s="20" t="n">
        <x:v>7710.33</x:v>
      </x:c>
      <x:c r="P919" s="20" t="n">
        <x:v>0</x:v>
      </x:c>
      <x:c r="Q919" s="10" t="str">
        <x:v>Recebido</x:v>
      </x:c>
      <x:c r="R919" s="10" t="str">
        <x:v>TED</x:v>
      </x:c>
      <x:c r="S919" s="10" t="str">
        <x:v>2025-06</x:v>
      </x:c>
      <x:c r="T919" s="10" t="n">
        <x:v>0</x:v>
      </x:c>
      <x:c r="U919" s="10" t="str">
        <x:v>Liquidado</x:v>
      </x:c>
      <x:c r="V919" s="10" t="str">
        <x:v>Baixo</x:v>
      </x:c>
      <x:c r="W919" s="10" t="str">
        <x:v>Saúde</x:v>
      </x:c>
      <x:c r="X919" s="10" t="str">
        <x:v>UND003</x:v>
      </x:c>
    </x:row>
    <x:row r="920" ht="18" customHeight="1">
      <x:c r="A920" s="10" t="str">
        <x:v>REC00919</x:v>
      </x:c>
      <x:c r="B920" s="10" t="str">
        <x:v>EMP002</x:v>
      </x:c>
      <x:c r="C920" s="10" t="str">
        <x:v>CLI048</x:v>
      </x:c>
      <x:c r="D920" s="10" t="str">
        <x:v>CC002</x:v>
      </x:c>
      <x:c r="E920" s="10" t="str">
        <x:v>CAT003</x:v>
      </x:c>
      <x:c r="F920" s="10" t="str">
        <x:v>CTA004</x:v>
      </x:c>
      <x:c r="G920" s="10" t="str">
        <x:v>FAT-200919</x:v>
      </x:c>
      <x:c r="H920" s="10" t="str">
        <x:v>Prestação de serviços</x:v>
      </x:c>
      <x:c r="I920" s="16" t="n">
        <x:v>45326.62918083333</x:v>
      </x:c>
      <x:c r="J920" s="16" t="n">
        <x:v>45371.62918083333</x:v>
      </x:c>
      <x:c r="K920" s="16" t="n">
        <x:v>45366.62918083333</x:v>
      </x:c>
      <x:c r="L920" s="20" t="n">
        <x:v>144785.74</x:v>
      </x:c>
      <x:c r="M920" s="20" t="n">
        <x:v>0</x:v>
      </x:c>
      <x:c r="N920" s="20" t="n">
        <x:v>0</x:v>
      </x:c>
      <x:c r="O920" s="20" t="n">
        <x:v>144785.74</x:v>
      </x:c>
      <x:c r="P920" s="20" t="n">
        <x:v>0</x:v>
      </x:c>
      <x:c r="Q920" s="10" t="str">
        <x:v>Recebido</x:v>
      </x:c>
      <x:c r="R920" s="10" t="str">
        <x:v>PIX</x:v>
      </x:c>
      <x:c r="S920" s="10" t="str">
        <x:v>2024-02</x:v>
      </x:c>
      <x:c r="T920" s="10" t="n">
        <x:v>0</x:v>
      </x:c>
      <x:c r="U920" s="10" t="str">
        <x:v>Liquidado</x:v>
      </x:c>
      <x:c r="V920" s="10" t="str">
        <x:v>Baixo</x:v>
      </x:c>
      <x:c r="W920" s="10" t="str">
        <x:v>Tecnologia</x:v>
      </x:c>
      <x:c r="X920" s="10" t="str">
        <x:v>UND003</x:v>
      </x:c>
    </x:row>
    <x:row r="921" ht="18" customHeight="1">
      <x:c r="A921" s="10" t="str">
        <x:v>REC00920</x:v>
      </x:c>
      <x:c r="B921" s="10" t="str">
        <x:v>EMP003</x:v>
      </x:c>
      <x:c r="C921" s="10" t="str">
        <x:v>CLI070</x:v>
      </x:c>
      <x:c r="D921" s="10" t="str">
        <x:v>CC008</x:v>
      </x:c>
      <x:c r="E921" s="10" t="str">
        <x:v>CAT002</x:v>
      </x:c>
      <x:c r="F921" s="10" t="str">
        <x:v>CTA005</x:v>
      </x:c>
      <x:c r="G921" s="10" t="str">
        <x:v>FAT-200920</x:v>
      </x:c>
      <x:c r="H921" s="10" t="str">
        <x:v>Projeto especial</x:v>
      </x:c>
      <x:c r="I921" s="16" t="n">
        <x:v>45530.555443969904</x:v>
      </x:c>
      <x:c r="J921" s="16" t="n">
        <x:v>45565.555443969904</x:v>
      </x:c>
      <x:c r="K921" s="16" t="n">
        <x:v>45566.555443969904</x:v>
      </x:c>
      <x:c r="L921" s="20" t="n">
        <x:v>98878.51</x:v>
      </x:c>
      <x:c r="M921" s="20" t="n">
        <x:v>79.1</x:v>
      </x:c>
      <x:c r="N921" s="20" t="n">
        <x:v>0</x:v>
      </x:c>
      <x:c r="O921" s="20" t="n">
        <x:v>98957.61</x:v>
      </x:c>
      <x:c r="P921" s="20" t="n">
        <x:v>0</x:v>
      </x:c>
      <x:c r="Q921" s="10" t="str">
        <x:v>Recebido</x:v>
      </x:c>
      <x:c r="R921" s="10" t="str">
        <x:v>Cartão</x:v>
      </x:c>
      <x:c r="S921" s="10" t="str">
        <x:v>2024-08</x:v>
      </x:c>
      <x:c r="T921" s="10" t="n">
        <x:v>0</x:v>
      </x:c>
      <x:c r="U921" s="10" t="str">
        <x:v>Liquidado</x:v>
      </x:c>
      <x:c r="V921" s="10" t="str">
        <x:v>Baixo</x:v>
      </x:c>
      <x:c r="W921" s="10" t="str">
        <x:v>Saúde</x:v>
      </x:c>
      <x:c r="X921" s="10" t="str">
        <x:v>UND004</x:v>
      </x:c>
    </x:row>
    <x:row r="922" ht="18" customHeight="1">
      <x:c r="A922" s="10" t="str">
        <x:v>REC00921</x:v>
      </x:c>
      <x:c r="B922" s="10" t="str">
        <x:v>EMP001</x:v>
      </x:c>
      <x:c r="C922" s="10" t="str">
        <x:v>CLI057</x:v>
      </x:c>
      <x:c r="D922" s="10" t="str">
        <x:v>CC002</x:v>
      </x:c>
      <x:c r="E922" s="10" t="str">
        <x:v>CAT002</x:v>
      </x:c>
      <x:c r="F922" s="10" t="str">
        <x:v>CTA001</x:v>
      </x:c>
      <x:c r="G922" s="10" t="str">
        <x:v>FAT-200921</x:v>
      </x:c>
      <x:c r="H922" s="10" t="str">
        <x:v>Projeto especial</x:v>
      </x:c>
      <x:c r="I922" s="16" t="n">
        <x:v>45569.351970104166</x:v>
      </x:c>
      <x:c r="J922" s="16" t="n">
        <x:v>45590.351970104166</x:v>
      </x:c>
      <x:c r="K922" s="16" t="n">
        <x:v>45609.351970104166</x:v>
      </x:c>
      <x:c r="L922" s="20" t="n">
        <x:v>88780.84</x:v>
      </x:c>
      <x:c r="M922" s="20" t="n">
        <x:v>1349.47</x:v>
      </x:c>
      <x:c r="N922" s="20" t="n">
        <x:v>0</x:v>
      </x:c>
      <x:c r="O922" s="20" t="n">
        <x:v>90130.31</x:v>
      </x:c>
      <x:c r="P922" s="20" t="n">
        <x:v>0</x:v>
      </x:c>
      <x:c r="Q922" s="10" t="str">
        <x:v>Recebido</x:v>
      </x:c>
      <x:c r="R922" s="10" t="str">
        <x:v>TED</x:v>
      </x:c>
      <x:c r="S922" s="10" t="str">
        <x:v>2024-10</x:v>
      </x:c>
      <x:c r="T922" s="10" t="n">
        <x:v>0</x:v>
      </x:c>
      <x:c r="U922" s="10" t="str">
        <x:v>Liquidado</x:v>
      </x:c>
      <x:c r="V922" s="10" t="str">
        <x:v>Alto</x:v>
      </x:c>
      <x:c r="W922" s="10" t="str">
        <x:v>Saúde</x:v>
      </x:c>
      <x:c r="X922" s="10" t="str">
        <x:v>UND002</x:v>
      </x:c>
    </x:row>
    <x:row r="923" ht="18" customHeight="1">
      <x:c r="A923" s="10" t="str">
        <x:v>REC00922</x:v>
      </x:c>
      <x:c r="B923" s="10" t="str">
        <x:v>EMP002</x:v>
      </x:c>
      <x:c r="C923" s="10" t="str">
        <x:v>CLI018</x:v>
      </x:c>
      <x:c r="D923" s="10" t="str">
        <x:v>CC001</x:v>
      </x:c>
      <x:c r="E923" s="10" t="str">
        <x:v>CAT002</x:v>
      </x:c>
      <x:c r="F923" s="10" t="str">
        <x:v>CTA004</x:v>
      </x:c>
      <x:c r="G923" s="10" t="str">
        <x:v>FAT-200922</x:v>
      </x:c>
      <x:c r="H923" s="10" t="str">
        <x:v>Prestação de serviços</x:v>
      </x:c>
      <x:c r="I923" s="16" t="n">
        <x:v>45327.70756850694</x:v>
      </x:c>
      <x:c r="J923" s="16" t="n">
        <x:v>45348.70756850694</x:v>
      </x:c>
      <x:c r="K923" s="16" t="n">
        <x:v>45352.70756850694</x:v>
      </x:c>
      <x:c r="L923" s="20" t="n">
        <x:v>88656.12</x:v>
      </x:c>
      <x:c r="M923" s="20" t="n">
        <x:v>283.7</x:v>
      </x:c>
      <x:c r="N923" s="20" t="n">
        <x:v>0</x:v>
      </x:c>
      <x:c r="O923" s="20" t="n">
        <x:v>88939.82</x:v>
      </x:c>
      <x:c r="P923" s="20" t="n">
        <x:v>0</x:v>
      </x:c>
      <x:c r="Q923" s="10" t="str">
        <x:v>Recebido</x:v>
      </x:c>
      <x:c r="R923" s="10" t="str">
        <x:v>Boleto</x:v>
      </x:c>
      <x:c r="S923" s="10" t="str">
        <x:v>2024-02</x:v>
      </x:c>
      <x:c r="T923" s="10" t="n">
        <x:v>0</x:v>
      </x:c>
      <x:c r="U923" s="10" t="str">
        <x:v>Liquidado</x:v>
      </x:c>
      <x:c r="V923" s="10" t="str">
        <x:v>Médio</x:v>
      </x:c>
      <x:c r="W923" s="10" t="str">
        <x:v>Indústria</x:v>
      </x:c>
      <x:c r="X923" s="10" t="str">
        <x:v>UND003</x:v>
      </x:c>
    </x:row>
    <x:row r="924" ht="18" customHeight="1">
      <x:c r="A924" s="10" t="str">
        <x:v>REC00923</x:v>
      </x:c>
      <x:c r="B924" s="10" t="str">
        <x:v>EMP002</x:v>
      </x:c>
      <x:c r="C924" s="10" t="str">
        <x:v>CLI031</x:v>
      </x:c>
      <x:c r="D924" s="10" t="str">
        <x:v>CC004</x:v>
      </x:c>
      <x:c r="E924" s="10" t="str">
        <x:v>CAT002</x:v>
      </x:c>
      <x:c r="F924" s="10" t="str">
        <x:v>CTA003</x:v>
      </x:c>
      <x:c r="G924" s="10" t="str">
        <x:v>FAT-200923</x:v>
      </x:c>
      <x:c r="H924" s="10" t="str">
        <x:v>Contrato mensal</x:v>
      </x:c>
      <x:c r="I924" s="16" t="n">
        <x:v>45531.80404880787</x:v>
      </x:c>
      <x:c r="J924" s="16" t="n">
        <x:v>45546.80404880787</x:v>
      </x:c>
      <x:c r="K924" s="16" t="n">
        <x:v>45551.80404880787</x:v>
      </x:c>
      <x:c r="L924" s="20" t="n">
        <x:v>42055.66</x:v>
      </x:c>
      <x:c r="M924" s="20" t="n">
        <x:v>168.22</x:v>
      </x:c>
      <x:c r="N924" s="20" t="n">
        <x:v>0</x:v>
      </x:c>
      <x:c r="O924" s="20" t="n">
        <x:v>42223.88</x:v>
      </x:c>
      <x:c r="P924" s="20" t="n">
        <x:v>0</x:v>
      </x:c>
      <x:c r="Q924" s="10" t="str">
        <x:v>Recebido</x:v>
      </x:c>
      <x:c r="R924" s="10" t="str">
        <x:v>Boleto</x:v>
      </x:c>
      <x:c r="S924" s="10" t="str">
        <x:v>2024-08</x:v>
      </x:c>
      <x:c r="T924" s="10" t="n">
        <x:v>0</x:v>
      </x:c>
      <x:c r="U924" s="10" t="str">
        <x:v>Liquidado</x:v>
      </x:c>
      <x:c r="V924" s="10" t="str">
        <x:v>Baixo</x:v>
      </x:c>
      <x:c r="W924" s="10" t="str">
        <x:v>Serviços</x:v>
      </x:c>
      <x:c r="X924" s="10" t="str">
        <x:v>UND003</x:v>
      </x:c>
    </x:row>
    <x:row r="925" ht="18" customHeight="1">
      <x:c r="A925" s="10" t="str">
        <x:v>REC00924</x:v>
      </x:c>
      <x:c r="B925" s="10" t="str">
        <x:v>EMP003</x:v>
      </x:c>
      <x:c r="C925" s="10" t="str">
        <x:v>CLI047</x:v>
      </x:c>
      <x:c r="D925" s="10" t="str">
        <x:v>CC002</x:v>
      </x:c>
      <x:c r="E925" s="10" t="str">
        <x:v>CAT003</x:v>
      </x:c>
      <x:c r="F925" s="10" t="str">
        <x:v>CTA005</x:v>
      </x:c>
      <x:c r="G925" s="10" t="str">
        <x:v>FAT-200924</x:v>
      </x:c>
      <x:c r="H925" s="10" t="str">
        <x:v>Frete faturado</x:v>
      </x:c>
      <x:c r="I925" s="16" t="n">
        <x:v>45577.62797648148</x:v>
      </x:c>
      <x:c r="J925" s="16" t="n">
        <x:v>45637.62797648148</x:v>
      </x:c>
      <x:c r="K925" s="16" t="n">
        <x:v>45640.62797648148</x:v>
      </x:c>
      <x:c r="L925" s="20" t="n">
        <x:v>74090.31</x:v>
      </x:c>
      <x:c r="M925" s="20" t="n">
        <x:v>177.82</x:v>
      </x:c>
      <x:c r="N925" s="20" t="n">
        <x:v>0</x:v>
      </x:c>
      <x:c r="O925" s="20" t="n">
        <x:v>74268.13</x:v>
      </x:c>
      <x:c r="P925" s="20" t="n">
        <x:v>0</x:v>
      </x:c>
      <x:c r="Q925" s="10" t="str">
        <x:v>Recebido</x:v>
      </x:c>
      <x:c r="R925" s="10" t="str">
        <x:v>TED</x:v>
      </x:c>
      <x:c r="S925" s="10" t="str">
        <x:v>2024-10</x:v>
      </x:c>
      <x:c r="T925" s="10" t="n">
        <x:v>0</x:v>
      </x:c>
      <x:c r="U925" s="10" t="str">
        <x:v>Liquidado</x:v>
      </x:c>
      <x:c r="V925" s="10" t="str">
        <x:v>Baixo</x:v>
      </x:c>
      <x:c r="W925" s="10" t="str">
        <x:v>Serviços</x:v>
      </x:c>
      <x:c r="X925" s="10" t="str">
        <x:v>UND004</x:v>
      </x:c>
    </x:row>
    <x:row r="926" ht="18" customHeight="1">
      <x:c r="A926" s="10" t="str">
        <x:v>REC00925</x:v>
      </x:c>
      <x:c r="B926" s="10" t="str">
        <x:v>EMP002</x:v>
      </x:c>
      <x:c r="C926" s="10" t="str">
        <x:v>CLI033</x:v>
      </x:c>
      <x:c r="D926" s="10" t="str">
        <x:v>CC007</x:v>
      </x:c>
      <x:c r="E926" s="10" t="str">
        <x:v>CAT002</x:v>
      </x:c>
      <x:c r="F926" s="10" t="str">
        <x:v>CTA004</x:v>
      </x:c>
      <x:c r="G926" s="10" t="str">
        <x:v>FAT-200925</x:v>
      </x:c>
      <x:c r="H926" s="10" t="str">
        <x:v>Contrato mensal</x:v>
      </x:c>
      <x:c r="I926" s="16" t="n">
        <x:v>45913.71781263889</x:v>
      </x:c>
      <x:c r="J926" s="16" t="n">
        <x:v>45948.71781263889</x:v>
      </x:c>
      <x:c r="K926" s="16" t="n">
        <x:v>45942.71781263889</x:v>
      </x:c>
      <x:c r="L926" s="20" t="n">
        <x:v>31254.81</x:v>
      </x:c>
      <x:c r="M926" s="20" t="n">
        <x:v>0</x:v>
      </x:c>
      <x:c r="N926" s="20" t="n">
        <x:v>0</x:v>
      </x:c>
      <x:c r="O926" s="20" t="n">
        <x:v>31254.81</x:v>
      </x:c>
      <x:c r="P926" s="20" t="n">
        <x:v>0</x:v>
      </x:c>
      <x:c r="Q926" s="10" t="str">
        <x:v>Recebido</x:v>
      </x:c>
      <x:c r="R926" s="10" t="str">
        <x:v>Débito em Conta</x:v>
      </x:c>
      <x:c r="S926" s="10" t="str">
        <x:v>2025-09</x:v>
      </x:c>
      <x:c r="T926" s="10" t="n">
        <x:v>0</x:v>
      </x:c>
      <x:c r="U926" s="10" t="str">
        <x:v>Liquidado</x:v>
      </x:c>
      <x:c r="V926" s="10" t="str">
        <x:v>Médio</x:v>
      </x:c>
      <x:c r="W926" s="10" t="str">
        <x:v>Varejo</x:v>
      </x:c>
      <x:c r="X926" s="10" t="str">
        <x:v>UND003</x:v>
      </x:c>
    </x:row>
    <x:row r="927" ht="18" customHeight="1">
      <x:c r="A927" s="10" t="str">
        <x:v>REC00926</x:v>
      </x:c>
      <x:c r="B927" s="10" t="str">
        <x:v>EMP002</x:v>
      </x:c>
      <x:c r="C927" s="10" t="str">
        <x:v>CLI053</x:v>
      </x:c>
      <x:c r="D927" s="10" t="str">
        <x:v>CC006</x:v>
      </x:c>
      <x:c r="E927" s="10" t="str">
        <x:v>CAT004</x:v>
      </x:c>
      <x:c r="F927" s="10" t="str">
        <x:v>CTA003</x:v>
      </x:c>
      <x:c r="G927" s="10" t="str">
        <x:v>FAT-200926</x:v>
      </x:c>
      <x:c r="H927" s="10" t="str">
        <x:v>Frete faturado</x:v>
      </x:c>
      <x:c r="I927" s="16" t="n">
        <x:v>45415.925166180554</x:v>
      </x:c>
      <x:c r="J927" s="16" t="n">
        <x:v>45445.925166180554</x:v>
      </x:c>
      <x:c r="K927" s="16"/>
      <x:c r="L927" s="20" t="n">
        <x:v>3970.05</x:v>
      </x:c>
      <x:c r="M927" s="20" t="n">
        <x:v>0</x:v>
      </x:c>
      <x:c r="N927" s="20" t="n">
        <x:v>0</x:v>
      </x:c>
      <x:c r="O927" s="20" t="n">
        <x:v>0</x:v>
      </x:c>
      <x:c r="P927" s="20" t="n">
        <x:v>3970.05</x:v>
      </x:c>
      <x:c r="Q927" s="10" t="str">
        <x:v>Vencido</x:v>
      </x:c>
      <x:c r="R927" s="10" t="str">
        <x:v>PIX</x:v>
      </x:c>
      <x:c r="S927" s="10" t="str">
        <x:v>2024-05</x:v>
      </x:c>
      <x:c r="T927" s="10" t="n">
        <x:v>576</x:v>
      </x:c>
      <x:c r="U927" s="10" t="str">
        <x:v>&gt; 120 dias</x:v>
      </x:c>
      <x:c r="V927" s="10" t="str">
        <x:v>Baixo</x:v>
      </x:c>
      <x:c r="W927" s="10" t="str">
        <x:v>Saúde</x:v>
      </x:c>
      <x:c r="X927" s="10" t="str">
        <x:v>UND003</x:v>
      </x:c>
    </x:row>
    <x:row r="928" ht="18" customHeight="1">
      <x:c r="A928" s="10" t="str">
        <x:v>REC00927</x:v>
      </x:c>
      <x:c r="B928" s="10" t="str">
        <x:v>EMP001</x:v>
      </x:c>
      <x:c r="C928" s="10" t="str">
        <x:v>CLI036</x:v>
      </x:c>
      <x:c r="D928" s="10" t="str">
        <x:v>CC001</x:v>
      </x:c>
      <x:c r="E928" s="10" t="str">
        <x:v>CAT003</x:v>
      </x:c>
      <x:c r="F928" s="10" t="str">
        <x:v>CTA001</x:v>
      </x:c>
      <x:c r="G928" s="10" t="str">
        <x:v>FAT-200927</x:v>
      </x:c>
      <x:c r="H928" s="10" t="str">
        <x:v>Venda de produtos</x:v>
      </x:c>
      <x:c r="I928" s="16" t="n">
        <x:v>45784.69880480324</x:v>
      </x:c>
      <x:c r="J928" s="16" t="n">
        <x:v>45799.69880480324</x:v>
      </x:c>
      <x:c r="K928" s="16" t="n">
        <x:v>45796.69880480324</x:v>
      </x:c>
      <x:c r="L928" s="20" t="n">
        <x:v>8481.66</x:v>
      </x:c>
      <x:c r="M928" s="20" t="n">
        <x:v>0</x:v>
      </x:c>
      <x:c r="N928" s="20" t="n">
        <x:v>0</x:v>
      </x:c>
      <x:c r="O928" s="20" t="n">
        <x:v>8481.66</x:v>
      </x:c>
      <x:c r="P928" s="20" t="n">
        <x:v>0</x:v>
      </x:c>
      <x:c r="Q928" s="10" t="str">
        <x:v>Recebido</x:v>
      </x:c>
      <x:c r="R928" s="10" t="str">
        <x:v>TED</x:v>
      </x:c>
      <x:c r="S928" s="10" t="str">
        <x:v>2025-05</x:v>
      </x:c>
      <x:c r="T928" s="10" t="n">
        <x:v>0</x:v>
      </x:c>
      <x:c r="U928" s="10" t="str">
        <x:v>Liquidado</x:v>
      </x:c>
      <x:c r="V928" s="10" t="str">
        <x:v>Baixo</x:v>
      </x:c>
      <x:c r="W928" s="10" t="str">
        <x:v>Atacado</x:v>
      </x:c>
      <x:c r="X928" s="10" t="str">
        <x:v>UND002</x:v>
      </x:c>
    </x:row>
    <x:row r="929" ht="18" customHeight="1">
      <x:c r="A929" s="10" t="str">
        <x:v>REC00928</x:v>
      </x:c>
      <x:c r="B929" s="10" t="str">
        <x:v>EMP001</x:v>
      </x:c>
      <x:c r="C929" s="10" t="str">
        <x:v>CLI054</x:v>
      </x:c>
      <x:c r="D929" s="10" t="str">
        <x:v>CC008</x:v>
      </x:c>
      <x:c r="E929" s="10" t="str">
        <x:v>CAT004</x:v>
      </x:c>
      <x:c r="F929" s="10" t="str">
        <x:v>CTA002</x:v>
      </x:c>
      <x:c r="G929" s="10" t="str">
        <x:v>FAT-200928</x:v>
      </x:c>
      <x:c r="H929" s="10" t="str">
        <x:v>Projeto especial</x:v>
      </x:c>
      <x:c r="I929" s="16" t="n">
        <x:v>45925.276008009256</x:v>
      </x:c>
      <x:c r="J929" s="16" t="n">
        <x:v>45946.276008009256</x:v>
      </x:c>
      <x:c r="K929" s="16" t="n">
        <x:v>45958.276008009256</x:v>
      </x:c>
      <x:c r="L929" s="20" t="n">
        <x:v>132897.27</x:v>
      </x:c>
      <x:c r="M929" s="20" t="n">
        <x:v>1275.81</x:v>
      </x:c>
      <x:c r="N929" s="20" t="n">
        <x:v>0</x:v>
      </x:c>
      <x:c r="O929" s="20" t="n">
        <x:v>134173.08</x:v>
      </x:c>
      <x:c r="P929" s="20" t="n">
        <x:v>0</x:v>
      </x:c>
      <x:c r="Q929" s="10" t="str">
        <x:v>Recebido</x:v>
      </x:c>
      <x:c r="R929" s="10" t="str">
        <x:v>Cartão</x:v>
      </x:c>
      <x:c r="S929" s="10" t="str">
        <x:v>2025-09</x:v>
      </x:c>
      <x:c r="T929" s="10" t="n">
        <x:v>0</x:v>
      </x:c>
      <x:c r="U929" s="10" t="str">
        <x:v>Liquidado</x:v>
      </x:c>
      <x:c r="V929" s="10" t="str">
        <x:v>Médio</x:v>
      </x:c>
      <x:c r="W929" s="10" t="str">
        <x:v>Indústria</x:v>
      </x:c>
      <x:c r="X929" s="10" t="str">
        <x:v>UND002</x:v>
      </x:c>
    </x:row>
    <x:row r="930" ht="18" customHeight="1">
      <x:c r="A930" s="10" t="str">
        <x:v>REC00929</x:v>
      </x:c>
      <x:c r="B930" s="10" t="str">
        <x:v>EMP003</x:v>
      </x:c>
      <x:c r="C930" s="10" t="str">
        <x:v>CLI009</x:v>
      </x:c>
      <x:c r="D930" s="10" t="str">
        <x:v>CC001</x:v>
      </x:c>
      <x:c r="E930" s="10" t="str">
        <x:v>CAT003</x:v>
      </x:c>
      <x:c r="F930" s="10" t="str">
        <x:v>CTA005</x:v>
      </x:c>
      <x:c r="G930" s="10" t="str">
        <x:v>FAT-200929</x:v>
      </x:c>
      <x:c r="H930" s="10" t="str">
        <x:v>Venda de produtos</x:v>
      </x:c>
      <x:c r="I930" s="16" t="n">
        <x:v>45689.1461399537</x:v>
      </x:c>
      <x:c r="J930" s="16" t="n">
        <x:v>45717.1461399537</x:v>
      </x:c>
      <x:c r="K930" s="16"/>
      <x:c r="L930" s="20" t="n">
        <x:v>83346.86</x:v>
      </x:c>
      <x:c r="M930" s="20" t="n">
        <x:v>0</x:v>
      </x:c>
      <x:c r="N930" s="20" t="n">
        <x:v>0</x:v>
      </x:c>
      <x:c r="O930" s="20" t="n">
        <x:v>0</x:v>
      </x:c>
      <x:c r="P930" s="20" t="n">
        <x:v>83346.86</x:v>
      </x:c>
      <x:c r="Q930" s="10" t="str">
        <x:v>Vencido</x:v>
      </x:c>
      <x:c r="R930" s="10" t="str">
        <x:v>Cartão</x:v>
      </x:c>
      <x:c r="S930" s="10" t="str">
        <x:v>2025-02</x:v>
      </x:c>
      <x:c r="T930" s="10" t="n">
        <x:v>304</x:v>
      </x:c>
      <x:c r="U930" s="10" t="str">
        <x:v>&gt; 120 dias</x:v>
      </x:c>
      <x:c r="V930" s="10" t="str">
        <x:v>Médio</x:v>
      </x:c>
      <x:c r="W930" s="10" t="str">
        <x:v>Saúde</x:v>
      </x:c>
      <x:c r="X930" s="10" t="str">
        <x:v>UND004</x:v>
      </x:c>
    </x:row>
    <x:row r="931" ht="18" customHeight="1">
      <x:c r="A931" s="10" t="str">
        <x:v>REC00930</x:v>
      </x:c>
      <x:c r="B931" s="10" t="str">
        <x:v>EMP002</x:v>
      </x:c>
      <x:c r="C931" s="10" t="str">
        <x:v>CLI070</x:v>
      </x:c>
      <x:c r="D931" s="10" t="str">
        <x:v>CC007</x:v>
      </x:c>
      <x:c r="E931" s="10" t="str">
        <x:v>CAT001</x:v>
      </x:c>
      <x:c r="F931" s="10" t="str">
        <x:v>CTA004</x:v>
      </x:c>
      <x:c r="G931" s="10" t="str">
        <x:v>FAT-200930</x:v>
      </x:c>
      <x:c r="H931" s="10" t="str">
        <x:v>Projeto especial</x:v>
      </x:c>
      <x:c r="I931" s="16" t="n">
        <x:v>45392.33736278935</x:v>
      </x:c>
      <x:c r="J931" s="16" t="n">
        <x:v>45420.33736278935</x:v>
      </x:c>
      <x:c r="K931" s="16" t="n">
        <x:v>45424.33736278935</x:v>
      </x:c>
      <x:c r="L931" s="20" t="n">
        <x:v>18604.02</x:v>
      </x:c>
      <x:c r="M931" s="20" t="n">
        <x:v>59.53</x:v>
      </x:c>
      <x:c r="N931" s="20" t="n">
        <x:v>0</x:v>
      </x:c>
      <x:c r="O931" s="20" t="n">
        <x:v>18663.55</x:v>
      </x:c>
      <x:c r="P931" s="20" t="n">
        <x:v>0</x:v>
      </x:c>
      <x:c r="Q931" s="10" t="str">
        <x:v>Recebido</x:v>
      </x:c>
      <x:c r="R931" s="10" t="str">
        <x:v>Cartão</x:v>
      </x:c>
      <x:c r="S931" s="10" t="str">
        <x:v>2024-04</x:v>
      </x:c>
      <x:c r="T931" s="10" t="n">
        <x:v>0</x:v>
      </x:c>
      <x:c r="U931" s="10" t="str">
        <x:v>Liquidado</x:v>
      </x:c>
      <x:c r="V931" s="10" t="str">
        <x:v>Baixo</x:v>
      </x:c>
      <x:c r="W931" s="10" t="str">
        <x:v>Saúde</x:v>
      </x:c>
      <x:c r="X931" s="10" t="str">
        <x:v>UND003</x:v>
      </x:c>
    </x:row>
    <x:row r="932" ht="18" customHeight="1">
      <x:c r="A932" s="10" t="str">
        <x:v>REC00931</x:v>
      </x:c>
      <x:c r="B932" s="10" t="str">
        <x:v>EMP002</x:v>
      </x:c>
      <x:c r="C932" s="10" t="str">
        <x:v>CLI067</x:v>
      </x:c>
      <x:c r="D932" s="10" t="str">
        <x:v>CC005</x:v>
      </x:c>
      <x:c r="E932" s="10" t="str">
        <x:v>CAT002</x:v>
      </x:c>
      <x:c r="F932" s="10" t="str">
        <x:v>CTA003</x:v>
      </x:c>
      <x:c r="G932" s="10" t="str">
        <x:v>FAT-200931</x:v>
      </x:c>
      <x:c r="H932" s="10" t="str">
        <x:v>Contrato mensal</x:v>
      </x:c>
      <x:c r="I932" s="16" t="n">
        <x:v>45445.846968784725</x:v>
      </x:c>
      <x:c r="J932" s="16" t="n">
        <x:v>45490.846968784725</x:v>
      </x:c>
      <x:c r="K932" s="16" t="n">
        <x:v>45512.846968784725</x:v>
      </x:c>
      <x:c r="L932" s="20" t="n">
        <x:v>10799.88</x:v>
      </x:c>
      <x:c r="M932" s="20" t="n">
        <x:v>190.08</x:v>
      </x:c>
      <x:c r="N932" s="20" t="n">
        <x:v>0</x:v>
      </x:c>
      <x:c r="O932" s="20" t="n">
        <x:v>10989.96</x:v>
      </x:c>
      <x:c r="P932" s="20" t="n">
        <x:v>0</x:v>
      </x:c>
      <x:c r="Q932" s="10" t="str">
        <x:v>Recebido</x:v>
      </x:c>
      <x:c r="R932" s="10" t="str">
        <x:v>Boleto</x:v>
      </x:c>
      <x:c r="S932" s="10" t="str">
        <x:v>2024-06</x:v>
      </x:c>
      <x:c r="T932" s="10" t="n">
        <x:v>0</x:v>
      </x:c>
      <x:c r="U932" s="10" t="str">
        <x:v>Liquidado</x:v>
      </x:c>
      <x:c r="V932" s="10" t="str">
        <x:v>Alto</x:v>
      </x:c>
      <x:c r="W932" s="10" t="str">
        <x:v>Varejo</x:v>
      </x:c>
      <x:c r="X932" s="10" t="str">
        <x:v>UND003</x:v>
      </x:c>
    </x:row>
    <x:row r="933" ht="18" customHeight="1">
      <x:c r="A933" s="10" t="str">
        <x:v>REC00932</x:v>
      </x:c>
      <x:c r="B933" s="10" t="str">
        <x:v>EMP003</x:v>
      </x:c>
      <x:c r="C933" s="10" t="str">
        <x:v>CLI057</x:v>
      </x:c>
      <x:c r="D933" s="10" t="str">
        <x:v>CC007</x:v>
      </x:c>
      <x:c r="E933" s="10" t="str">
        <x:v>CAT001</x:v>
      </x:c>
      <x:c r="F933" s="10" t="str">
        <x:v>CTA006</x:v>
      </x:c>
      <x:c r="G933" s="10" t="str">
        <x:v>FAT-200932</x:v>
      </x:c>
      <x:c r="H933" s="10" t="str">
        <x:v>Prestação de serviços</x:v>
      </x:c>
      <x:c r="I933" s="16" t="n">
        <x:v>45953.172501064815</x:v>
      </x:c>
      <x:c r="J933" s="16" t="n">
        <x:v>45981.172501064815</x:v>
      </x:c>
      <x:c r="K933" s="16" t="n">
        <x:v>46005.172501064815</x:v>
      </x:c>
      <x:c r="L933" s="20" t="n">
        <x:v>18542.5</x:v>
      </x:c>
      <x:c r="M933" s="20" t="n">
        <x:v>356.02</x:v>
      </x:c>
      <x:c r="N933" s="20" t="n">
        <x:v>0</x:v>
      </x:c>
      <x:c r="O933" s="20" t="n">
        <x:v>18898.52</x:v>
      </x:c>
      <x:c r="P933" s="20" t="n">
        <x:v>0</x:v>
      </x:c>
      <x:c r="Q933" s="10" t="str">
        <x:v>Recebido</x:v>
      </x:c>
      <x:c r="R933" s="10" t="str">
        <x:v>Boleto</x:v>
      </x:c>
      <x:c r="S933" s="10" t="str">
        <x:v>2025-10</x:v>
      </x:c>
      <x:c r="T933" s="10" t="n">
        <x:v>0</x:v>
      </x:c>
      <x:c r="U933" s="10" t="str">
        <x:v>Liquidado</x:v>
      </x:c>
      <x:c r="V933" s="10" t="str">
        <x:v>Alto</x:v>
      </x:c>
      <x:c r="W933" s="10" t="str">
        <x:v>Saúde</x:v>
      </x:c>
      <x:c r="X933" s="10" t="str">
        <x:v>UND004</x:v>
      </x:c>
    </x:row>
    <x:row r="934" ht="18" customHeight="1">
      <x:c r="A934" s="10" t="str">
        <x:v>REC00933</x:v>
      </x:c>
      <x:c r="B934" s="10" t="str">
        <x:v>EMP003</x:v>
      </x:c>
      <x:c r="C934" s="10" t="str">
        <x:v>CLI027</x:v>
      </x:c>
      <x:c r="D934" s="10" t="str">
        <x:v>CC002</x:v>
      </x:c>
      <x:c r="E934" s="10" t="str">
        <x:v>CAT001</x:v>
      </x:c>
      <x:c r="F934" s="10" t="str">
        <x:v>CTA006</x:v>
      </x:c>
      <x:c r="G934" s="10" t="str">
        <x:v>FAT-200933</x:v>
      </x:c>
      <x:c r="H934" s="10" t="str">
        <x:v>Prestação de serviços</x:v>
      </x:c>
      <x:c r="I934" s="16" t="n">
        <x:v>45292.79462821759</x:v>
      </x:c>
      <x:c r="J934" s="16" t="n">
        <x:v>45307.79462821759</x:v>
      </x:c>
      <x:c r="K934" s="16" t="n">
        <x:v>45312.79462821759</x:v>
      </x:c>
      <x:c r="L934" s="20" t="n">
        <x:v>38937.67</x:v>
      </x:c>
      <x:c r="M934" s="20" t="n">
        <x:v>155.75</x:v>
      </x:c>
      <x:c r="N934" s="20" t="n">
        <x:v>0</x:v>
      </x:c>
      <x:c r="O934" s="20" t="n">
        <x:v>39093.42</x:v>
      </x:c>
      <x:c r="P934" s="20" t="n">
        <x:v>0</x:v>
      </x:c>
      <x:c r="Q934" s="10" t="str">
        <x:v>Recebido</x:v>
      </x:c>
      <x:c r="R934" s="10" t="str">
        <x:v>Cartão</x:v>
      </x:c>
      <x:c r="S934" s="10" t="str">
        <x:v>2024-01</x:v>
      </x:c>
      <x:c r="T934" s="10" t="n">
        <x:v>0</x:v>
      </x:c>
      <x:c r="U934" s="10" t="str">
        <x:v>Liquidado</x:v>
      </x:c>
      <x:c r="V934" s="10" t="str">
        <x:v>Alto</x:v>
      </x:c>
      <x:c r="W934" s="10" t="str">
        <x:v>Serviços</x:v>
      </x:c>
      <x:c r="X934" s="10" t="str">
        <x:v>UND004</x:v>
      </x:c>
    </x:row>
    <x:row r="935" ht="18" customHeight="1">
      <x:c r="A935" s="10" t="str">
        <x:v>REC00934</x:v>
      </x:c>
      <x:c r="B935" s="10" t="str">
        <x:v>EMP003</x:v>
      </x:c>
      <x:c r="C935" s="10" t="str">
        <x:v>CLI051</x:v>
      </x:c>
      <x:c r="D935" s="10" t="str">
        <x:v>CC005</x:v>
      </x:c>
      <x:c r="E935" s="10" t="str">
        <x:v>CAT003</x:v>
      </x:c>
      <x:c r="F935" s="10" t="str">
        <x:v>CTA006</x:v>
      </x:c>
      <x:c r="G935" s="10" t="str">
        <x:v>FAT-200934</x:v>
      </x:c>
      <x:c r="H935" s="10" t="str">
        <x:v>Projeto especial</x:v>
      </x:c>
      <x:c r="I935" s="16" t="n">
        <x:v>45919.434420798614</x:v>
      </x:c>
      <x:c r="J935" s="16" t="n">
        <x:v>45964.434420798614</x:v>
      </x:c>
      <x:c r="K935" s="16" t="n">
        <x:v>45961.434420798614</x:v>
      </x:c>
      <x:c r="L935" s="20" t="n">
        <x:v>43767.46</x:v>
      </x:c>
      <x:c r="M935" s="20" t="n">
        <x:v>0</x:v>
      </x:c>
      <x:c r="N935" s="20" t="n">
        <x:v>0</x:v>
      </x:c>
      <x:c r="O935" s="20" t="n">
        <x:v>43767.46</x:v>
      </x:c>
      <x:c r="P935" s="20" t="n">
        <x:v>0</x:v>
      </x:c>
      <x:c r="Q935" s="10" t="str">
        <x:v>Recebido</x:v>
      </x:c>
      <x:c r="R935" s="10" t="str">
        <x:v>Cartão</x:v>
      </x:c>
      <x:c r="S935" s="10" t="str">
        <x:v>2025-09</x:v>
      </x:c>
      <x:c r="T935" s="10" t="n">
        <x:v>0</x:v>
      </x:c>
      <x:c r="U935" s="10" t="str">
        <x:v>Liquidado</x:v>
      </x:c>
      <x:c r="V935" s="10" t="str">
        <x:v>Médio</x:v>
      </x:c>
      <x:c r="W935" s="10" t="str">
        <x:v>Saúde</x:v>
      </x:c>
      <x:c r="X935" s="10" t="str">
        <x:v>UND004</x:v>
      </x:c>
    </x:row>
    <x:row r="936" ht="18" customHeight="1">
      <x:c r="A936" s="10" t="str">
        <x:v>REC00935</x:v>
      </x:c>
      <x:c r="B936" s="10" t="str">
        <x:v>EMP003</x:v>
      </x:c>
      <x:c r="C936" s="10" t="str">
        <x:v>CLI023</x:v>
      </x:c>
      <x:c r="D936" s="10" t="str">
        <x:v>CC008</x:v>
      </x:c>
      <x:c r="E936" s="10" t="str">
        <x:v>CAT001</x:v>
      </x:c>
      <x:c r="F936" s="10" t="str">
        <x:v>CTA005</x:v>
      </x:c>
      <x:c r="G936" s="10" t="str">
        <x:v>FAT-200935</x:v>
      </x:c>
      <x:c r="H936" s="10" t="str">
        <x:v>Prestação de serviços</x:v>
      </x:c>
      <x:c r="I936" s="16" t="n">
        <x:v>45599.07490685185</x:v>
      </x:c>
      <x:c r="J936" s="16" t="n">
        <x:v>45659.07490685185</x:v>
      </x:c>
      <x:c r="K936" s="16" t="n">
        <x:v>45671.07490685185</x:v>
      </x:c>
      <x:c r="L936" s="20" t="n">
        <x:v>126478.02</x:v>
      </x:c>
      <x:c r="M936" s="20" t="n">
        <x:v>1214.19</x:v>
      </x:c>
      <x:c r="N936" s="20" t="n">
        <x:v>0</x:v>
      </x:c>
      <x:c r="O936" s="20" t="n">
        <x:v>127692.21</x:v>
      </x:c>
      <x:c r="P936" s="20" t="n">
        <x:v>0</x:v>
      </x:c>
      <x:c r="Q936" s="10" t="str">
        <x:v>Recebido</x:v>
      </x:c>
      <x:c r="R936" s="10" t="str">
        <x:v>PIX</x:v>
      </x:c>
      <x:c r="S936" s="10" t="str">
        <x:v>2024-11</x:v>
      </x:c>
      <x:c r="T936" s="10" t="n">
        <x:v>0</x:v>
      </x:c>
      <x:c r="U936" s="10" t="str">
        <x:v>Liquidado</x:v>
      </x:c>
      <x:c r="V936" s="10" t="str">
        <x:v>Médio</x:v>
      </x:c>
      <x:c r="W936" s="10" t="str">
        <x:v>Atacado</x:v>
      </x:c>
      <x:c r="X936" s="10" t="str">
        <x:v>UND004</x:v>
      </x:c>
    </x:row>
    <x:row r="937" ht="18" customHeight="1">
      <x:c r="A937" s="10" t="str">
        <x:v>REC00936</x:v>
      </x:c>
      <x:c r="B937" s="10" t="str">
        <x:v>EMP002</x:v>
      </x:c>
      <x:c r="C937" s="10" t="str">
        <x:v>CLI029</x:v>
      </x:c>
      <x:c r="D937" s="10" t="str">
        <x:v>CC006</x:v>
      </x:c>
      <x:c r="E937" s="10" t="str">
        <x:v>CAT002</x:v>
      </x:c>
      <x:c r="F937" s="10" t="str">
        <x:v>CTA004</x:v>
      </x:c>
      <x:c r="G937" s="10" t="str">
        <x:v>FAT-200936</x:v>
      </x:c>
      <x:c r="H937" s="10" t="str">
        <x:v>Prestação de serviços</x:v>
      </x:c>
      <x:c r="I937" s="16" t="n">
        <x:v>45358.057119398145</x:v>
      </x:c>
      <x:c r="J937" s="16" t="n">
        <x:v>45403.057119398145</x:v>
      </x:c>
      <x:c r="K937" s="16" t="n">
        <x:v>45397.057119398145</x:v>
      </x:c>
      <x:c r="L937" s="20" t="n">
        <x:v>34562.73</x:v>
      </x:c>
      <x:c r="M937" s="20" t="n">
        <x:v>0</x:v>
      </x:c>
      <x:c r="N937" s="20" t="n">
        <x:v>0</x:v>
      </x:c>
      <x:c r="O937" s="20" t="n">
        <x:v>34562.73</x:v>
      </x:c>
      <x:c r="P937" s="20" t="n">
        <x:v>0</x:v>
      </x:c>
      <x:c r="Q937" s="10" t="str">
        <x:v>Recebido</x:v>
      </x:c>
      <x:c r="R937" s="10" t="str">
        <x:v>TED</x:v>
      </x:c>
      <x:c r="S937" s="10" t="str">
        <x:v>2024-03</x:v>
      </x:c>
      <x:c r="T937" s="10" t="n">
        <x:v>0</x:v>
      </x:c>
      <x:c r="U937" s="10" t="str">
        <x:v>Liquidado</x:v>
      </x:c>
      <x:c r="V937" s="10" t="str">
        <x:v>Baixo</x:v>
      </x:c>
      <x:c r="W937" s="10" t="str">
        <x:v>Tecnologia</x:v>
      </x:c>
      <x:c r="X937" s="10" t="str">
        <x:v>UND003</x:v>
      </x:c>
    </x:row>
    <x:row r="938" ht="18" customHeight="1">
      <x:c r="A938" s="10" t="str">
        <x:v>REC00937</x:v>
      </x:c>
      <x:c r="B938" s="10" t="str">
        <x:v>EMP002</x:v>
      </x:c>
      <x:c r="C938" s="10" t="str">
        <x:v>CLI074</x:v>
      </x:c>
      <x:c r="D938" s="10" t="str">
        <x:v>CC004</x:v>
      </x:c>
      <x:c r="E938" s="10" t="str">
        <x:v>CAT004</x:v>
      </x:c>
      <x:c r="F938" s="10" t="str">
        <x:v>CTA003</x:v>
      </x:c>
      <x:c r="G938" s="10" t="str">
        <x:v>FAT-200937</x:v>
      </x:c>
      <x:c r="H938" s="10" t="str">
        <x:v>Frete faturado</x:v>
      </x:c>
      <x:c r="I938" s="16" t="n">
        <x:v>45703.94659679398</x:v>
      </x:c>
      <x:c r="J938" s="16" t="n">
        <x:v>45748.94659679398</x:v>
      </x:c>
      <x:c r="K938" s="16" t="n">
        <x:v>45748.94659679398</x:v>
      </x:c>
      <x:c r="L938" s="20" t="n">
        <x:v>27795.28</x:v>
      </x:c>
      <x:c r="M938" s="20" t="n">
        <x:v>0</x:v>
      </x:c>
      <x:c r="N938" s="20" t="n">
        <x:v>0</x:v>
      </x:c>
      <x:c r="O938" s="20" t="n">
        <x:v>27795.28</x:v>
      </x:c>
      <x:c r="P938" s="20" t="n">
        <x:v>0</x:v>
      </x:c>
      <x:c r="Q938" s="10" t="str">
        <x:v>Recebido</x:v>
      </x:c>
      <x:c r="R938" s="10" t="str">
        <x:v>PIX</x:v>
      </x:c>
      <x:c r="S938" s="10" t="str">
        <x:v>2025-02</x:v>
      </x:c>
      <x:c r="T938" s="10" t="n">
        <x:v>0</x:v>
      </x:c>
      <x:c r="U938" s="10" t="str">
        <x:v>Liquidado</x:v>
      </x:c>
      <x:c r="V938" s="10" t="str">
        <x:v>Médio</x:v>
      </x:c>
      <x:c r="W938" s="10" t="str">
        <x:v>Tecnologia</x:v>
      </x:c>
      <x:c r="X938" s="10" t="str">
        <x:v>UND003</x:v>
      </x:c>
    </x:row>
    <x:row r="939" ht="18" customHeight="1">
      <x:c r="A939" s="10" t="str">
        <x:v>REC00938</x:v>
      </x:c>
      <x:c r="B939" s="10" t="str">
        <x:v>EMP002</x:v>
      </x:c>
      <x:c r="C939" s="10" t="str">
        <x:v>CLI037</x:v>
      </x:c>
      <x:c r="D939" s="10" t="str">
        <x:v>CC001</x:v>
      </x:c>
      <x:c r="E939" s="10" t="str">
        <x:v>CAT001</x:v>
      </x:c>
      <x:c r="F939" s="10" t="str">
        <x:v>CTA004</x:v>
      </x:c>
      <x:c r="G939" s="10" t="str">
        <x:v>FAT-200938</x:v>
      </x:c>
      <x:c r="H939" s="10" t="str">
        <x:v>Contrato mensal</x:v>
      </x:c>
      <x:c r="I939" s="16" t="n">
        <x:v>45362.82188099537</x:v>
      </x:c>
      <x:c r="J939" s="16" t="n">
        <x:v>45422.82188099537</x:v>
      </x:c>
      <x:c r="K939" s="16" t="n">
        <x:v>45428.82188099537</x:v>
      </x:c>
      <x:c r="L939" s="20" t="n">
        <x:v>77395.14</x:v>
      </x:c>
      <x:c r="M939" s="20" t="n">
        <x:v>371.5</x:v>
      </x:c>
      <x:c r="N939" s="20" t="n">
        <x:v>0</x:v>
      </x:c>
      <x:c r="O939" s="20" t="n">
        <x:v>77766.64</x:v>
      </x:c>
      <x:c r="P939" s="20" t="n">
        <x:v>0</x:v>
      </x:c>
      <x:c r="Q939" s="10" t="str">
        <x:v>Recebido</x:v>
      </x:c>
      <x:c r="R939" s="10" t="str">
        <x:v>PIX</x:v>
      </x:c>
      <x:c r="S939" s="10" t="str">
        <x:v>2024-03</x:v>
      </x:c>
      <x:c r="T939" s="10" t="n">
        <x:v>0</x:v>
      </x:c>
      <x:c r="U939" s="10" t="str">
        <x:v>Liquidado</x:v>
      </x:c>
      <x:c r="V939" s="10" t="str">
        <x:v>Baixo</x:v>
      </x:c>
      <x:c r="W939" s="10" t="str">
        <x:v>Serviços</x:v>
      </x:c>
      <x:c r="X939" s="10" t="str">
        <x:v>UND003</x:v>
      </x:c>
    </x:row>
    <x:row r="940" ht="18" customHeight="1">
      <x:c r="A940" s="10" t="str">
        <x:v>REC00939</x:v>
      </x:c>
      <x:c r="B940" s="10" t="str">
        <x:v>EMP003</x:v>
      </x:c>
      <x:c r="C940" s="10" t="str">
        <x:v>CLI030</x:v>
      </x:c>
      <x:c r="D940" s="10" t="str">
        <x:v>CC002</x:v>
      </x:c>
      <x:c r="E940" s="10" t="str">
        <x:v>CAT003</x:v>
      </x:c>
      <x:c r="F940" s="10" t="str">
        <x:v>CTA005</x:v>
      </x:c>
      <x:c r="G940" s="10" t="str">
        <x:v>FAT-200939</x:v>
      </x:c>
      <x:c r="H940" s="10" t="str">
        <x:v>Contrato mensal</x:v>
      </x:c>
      <x:c r="I940" s="16" t="n">
        <x:v>45735.52733075232</x:v>
      </x:c>
      <x:c r="J940" s="16" t="n">
        <x:v>45770.52733075232</x:v>
      </x:c>
      <x:c r="K940" s="16" t="n">
        <x:v>45771.52733075232</x:v>
      </x:c>
      <x:c r="L940" s="20" t="n">
        <x:v>50402.52</x:v>
      </x:c>
      <x:c r="M940" s="20" t="n">
        <x:v>40.32</x:v>
      </x:c>
      <x:c r="N940" s="20" t="n">
        <x:v>0</x:v>
      </x:c>
      <x:c r="O940" s="20" t="n">
        <x:v>50442.84</x:v>
      </x:c>
      <x:c r="P940" s="20" t="n">
        <x:v>0</x:v>
      </x:c>
      <x:c r="Q940" s="10" t="str">
        <x:v>Recebido</x:v>
      </x:c>
      <x:c r="R940" s="10" t="str">
        <x:v>Débito em Conta</x:v>
      </x:c>
      <x:c r="S940" s="10" t="str">
        <x:v>2025-03</x:v>
      </x:c>
      <x:c r="T940" s="10" t="n">
        <x:v>0</x:v>
      </x:c>
      <x:c r="U940" s="10" t="str">
        <x:v>Liquidado</x:v>
      </x:c>
      <x:c r="V940" s="10" t="str">
        <x:v>Baixo</x:v>
      </x:c>
      <x:c r="W940" s="10" t="str">
        <x:v>Tecnologia</x:v>
      </x:c>
      <x:c r="X940" s="10" t="str">
        <x:v>UND004</x:v>
      </x:c>
    </x:row>
    <x:row r="941" ht="18" customHeight="1">
      <x:c r="A941" s="10" t="str">
        <x:v>REC00940</x:v>
      </x:c>
      <x:c r="B941" s="10" t="str">
        <x:v>EMP002</x:v>
      </x:c>
      <x:c r="C941" s="10" t="str">
        <x:v>CLI046</x:v>
      </x:c>
      <x:c r="D941" s="10" t="str">
        <x:v>CC004</x:v>
      </x:c>
      <x:c r="E941" s="10" t="str">
        <x:v>CAT001</x:v>
      </x:c>
      <x:c r="F941" s="10" t="str">
        <x:v>CTA004</x:v>
      </x:c>
      <x:c r="G941" s="10" t="str">
        <x:v>FAT-200940</x:v>
      </x:c>
      <x:c r="H941" s="10" t="str">
        <x:v>Projeto especial</x:v>
      </x:c>
      <x:c r="I941" s="16" t="n">
        <x:v>45346.552705</x:v>
      </x:c>
      <x:c r="J941" s="16" t="n">
        <x:v>45361.552705</x:v>
      </x:c>
      <x:c r="K941" s="16" t="n">
        <x:v>45355.552705</x:v>
      </x:c>
      <x:c r="L941" s="20" t="n">
        <x:v>101578.8</x:v>
      </x:c>
      <x:c r="M941" s="20" t="n">
        <x:v>0</x:v>
      </x:c>
      <x:c r="N941" s="20" t="n">
        <x:v>0</x:v>
      </x:c>
      <x:c r="O941" s="20" t="n">
        <x:v>101578.8</x:v>
      </x:c>
      <x:c r="P941" s="20" t="n">
        <x:v>0</x:v>
      </x:c>
      <x:c r="Q941" s="10" t="str">
        <x:v>Recebido</x:v>
      </x:c>
      <x:c r="R941" s="10" t="str">
        <x:v>TED</x:v>
      </x:c>
      <x:c r="S941" s="10" t="str">
        <x:v>2024-02</x:v>
      </x:c>
      <x:c r="T941" s="10" t="n">
        <x:v>0</x:v>
      </x:c>
      <x:c r="U941" s="10" t="str">
        <x:v>Liquidado</x:v>
      </x:c>
      <x:c r="V941" s="10" t="str">
        <x:v>Alto</x:v>
      </x:c>
      <x:c r="W941" s="10" t="str">
        <x:v>Varejo</x:v>
      </x:c>
      <x:c r="X941" s="10" t="str">
        <x:v>UND003</x:v>
      </x:c>
    </x:row>
    <x:row r="942" ht="18" customHeight="1">
      <x:c r="A942" s="10" t="str">
        <x:v>REC00941</x:v>
      </x:c>
      <x:c r="B942" s="10" t="str">
        <x:v>EMP001</x:v>
      </x:c>
      <x:c r="C942" s="10" t="str">
        <x:v>CLI011</x:v>
      </x:c>
      <x:c r="D942" s="10" t="str">
        <x:v>CC003</x:v>
      </x:c>
      <x:c r="E942" s="10" t="str">
        <x:v>CAT003</x:v>
      </x:c>
      <x:c r="F942" s="10" t="str">
        <x:v>CTA001</x:v>
      </x:c>
      <x:c r="G942" s="10" t="str">
        <x:v>FAT-200941</x:v>
      </x:c>
      <x:c r="H942" s="10" t="str">
        <x:v>Contrato mensal</x:v>
      </x:c>
      <x:c r="I942" s="16" t="n">
        <x:v>45896.50036193287</x:v>
      </x:c>
      <x:c r="J942" s="16" t="n">
        <x:v>45926.50036193287</x:v>
      </x:c>
      <x:c r="K942" s="16"/>
      <x:c r="L942" s="20" t="n">
        <x:v>133595.85</x:v>
      </x:c>
      <x:c r="M942" s="20" t="n">
        <x:v>0</x:v>
      </x:c>
      <x:c r="N942" s="20" t="n">
        <x:v>0</x:v>
      </x:c>
      <x:c r="O942" s="20" t="n">
        <x:v>0</x:v>
      </x:c>
      <x:c r="P942" s="20" t="n">
        <x:v>133595.85</x:v>
      </x:c>
      <x:c r="Q942" s="10" t="str">
        <x:v>Vencido</x:v>
      </x:c>
      <x:c r="R942" s="10" t="str">
        <x:v>Cartão</x:v>
      </x:c>
      <x:c r="S942" s="10" t="str">
        <x:v>2025-08</x:v>
      </x:c>
      <x:c r="T942" s="10" t="n">
        <x:v>95</x:v>
      </x:c>
      <x:c r="U942" s="10" t="str">
        <x:v>91 a 120 dias</x:v>
      </x:c>
      <x:c r="V942" s="10" t="str">
        <x:v>Alto</x:v>
      </x:c>
      <x:c r="W942" s="10" t="str">
        <x:v>Serviços</x:v>
      </x:c>
      <x:c r="X942" s="10" t="str">
        <x:v>UND001</x:v>
      </x:c>
    </x:row>
    <x:row r="943" ht="18" customHeight="1">
      <x:c r="A943" s="10" t="str">
        <x:v>REC00942</x:v>
      </x:c>
      <x:c r="B943" s="10" t="str">
        <x:v>EMP002</x:v>
      </x:c>
      <x:c r="C943" s="10" t="str">
        <x:v>CLI039</x:v>
      </x:c>
      <x:c r="D943" s="10" t="str">
        <x:v>CC007</x:v>
      </x:c>
      <x:c r="E943" s="10" t="str">
        <x:v>CAT004</x:v>
      </x:c>
      <x:c r="F943" s="10" t="str">
        <x:v>CTA004</x:v>
      </x:c>
      <x:c r="G943" s="10" t="str">
        <x:v>FAT-200942</x:v>
      </x:c>
      <x:c r="H943" s="10" t="str">
        <x:v>Frete faturado</x:v>
      </x:c>
      <x:c r="I943" s="16" t="n">
        <x:v>45554.58959762732</x:v>
      </x:c>
      <x:c r="J943" s="16" t="n">
        <x:v>45582.58959762732</x:v>
      </x:c>
      <x:c r="K943" s="16" t="n">
        <x:v>45591.58959762732</x:v>
      </x:c>
      <x:c r="L943" s="20" t="n">
        <x:v>1931.48</x:v>
      </x:c>
      <x:c r="M943" s="20" t="n">
        <x:v>13.91</x:v>
      </x:c>
      <x:c r="N943" s="20" t="n">
        <x:v>0</x:v>
      </x:c>
      <x:c r="O943" s="20" t="n">
        <x:v>1945.39</x:v>
      </x:c>
      <x:c r="P943" s="20" t="n">
        <x:v>0</x:v>
      </x:c>
      <x:c r="Q943" s="10" t="str">
        <x:v>Recebido</x:v>
      </x:c>
      <x:c r="R943" s="10" t="str">
        <x:v>PIX</x:v>
      </x:c>
      <x:c r="S943" s="10" t="str">
        <x:v>2024-09</x:v>
      </x:c>
      <x:c r="T943" s="10" t="n">
        <x:v>0</x:v>
      </x:c>
      <x:c r="U943" s="10" t="str">
        <x:v>Liquidado</x:v>
      </x:c>
      <x:c r="V943" s="10" t="str">
        <x:v>Alto</x:v>
      </x:c>
      <x:c r="W943" s="10" t="str">
        <x:v>Saúde</x:v>
      </x:c>
      <x:c r="X943" s="10" t="str">
        <x:v>UND003</x:v>
      </x:c>
    </x:row>
    <x:row r="944" ht="18" customHeight="1">
      <x:c r="A944" s="10" t="str">
        <x:v>REC00943</x:v>
      </x:c>
      <x:c r="B944" s="10" t="str">
        <x:v>EMP003</x:v>
      </x:c>
      <x:c r="C944" s="10" t="str">
        <x:v>CLI066</x:v>
      </x:c>
      <x:c r="D944" s="10" t="str">
        <x:v>CC001</x:v>
      </x:c>
      <x:c r="E944" s="10" t="str">
        <x:v>CAT002</x:v>
      </x:c>
      <x:c r="F944" s="10" t="str">
        <x:v>CTA006</x:v>
      </x:c>
      <x:c r="G944" s="10" t="str">
        <x:v>FAT-200943</x:v>
      </x:c>
      <x:c r="H944" s="10" t="str">
        <x:v>Projeto especial</x:v>
      </x:c>
      <x:c r="I944" s="16" t="n">
        <x:v>45388.24554815972</x:v>
      </x:c>
      <x:c r="J944" s="16" t="n">
        <x:v>45448.24554815972</x:v>
      </x:c>
      <x:c r="K944" s="16" t="n">
        <x:v>45450.24554815972</x:v>
      </x:c>
      <x:c r="L944" s="20" t="n">
        <x:v>1669.31</x:v>
      </x:c>
      <x:c r="M944" s="20" t="n">
        <x:v>2.67</x:v>
      </x:c>
      <x:c r="N944" s="20" t="n">
        <x:v>0</x:v>
      </x:c>
      <x:c r="O944" s="20" t="n">
        <x:v>1671.98</x:v>
      </x:c>
      <x:c r="P944" s="20" t="n">
        <x:v>0</x:v>
      </x:c>
      <x:c r="Q944" s="10" t="str">
        <x:v>Recebido</x:v>
      </x:c>
      <x:c r="R944" s="10" t="str">
        <x:v>TED</x:v>
      </x:c>
      <x:c r="S944" s="10" t="str">
        <x:v>2024-04</x:v>
      </x:c>
      <x:c r="T944" s="10" t="n">
        <x:v>0</x:v>
      </x:c>
      <x:c r="U944" s="10" t="str">
        <x:v>Liquidado</x:v>
      </x:c>
      <x:c r="V944" s="10" t="str">
        <x:v>Baixo</x:v>
      </x:c>
      <x:c r="W944" s="10" t="str">
        <x:v>Varejo</x:v>
      </x:c>
      <x:c r="X944" s="10" t="str">
        <x:v>UND004</x:v>
      </x:c>
    </x:row>
    <x:row r="945" ht="18" customHeight="1">
      <x:c r="A945" s="10" t="str">
        <x:v>REC00944</x:v>
      </x:c>
      <x:c r="B945" s="10" t="str">
        <x:v>EMP003</x:v>
      </x:c>
      <x:c r="C945" s="10" t="str">
        <x:v>CLI042</x:v>
      </x:c>
      <x:c r="D945" s="10" t="str">
        <x:v>CC006</x:v>
      </x:c>
      <x:c r="E945" s="10" t="str">
        <x:v>CAT004</x:v>
      </x:c>
      <x:c r="F945" s="10" t="str">
        <x:v>CTA006</x:v>
      </x:c>
      <x:c r="G945" s="10" t="str">
        <x:v>FAT-200944</x:v>
      </x:c>
      <x:c r="H945" s="10" t="str">
        <x:v>Venda de produtos</x:v>
      </x:c>
      <x:c r="I945" s="16" t="n">
        <x:v>45460.2469091088</x:v>
      </x:c>
      <x:c r="J945" s="16" t="n">
        <x:v>45481.2469091088</x:v>
      </x:c>
      <x:c r="K945" s="16" t="n">
        <x:v>45478.2469091088</x:v>
      </x:c>
      <x:c r="L945" s="20" t="n">
        <x:v>47827.5</x:v>
      </x:c>
      <x:c r="M945" s="20" t="n">
        <x:v>0</x:v>
      </x:c>
      <x:c r="N945" s="20" t="n">
        <x:v>0</x:v>
      </x:c>
      <x:c r="O945" s="20" t="n">
        <x:v>47827.5</x:v>
      </x:c>
      <x:c r="P945" s="20" t="n">
        <x:v>0</x:v>
      </x:c>
      <x:c r="Q945" s="10" t="str">
        <x:v>Recebido</x:v>
      </x:c>
      <x:c r="R945" s="10" t="str">
        <x:v>Débito em Conta</x:v>
      </x:c>
      <x:c r="S945" s="10" t="str">
        <x:v>2024-06</x:v>
      </x:c>
      <x:c r="T945" s="10" t="n">
        <x:v>0</x:v>
      </x:c>
      <x:c r="U945" s="10" t="str">
        <x:v>Liquidado</x:v>
      </x:c>
      <x:c r="V945" s="10" t="str">
        <x:v>Baixo</x:v>
      </x:c>
      <x:c r="W945" s="10" t="str">
        <x:v>Varejo</x:v>
      </x:c>
      <x:c r="X945" s="10" t="str">
        <x:v>UND004</x:v>
      </x:c>
    </x:row>
    <x:row r="946" ht="18" customHeight="1">
      <x:c r="A946" s="10" t="str">
        <x:v>REC00945</x:v>
      </x:c>
      <x:c r="B946" s="10" t="str">
        <x:v>EMP002</x:v>
      </x:c>
      <x:c r="C946" s="10" t="str">
        <x:v>CLI035</x:v>
      </x:c>
      <x:c r="D946" s="10" t="str">
        <x:v>CC006</x:v>
      </x:c>
      <x:c r="E946" s="10" t="str">
        <x:v>CAT004</x:v>
      </x:c>
      <x:c r="F946" s="10" t="str">
        <x:v>CTA003</x:v>
      </x:c>
      <x:c r="G946" s="10" t="str">
        <x:v>FAT-200945</x:v>
      </x:c>
      <x:c r="H946" s="10" t="str">
        <x:v>Frete faturado</x:v>
      </x:c>
      <x:c r="I946" s="16" t="n">
        <x:v>45902.047451805556</x:v>
      </x:c>
      <x:c r="J946" s="16" t="n">
        <x:v>45917.047451805556</x:v>
      </x:c>
      <x:c r="K946" s="16" t="n">
        <x:v>45920.047451805556</x:v>
      </x:c>
      <x:c r="L946" s="20" t="n">
        <x:v>3411.32</x:v>
      </x:c>
      <x:c r="M946" s="20" t="n">
        <x:v>8.19</x:v>
      </x:c>
      <x:c r="N946" s="20" t="n">
        <x:v>0</x:v>
      </x:c>
      <x:c r="O946" s="20" t="n">
        <x:v>3419.51</x:v>
      </x:c>
      <x:c r="P946" s="20" t="n">
        <x:v>0</x:v>
      </x:c>
      <x:c r="Q946" s="10" t="str">
        <x:v>Recebido</x:v>
      </x:c>
      <x:c r="R946" s="10" t="str">
        <x:v>PIX</x:v>
      </x:c>
      <x:c r="S946" s="10" t="str">
        <x:v>2025-09</x:v>
      </x:c>
      <x:c r="T946" s="10" t="n">
        <x:v>0</x:v>
      </x:c>
      <x:c r="U946" s="10" t="str">
        <x:v>Liquidado</x:v>
      </x:c>
      <x:c r="V946" s="10" t="str">
        <x:v>Médio</x:v>
      </x:c>
      <x:c r="W946" s="10" t="str">
        <x:v>Varejo</x:v>
      </x:c>
      <x:c r="X946" s="10" t="str">
        <x:v>UND003</x:v>
      </x:c>
    </x:row>
    <x:row r="947" ht="18" customHeight="1">
      <x:c r="A947" s="10" t="str">
        <x:v>REC00946</x:v>
      </x:c>
      <x:c r="B947" s="10" t="str">
        <x:v>EMP001</x:v>
      </x:c>
      <x:c r="C947" s="10" t="str">
        <x:v>CLI075</x:v>
      </x:c>
      <x:c r="D947" s="10" t="str">
        <x:v>CC007</x:v>
      </x:c>
      <x:c r="E947" s="10" t="str">
        <x:v>CAT003</x:v>
      </x:c>
      <x:c r="F947" s="10" t="str">
        <x:v>CTA001</x:v>
      </x:c>
      <x:c r="G947" s="10" t="str">
        <x:v>FAT-200946</x:v>
      </x:c>
      <x:c r="H947" s="10" t="str">
        <x:v>Venda de produtos</x:v>
      </x:c>
      <x:c r="I947" s="16" t="n">
        <x:v>45383.16499686342</x:v>
      </x:c>
      <x:c r="J947" s="16" t="n">
        <x:v>45413.16499686342</x:v>
      </x:c>
      <x:c r="K947" s="16" t="n">
        <x:v>45424.16499686342</x:v>
      </x:c>
      <x:c r="L947" s="20" t="n">
        <x:v>43100.03</x:v>
      </x:c>
      <x:c r="M947" s="20" t="n">
        <x:v>379.28</x:v>
      </x:c>
      <x:c r="N947" s="20" t="n">
        <x:v>0</x:v>
      </x:c>
      <x:c r="O947" s="20" t="n">
        <x:v>43479.31</x:v>
      </x:c>
      <x:c r="P947" s="20" t="n">
        <x:v>0</x:v>
      </x:c>
      <x:c r="Q947" s="10" t="str">
        <x:v>Recebido</x:v>
      </x:c>
      <x:c r="R947" s="10" t="str">
        <x:v>Débito em Conta</x:v>
      </x:c>
      <x:c r="S947" s="10" t="str">
        <x:v>2024-04</x:v>
      </x:c>
      <x:c r="T947" s="10" t="n">
        <x:v>0</x:v>
      </x:c>
      <x:c r="U947" s="10" t="str">
        <x:v>Liquidado</x:v>
      </x:c>
      <x:c r="V947" s="10" t="str">
        <x:v>Médio</x:v>
      </x:c>
      <x:c r="W947" s="10" t="str">
        <x:v>Varejo</x:v>
      </x:c>
      <x:c r="X947" s="10" t="str">
        <x:v>UND002</x:v>
      </x:c>
    </x:row>
    <x:row r="948" ht="18" customHeight="1">
      <x:c r="A948" s="10" t="str">
        <x:v>REC00947</x:v>
      </x:c>
      <x:c r="B948" s="10" t="str">
        <x:v>EMP001</x:v>
      </x:c>
      <x:c r="C948" s="10" t="str">
        <x:v>CLI044</x:v>
      </x:c>
      <x:c r="D948" s="10" t="str">
        <x:v>CC003</x:v>
      </x:c>
      <x:c r="E948" s="10" t="str">
        <x:v>CAT002</x:v>
      </x:c>
      <x:c r="F948" s="10" t="str">
        <x:v>CTA002</x:v>
      </x:c>
      <x:c r="G948" s="10" t="str">
        <x:v>FAT-200947</x:v>
      </x:c>
      <x:c r="H948" s="10" t="str">
        <x:v>Contrato mensal</x:v>
      </x:c>
      <x:c r="I948" s="16" t="n">
        <x:v>45988.24922842593</x:v>
      </x:c>
      <x:c r="J948" s="16" t="n">
        <x:v>46048.24922842593</x:v>
      </x:c>
      <x:c r="K948" s="16"/>
      <x:c r="L948" s="20" t="n">
        <x:v>97757.03</x:v>
      </x:c>
      <x:c r="M948" s="20" t="n">
        <x:v>0</x:v>
      </x:c>
      <x:c r="N948" s="20" t="n">
        <x:v>0</x:v>
      </x:c>
      <x:c r="O948" s="20" t="n">
        <x:v>0</x:v>
      </x:c>
      <x:c r="P948" s="20" t="n">
        <x:v>97757.03</x:v>
      </x:c>
      <x:c r="Q948" s="10" t="str">
        <x:v>A vencer</x:v>
      </x:c>
      <x:c r="R948" s="10" t="str">
        <x:v>Débito em Conta</x:v>
      </x:c>
      <x:c r="S948" s="10" t="str">
        <x:v>2025-11</x:v>
      </x:c>
      <x:c r="T948" s="10" t="n">
        <x:v>0</x:v>
      </x:c>
      <x:c r="U948" s="10" t="str">
        <x:v>A vencer</x:v>
      </x:c>
      <x:c r="V948" s="10" t="str">
        <x:v>Alto</x:v>
      </x:c>
      <x:c r="W948" s="10" t="str">
        <x:v>Varejo</x:v>
      </x:c>
      <x:c r="X948" s="10" t="str">
        <x:v>UND002</x:v>
      </x:c>
    </x:row>
    <x:row r="949" ht="18" customHeight="1">
      <x:c r="A949" s="10" t="str">
        <x:v>REC00948</x:v>
      </x:c>
      <x:c r="B949" s="10" t="str">
        <x:v>EMP002</x:v>
      </x:c>
      <x:c r="C949" s="10" t="str">
        <x:v>CLI079</x:v>
      </x:c>
      <x:c r="D949" s="10" t="str">
        <x:v>CC003</x:v>
      </x:c>
      <x:c r="E949" s="10" t="str">
        <x:v>CAT003</x:v>
      </x:c>
      <x:c r="F949" s="10" t="str">
        <x:v>CTA003</x:v>
      </x:c>
      <x:c r="G949" s="10" t="str">
        <x:v>FAT-200948</x:v>
      </x:c>
      <x:c r="H949" s="10" t="str">
        <x:v>Projeto especial</x:v>
      </x:c>
      <x:c r="I949" s="16" t="n">
        <x:v>45409.54800553241</x:v>
      </x:c>
      <x:c r="J949" s="16" t="n">
        <x:v>45469.54800553241</x:v>
      </x:c>
      <x:c r="K949" s="16"/>
      <x:c r="L949" s="20" t="n">
        <x:v>1012.53</x:v>
      </x:c>
      <x:c r="M949" s="20" t="n">
        <x:v>0</x:v>
      </x:c>
      <x:c r="N949" s="20" t="n">
        <x:v>0</x:v>
      </x:c>
      <x:c r="O949" s="20" t="n">
        <x:v>0</x:v>
      </x:c>
      <x:c r="P949" s="20" t="n">
        <x:v>1012.53</x:v>
      </x:c>
      <x:c r="Q949" s="10" t="str">
        <x:v>Vencido</x:v>
      </x:c>
      <x:c r="R949" s="10" t="str">
        <x:v>Cartão</x:v>
      </x:c>
      <x:c r="S949" s="10" t="str">
        <x:v>2024-04</x:v>
      </x:c>
      <x:c r="T949" s="10" t="n">
        <x:v>552</x:v>
      </x:c>
      <x:c r="U949" s="10" t="str">
        <x:v>&gt; 120 dias</x:v>
      </x:c>
      <x:c r="V949" s="10" t="str">
        <x:v>Baixo</x:v>
      </x:c>
      <x:c r="W949" s="10" t="str">
        <x:v>Tecnologia</x:v>
      </x:c>
      <x:c r="X949" s="10" t="str">
        <x:v>UND003</x:v>
      </x:c>
    </x:row>
    <x:row r="950" ht="18" customHeight="1">
      <x:c r="A950" s="10" t="str">
        <x:v>REC00949</x:v>
      </x:c>
      <x:c r="B950" s="10" t="str">
        <x:v>EMP001</x:v>
      </x:c>
      <x:c r="C950" s="10" t="str">
        <x:v>CLI030</x:v>
      </x:c>
      <x:c r="D950" s="10" t="str">
        <x:v>CC006</x:v>
      </x:c>
      <x:c r="E950" s="10" t="str">
        <x:v>CAT003</x:v>
      </x:c>
      <x:c r="F950" s="10" t="str">
        <x:v>CTA001</x:v>
      </x:c>
      <x:c r="G950" s="10" t="str">
        <x:v>FAT-200949</x:v>
      </x:c>
      <x:c r="H950" s="10" t="str">
        <x:v>Projeto especial</x:v>
      </x:c>
      <x:c r="I950" s="16" t="n">
        <x:v>45620.399179479165</x:v>
      </x:c>
      <x:c r="J950" s="16" t="n">
        <x:v>45655.399179479165</x:v>
      </x:c>
      <x:c r="K950" s="16" t="n">
        <x:v>45649.399179479165</x:v>
      </x:c>
      <x:c r="L950" s="20" t="n">
        <x:v>89936.64</x:v>
      </x:c>
      <x:c r="M950" s="20" t="n">
        <x:v>0</x:v>
      </x:c>
      <x:c r="N950" s="20" t="n">
        <x:v>449.68</x:v>
      </x:c>
      <x:c r="O950" s="20" t="n">
        <x:v>89486.96</x:v>
      </x:c>
      <x:c r="P950" s="20" t="n">
        <x:v>0</x:v>
      </x:c>
      <x:c r="Q950" s="10" t="str">
        <x:v>Recebido</x:v>
      </x:c>
      <x:c r="R950" s="10" t="str">
        <x:v>Cartão</x:v>
      </x:c>
      <x:c r="S950" s="10" t="str">
        <x:v>2024-11</x:v>
      </x:c>
      <x:c r="T950" s="10" t="n">
        <x:v>0</x:v>
      </x:c>
      <x:c r="U950" s="10" t="str">
        <x:v>Liquidado</x:v>
      </x:c>
      <x:c r="V950" s="10" t="str">
        <x:v>Baixo</x:v>
      </x:c>
      <x:c r="W950" s="10" t="str">
        <x:v>Tecnologia</x:v>
      </x:c>
      <x:c r="X950" s="10" t="str">
        <x:v>UND001</x:v>
      </x:c>
    </x:row>
    <x:row r="951" ht="18" customHeight="1">
      <x:c r="A951" s="10" t="str">
        <x:v>REC00950</x:v>
      </x:c>
      <x:c r="B951" s="10" t="str">
        <x:v>EMP001</x:v>
      </x:c>
      <x:c r="C951" s="10" t="str">
        <x:v>CLI010</x:v>
      </x:c>
      <x:c r="D951" s="10" t="str">
        <x:v>CC005</x:v>
      </x:c>
      <x:c r="E951" s="10" t="str">
        <x:v>CAT003</x:v>
      </x:c>
      <x:c r="F951" s="10" t="str">
        <x:v>CTA001</x:v>
      </x:c>
      <x:c r="G951" s="10" t="str">
        <x:v>FAT-200950</x:v>
      </x:c>
      <x:c r="H951" s="10" t="str">
        <x:v>Venda de produtos</x:v>
      </x:c>
      <x:c r="I951" s="16" t="n">
        <x:v>45775.77332364583</x:v>
      </x:c>
      <x:c r="J951" s="16" t="n">
        <x:v>45803.77332364583</x:v>
      </x:c>
      <x:c r="K951" s="16" t="n">
        <x:v>45805.77332364583</x:v>
      </x:c>
      <x:c r="L951" s="20" t="n">
        <x:v>5209.38</x:v>
      </x:c>
      <x:c r="M951" s="20" t="n">
        <x:v>8.34</x:v>
      </x:c>
      <x:c r="N951" s="20" t="n">
        <x:v>0</x:v>
      </x:c>
      <x:c r="O951" s="20" t="n">
        <x:v>5217.72</x:v>
      </x:c>
      <x:c r="P951" s="20" t="n">
        <x:v>0</x:v>
      </x:c>
      <x:c r="Q951" s="10" t="str">
        <x:v>Recebido</x:v>
      </x:c>
      <x:c r="R951" s="10" t="str">
        <x:v>Débito em Conta</x:v>
      </x:c>
      <x:c r="S951" s="10" t="str">
        <x:v>2025-04</x:v>
      </x:c>
      <x:c r="T951" s="10" t="n">
        <x:v>0</x:v>
      </x:c>
      <x:c r="U951" s="10" t="str">
        <x:v>Liquidado</x:v>
      </x:c>
      <x:c r="V951" s="10" t="str">
        <x:v>Baixo</x:v>
      </x:c>
      <x:c r="W951" s="10" t="str">
        <x:v>Indústria</x:v>
      </x:c>
      <x:c r="X951" s="10" t="str">
        <x:v>UND001</x:v>
      </x:c>
    </x:row>
    <x:row r="952" ht="18" customHeight="1">
      <x:c r="A952" s="10" t="str">
        <x:v>REC00951</x:v>
      </x:c>
      <x:c r="B952" s="10" t="str">
        <x:v>EMP002</x:v>
      </x:c>
      <x:c r="C952" s="10" t="str">
        <x:v>CLI003</x:v>
      </x:c>
      <x:c r="D952" s="10" t="str">
        <x:v>CC003</x:v>
      </x:c>
      <x:c r="E952" s="10" t="str">
        <x:v>CAT003</x:v>
      </x:c>
      <x:c r="F952" s="10" t="str">
        <x:v>CTA003</x:v>
      </x:c>
      <x:c r="G952" s="10" t="str">
        <x:v>FAT-200951</x:v>
      </x:c>
      <x:c r="H952" s="10" t="str">
        <x:v>Projeto especial</x:v>
      </x:c>
      <x:c r="I952" s="16" t="n">
        <x:v>45822.08237859954</x:v>
      </x:c>
      <x:c r="J952" s="16" t="n">
        <x:v>45852.08237859954</x:v>
      </x:c>
      <x:c r="K952" s="16" t="n">
        <x:v>45850.08237859954</x:v>
      </x:c>
      <x:c r="L952" s="20" t="n">
        <x:v>23457.87</x:v>
      </x:c>
      <x:c r="M952" s="20" t="n">
        <x:v>0</x:v>
      </x:c>
      <x:c r="N952" s="20" t="n">
        <x:v>0</x:v>
      </x:c>
      <x:c r="O952" s="20" t="n">
        <x:v>23457.87</x:v>
      </x:c>
      <x:c r="P952" s="20" t="n">
        <x:v>0</x:v>
      </x:c>
      <x:c r="Q952" s="10" t="str">
        <x:v>Recebido</x:v>
      </x:c>
      <x:c r="R952" s="10" t="str">
        <x:v>Débito em Conta</x:v>
      </x:c>
      <x:c r="S952" s="10" t="str">
        <x:v>2025-06</x:v>
      </x:c>
      <x:c r="T952" s="10" t="n">
        <x:v>0</x:v>
      </x:c>
      <x:c r="U952" s="10" t="str">
        <x:v>Liquidado</x:v>
      </x:c>
      <x:c r="V952" s="10" t="str">
        <x:v>Médio</x:v>
      </x:c>
      <x:c r="W952" s="10" t="str">
        <x:v>Saúde</x:v>
      </x:c>
      <x:c r="X952" s="10" t="str">
        <x:v>UND003</x:v>
      </x:c>
    </x:row>
    <x:row r="953" ht="18" customHeight="1">
      <x:c r="A953" s="10" t="str">
        <x:v>REC00952</x:v>
      </x:c>
      <x:c r="B953" s="10" t="str">
        <x:v>EMP003</x:v>
      </x:c>
      <x:c r="C953" s="10" t="str">
        <x:v>CLI058</x:v>
      </x:c>
      <x:c r="D953" s="10" t="str">
        <x:v>CC003</x:v>
      </x:c>
      <x:c r="E953" s="10" t="str">
        <x:v>CAT001</x:v>
      </x:c>
      <x:c r="F953" s="10" t="str">
        <x:v>CTA005</x:v>
      </x:c>
      <x:c r="G953" s="10" t="str">
        <x:v>FAT-200952</x:v>
      </x:c>
      <x:c r="H953" s="10" t="str">
        <x:v>Projeto especial</x:v>
      </x:c>
      <x:c r="I953" s="16" t="n">
        <x:v>45794.75363609954</x:v>
      </x:c>
      <x:c r="J953" s="16" t="n">
        <x:v>45854.75363609954</x:v>
      </x:c>
      <x:c r="K953" s="16"/>
      <x:c r="L953" s="20" t="n">
        <x:v>72436.41</x:v>
      </x:c>
      <x:c r="M953" s="20" t="n">
        <x:v>0</x:v>
      </x:c>
      <x:c r="N953" s="20" t="n">
        <x:v>0</x:v>
      </x:c>
      <x:c r="O953" s="20" t="n">
        <x:v>0</x:v>
      </x:c>
      <x:c r="P953" s="20" t="n">
        <x:v>72436.41</x:v>
      </x:c>
      <x:c r="Q953" s="10" t="str">
        <x:v>Vencido</x:v>
      </x:c>
      <x:c r="R953" s="10" t="str">
        <x:v>TED</x:v>
      </x:c>
      <x:c r="S953" s="10" t="str">
        <x:v>2025-05</x:v>
      </x:c>
      <x:c r="T953" s="10" t="n">
        <x:v>167</x:v>
      </x:c>
      <x:c r="U953" s="10" t="str">
        <x:v>&gt; 120 dias</x:v>
      </x:c>
      <x:c r="V953" s="10" t="str">
        <x:v>Baixo</x:v>
      </x:c>
      <x:c r="W953" s="10" t="str">
        <x:v>Atacado</x:v>
      </x:c>
      <x:c r="X953" s="10" t="str">
        <x:v>UND004</x:v>
      </x:c>
    </x:row>
    <x:row r="954" ht="18" customHeight="1">
      <x:c r="A954" s="10" t="str">
        <x:v>REC00953</x:v>
      </x:c>
      <x:c r="B954" s="10" t="str">
        <x:v>EMP001</x:v>
      </x:c>
      <x:c r="C954" s="10" t="str">
        <x:v>CLI059</x:v>
      </x:c>
      <x:c r="D954" s="10" t="str">
        <x:v>CC004</x:v>
      </x:c>
      <x:c r="E954" s="10" t="str">
        <x:v>CAT002</x:v>
      </x:c>
      <x:c r="F954" s="10" t="str">
        <x:v>CTA002</x:v>
      </x:c>
      <x:c r="G954" s="10" t="str">
        <x:v>FAT-200953</x:v>
      </x:c>
      <x:c r="H954" s="10" t="str">
        <x:v>Prestação de serviços</x:v>
      </x:c>
      <x:c r="I954" s="16" t="n">
        <x:v>45408.87326903935</x:v>
      </x:c>
      <x:c r="J954" s="16" t="n">
        <x:v>45468.87326903935</x:v>
      </x:c>
      <x:c r="K954" s="16" t="n">
        <x:v>45467.87326903935</x:v>
      </x:c>
      <x:c r="L954" s="20" t="n">
        <x:v>1497.57</x:v>
      </x:c>
      <x:c r="M954" s="20" t="n">
        <x:v>0</x:v>
      </x:c>
      <x:c r="N954" s="20" t="n">
        <x:v>0</x:v>
      </x:c>
      <x:c r="O954" s="20" t="n">
        <x:v>1497.57</x:v>
      </x:c>
      <x:c r="P954" s="20" t="n">
        <x:v>0</x:v>
      </x:c>
      <x:c r="Q954" s="10" t="str">
        <x:v>Recebido</x:v>
      </x:c>
      <x:c r="R954" s="10" t="str">
        <x:v>TED</x:v>
      </x:c>
      <x:c r="S954" s="10" t="str">
        <x:v>2024-04</x:v>
      </x:c>
      <x:c r="T954" s="10" t="n">
        <x:v>0</x:v>
      </x:c>
      <x:c r="U954" s="10" t="str">
        <x:v>Liquidado</x:v>
      </x:c>
      <x:c r="V954" s="10" t="str">
        <x:v>Baixo</x:v>
      </x:c>
      <x:c r="W954" s="10" t="str">
        <x:v>Indústria</x:v>
      </x:c>
      <x:c r="X954" s="10" t="str">
        <x:v>UND001</x:v>
      </x:c>
    </x:row>
    <x:row r="955" ht="18" customHeight="1">
      <x:c r="A955" s="10" t="str">
        <x:v>REC00954</x:v>
      </x:c>
      <x:c r="B955" s="10" t="str">
        <x:v>EMP001</x:v>
      </x:c>
      <x:c r="C955" s="10" t="str">
        <x:v>CLI034</x:v>
      </x:c>
      <x:c r="D955" s="10" t="str">
        <x:v>CC003</x:v>
      </x:c>
      <x:c r="E955" s="10" t="str">
        <x:v>CAT002</x:v>
      </x:c>
      <x:c r="F955" s="10" t="str">
        <x:v>CTA002</x:v>
      </x:c>
      <x:c r="G955" s="10" t="str">
        <x:v>FAT-200954</x:v>
      </x:c>
      <x:c r="H955" s="10" t="str">
        <x:v>Prestação de serviços</x:v>
      </x:c>
      <x:c r="I955" s="16" t="n">
        <x:v>45409.49668615741</x:v>
      </x:c>
      <x:c r="J955" s="16" t="n">
        <x:v>45469.49668615741</x:v>
      </x:c>
      <x:c r="K955" s="16" t="n">
        <x:v>45479.49668615741</x:v>
      </x:c>
      <x:c r="L955" s="20" t="n">
        <x:v>9709.17</x:v>
      </x:c>
      <x:c r="M955" s="20" t="n">
        <x:v>77.67</x:v>
      </x:c>
      <x:c r="N955" s="20" t="n">
        <x:v>0</x:v>
      </x:c>
      <x:c r="O955" s="20" t="n">
        <x:v>9786.84</x:v>
      </x:c>
      <x:c r="P955" s="20" t="n">
        <x:v>0</x:v>
      </x:c>
      <x:c r="Q955" s="10" t="str">
        <x:v>Recebido</x:v>
      </x:c>
      <x:c r="R955" s="10" t="str">
        <x:v>PIX</x:v>
      </x:c>
      <x:c r="S955" s="10" t="str">
        <x:v>2024-04</x:v>
      </x:c>
      <x:c r="T955" s="10" t="n">
        <x:v>0</x:v>
      </x:c>
      <x:c r="U955" s="10" t="str">
        <x:v>Liquidado</x:v>
      </x:c>
      <x:c r="V955" s="10" t="str">
        <x:v>Médio</x:v>
      </x:c>
      <x:c r="W955" s="10" t="str">
        <x:v>Indústria</x:v>
      </x:c>
      <x:c r="X955" s="10" t="str">
        <x:v>UND001</x:v>
      </x:c>
    </x:row>
    <x:row r="956" ht="18" customHeight="1">
      <x:c r="A956" s="10" t="str">
        <x:v>REC00955</x:v>
      </x:c>
      <x:c r="B956" s="10" t="str">
        <x:v>EMP002</x:v>
      </x:c>
      <x:c r="C956" s="10" t="str">
        <x:v>CLI001</x:v>
      </x:c>
      <x:c r="D956" s="10" t="str">
        <x:v>CC002</x:v>
      </x:c>
      <x:c r="E956" s="10" t="str">
        <x:v>CAT004</x:v>
      </x:c>
      <x:c r="F956" s="10" t="str">
        <x:v>CTA004</x:v>
      </x:c>
      <x:c r="G956" s="10" t="str">
        <x:v>FAT-200955</x:v>
      </x:c>
      <x:c r="H956" s="10" t="str">
        <x:v>Contrato mensal</x:v>
      </x:c>
      <x:c r="I956" s="16" t="n">
        <x:v>45945.48330855324</x:v>
      </x:c>
      <x:c r="J956" s="16" t="n">
        <x:v>45960.48330855324</x:v>
      </x:c>
      <x:c r="K956" s="16"/>
      <x:c r="L956" s="20" t="n">
        <x:v>40761.12</x:v>
      </x:c>
      <x:c r="M956" s="20" t="n">
        <x:v>0</x:v>
      </x:c>
      <x:c r="N956" s="20" t="n">
        <x:v>0</x:v>
      </x:c>
      <x:c r="O956" s="20" t="n">
        <x:v>0</x:v>
      </x:c>
      <x:c r="P956" s="20" t="n">
        <x:v>40761.12</x:v>
      </x:c>
      <x:c r="Q956" s="10" t="str">
        <x:v>Vencido</x:v>
      </x:c>
      <x:c r="R956" s="10" t="str">
        <x:v>Débito em Conta</x:v>
      </x:c>
      <x:c r="S956" s="10" t="str">
        <x:v>2025-10</x:v>
      </x:c>
      <x:c r="T956" s="10" t="n">
        <x:v>61</x:v>
      </x:c>
      <x:c r="U956" s="10" t="str">
        <x:v>61 a 90 dias</x:v>
      </x:c>
      <x:c r="V956" s="10" t="str">
        <x:v>Baixo</x:v>
      </x:c>
      <x:c r="W956" s="10" t="str">
        <x:v>Serviços</x:v>
      </x:c>
      <x:c r="X956" s="10" t="str">
        <x:v>UND003</x:v>
      </x:c>
    </x:row>
    <x:row r="957" ht="18" customHeight="1">
      <x:c r="A957" s="10" t="str">
        <x:v>REC00956</x:v>
      </x:c>
      <x:c r="B957" s="10" t="str">
        <x:v>EMP002</x:v>
      </x:c>
      <x:c r="C957" s="10" t="str">
        <x:v>CLI064</x:v>
      </x:c>
      <x:c r="D957" s="10" t="str">
        <x:v>CC006</x:v>
      </x:c>
      <x:c r="E957" s="10" t="str">
        <x:v>CAT001</x:v>
      </x:c>
      <x:c r="F957" s="10" t="str">
        <x:v>CTA004</x:v>
      </x:c>
      <x:c r="G957" s="10" t="str">
        <x:v>FAT-200956</x:v>
      </x:c>
      <x:c r="H957" s="10" t="str">
        <x:v>Frete faturado</x:v>
      </x:c>
      <x:c r="I957" s="16" t="n">
        <x:v>45725.64375229167</x:v>
      </x:c>
      <x:c r="J957" s="16" t="n">
        <x:v>45740.64375229167</x:v>
      </x:c>
      <x:c r="K957" s="16" t="n">
        <x:v>45750.64375229167</x:v>
      </x:c>
      <x:c r="L957" s="20" t="n">
        <x:v>10984.96</x:v>
      </x:c>
      <x:c r="M957" s="20" t="n">
        <x:v>87.88</x:v>
      </x:c>
      <x:c r="N957" s="20" t="n">
        <x:v>0</x:v>
      </x:c>
      <x:c r="O957" s="20" t="n">
        <x:v>11072.84</x:v>
      </x:c>
      <x:c r="P957" s="20" t="n">
        <x:v>0</x:v>
      </x:c>
      <x:c r="Q957" s="10" t="str">
        <x:v>Recebido</x:v>
      </x:c>
      <x:c r="R957" s="10" t="str">
        <x:v>Boleto</x:v>
      </x:c>
      <x:c r="S957" s="10" t="str">
        <x:v>2025-03</x:v>
      </x:c>
      <x:c r="T957" s="10" t="n">
        <x:v>0</x:v>
      </x:c>
      <x:c r="U957" s="10" t="str">
        <x:v>Liquidado</x:v>
      </x:c>
      <x:c r="V957" s="10" t="str">
        <x:v>Médio</x:v>
      </x:c>
      <x:c r="W957" s="10" t="str">
        <x:v>Atacado</x:v>
      </x:c>
      <x:c r="X957" s="10" t="str">
        <x:v>UND003</x:v>
      </x:c>
    </x:row>
    <x:row r="958" ht="18" customHeight="1">
      <x:c r="A958" s="10" t="str">
        <x:v>REC00957</x:v>
      </x:c>
      <x:c r="B958" s="10" t="str">
        <x:v>EMP003</x:v>
      </x:c>
      <x:c r="C958" s="10" t="str">
        <x:v>CLI059</x:v>
      </x:c>
      <x:c r="D958" s="10" t="str">
        <x:v>CC003</x:v>
      </x:c>
      <x:c r="E958" s="10" t="str">
        <x:v>CAT003</x:v>
      </x:c>
      <x:c r="F958" s="10" t="str">
        <x:v>CTA005</x:v>
      </x:c>
      <x:c r="G958" s="10" t="str">
        <x:v>FAT-200957</x:v>
      </x:c>
      <x:c r="H958" s="10" t="str">
        <x:v>Frete faturado</x:v>
      </x:c>
      <x:c r="I958" s="16" t="n">
        <x:v>45528.579037800926</x:v>
      </x:c>
      <x:c r="J958" s="16" t="n">
        <x:v>45573.579037800926</x:v>
      </x:c>
      <x:c r="K958" s="16" t="n">
        <x:v>45567.579037800926</x:v>
      </x:c>
      <x:c r="L958" s="20" t="n">
        <x:v>125958.26</x:v>
      </x:c>
      <x:c r="M958" s="20" t="n">
        <x:v>0</x:v>
      </x:c>
      <x:c r="N958" s="20" t="n">
        <x:v>0</x:v>
      </x:c>
      <x:c r="O958" s="20" t="n">
        <x:v>125958.26</x:v>
      </x:c>
      <x:c r="P958" s="20" t="n">
        <x:v>0</x:v>
      </x:c>
      <x:c r="Q958" s="10" t="str">
        <x:v>Recebido</x:v>
      </x:c>
      <x:c r="R958" s="10" t="str">
        <x:v>Cartão</x:v>
      </x:c>
      <x:c r="S958" s="10" t="str">
        <x:v>2024-08</x:v>
      </x:c>
      <x:c r="T958" s="10" t="n">
        <x:v>0</x:v>
      </x:c>
      <x:c r="U958" s="10" t="str">
        <x:v>Liquidado</x:v>
      </x:c>
      <x:c r="V958" s="10" t="str">
        <x:v>Baixo</x:v>
      </x:c>
      <x:c r="W958" s="10" t="str">
        <x:v>Indústria</x:v>
      </x:c>
      <x:c r="X958" s="10" t="str">
        <x:v>UND004</x:v>
      </x:c>
    </x:row>
    <x:row r="959" ht="18" customHeight="1">
      <x:c r="A959" s="10" t="str">
        <x:v>REC00958</x:v>
      </x:c>
      <x:c r="B959" s="10" t="str">
        <x:v>EMP003</x:v>
      </x:c>
      <x:c r="C959" s="10" t="str">
        <x:v>CLI021</x:v>
      </x:c>
      <x:c r="D959" s="10" t="str">
        <x:v>CC008</x:v>
      </x:c>
      <x:c r="E959" s="10" t="str">
        <x:v>CAT004</x:v>
      </x:c>
      <x:c r="F959" s="10" t="str">
        <x:v>CTA005</x:v>
      </x:c>
      <x:c r="G959" s="10" t="str">
        <x:v>FAT-200958</x:v>
      </x:c>
      <x:c r="H959" s="10" t="str">
        <x:v>Contrato mensal</x:v>
      </x:c>
      <x:c r="I959" s="16" t="n">
        <x:v>45816.12320469908</x:v>
      </x:c>
      <x:c r="J959" s="16" t="n">
        <x:v>45876.12320469908</x:v>
      </x:c>
      <x:c r="K959" s="16" t="n">
        <x:v>45876.12320469908</x:v>
      </x:c>
      <x:c r="L959" s="20" t="n">
        <x:v>80801.92</x:v>
      </x:c>
      <x:c r="M959" s="20" t="n">
        <x:v>0</x:v>
      </x:c>
      <x:c r="N959" s="20" t="n">
        <x:v>0</x:v>
      </x:c>
      <x:c r="O959" s="20" t="n">
        <x:v>80801.92</x:v>
      </x:c>
      <x:c r="P959" s="20" t="n">
        <x:v>0</x:v>
      </x:c>
      <x:c r="Q959" s="10" t="str">
        <x:v>Recebido</x:v>
      </x:c>
      <x:c r="R959" s="10" t="str">
        <x:v>PIX</x:v>
      </x:c>
      <x:c r="S959" s="10" t="str">
        <x:v>2025-06</x:v>
      </x:c>
      <x:c r="T959" s="10" t="n">
        <x:v>0</x:v>
      </x:c>
      <x:c r="U959" s="10" t="str">
        <x:v>Liquidado</x:v>
      </x:c>
      <x:c r="V959" s="10" t="str">
        <x:v>Baixo</x:v>
      </x:c>
      <x:c r="W959" s="10" t="str">
        <x:v>Indústria</x:v>
      </x:c>
      <x:c r="X959" s="10" t="str">
        <x:v>UND004</x:v>
      </x:c>
    </x:row>
    <x:row r="960" ht="18" customHeight="1">
      <x:c r="A960" s="10" t="str">
        <x:v>REC00959</x:v>
      </x:c>
      <x:c r="B960" s="10" t="str">
        <x:v>EMP001</x:v>
      </x:c>
      <x:c r="C960" s="10" t="str">
        <x:v>CLI055</x:v>
      </x:c>
      <x:c r="D960" s="10" t="str">
        <x:v>CC006</x:v>
      </x:c>
      <x:c r="E960" s="10" t="str">
        <x:v>CAT002</x:v>
      </x:c>
      <x:c r="F960" s="10" t="str">
        <x:v>CTA002</x:v>
      </x:c>
      <x:c r="G960" s="10" t="str">
        <x:v>FAT-200959</x:v>
      </x:c>
      <x:c r="H960" s="10" t="str">
        <x:v>Frete faturado</x:v>
      </x:c>
      <x:c r="I960" s="16" t="n">
        <x:v>45917.39794371528</x:v>
      </x:c>
      <x:c r="J960" s="16" t="n">
        <x:v>45962.39794371528</x:v>
      </x:c>
      <x:c r="K960" s="16" t="n">
        <x:v>45969.39794371528</x:v>
      </x:c>
      <x:c r="L960" s="20" t="n">
        <x:v>92231.65</x:v>
      </x:c>
      <x:c r="M960" s="20" t="n">
        <x:v>516.5</x:v>
      </x:c>
      <x:c r="N960" s="20" t="n">
        <x:v>0</x:v>
      </x:c>
      <x:c r="O960" s="20" t="n">
        <x:v>92748.15</x:v>
      </x:c>
      <x:c r="P960" s="20" t="n">
        <x:v>0</x:v>
      </x:c>
      <x:c r="Q960" s="10" t="str">
        <x:v>Recebido</x:v>
      </x:c>
      <x:c r="R960" s="10" t="str">
        <x:v>Boleto</x:v>
      </x:c>
      <x:c r="S960" s="10" t="str">
        <x:v>2025-09</x:v>
      </x:c>
      <x:c r="T960" s="10" t="n">
        <x:v>0</x:v>
      </x:c>
      <x:c r="U960" s="10" t="str">
        <x:v>Liquidado</x:v>
      </x:c>
      <x:c r="V960" s="10" t="str">
        <x:v>Baixo</x:v>
      </x:c>
      <x:c r="W960" s="10" t="str">
        <x:v>Serviços</x:v>
      </x:c>
      <x:c r="X960" s="10" t="str">
        <x:v>UND002</x:v>
      </x:c>
    </x:row>
    <x:row r="961" ht="18" customHeight="1">
      <x:c r="A961" s="10" t="str">
        <x:v>REC00960</x:v>
      </x:c>
      <x:c r="B961" s="10" t="str">
        <x:v>EMP002</x:v>
      </x:c>
      <x:c r="C961" s="10" t="str">
        <x:v>CLI061</x:v>
      </x:c>
      <x:c r="D961" s="10" t="str">
        <x:v>CC004</x:v>
      </x:c>
      <x:c r="E961" s="10" t="str">
        <x:v>CAT001</x:v>
      </x:c>
      <x:c r="F961" s="10" t="str">
        <x:v>CTA003</x:v>
      </x:c>
      <x:c r="G961" s="10" t="str">
        <x:v>FAT-200960</x:v>
      </x:c>
      <x:c r="H961" s="10" t="str">
        <x:v>Contrato mensal</x:v>
      </x:c>
      <x:c r="I961" s="16" t="n">
        <x:v>45780.53989354167</x:v>
      </x:c>
      <x:c r="J961" s="16" t="n">
        <x:v>45801.53989354167</x:v>
      </x:c>
      <x:c r="K961" s="16" t="n">
        <x:v>45803.53989354167</x:v>
      </x:c>
      <x:c r="L961" s="20" t="n">
        <x:v>126303.34</x:v>
      </x:c>
      <x:c r="M961" s="20" t="n">
        <x:v>202.09</x:v>
      </x:c>
      <x:c r="N961" s="20" t="n">
        <x:v>0</x:v>
      </x:c>
      <x:c r="O961" s="20" t="n">
        <x:v>126505.43</x:v>
      </x:c>
      <x:c r="P961" s="20" t="n">
        <x:v>0</x:v>
      </x:c>
      <x:c r="Q961" s="10" t="str">
        <x:v>Recebido</x:v>
      </x:c>
      <x:c r="R961" s="10" t="str">
        <x:v>Débito em Conta</x:v>
      </x:c>
      <x:c r="S961" s="10" t="str">
        <x:v>2025-05</x:v>
      </x:c>
      <x:c r="T961" s="10" t="n">
        <x:v>0</x:v>
      </x:c>
      <x:c r="U961" s="10" t="str">
        <x:v>Liquidado</x:v>
      </x:c>
      <x:c r="V961" s="10" t="str">
        <x:v>Baixo</x:v>
      </x:c>
      <x:c r="W961" s="10" t="str">
        <x:v>Serviços</x:v>
      </x:c>
      <x:c r="X961" s="10" t="str">
        <x:v>UND003</x:v>
      </x:c>
    </x:row>
    <x:row r="962" ht="18" customHeight="1">
      <x:c r="A962" s="10" t="str">
        <x:v>REC00961</x:v>
      </x:c>
      <x:c r="B962" s="10" t="str">
        <x:v>EMP002</x:v>
      </x:c>
      <x:c r="C962" s="10" t="str">
        <x:v>CLI068</x:v>
      </x:c>
      <x:c r="D962" s="10" t="str">
        <x:v>CC008</x:v>
      </x:c>
      <x:c r="E962" s="10" t="str">
        <x:v>CAT003</x:v>
      </x:c>
      <x:c r="F962" s="10" t="str">
        <x:v>CTA004</x:v>
      </x:c>
      <x:c r="G962" s="10" t="str">
        <x:v>FAT-200961</x:v>
      </x:c>
      <x:c r="H962" s="10" t="str">
        <x:v>Projeto especial</x:v>
      </x:c>
      <x:c r="I962" s="16" t="n">
        <x:v>45292.330731458336</x:v>
      </x:c>
      <x:c r="J962" s="16" t="n">
        <x:v>45320.330731458336</x:v>
      </x:c>
      <x:c r="K962" s="16" t="n">
        <x:v>45315.330731458336</x:v>
      </x:c>
      <x:c r="L962" s="20" t="n">
        <x:v>67357.27</x:v>
      </x:c>
      <x:c r="M962" s="20" t="n">
        <x:v>0</x:v>
      </x:c>
      <x:c r="N962" s="20" t="n">
        <x:v>0</x:v>
      </x:c>
      <x:c r="O962" s="20" t="n">
        <x:v>67357.27</x:v>
      </x:c>
      <x:c r="P962" s="20" t="n">
        <x:v>0</x:v>
      </x:c>
      <x:c r="Q962" s="10" t="str">
        <x:v>Recebido</x:v>
      </x:c>
      <x:c r="R962" s="10" t="str">
        <x:v>Boleto</x:v>
      </x:c>
      <x:c r="S962" s="10" t="str">
        <x:v>2024-01</x:v>
      </x:c>
      <x:c r="T962" s="10" t="n">
        <x:v>0</x:v>
      </x:c>
      <x:c r="U962" s="10" t="str">
        <x:v>Liquidado</x:v>
      </x:c>
      <x:c r="V962" s="10" t="str">
        <x:v>Médio</x:v>
      </x:c>
      <x:c r="W962" s="10" t="str">
        <x:v>Varejo</x:v>
      </x:c>
      <x:c r="X962" s="10" t="str">
        <x:v>UND003</x:v>
      </x:c>
    </x:row>
    <x:row r="963" ht="18" customHeight="1">
      <x:c r="A963" s="10" t="str">
        <x:v>REC00962</x:v>
      </x:c>
      <x:c r="B963" s="10" t="str">
        <x:v>EMP001</x:v>
      </x:c>
      <x:c r="C963" s="10" t="str">
        <x:v>CLI058</x:v>
      </x:c>
      <x:c r="D963" s="10" t="str">
        <x:v>CC006</x:v>
      </x:c>
      <x:c r="E963" s="10" t="str">
        <x:v>CAT002</x:v>
      </x:c>
      <x:c r="F963" s="10" t="str">
        <x:v>CTA001</x:v>
      </x:c>
      <x:c r="G963" s="10" t="str">
        <x:v>FAT-200962</x:v>
      </x:c>
      <x:c r="H963" s="10" t="str">
        <x:v>Prestação de serviços</x:v>
      </x:c>
      <x:c r="I963" s="16" t="n">
        <x:v>45843.65633907408</x:v>
      </x:c>
      <x:c r="J963" s="16" t="n">
        <x:v>45858.65633907408</x:v>
      </x:c>
      <x:c r="K963" s="16" t="n">
        <x:v>45852.65633907408</x:v>
      </x:c>
      <x:c r="L963" s="20" t="n">
        <x:v>56498.85</x:v>
      </x:c>
      <x:c r="M963" s="20" t="n">
        <x:v>0</x:v>
      </x:c>
      <x:c r="N963" s="20" t="n">
        <x:v>282.49</x:v>
      </x:c>
      <x:c r="O963" s="20" t="n">
        <x:v>56216.36</x:v>
      </x:c>
      <x:c r="P963" s="20" t="n">
        <x:v>0</x:v>
      </x:c>
      <x:c r="Q963" s="10" t="str">
        <x:v>Recebido</x:v>
      </x:c>
      <x:c r="R963" s="10" t="str">
        <x:v>Débito em Conta</x:v>
      </x:c>
      <x:c r="S963" s="10" t="str">
        <x:v>2025-07</x:v>
      </x:c>
      <x:c r="T963" s="10" t="n">
        <x:v>0</x:v>
      </x:c>
      <x:c r="U963" s="10" t="str">
        <x:v>Liquidado</x:v>
      </x:c>
      <x:c r="V963" s="10" t="str">
        <x:v>Baixo</x:v>
      </x:c>
      <x:c r="W963" s="10" t="str">
        <x:v>Atacado</x:v>
      </x:c>
      <x:c r="X963" s="10" t="str">
        <x:v>UND001</x:v>
      </x:c>
    </x:row>
    <x:row r="964" ht="18" customHeight="1">
      <x:c r="A964" s="10" t="str">
        <x:v>REC00963</x:v>
      </x:c>
      <x:c r="B964" s="10" t="str">
        <x:v>EMP003</x:v>
      </x:c>
      <x:c r="C964" s="10" t="str">
        <x:v>CLI009</x:v>
      </x:c>
      <x:c r="D964" s="10" t="str">
        <x:v>CC002</x:v>
      </x:c>
      <x:c r="E964" s="10" t="str">
        <x:v>CAT002</x:v>
      </x:c>
      <x:c r="F964" s="10" t="str">
        <x:v>CTA006</x:v>
      </x:c>
      <x:c r="G964" s="10" t="str">
        <x:v>FAT-200963</x:v>
      </x:c>
      <x:c r="H964" s="10" t="str">
        <x:v>Frete faturado</x:v>
      </x:c>
      <x:c r="I964" s="16" t="n">
        <x:v>45414.23902582176</x:v>
      </x:c>
      <x:c r="J964" s="16" t="n">
        <x:v>45474.23902582176</x:v>
      </x:c>
      <x:c r="K964" s="16" t="n">
        <x:v>45485.23902582176</x:v>
      </x:c>
      <x:c r="L964" s="20" t="n">
        <x:v>31553.37</x:v>
      </x:c>
      <x:c r="M964" s="20" t="n">
        <x:v>277.67</x:v>
      </x:c>
      <x:c r="N964" s="20" t="n">
        <x:v>0</x:v>
      </x:c>
      <x:c r="O964" s="20" t="n">
        <x:v>31831.04</x:v>
      </x:c>
      <x:c r="P964" s="20" t="n">
        <x:v>0</x:v>
      </x:c>
      <x:c r="Q964" s="10" t="str">
        <x:v>Recebido</x:v>
      </x:c>
      <x:c r="R964" s="10" t="str">
        <x:v>TED</x:v>
      </x:c>
      <x:c r="S964" s="10" t="str">
        <x:v>2024-05</x:v>
      </x:c>
      <x:c r="T964" s="10" t="n">
        <x:v>0</x:v>
      </x:c>
      <x:c r="U964" s="10" t="str">
        <x:v>Liquidado</x:v>
      </x:c>
      <x:c r="V964" s="10" t="str">
        <x:v>Médio</x:v>
      </x:c>
      <x:c r="W964" s="10" t="str">
        <x:v>Saúde</x:v>
      </x:c>
      <x:c r="X964" s="10" t="str">
        <x:v>UND004</x:v>
      </x:c>
    </x:row>
    <x:row r="965" ht="18" customHeight="1">
      <x:c r="A965" s="10" t="str">
        <x:v>REC00964</x:v>
      </x:c>
      <x:c r="B965" s="10" t="str">
        <x:v>EMP002</x:v>
      </x:c>
      <x:c r="C965" s="10" t="str">
        <x:v>CLI069</x:v>
      </x:c>
      <x:c r="D965" s="10" t="str">
        <x:v>CC007</x:v>
      </x:c>
      <x:c r="E965" s="10" t="str">
        <x:v>CAT002</x:v>
      </x:c>
      <x:c r="F965" s="10" t="str">
        <x:v>CTA003</x:v>
      </x:c>
      <x:c r="G965" s="10" t="str">
        <x:v>FAT-200964</x:v>
      </x:c>
      <x:c r="H965" s="10" t="str">
        <x:v>Projeto especial</x:v>
      </x:c>
      <x:c r="I965" s="16" t="n">
        <x:v>45631.96286013889</x:v>
      </x:c>
      <x:c r="J965" s="16" t="n">
        <x:v>45691.96286013889</x:v>
      </x:c>
      <x:c r="K965" s="16" t="n">
        <x:v>45716.96286013889</x:v>
      </x:c>
      <x:c r="L965" s="20" t="n">
        <x:v>144363.21</x:v>
      </x:c>
      <x:c r="M965" s="20" t="n">
        <x:v>2887.26</x:v>
      </x:c>
      <x:c r="N965" s="20" t="n">
        <x:v>0</x:v>
      </x:c>
      <x:c r="O965" s="20" t="n">
        <x:v>147250.47</x:v>
      </x:c>
      <x:c r="P965" s="20" t="n">
        <x:v>0</x:v>
      </x:c>
      <x:c r="Q965" s="10" t="str">
        <x:v>Recebido</x:v>
      </x:c>
      <x:c r="R965" s="10" t="str">
        <x:v>Boleto</x:v>
      </x:c>
      <x:c r="S965" s="10" t="str">
        <x:v>2024-12</x:v>
      </x:c>
      <x:c r="T965" s="10" t="n">
        <x:v>0</x:v>
      </x:c>
      <x:c r="U965" s="10" t="str">
        <x:v>Liquidado</x:v>
      </x:c>
      <x:c r="V965" s="10" t="str">
        <x:v>Alto</x:v>
      </x:c>
      <x:c r="W965" s="10" t="str">
        <x:v>Tecnologia</x:v>
      </x:c>
      <x:c r="X965" s="10" t="str">
        <x:v>UND003</x:v>
      </x:c>
    </x:row>
    <x:row r="966" ht="18" customHeight="1">
      <x:c r="A966" s="10" t="str">
        <x:v>REC00965</x:v>
      </x:c>
      <x:c r="B966" s="10" t="str">
        <x:v>EMP001</x:v>
      </x:c>
      <x:c r="C966" s="10" t="str">
        <x:v>CLI053</x:v>
      </x:c>
      <x:c r="D966" s="10" t="str">
        <x:v>CC005</x:v>
      </x:c>
      <x:c r="E966" s="10" t="str">
        <x:v>CAT004</x:v>
      </x:c>
      <x:c r="F966" s="10" t="str">
        <x:v>CTA002</x:v>
      </x:c>
      <x:c r="G966" s="10" t="str">
        <x:v>FAT-200965</x:v>
      </x:c>
      <x:c r="H966" s="10" t="str">
        <x:v>Frete faturado</x:v>
      </x:c>
      <x:c r="I966" s="16" t="n">
        <x:v>45708.70436251158</x:v>
      </x:c>
      <x:c r="J966" s="16" t="n">
        <x:v>45753.70436251158</x:v>
      </x:c>
      <x:c r="K966" s="16" t="n">
        <x:v>45748.70436251158</x:v>
      </x:c>
      <x:c r="L966" s="20" t="n">
        <x:v>24178.93</x:v>
      </x:c>
      <x:c r="M966" s="20" t="n">
        <x:v>0</x:v>
      </x:c>
      <x:c r="N966" s="20" t="n">
        <x:v>483.58</x:v>
      </x:c>
      <x:c r="O966" s="20" t="n">
        <x:v>23695.35</x:v>
      </x:c>
      <x:c r="P966" s="20" t="n">
        <x:v>0</x:v>
      </x:c>
      <x:c r="Q966" s="10" t="str">
        <x:v>Recebido</x:v>
      </x:c>
      <x:c r="R966" s="10" t="str">
        <x:v>Boleto</x:v>
      </x:c>
      <x:c r="S966" s="10" t="str">
        <x:v>2025-02</x:v>
      </x:c>
      <x:c r="T966" s="10" t="n">
        <x:v>0</x:v>
      </x:c>
      <x:c r="U966" s="10" t="str">
        <x:v>Liquidado</x:v>
      </x:c>
      <x:c r="V966" s="10" t="str">
        <x:v>Baixo</x:v>
      </x:c>
      <x:c r="W966" s="10" t="str">
        <x:v>Saúde</x:v>
      </x:c>
      <x:c r="X966" s="10" t="str">
        <x:v>UND002</x:v>
      </x:c>
    </x:row>
    <x:row r="967" ht="18" customHeight="1">
      <x:c r="A967" s="10" t="str">
        <x:v>REC00966</x:v>
      </x:c>
      <x:c r="B967" s="10" t="str">
        <x:v>EMP003</x:v>
      </x:c>
      <x:c r="C967" s="10" t="str">
        <x:v>CLI036</x:v>
      </x:c>
      <x:c r="D967" s="10" t="str">
        <x:v>CC005</x:v>
      </x:c>
      <x:c r="E967" s="10" t="str">
        <x:v>CAT004</x:v>
      </x:c>
      <x:c r="F967" s="10" t="str">
        <x:v>CTA005</x:v>
      </x:c>
      <x:c r="G967" s="10" t="str">
        <x:v>FAT-200966</x:v>
      </x:c>
      <x:c r="H967" s="10" t="str">
        <x:v>Frete faturado</x:v>
      </x:c>
      <x:c r="I967" s="16" t="n">
        <x:v>45627.059083506945</x:v>
      </x:c>
      <x:c r="J967" s="16" t="n">
        <x:v>45672.059083506945</x:v>
      </x:c>
      <x:c r="K967" s="16" t="n">
        <x:v>45673.059083506945</x:v>
      </x:c>
      <x:c r="L967" s="20" t="n">
        <x:v>58420.26</x:v>
      </x:c>
      <x:c r="M967" s="20" t="n">
        <x:v>46.74</x:v>
      </x:c>
      <x:c r="N967" s="20" t="n">
        <x:v>0</x:v>
      </x:c>
      <x:c r="O967" s="20" t="n">
        <x:v>58467</x:v>
      </x:c>
      <x:c r="P967" s="20" t="n">
        <x:v>0</x:v>
      </x:c>
      <x:c r="Q967" s="10" t="str">
        <x:v>Recebido</x:v>
      </x:c>
      <x:c r="R967" s="10" t="str">
        <x:v>TED</x:v>
      </x:c>
      <x:c r="S967" s="10" t="str">
        <x:v>2024-12</x:v>
      </x:c>
      <x:c r="T967" s="10" t="n">
        <x:v>0</x:v>
      </x:c>
      <x:c r="U967" s="10" t="str">
        <x:v>Liquidado</x:v>
      </x:c>
      <x:c r="V967" s="10" t="str">
        <x:v>Baixo</x:v>
      </x:c>
      <x:c r="W967" s="10" t="str">
        <x:v>Atacado</x:v>
      </x:c>
      <x:c r="X967" s="10" t="str">
        <x:v>UND004</x:v>
      </x:c>
    </x:row>
    <x:row r="968" ht="18" customHeight="1">
      <x:c r="A968" s="10" t="str">
        <x:v>REC00967</x:v>
      </x:c>
      <x:c r="B968" s="10" t="str">
        <x:v>EMP003</x:v>
      </x:c>
      <x:c r="C968" s="10" t="str">
        <x:v>CLI033</x:v>
      </x:c>
      <x:c r="D968" s="10" t="str">
        <x:v>CC007</x:v>
      </x:c>
      <x:c r="E968" s="10" t="str">
        <x:v>CAT003</x:v>
      </x:c>
      <x:c r="F968" s="10" t="str">
        <x:v>CTA005</x:v>
      </x:c>
      <x:c r="G968" s="10" t="str">
        <x:v>FAT-200967</x:v>
      </x:c>
      <x:c r="H968" s="10" t="str">
        <x:v>Venda de produtos</x:v>
      </x:c>
      <x:c r="I968" s="16" t="n">
        <x:v>45460.63189361111</x:v>
      </x:c>
      <x:c r="J968" s="16" t="n">
        <x:v>45488.63189361111</x:v>
      </x:c>
      <x:c r="K968" s="16" t="n">
        <x:v>45501.63189361111</x:v>
      </x:c>
      <x:c r="L968" s="20" t="n">
        <x:v>103869.25</x:v>
      </x:c>
      <x:c r="M968" s="20" t="n">
        <x:v>1080.24</x:v>
      </x:c>
      <x:c r="N968" s="20" t="n">
        <x:v>0</x:v>
      </x:c>
      <x:c r="O968" s="20" t="n">
        <x:v>104949.49</x:v>
      </x:c>
      <x:c r="P968" s="20" t="n">
        <x:v>0</x:v>
      </x:c>
      <x:c r="Q968" s="10" t="str">
        <x:v>Recebido</x:v>
      </x:c>
      <x:c r="R968" s="10" t="str">
        <x:v>Boleto</x:v>
      </x:c>
      <x:c r="S968" s="10" t="str">
        <x:v>2024-06</x:v>
      </x:c>
      <x:c r="T968" s="10" t="n">
        <x:v>0</x:v>
      </x:c>
      <x:c r="U968" s="10" t="str">
        <x:v>Liquidado</x:v>
      </x:c>
      <x:c r="V968" s="10" t="str">
        <x:v>Médio</x:v>
      </x:c>
      <x:c r="W968" s="10" t="str">
        <x:v>Varejo</x:v>
      </x:c>
      <x:c r="X968" s="10" t="str">
        <x:v>UND004</x:v>
      </x:c>
    </x:row>
    <x:row r="969" ht="18" customHeight="1">
      <x:c r="A969" s="10" t="str">
        <x:v>REC00968</x:v>
      </x:c>
      <x:c r="B969" s="10" t="str">
        <x:v>EMP001</x:v>
      </x:c>
      <x:c r="C969" s="10" t="str">
        <x:v>CLI079</x:v>
      </x:c>
      <x:c r="D969" s="10" t="str">
        <x:v>CC006</x:v>
      </x:c>
      <x:c r="E969" s="10" t="str">
        <x:v>CAT003</x:v>
      </x:c>
      <x:c r="F969" s="10" t="str">
        <x:v>CTA001</x:v>
      </x:c>
      <x:c r="G969" s="10" t="str">
        <x:v>FAT-200968</x:v>
      </x:c>
      <x:c r="H969" s="10" t="str">
        <x:v>Projeto especial</x:v>
      </x:c>
      <x:c r="I969" s="16" t="n">
        <x:v>45422.108940555554</x:v>
      </x:c>
      <x:c r="J969" s="16" t="n">
        <x:v>45482.108940555554</x:v>
      </x:c>
      <x:c r="K969" s="16" t="n">
        <x:v>45476.108940555554</x:v>
      </x:c>
      <x:c r="L969" s="20" t="n">
        <x:v>118078.58</x:v>
      </x:c>
      <x:c r="M969" s="20" t="n">
        <x:v>0</x:v>
      </x:c>
      <x:c r="N969" s="20" t="n">
        <x:v>0</x:v>
      </x:c>
      <x:c r="O969" s="20" t="n">
        <x:v>118078.58</x:v>
      </x:c>
      <x:c r="P969" s="20" t="n">
        <x:v>0</x:v>
      </x:c>
      <x:c r="Q969" s="10" t="str">
        <x:v>Recebido</x:v>
      </x:c>
      <x:c r="R969" s="10" t="str">
        <x:v>Cartão</x:v>
      </x:c>
      <x:c r="S969" s="10" t="str">
        <x:v>2024-05</x:v>
      </x:c>
      <x:c r="T969" s="10" t="n">
        <x:v>0</x:v>
      </x:c>
      <x:c r="U969" s="10" t="str">
        <x:v>Liquidado</x:v>
      </x:c>
      <x:c r="V969" s="10" t="str">
        <x:v>Baixo</x:v>
      </x:c>
      <x:c r="W969" s="10" t="str">
        <x:v>Tecnologia</x:v>
      </x:c>
      <x:c r="X969" s="10" t="str">
        <x:v>UND001</x:v>
      </x:c>
    </x:row>
    <x:row r="970" ht="18" customHeight="1">
      <x:c r="A970" s="10" t="str">
        <x:v>REC00969</x:v>
      </x:c>
      <x:c r="B970" s="10" t="str">
        <x:v>EMP002</x:v>
      </x:c>
      <x:c r="C970" s="10" t="str">
        <x:v>CLI026</x:v>
      </x:c>
      <x:c r="D970" s="10" t="str">
        <x:v>CC005</x:v>
      </x:c>
      <x:c r="E970" s="10" t="str">
        <x:v>CAT001</x:v>
      </x:c>
      <x:c r="F970" s="10" t="str">
        <x:v>CTA004</x:v>
      </x:c>
      <x:c r="G970" s="10" t="str">
        <x:v>FAT-200969</x:v>
      </x:c>
      <x:c r="H970" s="10" t="str">
        <x:v>Contrato mensal</x:v>
      </x:c>
      <x:c r="I970" s="16" t="n">
        <x:v>45397.00610196759</x:v>
      </x:c>
      <x:c r="J970" s="16" t="n">
        <x:v>45418.00610196759</x:v>
      </x:c>
      <x:c r="K970" s="16" t="n">
        <x:v>45412.00610196759</x:v>
      </x:c>
      <x:c r="L970" s="20" t="n">
        <x:v>10257.31</x:v>
      </x:c>
      <x:c r="M970" s="20" t="n">
        <x:v>0</x:v>
      </x:c>
      <x:c r="N970" s="20" t="n">
        <x:v>102.57</x:v>
      </x:c>
      <x:c r="O970" s="20" t="n">
        <x:v>10154.74</x:v>
      </x:c>
      <x:c r="P970" s="20" t="n">
        <x:v>0</x:v>
      </x:c>
      <x:c r="Q970" s="10" t="str">
        <x:v>Recebido</x:v>
      </x:c>
      <x:c r="R970" s="10" t="str">
        <x:v>PIX</x:v>
      </x:c>
      <x:c r="S970" s="10" t="str">
        <x:v>2024-04</x:v>
      </x:c>
      <x:c r="T970" s="10" t="n">
        <x:v>0</x:v>
      </x:c>
      <x:c r="U970" s="10" t="str">
        <x:v>Liquidado</x:v>
      </x:c>
      <x:c r="V970" s="10" t="str">
        <x:v>Médio</x:v>
      </x:c>
      <x:c r="W970" s="10" t="str">
        <x:v>Atacado</x:v>
      </x:c>
      <x:c r="X970" s="10" t="str">
        <x:v>UND003</x:v>
      </x:c>
    </x:row>
    <x:row r="971" ht="18" customHeight="1">
      <x:c r="A971" s="10" t="str">
        <x:v>REC00970</x:v>
      </x:c>
      <x:c r="B971" s="10" t="str">
        <x:v>EMP003</x:v>
      </x:c>
      <x:c r="C971" s="10" t="str">
        <x:v>CLI006</x:v>
      </x:c>
      <x:c r="D971" s="10" t="str">
        <x:v>CC005</x:v>
      </x:c>
      <x:c r="E971" s="10" t="str">
        <x:v>CAT001</x:v>
      </x:c>
      <x:c r="F971" s="10" t="str">
        <x:v>CTA006</x:v>
      </x:c>
      <x:c r="G971" s="10" t="str">
        <x:v>FAT-200970</x:v>
      </x:c>
      <x:c r="H971" s="10" t="str">
        <x:v>Prestação de serviços</x:v>
      </x:c>
      <x:c r="I971" s="16" t="n">
        <x:v>45379.837307037036</x:v>
      </x:c>
      <x:c r="J971" s="16" t="n">
        <x:v>45394.837307037036</x:v>
      </x:c>
      <x:c r="K971" s="16" t="n">
        <x:v>45388.837307037036</x:v>
      </x:c>
      <x:c r="L971" s="20" t="n">
        <x:v>46236.13</x:v>
      </x:c>
      <x:c r="M971" s="20" t="n">
        <x:v>0</x:v>
      </x:c>
      <x:c r="N971" s="20" t="n">
        <x:v>0</x:v>
      </x:c>
      <x:c r="O971" s="20" t="n">
        <x:v>46236.13</x:v>
      </x:c>
      <x:c r="P971" s="20" t="n">
        <x:v>0</x:v>
      </x:c>
      <x:c r="Q971" s="10" t="str">
        <x:v>Recebido</x:v>
      </x:c>
      <x:c r="R971" s="10" t="str">
        <x:v>Boleto</x:v>
      </x:c>
      <x:c r="S971" s="10" t="str">
        <x:v>2024-03</x:v>
      </x:c>
      <x:c r="T971" s="10" t="n">
        <x:v>0</x:v>
      </x:c>
      <x:c r="U971" s="10" t="str">
        <x:v>Liquidado</x:v>
      </x:c>
      <x:c r="V971" s="10" t="str">
        <x:v>Baixo</x:v>
      </x:c>
      <x:c r="W971" s="10" t="str">
        <x:v>Varejo</x:v>
      </x:c>
      <x:c r="X971" s="10" t="str">
        <x:v>UND004</x:v>
      </x:c>
    </x:row>
    <x:row r="972" ht="18" customHeight="1">
      <x:c r="A972" s="10" t="str">
        <x:v>REC00971</x:v>
      </x:c>
      <x:c r="B972" s="10" t="str">
        <x:v>EMP001</x:v>
      </x:c>
      <x:c r="C972" s="10" t="str">
        <x:v>CLI067</x:v>
      </x:c>
      <x:c r="D972" s="10" t="str">
        <x:v>CC003</x:v>
      </x:c>
      <x:c r="E972" s="10" t="str">
        <x:v>CAT002</x:v>
      </x:c>
      <x:c r="F972" s="10" t="str">
        <x:v>CTA002</x:v>
      </x:c>
      <x:c r="G972" s="10" t="str">
        <x:v>FAT-200971</x:v>
      </x:c>
      <x:c r="H972" s="10" t="str">
        <x:v>Frete faturado</x:v>
      </x:c>
      <x:c r="I972" s="16" t="n">
        <x:v>45387.87686831019</x:v>
      </x:c>
      <x:c r="J972" s="16" t="n">
        <x:v>45402.87686831019</x:v>
      </x:c>
      <x:c r="K972" s="16"/>
      <x:c r="L972" s="20" t="n">
        <x:v>10329.94</x:v>
      </x:c>
      <x:c r="M972" s="20" t="n">
        <x:v>0</x:v>
      </x:c>
      <x:c r="N972" s="20" t="n">
        <x:v>0</x:v>
      </x:c>
      <x:c r="O972" s="20" t="n">
        <x:v>0</x:v>
      </x:c>
      <x:c r="P972" s="20" t="n">
        <x:v>10329.94</x:v>
      </x:c>
      <x:c r="Q972" s="10" t="str">
        <x:v>Vencido</x:v>
      </x:c>
      <x:c r="R972" s="10" t="str">
        <x:v>Débito em Conta</x:v>
      </x:c>
      <x:c r="S972" s="10" t="str">
        <x:v>2024-04</x:v>
      </x:c>
      <x:c r="T972" s="10" t="n">
        <x:v>619</x:v>
      </x:c>
      <x:c r="U972" s="10" t="str">
        <x:v>&gt; 120 dias</x:v>
      </x:c>
      <x:c r="V972" s="10" t="str">
        <x:v>Alto</x:v>
      </x:c>
      <x:c r="W972" s="10" t="str">
        <x:v>Varejo</x:v>
      </x:c>
      <x:c r="X972" s="10" t="str">
        <x:v>UND001</x:v>
      </x:c>
    </x:row>
    <x:row r="973" ht="18" customHeight="1">
      <x:c r="A973" s="10" t="str">
        <x:v>REC00972</x:v>
      </x:c>
      <x:c r="B973" s="10" t="str">
        <x:v>EMP003</x:v>
      </x:c>
      <x:c r="C973" s="10" t="str">
        <x:v>CLI070</x:v>
      </x:c>
      <x:c r="D973" s="10" t="str">
        <x:v>CC001</x:v>
      </x:c>
      <x:c r="E973" s="10" t="str">
        <x:v>CAT002</x:v>
      </x:c>
      <x:c r="F973" s="10" t="str">
        <x:v>CTA005</x:v>
      </x:c>
      <x:c r="G973" s="10" t="str">
        <x:v>FAT-200972</x:v>
      </x:c>
      <x:c r="H973" s="10" t="str">
        <x:v>Contrato mensal</x:v>
      </x:c>
      <x:c r="I973" s="16" t="n">
        <x:v>45458.26784119213</x:v>
      </x:c>
      <x:c r="J973" s="16" t="n">
        <x:v>45479.26784119213</x:v>
      </x:c>
      <x:c r="K973" s="16" t="n">
        <x:v>45475.26784119213</x:v>
      </x:c>
      <x:c r="L973" s="20" t="n">
        <x:v>133881.98</x:v>
      </x:c>
      <x:c r="M973" s="20" t="n">
        <x:v>0</x:v>
      </x:c>
      <x:c r="N973" s="20" t="n">
        <x:v>1338.82</x:v>
      </x:c>
      <x:c r="O973" s="20" t="n">
        <x:v>132543.16</x:v>
      </x:c>
      <x:c r="P973" s="20" t="n">
        <x:v>0</x:v>
      </x:c>
      <x:c r="Q973" s="10" t="str">
        <x:v>Recebido</x:v>
      </x:c>
      <x:c r="R973" s="10" t="str">
        <x:v>Débito em Conta</x:v>
      </x:c>
      <x:c r="S973" s="10" t="str">
        <x:v>2024-06</x:v>
      </x:c>
      <x:c r="T973" s="10" t="n">
        <x:v>0</x:v>
      </x:c>
      <x:c r="U973" s="10" t="str">
        <x:v>Liquidado</x:v>
      </x:c>
      <x:c r="V973" s="10" t="str">
        <x:v>Baixo</x:v>
      </x:c>
      <x:c r="W973" s="10" t="str">
        <x:v>Saúde</x:v>
      </x:c>
      <x:c r="X973" s="10" t="str">
        <x:v>UND004</x:v>
      </x:c>
    </x:row>
    <x:row r="974" ht="18" customHeight="1">
      <x:c r="A974" s="10" t="str">
        <x:v>REC00973</x:v>
      </x:c>
      <x:c r="B974" s="10" t="str">
        <x:v>EMP002</x:v>
      </x:c>
      <x:c r="C974" s="10" t="str">
        <x:v>CLI008</x:v>
      </x:c>
      <x:c r="D974" s="10" t="str">
        <x:v>CC004</x:v>
      </x:c>
      <x:c r="E974" s="10" t="str">
        <x:v>CAT002</x:v>
      </x:c>
      <x:c r="F974" s="10" t="str">
        <x:v>CTA003</x:v>
      </x:c>
      <x:c r="G974" s="10" t="str">
        <x:v>FAT-200973</x:v>
      </x:c>
      <x:c r="H974" s="10" t="str">
        <x:v>Contrato mensal</x:v>
      </x:c>
      <x:c r="I974" s="16" t="n">
        <x:v>45307.45351521991</x:v>
      </x:c>
      <x:c r="J974" s="16" t="n">
        <x:v>45342.45351521991</x:v>
      </x:c>
      <x:c r="K974" s="16" t="n">
        <x:v>45337.45351521991</x:v>
      </x:c>
      <x:c r="L974" s="20" t="n">
        <x:v>60729.13</x:v>
      </x:c>
      <x:c r="M974" s="20" t="n">
        <x:v>0</x:v>
      </x:c>
      <x:c r="N974" s="20" t="n">
        <x:v>0</x:v>
      </x:c>
      <x:c r="O974" s="20" t="n">
        <x:v>60729.13</x:v>
      </x:c>
      <x:c r="P974" s="20" t="n">
        <x:v>0</x:v>
      </x:c>
      <x:c r="Q974" s="10" t="str">
        <x:v>Recebido</x:v>
      </x:c>
      <x:c r="R974" s="10" t="str">
        <x:v>Débito em Conta</x:v>
      </x:c>
      <x:c r="S974" s="10" t="str">
        <x:v>2024-01</x:v>
      </x:c>
      <x:c r="T974" s="10" t="n">
        <x:v>0</x:v>
      </x:c>
      <x:c r="U974" s="10" t="str">
        <x:v>Liquidado</x:v>
      </x:c>
      <x:c r="V974" s="10" t="str">
        <x:v>Médio</x:v>
      </x:c>
      <x:c r="W974" s="10" t="str">
        <x:v>Saúde</x:v>
      </x:c>
      <x:c r="X974" s="10" t="str">
        <x:v>UND003</x:v>
      </x:c>
    </x:row>
    <x:row r="975" ht="18" customHeight="1">
      <x:c r="A975" s="10" t="str">
        <x:v>REC00974</x:v>
      </x:c>
      <x:c r="B975" s="10" t="str">
        <x:v>EMP001</x:v>
      </x:c>
      <x:c r="C975" s="10" t="str">
        <x:v>CLI037</x:v>
      </x:c>
      <x:c r="D975" s="10" t="str">
        <x:v>CC004</x:v>
      </x:c>
      <x:c r="E975" s="10" t="str">
        <x:v>CAT004</x:v>
      </x:c>
      <x:c r="F975" s="10" t="str">
        <x:v>CTA002</x:v>
      </x:c>
      <x:c r="G975" s="10" t="str">
        <x:v>FAT-200974</x:v>
      </x:c>
      <x:c r="H975" s="10" t="str">
        <x:v>Contrato mensal</x:v>
      </x:c>
      <x:c r="I975" s="16" t="n">
        <x:v>45831.36667730324</x:v>
      </x:c>
      <x:c r="J975" s="16" t="n">
        <x:v>45891.36667730324</x:v>
      </x:c>
      <x:c r="K975" s="16" t="n">
        <x:v>45890.36667730324</x:v>
      </x:c>
      <x:c r="L975" s="20" t="n">
        <x:v>10416.58</x:v>
      </x:c>
      <x:c r="M975" s="20" t="n">
        <x:v>0</x:v>
      </x:c>
      <x:c r="N975" s="20" t="n">
        <x:v>0</x:v>
      </x:c>
      <x:c r="O975" s="20" t="n">
        <x:v>10416.58</x:v>
      </x:c>
      <x:c r="P975" s="20" t="n">
        <x:v>0</x:v>
      </x:c>
      <x:c r="Q975" s="10" t="str">
        <x:v>Recebido</x:v>
      </x:c>
      <x:c r="R975" s="10" t="str">
        <x:v>TED</x:v>
      </x:c>
      <x:c r="S975" s="10" t="str">
        <x:v>2025-06</x:v>
      </x:c>
      <x:c r="T975" s="10" t="n">
        <x:v>0</x:v>
      </x:c>
      <x:c r="U975" s="10" t="str">
        <x:v>Liquidado</x:v>
      </x:c>
      <x:c r="V975" s="10" t="str">
        <x:v>Baixo</x:v>
      </x:c>
      <x:c r="W975" s="10" t="str">
        <x:v>Serviços</x:v>
      </x:c>
      <x:c r="X975" s="10" t="str">
        <x:v>UND001</x:v>
      </x:c>
    </x:row>
    <x:row r="976" ht="18" customHeight="1">
      <x:c r="A976" s="10" t="str">
        <x:v>REC00975</x:v>
      </x:c>
      <x:c r="B976" s="10" t="str">
        <x:v>EMP001</x:v>
      </x:c>
      <x:c r="C976" s="10" t="str">
        <x:v>CLI045</x:v>
      </x:c>
      <x:c r="D976" s="10" t="str">
        <x:v>CC007</x:v>
      </x:c>
      <x:c r="E976" s="10" t="str">
        <x:v>CAT001</x:v>
      </x:c>
      <x:c r="F976" s="10" t="str">
        <x:v>CTA002</x:v>
      </x:c>
      <x:c r="G976" s="10" t="str">
        <x:v>FAT-200975</x:v>
      </x:c>
      <x:c r="H976" s="10" t="str">
        <x:v>Venda de produtos</x:v>
      </x:c>
      <x:c r="I976" s="16" t="n">
        <x:v>45484.9531534375</x:v>
      </x:c>
      <x:c r="J976" s="16" t="n">
        <x:v>45512.9531534375</x:v>
      </x:c>
      <x:c r="K976" s="16" t="n">
        <x:v>45518.9531534375</x:v>
      </x:c>
      <x:c r="L976" s="20" t="n">
        <x:v>59100.91</x:v>
      </x:c>
      <x:c r="M976" s="20" t="n">
        <x:v>283.68</x:v>
      </x:c>
      <x:c r="N976" s="20" t="n">
        <x:v>0</x:v>
      </x:c>
      <x:c r="O976" s="20" t="n">
        <x:v>59384.59</x:v>
      </x:c>
      <x:c r="P976" s="20" t="n">
        <x:v>0</x:v>
      </x:c>
      <x:c r="Q976" s="10" t="str">
        <x:v>Recebido</x:v>
      </x:c>
      <x:c r="R976" s="10" t="str">
        <x:v>Débito em Conta</x:v>
      </x:c>
      <x:c r="S976" s="10" t="str">
        <x:v>2024-07</x:v>
      </x:c>
      <x:c r="T976" s="10" t="n">
        <x:v>0</x:v>
      </x:c>
      <x:c r="U976" s="10" t="str">
        <x:v>Liquidado</x:v>
      </x:c>
      <x:c r="V976" s="10" t="str">
        <x:v>Baixo</x:v>
      </x:c>
      <x:c r="W976" s="10" t="str">
        <x:v>Varejo</x:v>
      </x:c>
      <x:c r="X976" s="10" t="str">
        <x:v>UND001</x:v>
      </x:c>
    </x:row>
    <x:row r="977" ht="18" customHeight="1">
      <x:c r="A977" s="10" t="str">
        <x:v>REC00976</x:v>
      </x:c>
      <x:c r="B977" s="10" t="str">
        <x:v>EMP002</x:v>
      </x:c>
      <x:c r="C977" s="10" t="str">
        <x:v>CLI018</x:v>
      </x:c>
      <x:c r="D977" s="10" t="str">
        <x:v>CC008</x:v>
      </x:c>
      <x:c r="E977" s="10" t="str">
        <x:v>CAT003</x:v>
      </x:c>
      <x:c r="F977" s="10" t="str">
        <x:v>CTA003</x:v>
      </x:c>
      <x:c r="G977" s="10" t="str">
        <x:v>FAT-200976</x:v>
      </x:c>
      <x:c r="H977" s="10" t="str">
        <x:v>Contrato mensal</x:v>
      </x:c>
      <x:c r="I977" s="16" t="n">
        <x:v>45780.19178572917</x:v>
      </x:c>
      <x:c r="J977" s="16" t="n">
        <x:v>45808.19178572917</x:v>
      </x:c>
      <x:c r="K977" s="16" t="n">
        <x:v>45807.19178572917</x:v>
      </x:c>
      <x:c r="L977" s="20" t="n">
        <x:v>105935.93</x:v>
      </x:c>
      <x:c r="M977" s="20" t="n">
        <x:v>0</x:v>
      </x:c>
      <x:c r="N977" s="20" t="n">
        <x:v>0</x:v>
      </x:c>
      <x:c r="O977" s="20" t="n">
        <x:v>105935.93</x:v>
      </x:c>
      <x:c r="P977" s="20" t="n">
        <x:v>0</x:v>
      </x:c>
      <x:c r="Q977" s="10" t="str">
        <x:v>Recebido</x:v>
      </x:c>
      <x:c r="R977" s="10" t="str">
        <x:v>Cartão</x:v>
      </x:c>
      <x:c r="S977" s="10" t="str">
        <x:v>2025-05</x:v>
      </x:c>
      <x:c r="T977" s="10" t="n">
        <x:v>0</x:v>
      </x:c>
      <x:c r="U977" s="10" t="str">
        <x:v>Liquidado</x:v>
      </x:c>
      <x:c r="V977" s="10" t="str">
        <x:v>Médio</x:v>
      </x:c>
      <x:c r="W977" s="10" t="str">
        <x:v>Indústria</x:v>
      </x:c>
      <x:c r="X977" s="10" t="str">
        <x:v>UND003</x:v>
      </x:c>
    </x:row>
    <x:row r="978" ht="18" customHeight="1">
      <x:c r="A978" s="10" t="str">
        <x:v>REC00977</x:v>
      </x:c>
      <x:c r="B978" s="10" t="str">
        <x:v>EMP002</x:v>
      </x:c>
      <x:c r="C978" s="10" t="str">
        <x:v>CLI053</x:v>
      </x:c>
      <x:c r="D978" s="10" t="str">
        <x:v>CC003</x:v>
      </x:c>
      <x:c r="E978" s="10" t="str">
        <x:v>CAT004</x:v>
      </x:c>
      <x:c r="F978" s="10" t="str">
        <x:v>CTA004</x:v>
      </x:c>
      <x:c r="G978" s="10" t="str">
        <x:v>FAT-200977</x:v>
      </x:c>
      <x:c r="H978" s="10" t="str">
        <x:v>Prestação de serviços</x:v>
      </x:c>
      <x:c r="I978" s="16" t="n">
        <x:v>45682.63558736111</x:v>
      </x:c>
      <x:c r="J978" s="16" t="n">
        <x:v>45697.63558736111</x:v>
      </x:c>
      <x:c r="K978" s="16"/>
      <x:c r="L978" s="20" t="n">
        <x:v>123488.82</x:v>
      </x:c>
      <x:c r="M978" s="20" t="n">
        <x:v>0</x:v>
      </x:c>
      <x:c r="N978" s="20" t="n">
        <x:v>0</x:v>
      </x:c>
      <x:c r="O978" s="20" t="n">
        <x:v>0</x:v>
      </x:c>
      <x:c r="P978" s="20" t="n">
        <x:v>123488.82</x:v>
      </x:c>
      <x:c r="Q978" s="10" t="str">
        <x:v>Vencido</x:v>
      </x:c>
      <x:c r="R978" s="10" t="str">
        <x:v>TED</x:v>
      </x:c>
      <x:c r="S978" s="10" t="str">
        <x:v>2025-01</x:v>
      </x:c>
      <x:c r="T978" s="10" t="n">
        <x:v>324</x:v>
      </x:c>
      <x:c r="U978" s="10" t="str">
        <x:v>&gt; 120 dias</x:v>
      </x:c>
      <x:c r="V978" s="10" t="str">
        <x:v>Baixo</x:v>
      </x:c>
      <x:c r="W978" s="10" t="str">
        <x:v>Saúde</x:v>
      </x:c>
      <x:c r="X978" s="10" t="str">
        <x:v>UND003</x:v>
      </x:c>
    </x:row>
    <x:row r="979" ht="18" customHeight="1">
      <x:c r="A979" s="10" t="str">
        <x:v>REC00978</x:v>
      </x:c>
      <x:c r="B979" s="10" t="str">
        <x:v>EMP002</x:v>
      </x:c>
      <x:c r="C979" s="10" t="str">
        <x:v>CLI045</x:v>
      </x:c>
      <x:c r="D979" s="10" t="str">
        <x:v>CC005</x:v>
      </x:c>
      <x:c r="E979" s="10" t="str">
        <x:v>CAT001</x:v>
      </x:c>
      <x:c r="F979" s="10" t="str">
        <x:v>CTA004</x:v>
      </x:c>
      <x:c r="G979" s="10" t="str">
        <x:v>FAT-200978</x:v>
      </x:c>
      <x:c r="H979" s="10" t="str">
        <x:v>Projeto especial</x:v>
      </x:c>
      <x:c r="I979" s="16" t="n">
        <x:v>45522.26391548611</x:v>
      </x:c>
      <x:c r="J979" s="16" t="n">
        <x:v>45543.26391548611</x:v>
      </x:c>
      <x:c r="K979" s="16" t="n">
        <x:v>45543.26391548611</x:v>
      </x:c>
      <x:c r="L979" s="20" t="n">
        <x:v>67117.19</x:v>
      </x:c>
      <x:c r="M979" s="20" t="n">
        <x:v>0</x:v>
      </x:c>
      <x:c r="N979" s="20" t="n">
        <x:v>0</x:v>
      </x:c>
      <x:c r="O979" s="20" t="n">
        <x:v>67117.19</x:v>
      </x:c>
      <x:c r="P979" s="20" t="n">
        <x:v>0</x:v>
      </x:c>
      <x:c r="Q979" s="10" t="str">
        <x:v>Recebido</x:v>
      </x:c>
      <x:c r="R979" s="10" t="str">
        <x:v>Boleto</x:v>
      </x:c>
      <x:c r="S979" s="10" t="str">
        <x:v>2024-08</x:v>
      </x:c>
      <x:c r="T979" s="10" t="n">
        <x:v>0</x:v>
      </x:c>
      <x:c r="U979" s="10" t="str">
        <x:v>Liquidado</x:v>
      </x:c>
      <x:c r="V979" s="10" t="str">
        <x:v>Baixo</x:v>
      </x:c>
      <x:c r="W979" s="10" t="str">
        <x:v>Varejo</x:v>
      </x:c>
      <x:c r="X979" s="10" t="str">
        <x:v>UND003</x:v>
      </x:c>
    </x:row>
    <x:row r="980" ht="18" customHeight="1">
      <x:c r="A980" s="10" t="str">
        <x:v>REC00979</x:v>
      </x:c>
      <x:c r="B980" s="10" t="str">
        <x:v>EMP002</x:v>
      </x:c>
      <x:c r="C980" s="10" t="str">
        <x:v>CLI059</x:v>
      </x:c>
      <x:c r="D980" s="10" t="str">
        <x:v>CC003</x:v>
      </x:c>
      <x:c r="E980" s="10" t="str">
        <x:v>CAT001</x:v>
      </x:c>
      <x:c r="F980" s="10" t="str">
        <x:v>CTA004</x:v>
      </x:c>
      <x:c r="G980" s="10" t="str">
        <x:v>FAT-200979</x:v>
      </x:c>
      <x:c r="H980" s="10" t="str">
        <x:v>Prestação de serviços</x:v>
      </x:c>
      <x:c r="I980" s="16" t="n">
        <x:v>45506.65095819444</x:v>
      </x:c>
      <x:c r="J980" s="16" t="n">
        <x:v>45566.65095819444</x:v>
      </x:c>
      <x:c r="K980" s="16"/>
      <x:c r="L980" s="20" t="n">
        <x:v>57094.78</x:v>
      </x:c>
      <x:c r="M980" s="20" t="n">
        <x:v>0</x:v>
      </x:c>
      <x:c r="N980" s="20" t="n">
        <x:v>0</x:v>
      </x:c>
      <x:c r="O980" s="20" t="n">
        <x:v>0</x:v>
      </x:c>
      <x:c r="P980" s="20" t="n">
        <x:v>57094.78</x:v>
      </x:c>
      <x:c r="Q980" s="10" t="str">
        <x:v>Vencido</x:v>
      </x:c>
      <x:c r="R980" s="10" t="str">
        <x:v>Cartão</x:v>
      </x:c>
      <x:c r="S980" s="10" t="str">
        <x:v>2024-08</x:v>
      </x:c>
      <x:c r="T980" s="10" t="n">
        <x:v>455</x:v>
      </x:c>
      <x:c r="U980" s="10" t="str">
        <x:v>&gt; 120 dias</x:v>
      </x:c>
      <x:c r="V980" s="10" t="str">
        <x:v>Baixo</x:v>
      </x:c>
      <x:c r="W980" s="10" t="str">
        <x:v>Indústria</x:v>
      </x:c>
      <x:c r="X980" s="10" t="str">
        <x:v>UND003</x:v>
      </x:c>
    </x:row>
    <x:row r="981" ht="18" customHeight="1">
      <x:c r="A981" s="10" t="str">
        <x:v>REC00980</x:v>
      </x:c>
      <x:c r="B981" s="10" t="str">
        <x:v>EMP003</x:v>
      </x:c>
      <x:c r="C981" s="10" t="str">
        <x:v>CLI020</x:v>
      </x:c>
      <x:c r="D981" s="10" t="str">
        <x:v>CC005</x:v>
      </x:c>
      <x:c r="E981" s="10" t="str">
        <x:v>CAT003</x:v>
      </x:c>
      <x:c r="F981" s="10" t="str">
        <x:v>CTA005</x:v>
      </x:c>
      <x:c r="G981" s="10" t="str">
        <x:v>FAT-200980</x:v>
      </x:c>
      <x:c r="H981" s="10" t="str">
        <x:v>Contrato mensal</x:v>
      </x:c>
      <x:c r="I981" s="16" t="n">
        <x:v>45839.981109224536</x:v>
      </x:c>
      <x:c r="J981" s="16" t="n">
        <x:v>45874.981109224536</x:v>
      </x:c>
      <x:c r="K981" s="16" t="n">
        <x:v>45882.981109224536</x:v>
      </x:c>
      <x:c r="L981" s="20" t="n">
        <x:v>61387</x:v>
      </x:c>
      <x:c r="M981" s="20" t="n">
        <x:v>392.88</x:v>
      </x:c>
      <x:c r="N981" s="20" t="n">
        <x:v>0</x:v>
      </x:c>
      <x:c r="O981" s="20" t="n">
        <x:v>61779.88</x:v>
      </x:c>
      <x:c r="P981" s="20" t="n">
        <x:v>0</x:v>
      </x:c>
      <x:c r="Q981" s="10" t="str">
        <x:v>Recebido</x:v>
      </x:c>
      <x:c r="R981" s="10" t="str">
        <x:v>Débito em Conta</x:v>
      </x:c>
      <x:c r="S981" s="10" t="str">
        <x:v>2025-07</x:v>
      </x:c>
      <x:c r="T981" s="10" t="n">
        <x:v>0</x:v>
      </x:c>
      <x:c r="U981" s="10" t="str">
        <x:v>Liquidado</x:v>
      </x:c>
      <x:c r="V981" s="10" t="str">
        <x:v>Médio</x:v>
      </x:c>
      <x:c r="W981" s="10" t="str">
        <x:v>Atacado</x:v>
      </x:c>
      <x:c r="X981" s="10" t="str">
        <x:v>UND004</x:v>
      </x:c>
    </x:row>
    <x:row r="982" ht="18" customHeight="1">
      <x:c r="A982" s="10" t="str">
        <x:v>REC00981</x:v>
      </x:c>
      <x:c r="B982" s="10" t="str">
        <x:v>EMP002</x:v>
      </x:c>
      <x:c r="C982" s="10" t="str">
        <x:v>CLI013</x:v>
      </x:c>
      <x:c r="D982" s="10" t="str">
        <x:v>CC006</x:v>
      </x:c>
      <x:c r="E982" s="10" t="str">
        <x:v>CAT003</x:v>
      </x:c>
      <x:c r="F982" s="10" t="str">
        <x:v>CTA004</x:v>
      </x:c>
      <x:c r="G982" s="10" t="str">
        <x:v>FAT-200981</x:v>
      </x:c>
      <x:c r="H982" s="10" t="str">
        <x:v>Contrato mensal</x:v>
      </x:c>
      <x:c r="I982" s="16" t="n">
        <x:v>45393.54854494213</x:v>
      </x:c>
      <x:c r="J982" s="16" t="n">
        <x:v>45408.54854494213</x:v>
      </x:c>
      <x:c r="K982" s="16" t="n">
        <x:v>45406.54854494213</x:v>
      </x:c>
      <x:c r="L982" s="20" t="n">
        <x:v>128403.43</x:v>
      </x:c>
      <x:c r="M982" s="20" t="n">
        <x:v>0</x:v>
      </x:c>
      <x:c r="N982" s="20" t="n">
        <x:v>0</x:v>
      </x:c>
      <x:c r="O982" s="20" t="n">
        <x:v>128403.43</x:v>
      </x:c>
      <x:c r="P982" s="20" t="n">
        <x:v>0</x:v>
      </x:c>
      <x:c r="Q982" s="10" t="str">
        <x:v>Recebido</x:v>
      </x:c>
      <x:c r="R982" s="10" t="str">
        <x:v>PIX</x:v>
      </x:c>
      <x:c r="S982" s="10" t="str">
        <x:v>2024-04</x:v>
      </x:c>
      <x:c r="T982" s="10" t="n">
        <x:v>0</x:v>
      </x:c>
      <x:c r="U982" s="10" t="str">
        <x:v>Liquidado</x:v>
      </x:c>
      <x:c r="V982" s="10" t="str">
        <x:v>Baixo</x:v>
      </x:c>
      <x:c r="W982" s="10" t="str">
        <x:v>Serviços</x:v>
      </x:c>
      <x:c r="X982" s="10" t="str">
        <x:v>UND003</x:v>
      </x:c>
    </x:row>
    <x:row r="983" ht="18" customHeight="1">
      <x:c r="A983" s="10" t="str">
        <x:v>REC00982</x:v>
      </x:c>
      <x:c r="B983" s="10" t="str">
        <x:v>EMP003</x:v>
      </x:c>
      <x:c r="C983" s="10" t="str">
        <x:v>CLI051</x:v>
      </x:c>
      <x:c r="D983" s="10" t="str">
        <x:v>CC005</x:v>
      </x:c>
      <x:c r="E983" s="10" t="str">
        <x:v>CAT003</x:v>
      </x:c>
      <x:c r="F983" s="10" t="str">
        <x:v>CTA005</x:v>
      </x:c>
      <x:c r="G983" s="10" t="str">
        <x:v>FAT-200982</x:v>
      </x:c>
      <x:c r="H983" s="10" t="str">
        <x:v>Contrato mensal</x:v>
      </x:c>
      <x:c r="I983" s="16" t="n">
        <x:v>45808.30288568287</x:v>
      </x:c>
      <x:c r="J983" s="16" t="n">
        <x:v>45823.30288568287</x:v>
      </x:c>
      <x:c r="K983" s="16" t="n">
        <x:v>45828.30288568287</x:v>
      </x:c>
      <x:c r="L983" s="20" t="n">
        <x:v>44049.54</x:v>
      </x:c>
      <x:c r="M983" s="20" t="n">
        <x:v>176.2</x:v>
      </x:c>
      <x:c r="N983" s="20" t="n">
        <x:v>0</x:v>
      </x:c>
      <x:c r="O983" s="20" t="n">
        <x:v>44225.74</x:v>
      </x:c>
      <x:c r="P983" s="20" t="n">
        <x:v>0</x:v>
      </x:c>
      <x:c r="Q983" s="10" t="str">
        <x:v>Recebido</x:v>
      </x:c>
      <x:c r="R983" s="10" t="str">
        <x:v>Cartão</x:v>
      </x:c>
      <x:c r="S983" s="10" t="str">
        <x:v>2025-05</x:v>
      </x:c>
      <x:c r="T983" s="10" t="n">
        <x:v>0</x:v>
      </x:c>
      <x:c r="U983" s="10" t="str">
        <x:v>Liquidado</x:v>
      </x:c>
      <x:c r="V983" s="10" t="str">
        <x:v>Médio</x:v>
      </x:c>
      <x:c r="W983" s="10" t="str">
        <x:v>Saúde</x:v>
      </x:c>
      <x:c r="X983" s="10" t="str">
        <x:v>UND004</x:v>
      </x:c>
    </x:row>
    <x:row r="984" ht="18" customHeight="1">
      <x:c r="A984" s="10" t="str">
        <x:v>REC00983</x:v>
      </x:c>
      <x:c r="B984" s="10" t="str">
        <x:v>EMP003</x:v>
      </x:c>
      <x:c r="C984" s="10" t="str">
        <x:v>CLI034</x:v>
      </x:c>
      <x:c r="D984" s="10" t="str">
        <x:v>CC002</x:v>
      </x:c>
      <x:c r="E984" s="10" t="str">
        <x:v>CAT004</x:v>
      </x:c>
      <x:c r="F984" s="10" t="str">
        <x:v>CTA005</x:v>
      </x:c>
      <x:c r="G984" s="10" t="str">
        <x:v>FAT-200983</x:v>
      </x:c>
      <x:c r="H984" s="10" t="str">
        <x:v>Contrato mensal</x:v>
      </x:c>
      <x:c r="I984" s="16" t="n">
        <x:v>45340.549786944444</x:v>
      </x:c>
      <x:c r="J984" s="16" t="n">
        <x:v>45361.549786944444</x:v>
      </x:c>
      <x:c r="K984" s="16"/>
      <x:c r="L984" s="20" t="n">
        <x:v>75203.01</x:v>
      </x:c>
      <x:c r="M984" s="20" t="n">
        <x:v>0</x:v>
      </x:c>
      <x:c r="N984" s="20" t="n">
        <x:v>0</x:v>
      </x:c>
      <x:c r="O984" s="20" t="n">
        <x:v>0</x:v>
      </x:c>
      <x:c r="P984" s="20" t="n">
        <x:v>75203.01</x:v>
      </x:c>
      <x:c r="Q984" s="10" t="str">
        <x:v>Vencido</x:v>
      </x:c>
      <x:c r="R984" s="10" t="str">
        <x:v>TED</x:v>
      </x:c>
      <x:c r="S984" s="10" t="str">
        <x:v>2024-02</x:v>
      </x:c>
      <x:c r="T984" s="10" t="n">
        <x:v>660</x:v>
      </x:c>
      <x:c r="U984" s="10" t="str">
        <x:v>&gt; 120 dias</x:v>
      </x:c>
      <x:c r="V984" s="10" t="str">
        <x:v>Médio</x:v>
      </x:c>
      <x:c r="W984" s="10" t="str">
        <x:v>Indústria</x:v>
      </x:c>
      <x:c r="X984" s="10" t="str">
        <x:v>UND004</x:v>
      </x:c>
    </x:row>
    <x:row r="985" ht="18" customHeight="1">
      <x:c r="A985" s="10" t="str">
        <x:v>REC00984</x:v>
      </x:c>
      <x:c r="B985" s="10" t="str">
        <x:v>EMP002</x:v>
      </x:c>
      <x:c r="C985" s="10" t="str">
        <x:v>CLI007</x:v>
      </x:c>
      <x:c r="D985" s="10" t="str">
        <x:v>CC003</x:v>
      </x:c>
      <x:c r="E985" s="10" t="str">
        <x:v>CAT004</x:v>
      </x:c>
      <x:c r="F985" s="10" t="str">
        <x:v>CTA003</x:v>
      </x:c>
      <x:c r="G985" s="10" t="str">
        <x:v>FAT-200984</x:v>
      </x:c>
      <x:c r="H985" s="10" t="str">
        <x:v>Venda de produtos</x:v>
      </x:c>
      <x:c r="I985" s="16" t="n">
        <x:v>45731.85582011574</x:v>
      </x:c>
      <x:c r="J985" s="16" t="n">
        <x:v>45791.85582011574</x:v>
      </x:c>
      <x:c r="K985" s="16" t="n">
        <x:v>45790.85582011574</x:v>
      </x:c>
      <x:c r="L985" s="20" t="n">
        <x:v>60169.8</x:v>
      </x:c>
      <x:c r="M985" s="20" t="n">
        <x:v>0</x:v>
      </x:c>
      <x:c r="N985" s="20" t="n">
        <x:v>0</x:v>
      </x:c>
      <x:c r="O985" s="20" t="n">
        <x:v>60169.8</x:v>
      </x:c>
      <x:c r="P985" s="20" t="n">
        <x:v>0</x:v>
      </x:c>
      <x:c r="Q985" s="10" t="str">
        <x:v>Recebido</x:v>
      </x:c>
      <x:c r="R985" s="10" t="str">
        <x:v>PIX</x:v>
      </x:c>
      <x:c r="S985" s="10" t="str">
        <x:v>2025-03</x:v>
      </x:c>
      <x:c r="T985" s="10" t="n">
        <x:v>0</x:v>
      </x:c>
      <x:c r="U985" s="10" t="str">
        <x:v>Liquidado</x:v>
      </x:c>
      <x:c r="V985" s="10" t="str">
        <x:v>Baixo</x:v>
      </x:c>
      <x:c r="W985" s="10" t="str">
        <x:v>Atacado</x:v>
      </x:c>
      <x:c r="X985" s="10" t="str">
        <x:v>UND003</x:v>
      </x:c>
    </x:row>
    <x:row r="986" ht="18" customHeight="1">
      <x:c r="A986" s="10" t="str">
        <x:v>REC00985</x:v>
      </x:c>
      <x:c r="B986" s="10" t="str">
        <x:v>EMP003</x:v>
      </x:c>
      <x:c r="C986" s="10" t="str">
        <x:v>CLI052</x:v>
      </x:c>
      <x:c r="D986" s="10" t="str">
        <x:v>CC007</x:v>
      </x:c>
      <x:c r="E986" s="10" t="str">
        <x:v>CAT004</x:v>
      </x:c>
      <x:c r="F986" s="10" t="str">
        <x:v>CTA006</x:v>
      </x:c>
      <x:c r="G986" s="10" t="str">
        <x:v>FAT-200985</x:v>
      </x:c>
      <x:c r="H986" s="10" t="str">
        <x:v>Frete faturado</x:v>
      </x:c>
      <x:c r="I986" s="16" t="n">
        <x:v>45366.609763113425</x:v>
      </x:c>
      <x:c r="J986" s="16" t="n">
        <x:v>45411.609763113425</x:v>
      </x:c>
      <x:c r="K986" s="16" t="n">
        <x:v>45411.609763113425</x:v>
      </x:c>
      <x:c r="L986" s="20" t="n">
        <x:v>118057.16</x:v>
      </x:c>
      <x:c r="M986" s="20" t="n">
        <x:v>0</x:v>
      </x:c>
      <x:c r="N986" s="20" t="n">
        <x:v>0</x:v>
      </x:c>
      <x:c r="O986" s="20" t="n">
        <x:v>118057.16</x:v>
      </x:c>
      <x:c r="P986" s="20" t="n">
        <x:v>0</x:v>
      </x:c>
      <x:c r="Q986" s="10" t="str">
        <x:v>Recebido</x:v>
      </x:c>
      <x:c r="R986" s="10" t="str">
        <x:v>TED</x:v>
      </x:c>
      <x:c r="S986" s="10" t="str">
        <x:v>2024-03</x:v>
      </x:c>
      <x:c r="T986" s="10" t="n">
        <x:v>0</x:v>
      </x:c>
      <x:c r="U986" s="10" t="str">
        <x:v>Liquidado</x:v>
      </x:c>
      <x:c r="V986" s="10" t="str">
        <x:v>Baixo</x:v>
      </x:c>
      <x:c r="W986" s="10" t="str">
        <x:v>Varejo</x:v>
      </x:c>
      <x:c r="X986" s="10" t="str">
        <x:v>UND004</x:v>
      </x:c>
    </x:row>
    <x:row r="987" ht="18" customHeight="1">
      <x:c r="A987" s="10" t="str">
        <x:v>REC00986</x:v>
      </x:c>
      <x:c r="B987" s="10" t="str">
        <x:v>EMP001</x:v>
      </x:c>
      <x:c r="C987" s="10" t="str">
        <x:v>CLI044</x:v>
      </x:c>
      <x:c r="D987" s="10" t="str">
        <x:v>CC006</x:v>
      </x:c>
      <x:c r="E987" s="10" t="str">
        <x:v>CAT003</x:v>
      </x:c>
      <x:c r="F987" s="10" t="str">
        <x:v>CTA002</x:v>
      </x:c>
      <x:c r="G987" s="10" t="str">
        <x:v>FAT-200986</x:v>
      </x:c>
      <x:c r="H987" s="10" t="str">
        <x:v>Venda de produtos</x:v>
      </x:c>
      <x:c r="I987" s="16" t="n">
        <x:v>45453.22930384259</x:v>
      </x:c>
      <x:c r="J987" s="16" t="n">
        <x:v>45483.22930384259</x:v>
      </x:c>
      <x:c r="K987" s="16" t="n">
        <x:v>45505.22930384259</x:v>
      </x:c>
      <x:c r="L987" s="20" t="n">
        <x:v>42388.48</x:v>
      </x:c>
      <x:c r="M987" s="20" t="n">
        <x:v>746.04</x:v>
      </x:c>
      <x:c r="N987" s="20" t="n">
        <x:v>0</x:v>
      </x:c>
      <x:c r="O987" s="20" t="n">
        <x:v>43134.52</x:v>
      </x:c>
      <x:c r="P987" s="20" t="n">
        <x:v>0</x:v>
      </x:c>
      <x:c r="Q987" s="10" t="str">
        <x:v>Recebido</x:v>
      </x:c>
      <x:c r="R987" s="10" t="str">
        <x:v>PIX</x:v>
      </x:c>
      <x:c r="S987" s="10" t="str">
        <x:v>2024-06</x:v>
      </x:c>
      <x:c r="T987" s="10" t="n">
        <x:v>0</x:v>
      </x:c>
      <x:c r="U987" s="10" t="str">
        <x:v>Liquidado</x:v>
      </x:c>
      <x:c r="V987" s="10" t="str">
        <x:v>Alto</x:v>
      </x:c>
      <x:c r="W987" s="10" t="str">
        <x:v>Varejo</x:v>
      </x:c>
      <x:c r="X987" s="10" t="str">
        <x:v>UND002</x:v>
      </x:c>
    </x:row>
    <x:row r="988" ht="18" customHeight="1">
      <x:c r="A988" s="10" t="str">
        <x:v>REC00987</x:v>
      </x:c>
      <x:c r="B988" s="10" t="str">
        <x:v>EMP001</x:v>
      </x:c>
      <x:c r="C988" s="10" t="str">
        <x:v>CLI070</x:v>
      </x:c>
      <x:c r="D988" s="10" t="str">
        <x:v>CC007</x:v>
      </x:c>
      <x:c r="E988" s="10" t="str">
        <x:v>CAT002</x:v>
      </x:c>
      <x:c r="F988" s="10" t="str">
        <x:v>CTA002</x:v>
      </x:c>
      <x:c r="G988" s="10" t="str">
        <x:v>FAT-200987</x:v>
      </x:c>
      <x:c r="H988" s="10" t="str">
        <x:v>Projeto especial</x:v>
      </x:c>
      <x:c r="I988" s="16" t="n">
        <x:v>45576.691201574075</x:v>
      </x:c>
      <x:c r="J988" s="16" t="n">
        <x:v>45591.691201574075</x:v>
      </x:c>
      <x:c r="K988" s="16" t="n">
        <x:v>45592.691201574075</x:v>
      </x:c>
      <x:c r="L988" s="20" t="n">
        <x:v>893.29</x:v>
      </x:c>
      <x:c r="M988" s="20" t="n">
        <x:v>0.71</x:v>
      </x:c>
      <x:c r="N988" s="20" t="n">
        <x:v>0</x:v>
      </x:c>
      <x:c r="O988" s="20" t="n">
        <x:v>894</x:v>
      </x:c>
      <x:c r="P988" s="20" t="n">
        <x:v>0</x:v>
      </x:c>
      <x:c r="Q988" s="10" t="str">
        <x:v>Recebido</x:v>
      </x:c>
      <x:c r="R988" s="10" t="str">
        <x:v>Débito em Conta</x:v>
      </x:c>
      <x:c r="S988" s="10" t="str">
        <x:v>2024-10</x:v>
      </x:c>
      <x:c r="T988" s="10" t="n">
        <x:v>0</x:v>
      </x:c>
      <x:c r="U988" s="10" t="str">
        <x:v>Liquidado</x:v>
      </x:c>
      <x:c r="V988" s="10" t="str">
        <x:v>Baixo</x:v>
      </x:c>
      <x:c r="W988" s="10" t="str">
        <x:v>Saúde</x:v>
      </x:c>
      <x:c r="X988" s="10" t="str">
        <x:v>UND002</x:v>
      </x:c>
    </x:row>
    <x:row r="989" ht="18" customHeight="1">
      <x:c r="A989" s="10" t="str">
        <x:v>REC00988</x:v>
      </x:c>
      <x:c r="B989" s="10" t="str">
        <x:v>EMP002</x:v>
      </x:c>
      <x:c r="C989" s="10" t="str">
        <x:v>CLI032</x:v>
      </x:c>
      <x:c r="D989" s="10" t="str">
        <x:v>CC003</x:v>
      </x:c>
      <x:c r="E989" s="10" t="str">
        <x:v>CAT003</x:v>
      </x:c>
      <x:c r="F989" s="10" t="str">
        <x:v>CTA003</x:v>
      </x:c>
      <x:c r="G989" s="10" t="str">
        <x:v>FAT-200988</x:v>
      </x:c>
      <x:c r="H989" s="10" t="str">
        <x:v>Venda de produtos</x:v>
      </x:c>
      <x:c r="I989" s="16" t="n">
        <x:v>45344.66190003472</x:v>
      </x:c>
      <x:c r="J989" s="16" t="n">
        <x:v>45404.66190003472</x:v>
      </x:c>
      <x:c r="K989" s="16" t="n">
        <x:v>45408.66190003472</x:v>
      </x:c>
      <x:c r="L989" s="20" t="n">
        <x:v>6232.85</x:v>
      </x:c>
      <x:c r="M989" s="20" t="n">
        <x:v>19.95</x:v>
      </x:c>
      <x:c r="N989" s="20" t="n">
        <x:v>0</x:v>
      </x:c>
      <x:c r="O989" s="20" t="n">
        <x:v>6252.8</x:v>
      </x:c>
      <x:c r="P989" s="20" t="n">
        <x:v>0</x:v>
      </x:c>
      <x:c r="Q989" s="10" t="str">
        <x:v>Recebido</x:v>
      </x:c>
      <x:c r="R989" s="10" t="str">
        <x:v>Débito em Conta</x:v>
      </x:c>
      <x:c r="S989" s="10" t="str">
        <x:v>2024-02</x:v>
      </x:c>
      <x:c r="T989" s="10" t="n">
        <x:v>0</x:v>
      </x:c>
      <x:c r="U989" s="10" t="str">
        <x:v>Liquidado</x:v>
      </x:c>
      <x:c r="V989" s="10" t="str">
        <x:v>Baixo</x:v>
      </x:c>
      <x:c r="W989" s="10" t="str">
        <x:v>Tecnologia</x:v>
      </x:c>
      <x:c r="X989" s="10" t="str">
        <x:v>UND003</x:v>
      </x:c>
    </x:row>
    <x:row r="990" ht="18" customHeight="1">
      <x:c r="A990" s="10" t="str">
        <x:v>REC00989</x:v>
      </x:c>
      <x:c r="B990" s="10" t="str">
        <x:v>EMP003</x:v>
      </x:c>
      <x:c r="C990" s="10" t="str">
        <x:v>CLI039</x:v>
      </x:c>
      <x:c r="D990" s="10" t="str">
        <x:v>CC004</x:v>
      </x:c>
      <x:c r="E990" s="10" t="str">
        <x:v>CAT001</x:v>
      </x:c>
      <x:c r="F990" s="10" t="str">
        <x:v>CTA005</x:v>
      </x:c>
      <x:c r="G990" s="10" t="str">
        <x:v>FAT-200989</x:v>
      </x:c>
      <x:c r="H990" s="10" t="str">
        <x:v>Contrato mensal</x:v>
      </x:c>
      <x:c r="I990" s="16" t="n">
        <x:v>45965.239015949075</x:v>
      </x:c>
      <x:c r="J990" s="16" t="n">
        <x:v>45995.239015949075</x:v>
      </x:c>
      <x:c r="K990" s="16"/>
      <x:c r="L990" s="20" t="n">
        <x:v>37308.68</x:v>
      </x:c>
      <x:c r="M990" s="20" t="n">
        <x:v>0</x:v>
      </x:c>
      <x:c r="N990" s="20" t="n">
        <x:v>0</x:v>
      </x:c>
      <x:c r="O990" s="20" t="n">
        <x:v>0</x:v>
      </x:c>
      <x:c r="P990" s="20" t="n">
        <x:v>37308.68</x:v>
      </x:c>
      <x:c r="Q990" s="10" t="str">
        <x:v>Vencido</x:v>
      </x:c>
      <x:c r="R990" s="10" t="str">
        <x:v>Débito em Conta</x:v>
      </x:c>
      <x:c r="S990" s="10" t="str">
        <x:v>2025-11</x:v>
      </x:c>
      <x:c r="T990" s="10" t="n">
        <x:v>26</x:v>
      </x:c>
      <x:c r="U990" s="10" t="str">
        <x:v>1 a 30 dias</x:v>
      </x:c>
      <x:c r="V990" s="10" t="str">
        <x:v>Alto</x:v>
      </x:c>
      <x:c r="W990" s="10" t="str">
        <x:v>Saúde</x:v>
      </x:c>
      <x:c r="X990" s="10" t="str">
        <x:v>UND004</x:v>
      </x:c>
    </x:row>
    <x:row r="991" ht="18" customHeight="1">
      <x:c r="A991" s="10" t="str">
        <x:v>REC00990</x:v>
      </x:c>
      <x:c r="B991" s="10" t="str">
        <x:v>EMP002</x:v>
      </x:c>
      <x:c r="C991" s="10" t="str">
        <x:v>CLI020</x:v>
      </x:c>
      <x:c r="D991" s="10" t="str">
        <x:v>CC001</x:v>
      </x:c>
      <x:c r="E991" s="10" t="str">
        <x:v>CAT001</x:v>
      </x:c>
      <x:c r="F991" s="10" t="str">
        <x:v>CTA003</x:v>
      </x:c>
      <x:c r="G991" s="10" t="str">
        <x:v>FAT-200990</x:v>
      </x:c>
      <x:c r="H991" s="10" t="str">
        <x:v>Venda de produtos</x:v>
      </x:c>
      <x:c r="I991" s="16" t="n">
        <x:v>45824.398765150465</x:v>
      </x:c>
      <x:c r="J991" s="16" t="n">
        <x:v>45854.398765150465</x:v>
      </x:c>
      <x:c r="K991" s="16" t="n">
        <x:v>45849.398765150465</x:v>
      </x:c>
      <x:c r="L991" s="20" t="n">
        <x:v>95334.78</x:v>
      </x:c>
      <x:c r="M991" s="20" t="n">
        <x:v>0</x:v>
      </x:c>
      <x:c r="N991" s="20" t="n">
        <x:v>0</x:v>
      </x:c>
      <x:c r="O991" s="20" t="n">
        <x:v>95334.78</x:v>
      </x:c>
      <x:c r="P991" s="20" t="n">
        <x:v>0</x:v>
      </x:c>
      <x:c r="Q991" s="10" t="str">
        <x:v>Recebido</x:v>
      </x:c>
      <x:c r="R991" s="10" t="str">
        <x:v>Débito em Conta</x:v>
      </x:c>
      <x:c r="S991" s="10" t="str">
        <x:v>2025-06</x:v>
      </x:c>
      <x:c r="T991" s="10" t="n">
        <x:v>0</x:v>
      </x:c>
      <x:c r="U991" s="10" t="str">
        <x:v>Liquidado</x:v>
      </x:c>
      <x:c r="V991" s="10" t="str">
        <x:v>Médio</x:v>
      </x:c>
      <x:c r="W991" s="10" t="str">
        <x:v>Atacado</x:v>
      </x:c>
      <x:c r="X991" s="10" t="str">
        <x:v>UND003</x:v>
      </x:c>
    </x:row>
    <x:row r="992" ht="18" customHeight="1">
      <x:c r="A992" s="10" t="str">
        <x:v>REC00991</x:v>
      </x:c>
      <x:c r="B992" s="10" t="str">
        <x:v>EMP002</x:v>
      </x:c>
      <x:c r="C992" s="10" t="str">
        <x:v>CLI035</x:v>
      </x:c>
      <x:c r="D992" s="10" t="str">
        <x:v>CC003</x:v>
      </x:c>
      <x:c r="E992" s="10" t="str">
        <x:v>CAT001</x:v>
      </x:c>
      <x:c r="F992" s="10" t="str">
        <x:v>CTA004</x:v>
      </x:c>
      <x:c r="G992" s="10" t="str">
        <x:v>FAT-200991</x:v>
      </x:c>
      <x:c r="H992" s="10" t="str">
        <x:v>Contrato mensal</x:v>
      </x:c>
      <x:c r="I992" s="16" t="n">
        <x:v>45563.351362615744</x:v>
      </x:c>
      <x:c r="J992" s="16" t="n">
        <x:v>45593.351362615744</x:v>
      </x:c>
      <x:c r="K992" s="16" t="n">
        <x:v>45591.351362615744</x:v>
      </x:c>
      <x:c r="L992" s="20" t="n">
        <x:v>126440.21</x:v>
      </x:c>
      <x:c r="M992" s="20" t="n">
        <x:v>0</x:v>
      </x:c>
      <x:c r="N992" s="20" t="n">
        <x:v>2528.8</x:v>
      </x:c>
      <x:c r="O992" s="20" t="n">
        <x:v>123911.41</x:v>
      </x:c>
      <x:c r="P992" s="20" t="n">
        <x:v>0</x:v>
      </x:c>
      <x:c r="Q992" s="10" t="str">
        <x:v>Recebido</x:v>
      </x:c>
      <x:c r="R992" s="10" t="str">
        <x:v>Boleto</x:v>
      </x:c>
      <x:c r="S992" s="10" t="str">
        <x:v>2024-09</x:v>
      </x:c>
      <x:c r="T992" s="10" t="n">
        <x:v>0</x:v>
      </x:c>
      <x:c r="U992" s="10" t="str">
        <x:v>Liquidado</x:v>
      </x:c>
      <x:c r="V992" s="10" t="str">
        <x:v>Médio</x:v>
      </x:c>
      <x:c r="W992" s="10" t="str">
        <x:v>Varejo</x:v>
      </x:c>
      <x:c r="X992" s="10" t="str">
        <x:v>UND003</x:v>
      </x:c>
    </x:row>
    <x:row r="993" ht="18" customHeight="1">
      <x:c r="A993" s="10" t="str">
        <x:v>REC00992</x:v>
      </x:c>
      <x:c r="B993" s="10" t="str">
        <x:v>EMP002</x:v>
      </x:c>
      <x:c r="C993" s="10" t="str">
        <x:v>CLI060</x:v>
      </x:c>
      <x:c r="D993" s="10" t="str">
        <x:v>CC005</x:v>
      </x:c>
      <x:c r="E993" s="10" t="str">
        <x:v>CAT002</x:v>
      </x:c>
      <x:c r="F993" s="10" t="str">
        <x:v>CTA003</x:v>
      </x:c>
      <x:c r="G993" s="10" t="str">
        <x:v>FAT-200992</x:v>
      </x:c>
      <x:c r="H993" s="10" t="str">
        <x:v>Contrato mensal</x:v>
      </x:c>
      <x:c r="I993" s="16" t="n">
        <x:v>45906.704939953706</x:v>
      </x:c>
      <x:c r="J993" s="16" t="n">
        <x:v>45966.704939953706</x:v>
      </x:c>
      <x:c r="K993" s="16" t="n">
        <x:v>45972.704939953706</x:v>
      </x:c>
      <x:c r="L993" s="20" t="n">
        <x:v>135084.6</x:v>
      </x:c>
      <x:c r="M993" s="20" t="n">
        <x:v>648.41</x:v>
      </x:c>
      <x:c r="N993" s="20" t="n">
        <x:v>0</x:v>
      </x:c>
      <x:c r="O993" s="20" t="n">
        <x:v>135733.01</x:v>
      </x:c>
      <x:c r="P993" s="20" t="n">
        <x:v>0</x:v>
      </x:c>
      <x:c r="Q993" s="10" t="str">
        <x:v>Recebido</x:v>
      </x:c>
      <x:c r="R993" s="10" t="str">
        <x:v>Boleto</x:v>
      </x:c>
      <x:c r="S993" s="10" t="str">
        <x:v>2025-09</x:v>
      </x:c>
      <x:c r="T993" s="10" t="n">
        <x:v>0</x:v>
      </x:c>
      <x:c r="U993" s="10" t="str">
        <x:v>Liquidado</x:v>
      </x:c>
      <x:c r="V993" s="10" t="str">
        <x:v>Baixo</x:v>
      </x:c>
      <x:c r="W993" s="10" t="str">
        <x:v>Atacado</x:v>
      </x:c>
      <x:c r="X993" s="10" t="str">
        <x:v>UND003</x:v>
      </x:c>
    </x:row>
    <x:row r="994" ht="18" customHeight="1">
      <x:c r="A994" s="10" t="str">
        <x:v>REC00993</x:v>
      </x:c>
      <x:c r="B994" s="10" t="str">
        <x:v>EMP002</x:v>
      </x:c>
      <x:c r="C994" s="10" t="str">
        <x:v>CLI032</x:v>
      </x:c>
      <x:c r="D994" s="10" t="str">
        <x:v>CC007</x:v>
      </x:c>
      <x:c r="E994" s="10" t="str">
        <x:v>CAT003</x:v>
      </x:c>
      <x:c r="F994" s="10" t="str">
        <x:v>CTA003</x:v>
      </x:c>
      <x:c r="G994" s="10" t="str">
        <x:v>FAT-200993</x:v>
      </x:c>
      <x:c r="H994" s="10" t="str">
        <x:v>Projeto especial</x:v>
      </x:c>
      <x:c r="I994" s="16" t="n">
        <x:v>45975.59628626157</x:v>
      </x:c>
      <x:c r="J994" s="16" t="n">
        <x:v>45996.59628626157</x:v>
      </x:c>
      <x:c r="K994" s="16" t="n">
        <x:v>46003.59628626157</x:v>
      </x:c>
      <x:c r="L994" s="20" t="n">
        <x:v>65988.02</x:v>
      </x:c>
      <x:c r="M994" s="20" t="n">
        <x:v>369.53</x:v>
      </x:c>
      <x:c r="N994" s="20" t="n">
        <x:v>0</x:v>
      </x:c>
      <x:c r="O994" s="20" t="n">
        <x:v>66357.55</x:v>
      </x:c>
      <x:c r="P994" s="20" t="n">
        <x:v>0</x:v>
      </x:c>
      <x:c r="Q994" s="10" t="str">
        <x:v>Recebido</x:v>
      </x:c>
      <x:c r="R994" s="10" t="str">
        <x:v>Cartão</x:v>
      </x:c>
      <x:c r="S994" s="10" t="str">
        <x:v>2025-11</x:v>
      </x:c>
      <x:c r="T994" s="10" t="n">
        <x:v>0</x:v>
      </x:c>
      <x:c r="U994" s="10" t="str">
        <x:v>Liquidado</x:v>
      </x:c>
      <x:c r="V994" s="10" t="str">
        <x:v>Baixo</x:v>
      </x:c>
      <x:c r="W994" s="10" t="str">
        <x:v>Tecnologia</x:v>
      </x:c>
      <x:c r="X994" s="10" t="str">
        <x:v>UND003</x:v>
      </x:c>
    </x:row>
    <x:row r="995" ht="18" customHeight="1">
      <x:c r="A995" s="10" t="str">
        <x:v>REC00994</x:v>
      </x:c>
      <x:c r="B995" s="10" t="str">
        <x:v>EMP001</x:v>
      </x:c>
      <x:c r="C995" s="10" t="str">
        <x:v>CLI069</x:v>
      </x:c>
      <x:c r="D995" s="10" t="str">
        <x:v>CC008</x:v>
      </x:c>
      <x:c r="E995" s="10" t="str">
        <x:v>CAT002</x:v>
      </x:c>
      <x:c r="F995" s="10" t="str">
        <x:v>CTA001</x:v>
      </x:c>
      <x:c r="G995" s="10" t="str">
        <x:v>FAT-200994</x:v>
      </x:c>
      <x:c r="H995" s="10" t="str">
        <x:v>Venda de produtos</x:v>
      </x:c>
      <x:c r="I995" s="16" t="n">
        <x:v>45579.13304576389</x:v>
      </x:c>
      <x:c r="J995" s="16" t="n">
        <x:v>45607.13304576389</x:v>
      </x:c>
      <x:c r="K995" s="16" t="n">
        <x:v>45630.13304576389</x:v>
      </x:c>
      <x:c r="L995" s="20" t="n">
        <x:v>13080.99</x:v>
      </x:c>
      <x:c r="M995" s="20" t="n">
        <x:v>240.69</x:v>
      </x:c>
      <x:c r="N995" s="20" t="n">
        <x:v>0</x:v>
      </x:c>
      <x:c r="O995" s="20" t="n">
        <x:v>13321.68</x:v>
      </x:c>
      <x:c r="P995" s="20" t="n">
        <x:v>0</x:v>
      </x:c>
      <x:c r="Q995" s="10" t="str">
        <x:v>Recebido</x:v>
      </x:c>
      <x:c r="R995" s="10" t="str">
        <x:v>Boleto</x:v>
      </x:c>
      <x:c r="S995" s="10" t="str">
        <x:v>2024-10</x:v>
      </x:c>
      <x:c r="T995" s="10" t="n">
        <x:v>0</x:v>
      </x:c>
      <x:c r="U995" s="10" t="str">
        <x:v>Liquidado</x:v>
      </x:c>
      <x:c r="V995" s="10" t="str">
        <x:v>Alto</x:v>
      </x:c>
      <x:c r="W995" s="10" t="str">
        <x:v>Tecnologia</x:v>
      </x:c>
      <x:c r="X995" s="10" t="str">
        <x:v>UND002</x:v>
      </x:c>
    </x:row>
    <x:row r="996" ht="18" customHeight="1">
      <x:c r="A996" s="10" t="str">
        <x:v>REC00995</x:v>
      </x:c>
      <x:c r="B996" s="10" t="str">
        <x:v>EMP001</x:v>
      </x:c>
      <x:c r="C996" s="10" t="str">
        <x:v>CLI009</x:v>
      </x:c>
      <x:c r="D996" s="10" t="str">
        <x:v>CC005</x:v>
      </x:c>
      <x:c r="E996" s="10" t="str">
        <x:v>CAT001</x:v>
      </x:c>
      <x:c r="F996" s="10" t="str">
        <x:v>CTA001</x:v>
      </x:c>
      <x:c r="G996" s="10" t="str">
        <x:v>FAT-200995</x:v>
      </x:c>
      <x:c r="H996" s="10" t="str">
        <x:v>Projeto especial</x:v>
      </x:c>
      <x:c r="I996" s="16" t="n">
        <x:v>45448.261631469904</x:v>
      </x:c>
      <x:c r="J996" s="16" t="n">
        <x:v>45493.261631469904</x:v>
      </x:c>
      <x:c r="K996" s="16" t="n">
        <x:v>45488.261631469904</x:v>
      </x:c>
      <x:c r="L996" s="20" t="n">
        <x:v>140700.73</x:v>
      </x:c>
      <x:c r="M996" s="20" t="n">
        <x:v>0</x:v>
      </x:c>
      <x:c r="N996" s="20" t="n">
        <x:v>0</x:v>
      </x:c>
      <x:c r="O996" s="20" t="n">
        <x:v>140700.73</x:v>
      </x:c>
      <x:c r="P996" s="20" t="n">
        <x:v>0</x:v>
      </x:c>
      <x:c r="Q996" s="10" t="str">
        <x:v>Recebido</x:v>
      </x:c>
      <x:c r="R996" s="10" t="str">
        <x:v>Débito em Conta</x:v>
      </x:c>
      <x:c r="S996" s="10" t="str">
        <x:v>2024-06</x:v>
      </x:c>
      <x:c r="T996" s="10" t="n">
        <x:v>0</x:v>
      </x:c>
      <x:c r="U996" s="10" t="str">
        <x:v>Liquidado</x:v>
      </x:c>
      <x:c r="V996" s="10" t="str">
        <x:v>Médio</x:v>
      </x:c>
      <x:c r="W996" s="10" t="str">
        <x:v>Saúde</x:v>
      </x:c>
      <x:c r="X996" s="10" t="str">
        <x:v>UND001</x:v>
      </x:c>
    </x:row>
    <x:row r="997" ht="18" customHeight="1">
      <x:c r="A997" s="10" t="str">
        <x:v>REC00996</x:v>
      </x:c>
      <x:c r="B997" s="10" t="str">
        <x:v>EMP002</x:v>
      </x:c>
      <x:c r="C997" s="10" t="str">
        <x:v>CLI076</x:v>
      </x:c>
      <x:c r="D997" s="10" t="str">
        <x:v>CC001</x:v>
      </x:c>
      <x:c r="E997" s="10" t="str">
        <x:v>CAT004</x:v>
      </x:c>
      <x:c r="F997" s="10" t="str">
        <x:v>CTA004</x:v>
      </x:c>
      <x:c r="G997" s="10" t="str">
        <x:v>FAT-200996</x:v>
      </x:c>
      <x:c r="H997" s="10" t="str">
        <x:v>Contrato mensal</x:v>
      </x:c>
      <x:c r="I997" s="16" t="n">
        <x:v>45635.97326938657</x:v>
      </x:c>
      <x:c r="J997" s="16" t="n">
        <x:v>45680.97326938657</x:v>
      </x:c>
      <x:c r="K997" s="16" t="n">
        <x:v>45685.97326938657</x:v>
      </x:c>
      <x:c r="L997" s="20" t="n">
        <x:v>122926.78</x:v>
      </x:c>
      <x:c r="M997" s="20" t="n">
        <x:v>491.71</x:v>
      </x:c>
      <x:c r="N997" s="20" t="n">
        <x:v>0</x:v>
      </x:c>
      <x:c r="O997" s="20" t="n">
        <x:v>123418.49</x:v>
      </x:c>
      <x:c r="P997" s="20" t="n">
        <x:v>0</x:v>
      </x:c>
      <x:c r="Q997" s="10" t="str">
        <x:v>Recebido</x:v>
      </x:c>
      <x:c r="R997" s="10" t="str">
        <x:v>PIX</x:v>
      </x:c>
      <x:c r="S997" s="10" t="str">
        <x:v>2024-12</x:v>
      </x:c>
      <x:c r="T997" s="10" t="n">
        <x:v>0</x:v>
      </x:c>
      <x:c r="U997" s="10" t="str">
        <x:v>Liquidado</x:v>
      </x:c>
      <x:c r="V997" s="10" t="str">
        <x:v>Baixo</x:v>
      </x:c>
      <x:c r="W997" s="10" t="str">
        <x:v>Tecnologia</x:v>
      </x:c>
      <x:c r="X997" s="10" t="str">
        <x:v>UND003</x:v>
      </x:c>
    </x:row>
    <x:row r="998" ht="18" customHeight="1">
      <x:c r="A998" s="10" t="str">
        <x:v>REC00997</x:v>
      </x:c>
      <x:c r="B998" s="10" t="str">
        <x:v>EMP002</x:v>
      </x:c>
      <x:c r="C998" s="10" t="str">
        <x:v>CLI070</x:v>
      </x:c>
      <x:c r="D998" s="10" t="str">
        <x:v>CC003</x:v>
      </x:c>
      <x:c r="E998" s="10" t="str">
        <x:v>CAT004</x:v>
      </x:c>
      <x:c r="F998" s="10" t="str">
        <x:v>CTA004</x:v>
      </x:c>
      <x:c r="G998" s="10" t="str">
        <x:v>FAT-200997</x:v>
      </x:c>
      <x:c r="H998" s="10" t="str">
        <x:v>Prestação de serviços</x:v>
      </x:c>
      <x:c r="I998" s="16" t="n">
        <x:v>45392.24455818287</x:v>
      </x:c>
      <x:c r="J998" s="16" t="n">
        <x:v>45422.24455818287</x:v>
      </x:c>
      <x:c r="K998" s="16" t="n">
        <x:v>45427.24455818287</x:v>
      </x:c>
      <x:c r="L998" s="20" t="n">
        <x:v>83773.79</x:v>
      </x:c>
      <x:c r="M998" s="20" t="n">
        <x:v>335.1</x:v>
      </x:c>
      <x:c r="N998" s="20" t="n">
        <x:v>0</x:v>
      </x:c>
      <x:c r="O998" s="20" t="n">
        <x:v>84108.89</x:v>
      </x:c>
      <x:c r="P998" s="20" t="n">
        <x:v>0</x:v>
      </x:c>
      <x:c r="Q998" s="10" t="str">
        <x:v>Recebido</x:v>
      </x:c>
      <x:c r="R998" s="10" t="str">
        <x:v>Débito em Conta</x:v>
      </x:c>
      <x:c r="S998" s="10" t="str">
        <x:v>2024-04</x:v>
      </x:c>
      <x:c r="T998" s="10" t="n">
        <x:v>0</x:v>
      </x:c>
      <x:c r="U998" s="10" t="str">
        <x:v>Liquidado</x:v>
      </x:c>
      <x:c r="V998" s="10" t="str">
        <x:v>Baixo</x:v>
      </x:c>
      <x:c r="W998" s="10" t="str">
        <x:v>Saúde</x:v>
      </x:c>
      <x:c r="X998" s="10" t="str">
        <x:v>UND003</x:v>
      </x:c>
    </x:row>
    <x:row r="999" ht="18" customHeight="1">
      <x:c r="A999" s="10" t="str">
        <x:v>REC00998</x:v>
      </x:c>
      <x:c r="B999" s="10" t="str">
        <x:v>EMP002</x:v>
      </x:c>
      <x:c r="C999" s="10" t="str">
        <x:v>CLI015</x:v>
      </x:c>
      <x:c r="D999" s="10" t="str">
        <x:v>CC008</x:v>
      </x:c>
      <x:c r="E999" s="10" t="str">
        <x:v>CAT004</x:v>
      </x:c>
      <x:c r="F999" s="10" t="str">
        <x:v>CTA004</x:v>
      </x:c>
      <x:c r="G999" s="10" t="str">
        <x:v>FAT-200998</x:v>
      </x:c>
      <x:c r="H999" s="10" t="str">
        <x:v>Projeto especial</x:v>
      </x:c>
      <x:c r="I999" s="16" t="n">
        <x:v>45576.31779047454</x:v>
      </x:c>
      <x:c r="J999" s="16" t="n">
        <x:v>45604.31779047454</x:v>
      </x:c>
      <x:c r="K999" s="16" t="n">
        <x:v>45605.31779047454</x:v>
      </x:c>
      <x:c r="L999" s="20" t="n">
        <x:v>117636.6</x:v>
      </x:c>
      <x:c r="M999" s="20" t="n">
        <x:v>94.11</x:v>
      </x:c>
      <x:c r="N999" s="20" t="n">
        <x:v>0</x:v>
      </x:c>
      <x:c r="O999" s="20" t="n">
        <x:v>117730.71</x:v>
      </x:c>
      <x:c r="P999" s="20" t="n">
        <x:v>0</x:v>
      </x:c>
      <x:c r="Q999" s="10" t="str">
        <x:v>Recebido</x:v>
      </x:c>
      <x:c r="R999" s="10" t="str">
        <x:v>Boleto</x:v>
      </x:c>
      <x:c r="S999" s="10" t="str">
        <x:v>2024-10</x:v>
      </x:c>
      <x:c r="T999" s="10" t="n">
        <x:v>0</x:v>
      </x:c>
      <x:c r="U999" s="10" t="str">
        <x:v>Liquidado</x:v>
      </x:c>
      <x:c r="V999" s="10" t="str">
        <x:v>Baixo</x:v>
      </x:c>
      <x:c r="W999" s="10" t="str">
        <x:v>Atacado</x:v>
      </x:c>
      <x:c r="X999" s="10" t="str">
        <x:v>UND003</x:v>
      </x:c>
    </x:row>
    <x:row r="1000" ht="18" customHeight="1">
      <x:c r="A1000" s="10" t="str">
        <x:v>REC00999</x:v>
      </x:c>
      <x:c r="B1000" s="10" t="str">
        <x:v>EMP001</x:v>
      </x:c>
      <x:c r="C1000" s="10" t="str">
        <x:v>CLI015</x:v>
      </x:c>
      <x:c r="D1000" s="10" t="str">
        <x:v>CC006</x:v>
      </x:c>
      <x:c r="E1000" s="10" t="str">
        <x:v>CAT004</x:v>
      </x:c>
      <x:c r="F1000" s="10" t="str">
        <x:v>CTA001</x:v>
      </x:c>
      <x:c r="G1000" s="10" t="str">
        <x:v>FAT-200999</x:v>
      </x:c>
      <x:c r="H1000" s="10" t="str">
        <x:v>Frete faturado</x:v>
      </x:c>
      <x:c r="I1000" s="16" t="n">
        <x:v>45902.16763606481</x:v>
      </x:c>
      <x:c r="J1000" s="16" t="n">
        <x:v>45930.16763606481</x:v>
      </x:c>
      <x:c r="K1000" s="16" t="n">
        <x:v>45937.16763606481</x:v>
      </x:c>
      <x:c r="L1000" s="20" t="n">
        <x:v>143992.82</x:v>
      </x:c>
      <x:c r="M1000" s="20" t="n">
        <x:v>806.36</x:v>
      </x:c>
      <x:c r="N1000" s="20" t="n">
        <x:v>0</x:v>
      </x:c>
      <x:c r="O1000" s="20" t="n">
        <x:v>144799.18</x:v>
      </x:c>
      <x:c r="P1000" s="20" t="n">
        <x:v>0</x:v>
      </x:c>
      <x:c r="Q1000" s="10" t="str">
        <x:v>Recebido</x:v>
      </x:c>
      <x:c r="R1000" s="10" t="str">
        <x:v>Boleto</x:v>
      </x:c>
      <x:c r="S1000" s="10" t="str">
        <x:v>2025-09</x:v>
      </x:c>
      <x:c r="T1000" s="10" t="n">
        <x:v>0</x:v>
      </x:c>
      <x:c r="U1000" s="10" t="str">
        <x:v>Liquidado</x:v>
      </x:c>
      <x:c r="V1000" s="10" t="str">
        <x:v>Baixo</x:v>
      </x:c>
      <x:c r="W1000" s="10" t="str">
        <x:v>Atacado</x:v>
      </x:c>
      <x:c r="X1000" s="10" t="str">
        <x:v>UND002</x:v>
      </x:c>
    </x:row>
    <x:row r="1001" ht="18" customHeight="1">
      <x:c r="A1001" s="10" t="str">
        <x:v>REC01000</x:v>
      </x:c>
      <x:c r="B1001" s="10" t="str">
        <x:v>EMP002</x:v>
      </x:c>
      <x:c r="C1001" s="10" t="str">
        <x:v>CLI056</x:v>
      </x:c>
      <x:c r="D1001" s="10" t="str">
        <x:v>CC008</x:v>
      </x:c>
      <x:c r="E1001" s="10" t="str">
        <x:v>CAT001</x:v>
      </x:c>
      <x:c r="F1001" s="10" t="str">
        <x:v>CTA004</x:v>
      </x:c>
      <x:c r="G1001" s="10" t="str">
        <x:v>FAT-201000</x:v>
      </x:c>
      <x:c r="H1001" s="10" t="str">
        <x:v>Venda de produtos</x:v>
      </x:c>
      <x:c r="I1001" s="16" t="n">
        <x:v>46010.52881891204</x:v>
      </x:c>
      <x:c r="J1001" s="16" t="n">
        <x:v>46055.52881891204</x:v>
      </x:c>
      <x:c r="K1001" s="16"/>
      <x:c r="L1001" s="20" t="n">
        <x:v>133113.01</x:v>
      </x:c>
      <x:c r="M1001" s="20" t="n">
        <x:v>0</x:v>
      </x:c>
      <x:c r="N1001" s="20" t="n">
        <x:v>0</x:v>
      </x:c>
      <x:c r="O1001" s="20" t="n">
        <x:v>0</x:v>
      </x:c>
      <x:c r="P1001" s="20" t="n">
        <x:v>133113.01</x:v>
      </x:c>
      <x:c r="Q1001" s="10" t="str">
        <x:v>A vencer</x:v>
      </x:c>
      <x:c r="R1001" s="10" t="str">
        <x:v>Boleto</x:v>
      </x:c>
      <x:c r="S1001" s="10" t="str">
        <x:v>2025-12</x:v>
      </x:c>
      <x:c r="T1001" s="10" t="n">
        <x:v>0</x:v>
      </x:c>
      <x:c r="U1001" s="10" t="str">
        <x:v>A vencer</x:v>
      </x:c>
      <x:c r="V1001" s="10" t="str">
        <x:v>Baixo</x:v>
      </x:c>
      <x:c r="W1001" s="10" t="str">
        <x:v>Tecnologia</x:v>
      </x:c>
      <x:c r="X1001" s="10" t="str">
        <x:v>UND003</x:v>
      </x:c>
    </x:row>
    <x:row r="1002" ht="18" customHeight="1">
      <x:c r="A1002" s="10" t="str">
        <x:v>REC01001</x:v>
      </x:c>
      <x:c r="B1002" s="10" t="str">
        <x:v>EMP001</x:v>
      </x:c>
      <x:c r="C1002" s="10" t="str">
        <x:v>CLI078</x:v>
      </x:c>
      <x:c r="D1002" s="10" t="str">
        <x:v>CC002</x:v>
      </x:c>
      <x:c r="E1002" s="10" t="str">
        <x:v>CAT003</x:v>
      </x:c>
      <x:c r="F1002" s="10" t="str">
        <x:v>CTA001</x:v>
      </x:c>
      <x:c r="G1002" s="10" t="str">
        <x:v>FAT-201001</x:v>
      </x:c>
      <x:c r="H1002" s="10" t="str">
        <x:v>Venda de produtos</x:v>
      </x:c>
      <x:c r="I1002" s="16" t="n">
        <x:v>45492.03405363426</x:v>
      </x:c>
      <x:c r="J1002" s="16" t="n">
        <x:v>45537.03405363426</x:v>
      </x:c>
      <x:c r="K1002" s="16" t="n">
        <x:v>45532.03405363426</x:v>
      </x:c>
      <x:c r="L1002" s="20" t="n">
        <x:v>120527.58</x:v>
      </x:c>
      <x:c r="M1002" s="20" t="n">
        <x:v>0</x:v>
      </x:c>
      <x:c r="N1002" s="20" t="n">
        <x:v>0</x:v>
      </x:c>
      <x:c r="O1002" s="20" t="n">
        <x:v>120527.58</x:v>
      </x:c>
      <x:c r="P1002" s="20" t="n">
        <x:v>0</x:v>
      </x:c>
      <x:c r="Q1002" s="10" t="str">
        <x:v>Recebido</x:v>
      </x:c>
      <x:c r="R1002" s="10" t="str">
        <x:v>Boleto</x:v>
      </x:c>
      <x:c r="S1002" s="10" t="str">
        <x:v>2024-07</x:v>
      </x:c>
      <x:c r="T1002" s="10" t="n">
        <x:v>0</x:v>
      </x:c>
      <x:c r="U1002" s="10" t="str">
        <x:v>Liquidado</x:v>
      </x:c>
      <x:c r="V1002" s="10" t="str">
        <x:v>Médio</x:v>
      </x:c>
      <x:c r="W1002" s="10" t="str">
        <x:v>Tecnologia</x:v>
      </x:c>
      <x:c r="X1002" s="10" t="str">
        <x:v>UND001</x:v>
      </x:c>
    </x:row>
    <x:row r="1003" ht="18" customHeight="1">
      <x:c r="A1003" s="10" t="str">
        <x:v>REC01002</x:v>
      </x:c>
      <x:c r="B1003" s="10" t="str">
        <x:v>EMP001</x:v>
      </x:c>
      <x:c r="C1003" s="10" t="str">
        <x:v>CLI065</x:v>
      </x:c>
      <x:c r="D1003" s="10" t="str">
        <x:v>CC003</x:v>
      </x:c>
      <x:c r="E1003" s="10" t="str">
        <x:v>CAT003</x:v>
      </x:c>
      <x:c r="F1003" s="10" t="str">
        <x:v>CTA002</x:v>
      </x:c>
      <x:c r="G1003" s="10" t="str">
        <x:v>FAT-201002</x:v>
      </x:c>
      <x:c r="H1003" s="10" t="str">
        <x:v>Projeto especial</x:v>
      </x:c>
      <x:c r="I1003" s="16" t="n">
        <x:v>45934.86989598379</x:v>
      </x:c>
      <x:c r="J1003" s="16" t="n">
        <x:v>45962.86989598379</x:v>
      </x:c>
      <x:c r="K1003" s="16"/>
      <x:c r="L1003" s="20" t="n">
        <x:v>50263.12</x:v>
      </x:c>
      <x:c r="M1003" s="20" t="n">
        <x:v>0</x:v>
      </x:c>
      <x:c r="N1003" s="20" t="n">
        <x:v>0</x:v>
      </x:c>
      <x:c r="O1003" s="20" t="n">
        <x:v>0</x:v>
      </x:c>
      <x:c r="P1003" s="20" t="n">
        <x:v>50263.12</x:v>
      </x:c>
      <x:c r="Q1003" s="10" t="str">
        <x:v>Vencido</x:v>
      </x:c>
      <x:c r="R1003" s="10" t="str">
        <x:v>PIX</x:v>
      </x:c>
      <x:c r="S1003" s="10" t="str">
        <x:v>2025-10</x:v>
      </x:c>
      <x:c r="T1003" s="10" t="n">
        <x:v>59</x:v>
      </x:c>
      <x:c r="U1003" s="10" t="str">
        <x:v>31 a 60 dias</x:v>
      </x:c>
      <x:c r="V1003" s="10" t="str">
        <x:v>Médio</x:v>
      </x:c>
      <x:c r="W1003" s="10" t="str">
        <x:v>Serviços</x:v>
      </x:c>
      <x:c r="X1003" s="10" t="str">
        <x:v>UND001</x:v>
      </x:c>
    </x:row>
    <x:row r="1004" ht="18" customHeight="1">
      <x:c r="A1004" s="10" t="str">
        <x:v>REC01003</x:v>
      </x:c>
      <x:c r="B1004" s="10" t="str">
        <x:v>EMP002</x:v>
      </x:c>
      <x:c r="C1004" s="10" t="str">
        <x:v>CLI032</x:v>
      </x:c>
      <x:c r="D1004" s="10" t="str">
        <x:v>CC004</x:v>
      </x:c>
      <x:c r="E1004" s="10" t="str">
        <x:v>CAT003</x:v>
      </x:c>
      <x:c r="F1004" s="10" t="str">
        <x:v>CTA003</x:v>
      </x:c>
      <x:c r="G1004" s="10" t="str">
        <x:v>FAT-201003</x:v>
      </x:c>
      <x:c r="H1004" s="10" t="str">
        <x:v>Frete faturado</x:v>
      </x:c>
      <x:c r="I1004" s="16" t="n">
        <x:v>45950.656621863425</x:v>
      </x:c>
      <x:c r="J1004" s="16" t="n">
        <x:v>45965.656621863425</x:v>
      </x:c>
      <x:c r="K1004" s="16" t="n">
        <x:v>45964.656621863425</x:v>
      </x:c>
      <x:c r="L1004" s="20" t="n">
        <x:v>14159.51</x:v>
      </x:c>
      <x:c r="M1004" s="20" t="n">
        <x:v>0</x:v>
      </x:c>
      <x:c r="N1004" s="20" t="n">
        <x:v>283.19</x:v>
      </x:c>
      <x:c r="O1004" s="20" t="n">
        <x:v>13876.32</x:v>
      </x:c>
      <x:c r="P1004" s="20" t="n">
        <x:v>0</x:v>
      </x:c>
      <x:c r="Q1004" s="10" t="str">
        <x:v>Recebido</x:v>
      </x:c>
      <x:c r="R1004" s="10" t="str">
        <x:v>Débito em Conta</x:v>
      </x:c>
      <x:c r="S1004" s="10" t="str">
        <x:v>2025-10</x:v>
      </x:c>
      <x:c r="T1004" s="10" t="n">
        <x:v>0</x:v>
      </x:c>
      <x:c r="U1004" s="10" t="str">
        <x:v>Liquidado</x:v>
      </x:c>
      <x:c r="V1004" s="10" t="str">
        <x:v>Baixo</x:v>
      </x:c>
      <x:c r="W1004" s="10" t="str">
        <x:v>Tecnologia</x:v>
      </x:c>
      <x:c r="X1004" s="10" t="str">
        <x:v>UND003</x:v>
      </x:c>
    </x:row>
    <x:row r="1005" ht="18" customHeight="1">
      <x:c r="A1005" s="10" t="str">
        <x:v>REC01004</x:v>
      </x:c>
      <x:c r="B1005" s="10" t="str">
        <x:v>EMP003</x:v>
      </x:c>
      <x:c r="C1005" s="10" t="str">
        <x:v>CLI049</x:v>
      </x:c>
      <x:c r="D1005" s="10" t="str">
        <x:v>CC007</x:v>
      </x:c>
      <x:c r="E1005" s="10" t="str">
        <x:v>CAT004</x:v>
      </x:c>
      <x:c r="F1005" s="10" t="str">
        <x:v>CTA006</x:v>
      </x:c>
      <x:c r="G1005" s="10" t="str">
        <x:v>FAT-201004</x:v>
      </x:c>
      <x:c r="H1005" s="10" t="str">
        <x:v>Prestação de serviços</x:v>
      </x:c>
      <x:c r="I1005" s="16" t="n">
        <x:v>45970.0740190625</x:v>
      </x:c>
      <x:c r="J1005" s="16" t="n">
        <x:v>46005.0740190625</x:v>
      </x:c>
      <x:c r="K1005" s="16" t="n">
        <x:v>46006.0740190625</x:v>
      </x:c>
      <x:c r="L1005" s="20" t="n">
        <x:v>2028.71</x:v>
      </x:c>
      <x:c r="M1005" s="20" t="n">
        <x:v>1.62</x:v>
      </x:c>
      <x:c r="N1005" s="20" t="n">
        <x:v>0</x:v>
      </x:c>
      <x:c r="O1005" s="20" t="n">
        <x:v>2030.33</x:v>
      </x:c>
      <x:c r="P1005" s="20" t="n">
        <x:v>0</x:v>
      </x:c>
      <x:c r="Q1005" s="10" t="str">
        <x:v>Recebido</x:v>
      </x:c>
      <x:c r="R1005" s="10" t="str">
        <x:v>PIX</x:v>
      </x:c>
      <x:c r="S1005" s="10" t="str">
        <x:v>2025-11</x:v>
      </x:c>
      <x:c r="T1005" s="10" t="n">
        <x:v>0</x:v>
      </x:c>
      <x:c r="U1005" s="10" t="str">
        <x:v>Liquidado</x:v>
      </x:c>
      <x:c r="V1005" s="10" t="str">
        <x:v>Médio</x:v>
      </x:c>
      <x:c r="W1005" s="10" t="str">
        <x:v>Serviços</x:v>
      </x:c>
      <x:c r="X1005" s="10" t="str">
        <x:v>UND004</x:v>
      </x:c>
    </x:row>
    <x:row r="1006" ht="18" customHeight="1">
      <x:c r="A1006" s="10" t="str">
        <x:v>REC01005</x:v>
      </x:c>
      <x:c r="B1006" s="10" t="str">
        <x:v>EMP002</x:v>
      </x:c>
      <x:c r="C1006" s="10" t="str">
        <x:v>CLI071</x:v>
      </x:c>
      <x:c r="D1006" s="10" t="str">
        <x:v>CC007</x:v>
      </x:c>
      <x:c r="E1006" s="10" t="str">
        <x:v>CAT004</x:v>
      </x:c>
      <x:c r="F1006" s="10" t="str">
        <x:v>CTA003</x:v>
      </x:c>
      <x:c r="G1006" s="10" t="str">
        <x:v>FAT-201005</x:v>
      </x:c>
      <x:c r="H1006" s="10" t="str">
        <x:v>Projeto especial</x:v>
      </x:c>
      <x:c r="I1006" s="16" t="n">
        <x:v>45831.33165</x:v>
      </x:c>
      <x:c r="J1006" s="16" t="n">
        <x:v>45846.33165</x:v>
      </x:c>
      <x:c r="K1006" s="16" t="n">
        <x:v>45845.33165</x:v>
      </x:c>
      <x:c r="L1006" s="20" t="n">
        <x:v>3284.55</x:v>
      </x:c>
      <x:c r="M1006" s="20" t="n">
        <x:v>0</x:v>
      </x:c>
      <x:c r="N1006" s="20" t="n">
        <x:v>65.69</x:v>
      </x:c>
      <x:c r="O1006" s="20" t="n">
        <x:v>3218.86</x:v>
      </x:c>
      <x:c r="P1006" s="20" t="n">
        <x:v>0</x:v>
      </x:c>
      <x:c r="Q1006" s="10" t="str">
        <x:v>Recebido</x:v>
      </x:c>
      <x:c r="R1006" s="10" t="str">
        <x:v>Débito em Conta</x:v>
      </x:c>
      <x:c r="S1006" s="10" t="str">
        <x:v>2025-06</x:v>
      </x:c>
      <x:c r="T1006" s="10" t="n">
        <x:v>0</x:v>
      </x:c>
      <x:c r="U1006" s="10" t="str">
        <x:v>Liquidado</x:v>
      </x:c>
      <x:c r="V1006" s="10" t="str">
        <x:v>Baixo</x:v>
      </x:c>
      <x:c r="W1006" s="10" t="str">
        <x:v>Tecnologia</x:v>
      </x:c>
      <x:c r="X1006" s="10" t="str">
        <x:v>UND003</x:v>
      </x:c>
    </x:row>
    <x:row r="1007" ht="18" customHeight="1">
      <x:c r="A1007" s="10" t="str">
        <x:v>REC01006</x:v>
      </x:c>
      <x:c r="B1007" s="10" t="str">
        <x:v>EMP003</x:v>
      </x:c>
      <x:c r="C1007" s="10" t="str">
        <x:v>CLI052</x:v>
      </x:c>
      <x:c r="D1007" s="10" t="str">
        <x:v>CC006</x:v>
      </x:c>
      <x:c r="E1007" s="10" t="str">
        <x:v>CAT003</x:v>
      </x:c>
      <x:c r="F1007" s="10" t="str">
        <x:v>CTA006</x:v>
      </x:c>
      <x:c r="G1007" s="10" t="str">
        <x:v>FAT-201006</x:v>
      </x:c>
      <x:c r="H1007" s="10" t="str">
        <x:v>Prestação de serviços</x:v>
      </x:c>
      <x:c r="I1007" s="16" t="n">
        <x:v>45452.56237693287</x:v>
      </x:c>
      <x:c r="J1007" s="16" t="n">
        <x:v>45473.56237693287</x:v>
      </x:c>
      <x:c r="K1007" s="16" t="n">
        <x:v>45474.56237693287</x:v>
      </x:c>
      <x:c r="L1007" s="20" t="n">
        <x:v>856.04</x:v>
      </x:c>
      <x:c r="M1007" s="20" t="n">
        <x:v>0.68</x:v>
      </x:c>
      <x:c r="N1007" s="20" t="n">
        <x:v>0</x:v>
      </x:c>
      <x:c r="O1007" s="20" t="n">
        <x:v>856.72</x:v>
      </x:c>
      <x:c r="P1007" s="20" t="n">
        <x:v>0</x:v>
      </x:c>
      <x:c r="Q1007" s="10" t="str">
        <x:v>Recebido</x:v>
      </x:c>
      <x:c r="R1007" s="10" t="str">
        <x:v>TED</x:v>
      </x:c>
      <x:c r="S1007" s="10" t="str">
        <x:v>2024-06</x:v>
      </x:c>
      <x:c r="T1007" s="10" t="n">
        <x:v>0</x:v>
      </x:c>
      <x:c r="U1007" s="10" t="str">
        <x:v>Liquidado</x:v>
      </x:c>
      <x:c r="V1007" s="10" t="str">
        <x:v>Baixo</x:v>
      </x:c>
      <x:c r="W1007" s="10" t="str">
        <x:v>Varejo</x:v>
      </x:c>
      <x:c r="X1007" s="10" t="str">
        <x:v>UND004</x:v>
      </x:c>
    </x:row>
    <x:row r="1008" ht="18" customHeight="1">
      <x:c r="A1008" s="10" t="str">
        <x:v>REC01007</x:v>
      </x:c>
      <x:c r="B1008" s="10" t="str">
        <x:v>EMP003</x:v>
      </x:c>
      <x:c r="C1008" s="10" t="str">
        <x:v>CLI044</x:v>
      </x:c>
      <x:c r="D1008" s="10" t="str">
        <x:v>CC007</x:v>
      </x:c>
      <x:c r="E1008" s="10" t="str">
        <x:v>CAT004</x:v>
      </x:c>
      <x:c r="F1008" s="10" t="str">
        <x:v>CTA005</x:v>
      </x:c>
      <x:c r="G1008" s="10" t="str">
        <x:v>FAT-201007</x:v>
      </x:c>
      <x:c r="H1008" s="10" t="str">
        <x:v>Projeto especial</x:v>
      </x:c>
      <x:c r="I1008" s="16" t="n">
        <x:v>45836.78600366898</x:v>
      </x:c>
      <x:c r="J1008" s="16" t="n">
        <x:v>45866.78600366898</x:v>
      </x:c>
      <x:c r="K1008" s="16" t="n">
        <x:v>45877.78600366898</x:v>
      </x:c>
      <x:c r="L1008" s="20" t="n">
        <x:v>8931.29</x:v>
      </x:c>
      <x:c r="M1008" s="20" t="n">
        <x:v>78.6</x:v>
      </x:c>
      <x:c r="N1008" s="20" t="n">
        <x:v>0</x:v>
      </x:c>
      <x:c r="O1008" s="20" t="n">
        <x:v>9009.89</x:v>
      </x:c>
      <x:c r="P1008" s="20" t="n">
        <x:v>0</x:v>
      </x:c>
      <x:c r="Q1008" s="10" t="str">
        <x:v>Recebido</x:v>
      </x:c>
      <x:c r="R1008" s="10" t="str">
        <x:v>Boleto</x:v>
      </x:c>
      <x:c r="S1008" s="10" t="str">
        <x:v>2025-06</x:v>
      </x:c>
      <x:c r="T1008" s="10" t="n">
        <x:v>0</x:v>
      </x:c>
      <x:c r="U1008" s="10" t="str">
        <x:v>Liquidado</x:v>
      </x:c>
      <x:c r="V1008" s="10" t="str">
        <x:v>Alto</x:v>
      </x:c>
      <x:c r="W1008" s="10" t="str">
        <x:v>Varejo</x:v>
      </x:c>
      <x:c r="X1008" s="10" t="str">
        <x:v>UND004</x:v>
      </x:c>
    </x:row>
    <x:row r="1009" ht="18" customHeight="1">
      <x:c r="A1009" s="10" t="str">
        <x:v>REC01008</x:v>
      </x:c>
      <x:c r="B1009" s="10" t="str">
        <x:v>EMP003</x:v>
      </x:c>
      <x:c r="C1009" s="10" t="str">
        <x:v>CLI062</x:v>
      </x:c>
      <x:c r="D1009" s="10" t="str">
        <x:v>CC007</x:v>
      </x:c>
      <x:c r="E1009" s="10" t="str">
        <x:v>CAT001</x:v>
      </x:c>
      <x:c r="F1009" s="10" t="str">
        <x:v>CTA006</x:v>
      </x:c>
      <x:c r="G1009" s="10" t="str">
        <x:v>FAT-201008</x:v>
      </x:c>
      <x:c r="H1009" s="10" t="str">
        <x:v>Venda de produtos</x:v>
      </x:c>
      <x:c r="I1009" s="16" t="n">
        <x:v>45578.698804513886</x:v>
      </x:c>
      <x:c r="J1009" s="16" t="n">
        <x:v>45608.698804513886</x:v>
      </x:c>
      <x:c r="K1009" s="16" t="n">
        <x:v>45612.698804513886</x:v>
      </x:c>
      <x:c r="L1009" s="20" t="n">
        <x:v>105246.14</x:v>
      </x:c>
      <x:c r="M1009" s="20" t="n">
        <x:v>336.79</x:v>
      </x:c>
      <x:c r="N1009" s="20" t="n">
        <x:v>0</x:v>
      </x:c>
      <x:c r="O1009" s="20" t="n">
        <x:v>105582.93</x:v>
      </x:c>
      <x:c r="P1009" s="20" t="n">
        <x:v>0</x:v>
      </x:c>
      <x:c r="Q1009" s="10" t="str">
        <x:v>Recebido</x:v>
      </x:c>
      <x:c r="R1009" s="10" t="str">
        <x:v>Cartão</x:v>
      </x:c>
      <x:c r="S1009" s="10" t="str">
        <x:v>2024-10</x:v>
      </x:c>
      <x:c r="T1009" s="10" t="n">
        <x:v>0</x:v>
      </x:c>
      <x:c r="U1009" s="10" t="str">
        <x:v>Liquidado</x:v>
      </x:c>
      <x:c r="V1009" s="10" t="str">
        <x:v>Baixo</x:v>
      </x:c>
      <x:c r="W1009" s="10" t="str">
        <x:v>Saúde</x:v>
      </x:c>
      <x:c r="X1009" s="10" t="str">
        <x:v>UND004</x:v>
      </x:c>
    </x:row>
    <x:row r="1010" ht="18" customHeight="1">
      <x:c r="A1010" s="10" t="str">
        <x:v>REC01009</x:v>
      </x:c>
      <x:c r="B1010" s="10" t="str">
        <x:v>EMP002</x:v>
      </x:c>
      <x:c r="C1010" s="10" t="str">
        <x:v>CLI007</x:v>
      </x:c>
      <x:c r="D1010" s="10" t="str">
        <x:v>CC004</x:v>
      </x:c>
      <x:c r="E1010" s="10" t="str">
        <x:v>CAT002</x:v>
      </x:c>
      <x:c r="F1010" s="10" t="str">
        <x:v>CTA003</x:v>
      </x:c>
      <x:c r="G1010" s="10" t="str">
        <x:v>FAT-201009</x:v>
      </x:c>
      <x:c r="H1010" s="10" t="str">
        <x:v>Venda de produtos</x:v>
      </x:c>
      <x:c r="I1010" s="16" t="n">
        <x:v>45749.329249953706</x:v>
      </x:c>
      <x:c r="J1010" s="16" t="n">
        <x:v>45784.329249953706</x:v>
      </x:c>
      <x:c r="K1010" s="16"/>
      <x:c r="L1010" s="20" t="n">
        <x:v>7646.3</x:v>
      </x:c>
      <x:c r="M1010" s="20" t="n">
        <x:v>0</x:v>
      </x:c>
      <x:c r="N1010" s="20" t="n">
        <x:v>0</x:v>
      </x:c>
      <x:c r="O1010" s="20" t="n">
        <x:v>0</x:v>
      </x:c>
      <x:c r="P1010" s="20" t="n">
        <x:v>7646.3</x:v>
      </x:c>
      <x:c r="Q1010" s="10" t="str">
        <x:v>Vencido</x:v>
      </x:c>
      <x:c r="R1010" s="10" t="str">
        <x:v>Débito em Conta</x:v>
      </x:c>
      <x:c r="S1010" s="10" t="str">
        <x:v>2025-04</x:v>
      </x:c>
      <x:c r="T1010" s="10" t="n">
        <x:v>237</x:v>
      </x:c>
      <x:c r="U1010" s="10" t="str">
        <x:v>&gt; 120 dias</x:v>
      </x:c>
      <x:c r="V1010" s="10" t="str">
        <x:v>Baixo</x:v>
      </x:c>
      <x:c r="W1010" s="10" t="str">
        <x:v>Atacado</x:v>
      </x:c>
      <x:c r="X1010" s="10" t="str">
        <x:v>UND003</x:v>
      </x:c>
    </x:row>
    <x:row r="1011" ht="18" customHeight="1">
      <x:c r="A1011" s="10" t="str">
        <x:v>REC01010</x:v>
      </x:c>
      <x:c r="B1011" s="10" t="str">
        <x:v>EMP001</x:v>
      </x:c>
      <x:c r="C1011" s="10" t="str">
        <x:v>CLI066</x:v>
      </x:c>
      <x:c r="D1011" s="10" t="str">
        <x:v>CC002</x:v>
      </x:c>
      <x:c r="E1011" s="10" t="str">
        <x:v>CAT004</x:v>
      </x:c>
      <x:c r="F1011" s="10" t="str">
        <x:v>CTA001</x:v>
      </x:c>
      <x:c r="G1011" s="10" t="str">
        <x:v>FAT-201010</x:v>
      </x:c>
      <x:c r="H1011" s="10" t="str">
        <x:v>Frete faturado</x:v>
      </x:c>
      <x:c r="I1011" s="16" t="n">
        <x:v>45845.00285844907</x:v>
      </x:c>
      <x:c r="J1011" s="16" t="n">
        <x:v>45905.00285844907</x:v>
      </x:c>
      <x:c r="K1011" s="16" t="n">
        <x:v>45904.00285844907</x:v>
      </x:c>
      <x:c r="L1011" s="20" t="n">
        <x:v>38678.19</x:v>
      </x:c>
      <x:c r="M1011" s="20" t="n">
        <x:v>0</x:v>
      </x:c>
      <x:c r="N1011" s="20" t="n">
        <x:v>193.39</x:v>
      </x:c>
      <x:c r="O1011" s="20" t="n">
        <x:v>38484.8</x:v>
      </x:c>
      <x:c r="P1011" s="20" t="n">
        <x:v>0</x:v>
      </x:c>
      <x:c r="Q1011" s="10" t="str">
        <x:v>Recebido</x:v>
      </x:c>
      <x:c r="R1011" s="10" t="str">
        <x:v>Cartão</x:v>
      </x:c>
      <x:c r="S1011" s="10" t="str">
        <x:v>2025-07</x:v>
      </x:c>
      <x:c r="T1011" s="10" t="n">
        <x:v>0</x:v>
      </x:c>
      <x:c r="U1011" s="10" t="str">
        <x:v>Liquidado</x:v>
      </x:c>
      <x:c r="V1011" s="10" t="str">
        <x:v>Baixo</x:v>
      </x:c>
      <x:c r="W1011" s="10" t="str">
        <x:v>Varejo</x:v>
      </x:c>
      <x:c r="X1011" s="10" t="str">
        <x:v>UND001</x:v>
      </x:c>
    </x:row>
    <x:row r="1012" ht="18" customHeight="1">
      <x:c r="A1012" s="10" t="str">
        <x:v>REC01011</x:v>
      </x:c>
      <x:c r="B1012" s="10" t="str">
        <x:v>EMP002</x:v>
      </x:c>
      <x:c r="C1012" s="10" t="str">
        <x:v>CLI043</x:v>
      </x:c>
      <x:c r="D1012" s="10" t="str">
        <x:v>CC004</x:v>
      </x:c>
      <x:c r="E1012" s="10" t="str">
        <x:v>CAT002</x:v>
      </x:c>
      <x:c r="F1012" s="10" t="str">
        <x:v>CTA004</x:v>
      </x:c>
      <x:c r="G1012" s="10" t="str">
        <x:v>FAT-201011</x:v>
      </x:c>
      <x:c r="H1012" s="10" t="str">
        <x:v>Frete faturado</x:v>
      </x:c>
      <x:c r="I1012" s="16" t="n">
        <x:v>45779.53004637732</x:v>
      </x:c>
      <x:c r="J1012" s="16" t="n">
        <x:v>45839.53004637732</x:v>
      </x:c>
      <x:c r="K1012" s="16"/>
      <x:c r="L1012" s="20" t="n">
        <x:v>57511.91</x:v>
      </x:c>
      <x:c r="M1012" s="20" t="n">
        <x:v>0</x:v>
      </x:c>
      <x:c r="N1012" s="20" t="n">
        <x:v>0</x:v>
      </x:c>
      <x:c r="O1012" s="20" t="n">
        <x:v>0</x:v>
      </x:c>
      <x:c r="P1012" s="20" t="n">
        <x:v>57511.91</x:v>
      </x:c>
      <x:c r="Q1012" s="10" t="str">
        <x:v>Vencido</x:v>
      </x:c>
      <x:c r="R1012" s="10" t="str">
        <x:v>TED</x:v>
      </x:c>
      <x:c r="S1012" s="10" t="str">
        <x:v>2025-05</x:v>
      </x:c>
      <x:c r="T1012" s="10" t="n">
        <x:v>182</x:v>
      </x:c>
      <x:c r="U1012" s="10" t="str">
        <x:v>&gt; 120 dias</x:v>
      </x:c>
      <x:c r="V1012" s="10" t="str">
        <x:v>Baixo</x:v>
      </x:c>
      <x:c r="W1012" s="10" t="str">
        <x:v>Atacado</x:v>
      </x:c>
      <x:c r="X1012" s="10" t="str">
        <x:v>UND003</x:v>
      </x:c>
    </x:row>
    <x:row r="1013" ht="18" customHeight="1">
      <x:c r="A1013" s="10" t="str">
        <x:v>REC01012</x:v>
      </x:c>
      <x:c r="B1013" s="10" t="str">
        <x:v>EMP001</x:v>
      </x:c>
      <x:c r="C1013" s="10" t="str">
        <x:v>CLI002</x:v>
      </x:c>
      <x:c r="D1013" s="10" t="str">
        <x:v>CC001</x:v>
      </x:c>
      <x:c r="E1013" s="10" t="str">
        <x:v>CAT001</x:v>
      </x:c>
      <x:c r="F1013" s="10" t="str">
        <x:v>CTA002</x:v>
      </x:c>
      <x:c r="G1013" s="10" t="str">
        <x:v>FAT-201012</x:v>
      </x:c>
      <x:c r="H1013" s="10" t="str">
        <x:v>Venda de produtos</x:v>
      </x:c>
      <x:c r="I1013" s="16" t="n">
        <x:v>45450.66612054398</x:v>
      </x:c>
      <x:c r="J1013" s="16" t="n">
        <x:v>45478.66612054398</x:v>
      </x:c>
      <x:c r="K1013" s="16" t="n">
        <x:v>45472.66612054398</x:v>
      </x:c>
      <x:c r="L1013" s="20" t="n">
        <x:v>14329.01</x:v>
      </x:c>
      <x:c r="M1013" s="20" t="n">
        <x:v>0</x:v>
      </x:c>
      <x:c r="N1013" s="20" t="n">
        <x:v>0</x:v>
      </x:c>
      <x:c r="O1013" s="20" t="n">
        <x:v>14329.01</x:v>
      </x:c>
      <x:c r="P1013" s="20" t="n">
        <x:v>0</x:v>
      </x:c>
      <x:c r="Q1013" s="10" t="str">
        <x:v>Recebido</x:v>
      </x:c>
      <x:c r="R1013" s="10" t="str">
        <x:v>TED</x:v>
      </x:c>
      <x:c r="S1013" s="10" t="str">
        <x:v>2024-06</x:v>
      </x:c>
      <x:c r="T1013" s="10" t="n">
        <x:v>0</x:v>
      </x:c>
      <x:c r="U1013" s="10" t="str">
        <x:v>Liquidado</x:v>
      </x:c>
      <x:c r="V1013" s="10" t="str">
        <x:v>Alto</x:v>
      </x:c>
      <x:c r="W1013" s="10" t="str">
        <x:v>Serviços</x:v>
      </x:c>
      <x:c r="X1013" s="10" t="str">
        <x:v>UND002</x:v>
      </x:c>
    </x:row>
    <x:row r="1014" ht="18" customHeight="1">
      <x:c r="A1014" s="10" t="str">
        <x:v>REC01013</x:v>
      </x:c>
      <x:c r="B1014" s="10" t="str">
        <x:v>EMP002</x:v>
      </x:c>
      <x:c r="C1014" s="10" t="str">
        <x:v>CLI062</x:v>
      </x:c>
      <x:c r="D1014" s="10" t="str">
        <x:v>CC003</x:v>
      </x:c>
      <x:c r="E1014" s="10" t="str">
        <x:v>CAT001</x:v>
      </x:c>
      <x:c r="F1014" s="10" t="str">
        <x:v>CTA003</x:v>
      </x:c>
      <x:c r="G1014" s="10" t="str">
        <x:v>FAT-201013</x:v>
      </x:c>
      <x:c r="H1014" s="10" t="str">
        <x:v>Frete faturado</x:v>
      </x:c>
      <x:c r="I1014" s="16" t="n">
        <x:v>45795.12834472222</x:v>
      </x:c>
      <x:c r="J1014" s="16" t="n">
        <x:v>45825.12834472222</x:v>
      </x:c>
      <x:c r="K1014" s="16" t="n">
        <x:v>45821.12834472222</x:v>
      </x:c>
      <x:c r="L1014" s="20" t="n">
        <x:v>35574.13</x:v>
      </x:c>
      <x:c r="M1014" s="20" t="n">
        <x:v>0</x:v>
      </x:c>
      <x:c r="N1014" s="20" t="n">
        <x:v>0</x:v>
      </x:c>
      <x:c r="O1014" s="20" t="n">
        <x:v>35574.13</x:v>
      </x:c>
      <x:c r="P1014" s="20" t="n">
        <x:v>0</x:v>
      </x:c>
      <x:c r="Q1014" s="10" t="str">
        <x:v>Recebido</x:v>
      </x:c>
      <x:c r="R1014" s="10" t="str">
        <x:v>Boleto</x:v>
      </x:c>
      <x:c r="S1014" s="10" t="str">
        <x:v>2025-05</x:v>
      </x:c>
      <x:c r="T1014" s="10" t="n">
        <x:v>0</x:v>
      </x:c>
      <x:c r="U1014" s="10" t="str">
        <x:v>Liquidado</x:v>
      </x:c>
      <x:c r="V1014" s="10" t="str">
        <x:v>Baixo</x:v>
      </x:c>
      <x:c r="W1014" s="10" t="str">
        <x:v>Saúde</x:v>
      </x:c>
      <x:c r="X1014" s="10" t="str">
        <x:v>UND003</x:v>
      </x:c>
    </x:row>
    <x:row r="1015" ht="18" customHeight="1">
      <x:c r="A1015" s="10" t="str">
        <x:v>REC01014</x:v>
      </x:c>
      <x:c r="B1015" s="10" t="str">
        <x:v>EMP001</x:v>
      </x:c>
      <x:c r="C1015" s="10" t="str">
        <x:v>CLI023</x:v>
      </x:c>
      <x:c r="D1015" s="10" t="str">
        <x:v>CC005</x:v>
      </x:c>
      <x:c r="E1015" s="10" t="str">
        <x:v>CAT002</x:v>
      </x:c>
      <x:c r="F1015" s="10" t="str">
        <x:v>CTA002</x:v>
      </x:c>
      <x:c r="G1015" s="10" t="str">
        <x:v>FAT-201014</x:v>
      </x:c>
      <x:c r="H1015" s="10" t="str">
        <x:v>Contrato mensal</x:v>
      </x:c>
      <x:c r="I1015" s="16" t="n">
        <x:v>45530.70534659722</x:v>
      </x:c>
      <x:c r="J1015" s="16" t="n">
        <x:v>45558.70534659722</x:v>
      </x:c>
      <x:c r="K1015" s="16" t="n">
        <x:v>45556.70534659722</x:v>
      </x:c>
      <x:c r="L1015" s="20" t="n">
        <x:v>51558.83</x:v>
      </x:c>
      <x:c r="M1015" s="20" t="n">
        <x:v>0</x:v>
      </x:c>
      <x:c r="N1015" s="20" t="n">
        <x:v>1031.18</x:v>
      </x:c>
      <x:c r="O1015" s="20" t="n">
        <x:v>50527.65</x:v>
      </x:c>
      <x:c r="P1015" s="20" t="n">
        <x:v>0</x:v>
      </x:c>
      <x:c r="Q1015" s="10" t="str">
        <x:v>Recebido</x:v>
      </x:c>
      <x:c r="R1015" s="10" t="str">
        <x:v>Cartão</x:v>
      </x:c>
      <x:c r="S1015" s="10" t="str">
        <x:v>2024-08</x:v>
      </x:c>
      <x:c r="T1015" s="10" t="n">
        <x:v>0</x:v>
      </x:c>
      <x:c r="U1015" s="10" t="str">
        <x:v>Liquidado</x:v>
      </x:c>
      <x:c r="V1015" s="10" t="str">
        <x:v>Médio</x:v>
      </x:c>
      <x:c r="W1015" s="10" t="str">
        <x:v>Atacado</x:v>
      </x:c>
      <x:c r="X1015" s="10" t="str">
        <x:v>UND001</x:v>
      </x:c>
    </x:row>
    <x:row r="1016" ht="18" customHeight="1">
      <x:c r="A1016" s="10" t="str">
        <x:v>REC01015</x:v>
      </x:c>
      <x:c r="B1016" s="10" t="str">
        <x:v>EMP002</x:v>
      </x:c>
      <x:c r="C1016" s="10" t="str">
        <x:v>CLI043</x:v>
      </x:c>
      <x:c r="D1016" s="10" t="str">
        <x:v>CC008</x:v>
      </x:c>
      <x:c r="E1016" s="10" t="str">
        <x:v>CAT001</x:v>
      </x:c>
      <x:c r="F1016" s="10" t="str">
        <x:v>CTA004</x:v>
      </x:c>
      <x:c r="G1016" s="10" t="str">
        <x:v>FAT-201015</x:v>
      </x:c>
      <x:c r="H1016" s="10" t="str">
        <x:v>Projeto especial</x:v>
      </x:c>
      <x:c r="I1016" s="16" t="n">
        <x:v>45824.8307055787</x:v>
      </x:c>
      <x:c r="J1016" s="16" t="n">
        <x:v>45852.8307055787</x:v>
      </x:c>
      <x:c r="K1016" s="16" t="n">
        <x:v>45856.8307055787</x:v>
      </x:c>
      <x:c r="L1016" s="20" t="n">
        <x:v>31355.08</x:v>
      </x:c>
      <x:c r="M1016" s="20" t="n">
        <x:v>100.34</x:v>
      </x:c>
      <x:c r="N1016" s="20" t="n">
        <x:v>0</x:v>
      </x:c>
      <x:c r="O1016" s="20" t="n">
        <x:v>31455.42</x:v>
      </x:c>
      <x:c r="P1016" s="20" t="n">
        <x:v>0</x:v>
      </x:c>
      <x:c r="Q1016" s="10" t="str">
        <x:v>Recebido</x:v>
      </x:c>
      <x:c r="R1016" s="10" t="str">
        <x:v>Débito em Conta</x:v>
      </x:c>
      <x:c r="S1016" s="10" t="str">
        <x:v>2025-06</x:v>
      </x:c>
      <x:c r="T1016" s="10" t="n">
        <x:v>0</x:v>
      </x:c>
      <x:c r="U1016" s="10" t="str">
        <x:v>Liquidado</x:v>
      </x:c>
      <x:c r="V1016" s="10" t="str">
        <x:v>Baixo</x:v>
      </x:c>
      <x:c r="W1016" s="10" t="str">
        <x:v>Atacado</x:v>
      </x:c>
      <x:c r="X1016" s="10" t="str">
        <x:v>UND003</x:v>
      </x:c>
    </x:row>
    <x:row r="1017" ht="18" customHeight="1">
      <x:c r="A1017" s="10" t="str">
        <x:v>REC01016</x:v>
      </x:c>
      <x:c r="B1017" s="10" t="str">
        <x:v>EMP003</x:v>
      </x:c>
      <x:c r="C1017" s="10" t="str">
        <x:v>CLI047</x:v>
      </x:c>
      <x:c r="D1017" s="10" t="str">
        <x:v>CC001</x:v>
      </x:c>
      <x:c r="E1017" s="10" t="str">
        <x:v>CAT004</x:v>
      </x:c>
      <x:c r="F1017" s="10" t="str">
        <x:v>CTA006</x:v>
      </x:c>
      <x:c r="G1017" s="10" t="str">
        <x:v>FAT-201016</x:v>
      </x:c>
      <x:c r="H1017" s="10" t="str">
        <x:v>Frete faturado</x:v>
      </x:c>
      <x:c r="I1017" s="16" t="n">
        <x:v>45840.803377777775</x:v>
      </x:c>
      <x:c r="J1017" s="16" t="n">
        <x:v>45875.803377777775</x:v>
      </x:c>
      <x:c r="K1017" s="16" t="n">
        <x:v>45873.803377777775</x:v>
      </x:c>
      <x:c r="L1017" s="20" t="n">
        <x:v>84788.1</x:v>
      </x:c>
      <x:c r="M1017" s="20" t="n">
        <x:v>0</x:v>
      </x:c>
      <x:c r="N1017" s="20" t="n">
        <x:v>0</x:v>
      </x:c>
      <x:c r="O1017" s="20" t="n">
        <x:v>84788.1</x:v>
      </x:c>
      <x:c r="P1017" s="20" t="n">
        <x:v>0</x:v>
      </x:c>
      <x:c r="Q1017" s="10" t="str">
        <x:v>Recebido</x:v>
      </x:c>
      <x:c r="R1017" s="10" t="str">
        <x:v>Cartão</x:v>
      </x:c>
      <x:c r="S1017" s="10" t="str">
        <x:v>2025-07</x:v>
      </x:c>
      <x:c r="T1017" s="10" t="n">
        <x:v>0</x:v>
      </x:c>
      <x:c r="U1017" s="10" t="str">
        <x:v>Liquidado</x:v>
      </x:c>
      <x:c r="V1017" s="10" t="str">
        <x:v>Baixo</x:v>
      </x:c>
      <x:c r="W1017" s="10" t="str">
        <x:v>Serviços</x:v>
      </x:c>
      <x:c r="X1017" s="10" t="str">
        <x:v>UND004</x:v>
      </x:c>
    </x:row>
    <x:row r="1018" ht="18" customHeight="1">
      <x:c r="A1018" s="10" t="str">
        <x:v>REC01017</x:v>
      </x:c>
      <x:c r="B1018" s="10" t="str">
        <x:v>EMP001</x:v>
      </x:c>
      <x:c r="C1018" s="10" t="str">
        <x:v>CLI044</x:v>
      </x:c>
      <x:c r="D1018" s="10" t="str">
        <x:v>CC008</x:v>
      </x:c>
      <x:c r="E1018" s="10" t="str">
        <x:v>CAT001</x:v>
      </x:c>
      <x:c r="F1018" s="10" t="str">
        <x:v>CTA001</x:v>
      </x:c>
      <x:c r="G1018" s="10" t="str">
        <x:v>FAT-201017</x:v>
      </x:c>
      <x:c r="H1018" s="10" t="str">
        <x:v>Venda de produtos</x:v>
      </x:c>
      <x:c r="I1018" s="16" t="n">
        <x:v>45366.973387847225</x:v>
      </x:c>
      <x:c r="J1018" s="16" t="n">
        <x:v>45394.973387847225</x:v>
      </x:c>
      <x:c r="K1018" s="16" t="n">
        <x:v>45389.973387847225</x:v>
      </x:c>
      <x:c r="L1018" s="20" t="n">
        <x:v>18617.84</x:v>
      </x:c>
      <x:c r="M1018" s="20" t="n">
        <x:v>0</x:v>
      </x:c>
      <x:c r="N1018" s="20" t="n">
        <x:v>372.36</x:v>
      </x:c>
      <x:c r="O1018" s="20" t="n">
        <x:v>18245.48</x:v>
      </x:c>
      <x:c r="P1018" s="20" t="n">
        <x:v>0</x:v>
      </x:c>
      <x:c r="Q1018" s="10" t="str">
        <x:v>Recebido</x:v>
      </x:c>
      <x:c r="R1018" s="10" t="str">
        <x:v>PIX</x:v>
      </x:c>
      <x:c r="S1018" s="10" t="str">
        <x:v>2024-03</x:v>
      </x:c>
      <x:c r="T1018" s="10" t="n">
        <x:v>0</x:v>
      </x:c>
      <x:c r="U1018" s="10" t="str">
        <x:v>Liquidado</x:v>
      </x:c>
      <x:c r="V1018" s="10" t="str">
        <x:v>Alto</x:v>
      </x:c>
      <x:c r="W1018" s="10" t="str">
        <x:v>Varejo</x:v>
      </x:c>
      <x:c r="X1018" s="10" t="str">
        <x:v>UND001</x:v>
      </x:c>
    </x:row>
    <x:row r="1019" ht="18" customHeight="1">
      <x:c r="A1019" s="10" t="str">
        <x:v>REC01018</x:v>
      </x:c>
      <x:c r="B1019" s="10" t="str">
        <x:v>EMP003</x:v>
      </x:c>
      <x:c r="C1019" s="10" t="str">
        <x:v>CLI050</x:v>
      </x:c>
      <x:c r="D1019" s="10" t="str">
        <x:v>CC003</x:v>
      </x:c>
      <x:c r="E1019" s="10" t="str">
        <x:v>CAT001</x:v>
      </x:c>
      <x:c r="F1019" s="10" t="str">
        <x:v>CTA006</x:v>
      </x:c>
      <x:c r="G1019" s="10" t="str">
        <x:v>FAT-201018</x:v>
      </x:c>
      <x:c r="H1019" s="10" t="str">
        <x:v>Frete faturado</x:v>
      </x:c>
      <x:c r="I1019" s="16" t="n">
        <x:v>45615.505549988426</x:v>
      </x:c>
      <x:c r="J1019" s="16" t="n">
        <x:v>45643.505549988426</x:v>
      </x:c>
      <x:c r="K1019" s="16"/>
      <x:c r="L1019" s="20" t="n">
        <x:v>21907.07</x:v>
      </x:c>
      <x:c r="M1019" s="20" t="n">
        <x:v>0</x:v>
      </x:c>
      <x:c r="N1019" s="20" t="n">
        <x:v>0</x:v>
      </x:c>
      <x:c r="O1019" s="20" t="n">
        <x:v>0</x:v>
      </x:c>
      <x:c r="P1019" s="20" t="n">
        <x:v>21907.07</x:v>
      </x:c>
      <x:c r="Q1019" s="10" t="str">
        <x:v>Vencido</x:v>
      </x:c>
      <x:c r="R1019" s="10" t="str">
        <x:v>Débito em Conta</x:v>
      </x:c>
      <x:c r="S1019" s="10" t="str">
        <x:v>2024-11</x:v>
      </x:c>
      <x:c r="T1019" s="10" t="n">
        <x:v>378</x:v>
      </x:c>
      <x:c r="U1019" s="10" t="str">
        <x:v>&gt; 120 dias</x:v>
      </x:c>
      <x:c r="V1019" s="10" t="str">
        <x:v>Baixo</x:v>
      </x:c>
      <x:c r="W1019" s="10" t="str">
        <x:v>Tecnologia</x:v>
      </x:c>
      <x:c r="X1019" s="10" t="str">
        <x:v>UND004</x:v>
      </x:c>
    </x:row>
    <x:row r="1020" ht="18" customHeight="1">
      <x:c r="A1020" s="10" t="str">
        <x:v>REC01019</x:v>
      </x:c>
      <x:c r="B1020" s="10" t="str">
        <x:v>EMP001</x:v>
      </x:c>
      <x:c r="C1020" s="10" t="str">
        <x:v>CLI028</x:v>
      </x:c>
      <x:c r="D1020" s="10" t="str">
        <x:v>CC004</x:v>
      </x:c>
      <x:c r="E1020" s="10" t="str">
        <x:v>CAT003</x:v>
      </x:c>
      <x:c r="F1020" s="10" t="str">
        <x:v>CTA002</x:v>
      </x:c>
      <x:c r="G1020" s="10" t="str">
        <x:v>FAT-201019</x:v>
      </x:c>
      <x:c r="H1020" s="10" t="str">
        <x:v>Contrato mensal</x:v>
      </x:c>
      <x:c r="I1020" s="16" t="n">
        <x:v>45981.867698298614</x:v>
      </x:c>
      <x:c r="J1020" s="16" t="n">
        <x:v>46002.867698298614</x:v>
      </x:c>
      <x:c r="K1020" s="16" t="n">
        <x:v>46002.867698298614</x:v>
      </x:c>
      <x:c r="L1020" s="20" t="n">
        <x:v>3590.87</x:v>
      </x:c>
      <x:c r="M1020" s="20" t="n">
        <x:v>0</x:v>
      </x:c>
      <x:c r="N1020" s="20" t="n">
        <x:v>0</x:v>
      </x:c>
      <x:c r="O1020" s="20" t="n">
        <x:v>3590.87</x:v>
      </x:c>
      <x:c r="P1020" s="20" t="n">
        <x:v>0</x:v>
      </x:c>
      <x:c r="Q1020" s="10" t="str">
        <x:v>Recebido</x:v>
      </x:c>
      <x:c r="R1020" s="10" t="str">
        <x:v>Cartão</x:v>
      </x:c>
      <x:c r="S1020" s="10" t="str">
        <x:v>2025-11</x:v>
      </x:c>
      <x:c r="T1020" s="10" t="n">
        <x:v>0</x:v>
      </x:c>
      <x:c r="U1020" s="10" t="str">
        <x:v>Liquidado</x:v>
      </x:c>
      <x:c r="V1020" s="10" t="str">
        <x:v>Baixo</x:v>
      </x:c>
      <x:c r="W1020" s="10" t="str">
        <x:v>Serviços</x:v>
      </x:c>
      <x:c r="X1020" s="10" t="str">
        <x:v>UND002</x:v>
      </x:c>
    </x:row>
    <x:row r="1021" ht="18" customHeight="1">
      <x:c r="A1021" s="10" t="str">
        <x:v>REC01020</x:v>
      </x:c>
      <x:c r="B1021" s="10" t="str">
        <x:v>EMP002</x:v>
      </x:c>
      <x:c r="C1021" s="10" t="str">
        <x:v>CLI025</x:v>
      </x:c>
      <x:c r="D1021" s="10" t="str">
        <x:v>CC005</x:v>
      </x:c>
      <x:c r="E1021" s="10" t="str">
        <x:v>CAT002</x:v>
      </x:c>
      <x:c r="F1021" s="10" t="str">
        <x:v>CTA003</x:v>
      </x:c>
      <x:c r="G1021" s="10" t="str">
        <x:v>FAT-201020</x:v>
      </x:c>
      <x:c r="H1021" s="10" t="str">
        <x:v>Contrato mensal</x:v>
      </x:c>
      <x:c r="I1021" s="16" t="n">
        <x:v>45577.93025188657</x:v>
      </x:c>
      <x:c r="J1021" s="16" t="n">
        <x:v>45605.93025188657</x:v>
      </x:c>
      <x:c r="K1021" s="16" t="n">
        <x:v>45603.93025188657</x:v>
      </x:c>
      <x:c r="L1021" s="20" t="n">
        <x:v>38566.35</x:v>
      </x:c>
      <x:c r="M1021" s="20" t="n">
        <x:v>0</x:v>
      </x:c>
      <x:c r="N1021" s="20" t="n">
        <x:v>771.33</x:v>
      </x:c>
      <x:c r="O1021" s="20" t="n">
        <x:v>37795.02</x:v>
      </x:c>
      <x:c r="P1021" s="20" t="n">
        <x:v>0</x:v>
      </x:c>
      <x:c r="Q1021" s="10" t="str">
        <x:v>Recebido</x:v>
      </x:c>
      <x:c r="R1021" s="10" t="str">
        <x:v>Débito em Conta</x:v>
      </x:c>
      <x:c r="S1021" s="10" t="str">
        <x:v>2024-10</x:v>
      </x:c>
      <x:c r="T1021" s="10" t="n">
        <x:v>0</x:v>
      </x:c>
      <x:c r="U1021" s="10" t="str">
        <x:v>Liquidado</x:v>
      </x:c>
      <x:c r="V1021" s="10" t="str">
        <x:v>Médio</x:v>
      </x:c>
      <x:c r="W1021" s="10" t="str">
        <x:v>Indústria</x:v>
      </x:c>
      <x:c r="X1021" s="10" t="str">
        <x:v>UND003</x:v>
      </x:c>
    </x:row>
    <x:row r="1022" ht="18" customHeight="1">
      <x:c r="A1022" s="10" t="str">
        <x:v>REC01021</x:v>
      </x:c>
      <x:c r="B1022" s="10" t="str">
        <x:v>EMP001</x:v>
      </x:c>
      <x:c r="C1022" s="10" t="str">
        <x:v>CLI059</x:v>
      </x:c>
      <x:c r="D1022" s="10" t="str">
        <x:v>CC005</x:v>
      </x:c>
      <x:c r="E1022" s="10" t="str">
        <x:v>CAT004</x:v>
      </x:c>
      <x:c r="F1022" s="10" t="str">
        <x:v>CTA002</x:v>
      </x:c>
      <x:c r="G1022" s="10" t="str">
        <x:v>FAT-201021</x:v>
      </x:c>
      <x:c r="H1022" s="10" t="str">
        <x:v>Contrato mensal</x:v>
      </x:c>
      <x:c r="I1022" s="16" t="n">
        <x:v>45791.29349762732</x:v>
      </x:c>
      <x:c r="J1022" s="16" t="n">
        <x:v>45812.29349762732</x:v>
      </x:c>
      <x:c r="K1022" s="16" t="n">
        <x:v>45814.29349762732</x:v>
      </x:c>
      <x:c r="L1022" s="20" t="n">
        <x:v>101909.23</x:v>
      </x:c>
      <x:c r="M1022" s="20" t="n">
        <x:v>163.05</x:v>
      </x:c>
      <x:c r="N1022" s="20" t="n">
        <x:v>0</x:v>
      </x:c>
      <x:c r="O1022" s="20" t="n">
        <x:v>102072.28</x:v>
      </x:c>
      <x:c r="P1022" s="20" t="n">
        <x:v>0</x:v>
      </x:c>
      <x:c r="Q1022" s="10" t="str">
        <x:v>Recebido</x:v>
      </x:c>
      <x:c r="R1022" s="10" t="str">
        <x:v>TED</x:v>
      </x:c>
      <x:c r="S1022" s="10" t="str">
        <x:v>2025-05</x:v>
      </x:c>
      <x:c r="T1022" s="10" t="n">
        <x:v>0</x:v>
      </x:c>
      <x:c r="U1022" s="10" t="str">
        <x:v>Liquidado</x:v>
      </x:c>
      <x:c r="V1022" s="10" t="str">
        <x:v>Baixo</x:v>
      </x:c>
      <x:c r="W1022" s="10" t="str">
        <x:v>Indústria</x:v>
      </x:c>
      <x:c r="X1022" s="10" t="str">
        <x:v>UND002</x:v>
      </x:c>
    </x:row>
    <x:row r="1023" ht="18" customHeight="1">
      <x:c r="A1023" s="10" t="str">
        <x:v>REC01022</x:v>
      </x:c>
      <x:c r="B1023" s="10" t="str">
        <x:v>EMP001</x:v>
      </x:c>
      <x:c r="C1023" s="10" t="str">
        <x:v>CLI068</x:v>
      </x:c>
      <x:c r="D1023" s="10" t="str">
        <x:v>CC002</x:v>
      </x:c>
      <x:c r="E1023" s="10" t="str">
        <x:v>CAT001</x:v>
      </x:c>
      <x:c r="F1023" s="10" t="str">
        <x:v>CTA001</x:v>
      </x:c>
      <x:c r="G1023" s="10" t="str">
        <x:v>FAT-201022</x:v>
      </x:c>
      <x:c r="H1023" s="10" t="str">
        <x:v>Contrato mensal</x:v>
      </x:c>
      <x:c r="I1023" s="16" t="n">
        <x:v>45349.283010555555</x:v>
      </x:c>
      <x:c r="J1023" s="16" t="n">
        <x:v>45409.283010555555</x:v>
      </x:c>
      <x:c r="K1023" s="16" t="n">
        <x:v>45423.283010555555</x:v>
      </x:c>
      <x:c r="L1023" s="20" t="n">
        <x:v>9171.27</x:v>
      </x:c>
      <x:c r="M1023" s="20" t="n">
        <x:v>102.72</x:v>
      </x:c>
      <x:c r="N1023" s="20" t="n">
        <x:v>0</x:v>
      </x:c>
      <x:c r="O1023" s="20" t="n">
        <x:v>9273.99</x:v>
      </x:c>
      <x:c r="P1023" s="20" t="n">
        <x:v>0</x:v>
      </x:c>
      <x:c r="Q1023" s="10" t="str">
        <x:v>Recebido</x:v>
      </x:c>
      <x:c r="R1023" s="10" t="str">
        <x:v>PIX</x:v>
      </x:c>
      <x:c r="S1023" s="10" t="str">
        <x:v>2024-02</x:v>
      </x:c>
      <x:c r="T1023" s="10" t="n">
        <x:v>0</x:v>
      </x:c>
      <x:c r="U1023" s="10" t="str">
        <x:v>Liquidado</x:v>
      </x:c>
      <x:c r="V1023" s="10" t="str">
        <x:v>Médio</x:v>
      </x:c>
      <x:c r="W1023" s="10" t="str">
        <x:v>Varejo</x:v>
      </x:c>
      <x:c r="X1023" s="10" t="str">
        <x:v>UND002</x:v>
      </x:c>
    </x:row>
    <x:row r="1024" ht="18" customHeight="1">
      <x:c r="A1024" s="10" t="str">
        <x:v>REC01023</x:v>
      </x:c>
      <x:c r="B1024" s="10" t="str">
        <x:v>EMP003</x:v>
      </x:c>
      <x:c r="C1024" s="10" t="str">
        <x:v>CLI030</x:v>
      </x:c>
      <x:c r="D1024" s="10" t="str">
        <x:v>CC002</x:v>
      </x:c>
      <x:c r="E1024" s="10" t="str">
        <x:v>CAT002</x:v>
      </x:c>
      <x:c r="F1024" s="10" t="str">
        <x:v>CTA005</x:v>
      </x:c>
      <x:c r="G1024" s="10" t="str">
        <x:v>FAT-201023</x:v>
      </x:c>
      <x:c r="H1024" s="10" t="str">
        <x:v>Venda de produtos</x:v>
      </x:c>
      <x:c r="I1024" s="16" t="n">
        <x:v>45879.365126979166</x:v>
      </x:c>
      <x:c r="J1024" s="16" t="n">
        <x:v>45907.365126979166</x:v>
      </x:c>
      <x:c r="K1024" s="16" t="n">
        <x:v>45901.365126979166</x:v>
      </x:c>
      <x:c r="L1024" s="20" t="n">
        <x:v>64503.05</x:v>
      </x:c>
      <x:c r="M1024" s="20" t="n">
        <x:v>0</x:v>
      </x:c>
      <x:c r="N1024" s="20" t="n">
        <x:v>0</x:v>
      </x:c>
      <x:c r="O1024" s="20" t="n">
        <x:v>64503.05</x:v>
      </x:c>
      <x:c r="P1024" s="20" t="n">
        <x:v>0</x:v>
      </x:c>
      <x:c r="Q1024" s="10" t="str">
        <x:v>Recebido</x:v>
      </x:c>
      <x:c r="R1024" s="10" t="str">
        <x:v>Cartão</x:v>
      </x:c>
      <x:c r="S1024" s="10" t="str">
        <x:v>2025-08</x:v>
      </x:c>
      <x:c r="T1024" s="10" t="n">
        <x:v>0</x:v>
      </x:c>
      <x:c r="U1024" s="10" t="str">
        <x:v>Liquidado</x:v>
      </x:c>
      <x:c r="V1024" s="10" t="str">
        <x:v>Baixo</x:v>
      </x:c>
      <x:c r="W1024" s="10" t="str">
        <x:v>Tecnologia</x:v>
      </x:c>
      <x:c r="X1024" s="10" t="str">
        <x:v>UND004</x:v>
      </x:c>
    </x:row>
    <x:row r="1025" ht="18" customHeight="1">
      <x:c r="A1025" s="10" t="str">
        <x:v>REC01024</x:v>
      </x:c>
      <x:c r="B1025" s="10" t="str">
        <x:v>EMP002</x:v>
      </x:c>
      <x:c r="C1025" s="10" t="str">
        <x:v>CLI008</x:v>
      </x:c>
      <x:c r="D1025" s="10" t="str">
        <x:v>CC002</x:v>
      </x:c>
      <x:c r="E1025" s="10" t="str">
        <x:v>CAT001</x:v>
      </x:c>
      <x:c r="F1025" s="10" t="str">
        <x:v>CTA004</x:v>
      </x:c>
      <x:c r="G1025" s="10" t="str">
        <x:v>FAT-201024</x:v>
      </x:c>
      <x:c r="H1025" s="10" t="str">
        <x:v>Contrato mensal</x:v>
      </x:c>
      <x:c r="I1025" s="16" t="n">
        <x:v>45858.83527672454</x:v>
      </x:c>
      <x:c r="J1025" s="16" t="n">
        <x:v>45893.83527672454</x:v>
      </x:c>
      <x:c r="K1025" s="16"/>
      <x:c r="L1025" s="20" t="n">
        <x:v>81967.83</x:v>
      </x:c>
      <x:c r="M1025" s="20" t="n">
        <x:v>0</x:v>
      </x:c>
      <x:c r="N1025" s="20" t="n">
        <x:v>0</x:v>
      </x:c>
      <x:c r="O1025" s="20" t="n">
        <x:v>0</x:v>
      </x:c>
      <x:c r="P1025" s="20" t="n">
        <x:v>81967.83</x:v>
      </x:c>
      <x:c r="Q1025" s="10" t="str">
        <x:v>Vencido</x:v>
      </x:c>
      <x:c r="R1025" s="10" t="str">
        <x:v>Boleto</x:v>
      </x:c>
      <x:c r="S1025" s="10" t="str">
        <x:v>2025-07</x:v>
      </x:c>
      <x:c r="T1025" s="10" t="n">
        <x:v>128</x:v>
      </x:c>
      <x:c r="U1025" s="10" t="str">
        <x:v>&gt; 120 dias</x:v>
      </x:c>
      <x:c r="V1025" s="10" t="str">
        <x:v>Médio</x:v>
      </x:c>
      <x:c r="W1025" s="10" t="str">
        <x:v>Saúde</x:v>
      </x:c>
      <x:c r="X1025" s="10" t="str">
        <x:v>UND003</x:v>
      </x:c>
    </x:row>
    <x:row r="1026" ht="18" customHeight="1">
      <x:c r="A1026" s="10" t="str">
        <x:v>REC01025</x:v>
      </x:c>
      <x:c r="B1026" s="10" t="str">
        <x:v>EMP002</x:v>
      </x:c>
      <x:c r="C1026" s="10" t="str">
        <x:v>CLI045</x:v>
      </x:c>
      <x:c r="D1026" s="10" t="str">
        <x:v>CC004</x:v>
      </x:c>
      <x:c r="E1026" s="10" t="str">
        <x:v>CAT002</x:v>
      </x:c>
      <x:c r="F1026" s="10" t="str">
        <x:v>CTA004</x:v>
      </x:c>
      <x:c r="G1026" s="10" t="str">
        <x:v>FAT-201025</x:v>
      </x:c>
      <x:c r="H1026" s="10" t="str">
        <x:v>Frete faturado</x:v>
      </x:c>
      <x:c r="I1026" s="16" t="n">
        <x:v>45617.46225783565</x:v>
      </x:c>
      <x:c r="J1026" s="16" t="n">
        <x:v>45645.46225783565</x:v>
      </x:c>
      <x:c r="K1026" s="16" t="n">
        <x:v>45651.46225783565</x:v>
      </x:c>
      <x:c r="L1026" s="20" t="n">
        <x:v>130205.18</x:v>
      </x:c>
      <x:c r="M1026" s="20" t="n">
        <x:v>624.98</x:v>
      </x:c>
      <x:c r="N1026" s="20" t="n">
        <x:v>0</x:v>
      </x:c>
      <x:c r="O1026" s="20" t="n">
        <x:v>130830.16</x:v>
      </x:c>
      <x:c r="P1026" s="20" t="n">
        <x:v>0</x:v>
      </x:c>
      <x:c r="Q1026" s="10" t="str">
        <x:v>Recebido</x:v>
      </x:c>
      <x:c r="R1026" s="10" t="str">
        <x:v>TED</x:v>
      </x:c>
      <x:c r="S1026" s="10" t="str">
        <x:v>2024-11</x:v>
      </x:c>
      <x:c r="T1026" s="10" t="n">
        <x:v>0</x:v>
      </x:c>
      <x:c r="U1026" s="10" t="str">
        <x:v>Liquidado</x:v>
      </x:c>
      <x:c r="V1026" s="10" t="str">
        <x:v>Baixo</x:v>
      </x:c>
      <x:c r="W1026" s="10" t="str">
        <x:v>Varejo</x:v>
      </x:c>
      <x:c r="X1026" s="10" t="str">
        <x:v>UND003</x:v>
      </x:c>
    </x:row>
    <x:row r="1027" ht="18" customHeight="1">
      <x:c r="A1027" s="10" t="str">
        <x:v>REC01026</x:v>
      </x:c>
      <x:c r="B1027" s="10" t="str">
        <x:v>EMP003</x:v>
      </x:c>
      <x:c r="C1027" s="10" t="str">
        <x:v>CLI047</x:v>
      </x:c>
      <x:c r="D1027" s="10" t="str">
        <x:v>CC008</x:v>
      </x:c>
      <x:c r="E1027" s="10" t="str">
        <x:v>CAT002</x:v>
      </x:c>
      <x:c r="F1027" s="10" t="str">
        <x:v>CTA006</x:v>
      </x:c>
      <x:c r="G1027" s="10" t="str">
        <x:v>FAT-201026</x:v>
      </x:c>
      <x:c r="H1027" s="10" t="str">
        <x:v>Frete faturado</x:v>
      </x:c>
      <x:c r="I1027" s="16" t="n">
        <x:v>45625.3698037963</x:v>
      </x:c>
      <x:c r="J1027" s="16" t="n">
        <x:v>45655.3698037963</x:v>
      </x:c>
      <x:c r="K1027" s="16" t="n">
        <x:v>45653.3698037963</x:v>
      </x:c>
      <x:c r="L1027" s="20" t="n">
        <x:v>54572.01</x:v>
      </x:c>
      <x:c r="M1027" s="20" t="n">
        <x:v>0</x:v>
      </x:c>
      <x:c r="N1027" s="20" t="n">
        <x:v>0</x:v>
      </x:c>
      <x:c r="O1027" s="20" t="n">
        <x:v>54572.01</x:v>
      </x:c>
      <x:c r="P1027" s="20" t="n">
        <x:v>0</x:v>
      </x:c>
      <x:c r="Q1027" s="10" t="str">
        <x:v>Recebido</x:v>
      </x:c>
      <x:c r="R1027" s="10" t="str">
        <x:v>Boleto</x:v>
      </x:c>
      <x:c r="S1027" s="10" t="str">
        <x:v>2024-11</x:v>
      </x:c>
      <x:c r="T1027" s="10" t="n">
        <x:v>0</x:v>
      </x:c>
      <x:c r="U1027" s="10" t="str">
        <x:v>Liquidado</x:v>
      </x:c>
      <x:c r="V1027" s="10" t="str">
        <x:v>Baixo</x:v>
      </x:c>
      <x:c r="W1027" s="10" t="str">
        <x:v>Serviços</x:v>
      </x:c>
      <x:c r="X1027" s="10" t="str">
        <x:v>UND004</x:v>
      </x:c>
    </x:row>
    <x:row r="1028" ht="18" customHeight="1">
      <x:c r="A1028" s="10" t="str">
        <x:v>REC01027</x:v>
      </x:c>
      <x:c r="B1028" s="10" t="str">
        <x:v>EMP001</x:v>
      </x:c>
      <x:c r="C1028" s="10" t="str">
        <x:v>CLI001</x:v>
      </x:c>
      <x:c r="D1028" s="10" t="str">
        <x:v>CC003</x:v>
      </x:c>
      <x:c r="E1028" s="10" t="str">
        <x:v>CAT003</x:v>
      </x:c>
      <x:c r="F1028" s="10" t="str">
        <x:v>CTA002</x:v>
      </x:c>
      <x:c r="G1028" s="10" t="str">
        <x:v>FAT-201027</x:v>
      </x:c>
      <x:c r="H1028" s="10" t="str">
        <x:v>Contrato mensal</x:v>
      </x:c>
      <x:c r="I1028" s="16" t="n">
        <x:v>45853.52093100695</x:v>
      </x:c>
      <x:c r="J1028" s="16" t="n">
        <x:v>45881.52093100695</x:v>
      </x:c>
      <x:c r="K1028" s="16" t="n">
        <x:v>45880.52093100695</x:v>
      </x:c>
      <x:c r="L1028" s="20" t="n">
        <x:v>56778.87</x:v>
      </x:c>
      <x:c r="M1028" s="20" t="n">
        <x:v>0</x:v>
      </x:c>
      <x:c r="N1028" s="20" t="n">
        <x:v>0</x:v>
      </x:c>
      <x:c r="O1028" s="20" t="n">
        <x:v>56778.87</x:v>
      </x:c>
      <x:c r="P1028" s="20" t="n">
        <x:v>0</x:v>
      </x:c>
      <x:c r="Q1028" s="10" t="str">
        <x:v>Recebido</x:v>
      </x:c>
      <x:c r="R1028" s="10" t="str">
        <x:v>Boleto</x:v>
      </x:c>
      <x:c r="S1028" s="10" t="str">
        <x:v>2025-07</x:v>
      </x:c>
      <x:c r="T1028" s="10" t="n">
        <x:v>0</x:v>
      </x:c>
      <x:c r="U1028" s="10" t="str">
        <x:v>Liquidado</x:v>
      </x:c>
      <x:c r="V1028" s="10" t="str">
        <x:v>Baixo</x:v>
      </x:c>
      <x:c r="W1028" s="10" t="str">
        <x:v>Serviços</x:v>
      </x:c>
      <x:c r="X1028" s="10" t="str">
        <x:v>UND002</x:v>
      </x:c>
    </x:row>
    <x:row r="1029" ht="18" customHeight="1">
      <x:c r="A1029" s="10" t="str">
        <x:v>REC01028</x:v>
      </x:c>
      <x:c r="B1029" s="10" t="str">
        <x:v>EMP003</x:v>
      </x:c>
      <x:c r="C1029" s="10" t="str">
        <x:v>CLI026</x:v>
      </x:c>
      <x:c r="D1029" s="10" t="str">
        <x:v>CC001</x:v>
      </x:c>
      <x:c r="E1029" s="10" t="str">
        <x:v>CAT003</x:v>
      </x:c>
      <x:c r="F1029" s="10" t="str">
        <x:v>CTA006</x:v>
      </x:c>
      <x:c r="G1029" s="10" t="str">
        <x:v>FAT-201028</x:v>
      </x:c>
      <x:c r="H1029" s="10" t="str">
        <x:v>Venda de produtos</x:v>
      </x:c>
      <x:c r="I1029" s="16" t="n">
        <x:v>45458.84828563657</x:v>
      </x:c>
      <x:c r="J1029" s="16" t="n">
        <x:v>45486.84828563657</x:v>
      </x:c>
      <x:c r="K1029" s="16" t="n">
        <x:v>45490.84828563657</x:v>
      </x:c>
      <x:c r="L1029" s="20" t="n">
        <x:v>1378.73</x:v>
      </x:c>
      <x:c r="M1029" s="20" t="n">
        <x:v>4.41</x:v>
      </x:c>
      <x:c r="N1029" s="20" t="n">
        <x:v>0</x:v>
      </x:c>
      <x:c r="O1029" s="20" t="n">
        <x:v>1383.14</x:v>
      </x:c>
      <x:c r="P1029" s="20" t="n">
        <x:v>0</x:v>
      </x:c>
      <x:c r="Q1029" s="10" t="str">
        <x:v>Recebido</x:v>
      </x:c>
      <x:c r="R1029" s="10" t="str">
        <x:v>TED</x:v>
      </x:c>
      <x:c r="S1029" s="10" t="str">
        <x:v>2024-06</x:v>
      </x:c>
      <x:c r="T1029" s="10" t="n">
        <x:v>0</x:v>
      </x:c>
      <x:c r="U1029" s="10" t="str">
        <x:v>Liquidado</x:v>
      </x:c>
      <x:c r="V1029" s="10" t="str">
        <x:v>Médio</x:v>
      </x:c>
      <x:c r="W1029" s="10" t="str">
        <x:v>Atacado</x:v>
      </x:c>
      <x:c r="X1029" s="10" t="str">
        <x:v>UND004</x:v>
      </x:c>
    </x:row>
    <x:row r="1030" ht="18" customHeight="1">
      <x:c r="A1030" s="10" t="str">
        <x:v>REC01029</x:v>
      </x:c>
      <x:c r="B1030" s="10" t="str">
        <x:v>EMP001</x:v>
      </x:c>
      <x:c r="C1030" s="10" t="str">
        <x:v>CLI041</x:v>
      </x:c>
      <x:c r="D1030" s="10" t="str">
        <x:v>CC003</x:v>
      </x:c>
      <x:c r="E1030" s="10" t="str">
        <x:v>CAT002</x:v>
      </x:c>
      <x:c r="F1030" s="10" t="str">
        <x:v>CTA001</x:v>
      </x:c>
      <x:c r="G1030" s="10" t="str">
        <x:v>FAT-201029</x:v>
      </x:c>
      <x:c r="H1030" s="10" t="str">
        <x:v>Frete faturado</x:v>
      </x:c>
      <x:c r="I1030" s="16" t="n">
        <x:v>45959.17922886574</x:v>
      </x:c>
      <x:c r="J1030" s="16" t="n">
        <x:v>46004.17922886574</x:v>
      </x:c>
      <x:c r="K1030" s="16" t="n">
        <x:v>46017.17922886574</x:v>
      </x:c>
      <x:c r="L1030" s="20" t="n">
        <x:v>4606.63</x:v>
      </x:c>
      <x:c r="M1030" s="20" t="n">
        <x:v>47.91</x:v>
      </x:c>
      <x:c r="N1030" s="20" t="n">
        <x:v>0</x:v>
      </x:c>
      <x:c r="O1030" s="20" t="n">
        <x:v>4654.54</x:v>
      </x:c>
      <x:c r="P1030" s="20" t="n">
        <x:v>0</x:v>
      </x:c>
      <x:c r="Q1030" s="10" t="str">
        <x:v>Recebido</x:v>
      </x:c>
      <x:c r="R1030" s="10" t="str">
        <x:v>Débito em Conta</x:v>
      </x:c>
      <x:c r="S1030" s="10" t="str">
        <x:v>2025-10</x:v>
      </x:c>
      <x:c r="T1030" s="10" t="n">
        <x:v>0</x:v>
      </x:c>
      <x:c r="U1030" s="10" t="str">
        <x:v>Liquidado</x:v>
      </x:c>
      <x:c r="V1030" s="10" t="str">
        <x:v>Alto</x:v>
      </x:c>
      <x:c r="W1030" s="10" t="str">
        <x:v>Indústria</x:v>
      </x:c>
      <x:c r="X1030" s="10" t="str">
        <x:v>UND001</x:v>
      </x:c>
    </x:row>
    <x:row r="1031" ht="18" customHeight="1">
      <x:c r="A1031" s="10" t="str">
        <x:v>REC01030</x:v>
      </x:c>
      <x:c r="B1031" s="10" t="str">
        <x:v>EMP001</x:v>
      </x:c>
      <x:c r="C1031" s="10" t="str">
        <x:v>CLI074</x:v>
      </x:c>
      <x:c r="D1031" s="10" t="str">
        <x:v>CC007</x:v>
      </x:c>
      <x:c r="E1031" s="10" t="str">
        <x:v>CAT004</x:v>
      </x:c>
      <x:c r="F1031" s="10" t="str">
        <x:v>CTA001</x:v>
      </x:c>
      <x:c r="G1031" s="10" t="str">
        <x:v>FAT-201030</x:v>
      </x:c>
      <x:c r="H1031" s="10" t="str">
        <x:v>Projeto especial</x:v>
      </x:c>
      <x:c r="I1031" s="16" t="n">
        <x:v>45748.38001501157</x:v>
      </x:c>
      <x:c r="J1031" s="16" t="n">
        <x:v>45793.38001501157</x:v>
      </x:c>
      <x:c r="K1031" s="16" t="n">
        <x:v>45794.38001501157</x:v>
      </x:c>
      <x:c r="L1031" s="20" t="n">
        <x:v>850.05</x:v>
      </x:c>
      <x:c r="M1031" s="20" t="n">
        <x:v>0.68</x:v>
      </x:c>
      <x:c r="N1031" s="20" t="n">
        <x:v>0</x:v>
      </x:c>
      <x:c r="O1031" s="20" t="n">
        <x:v>850.73</x:v>
      </x:c>
      <x:c r="P1031" s="20" t="n">
        <x:v>0</x:v>
      </x:c>
      <x:c r="Q1031" s="10" t="str">
        <x:v>Recebido</x:v>
      </x:c>
      <x:c r="R1031" s="10" t="str">
        <x:v>PIX</x:v>
      </x:c>
      <x:c r="S1031" s="10" t="str">
        <x:v>2025-04</x:v>
      </x:c>
      <x:c r="T1031" s="10" t="n">
        <x:v>0</x:v>
      </x:c>
      <x:c r="U1031" s="10" t="str">
        <x:v>Liquidado</x:v>
      </x:c>
      <x:c r="V1031" s="10" t="str">
        <x:v>Médio</x:v>
      </x:c>
      <x:c r="W1031" s="10" t="str">
        <x:v>Tecnologia</x:v>
      </x:c>
      <x:c r="X1031" s="10" t="str">
        <x:v>UND002</x:v>
      </x:c>
    </x:row>
    <x:row r="1032" ht="18" customHeight="1">
      <x:c r="A1032" s="10" t="str">
        <x:v>REC01031</x:v>
      </x:c>
      <x:c r="B1032" s="10" t="str">
        <x:v>EMP003</x:v>
      </x:c>
      <x:c r="C1032" s="10" t="str">
        <x:v>CLI039</x:v>
      </x:c>
      <x:c r="D1032" s="10" t="str">
        <x:v>CC004</x:v>
      </x:c>
      <x:c r="E1032" s="10" t="str">
        <x:v>CAT001</x:v>
      </x:c>
      <x:c r="F1032" s="10" t="str">
        <x:v>CTA005</x:v>
      </x:c>
      <x:c r="G1032" s="10" t="str">
        <x:v>FAT-201031</x:v>
      </x:c>
      <x:c r="H1032" s="10" t="str">
        <x:v>Prestação de serviços</x:v>
      </x:c>
      <x:c r="I1032" s="16" t="n">
        <x:v>45787.50509767361</x:v>
      </x:c>
      <x:c r="J1032" s="16" t="n">
        <x:v>45832.50509767361</x:v>
      </x:c>
      <x:c r="K1032" s="16" t="n">
        <x:v>45837.50509767361</x:v>
      </x:c>
      <x:c r="L1032" s="20" t="n">
        <x:v>61364.22</x:v>
      </x:c>
      <x:c r="M1032" s="20" t="n">
        <x:v>245.46</x:v>
      </x:c>
      <x:c r="N1032" s="20" t="n">
        <x:v>0</x:v>
      </x:c>
      <x:c r="O1032" s="20" t="n">
        <x:v>61609.68</x:v>
      </x:c>
      <x:c r="P1032" s="20" t="n">
        <x:v>0</x:v>
      </x:c>
      <x:c r="Q1032" s="10" t="str">
        <x:v>Recebido</x:v>
      </x:c>
      <x:c r="R1032" s="10" t="str">
        <x:v>PIX</x:v>
      </x:c>
      <x:c r="S1032" s="10" t="str">
        <x:v>2025-05</x:v>
      </x:c>
      <x:c r="T1032" s="10" t="n">
        <x:v>0</x:v>
      </x:c>
      <x:c r="U1032" s="10" t="str">
        <x:v>Liquidado</x:v>
      </x:c>
      <x:c r="V1032" s="10" t="str">
        <x:v>Alto</x:v>
      </x:c>
      <x:c r="W1032" s="10" t="str">
        <x:v>Saúde</x:v>
      </x:c>
      <x:c r="X1032" s="10" t="str">
        <x:v>UND004</x:v>
      </x:c>
    </x:row>
    <x:row r="1033" ht="18" customHeight="1">
      <x:c r="A1033" s="10" t="str">
        <x:v>REC01032</x:v>
      </x:c>
      <x:c r="B1033" s="10" t="str">
        <x:v>EMP001</x:v>
      </x:c>
      <x:c r="C1033" s="10" t="str">
        <x:v>CLI076</x:v>
      </x:c>
      <x:c r="D1033" s="10" t="str">
        <x:v>CC008</x:v>
      </x:c>
      <x:c r="E1033" s="10" t="str">
        <x:v>CAT001</x:v>
      </x:c>
      <x:c r="F1033" s="10" t="str">
        <x:v>CTA002</x:v>
      </x:c>
      <x:c r="G1033" s="10" t="str">
        <x:v>FAT-201032</x:v>
      </x:c>
      <x:c r="H1033" s="10" t="str">
        <x:v>Prestação de serviços</x:v>
      </x:c>
      <x:c r="I1033" s="16" t="n">
        <x:v>45728.22516439815</x:v>
      </x:c>
      <x:c r="J1033" s="16" t="n">
        <x:v>45758.22516439815</x:v>
      </x:c>
      <x:c r="K1033" s="16" t="n">
        <x:v>45762.22516439815</x:v>
      </x:c>
      <x:c r="L1033" s="20" t="n">
        <x:v>99141.22</x:v>
      </x:c>
      <x:c r="M1033" s="20" t="n">
        <x:v>317.25</x:v>
      </x:c>
      <x:c r="N1033" s="20" t="n">
        <x:v>0</x:v>
      </x:c>
      <x:c r="O1033" s="20" t="n">
        <x:v>99458.47</x:v>
      </x:c>
      <x:c r="P1033" s="20" t="n">
        <x:v>0</x:v>
      </x:c>
      <x:c r="Q1033" s="10" t="str">
        <x:v>Recebido</x:v>
      </x:c>
      <x:c r="R1033" s="10" t="str">
        <x:v>Cartão</x:v>
      </x:c>
      <x:c r="S1033" s="10" t="str">
        <x:v>2025-03</x:v>
      </x:c>
      <x:c r="T1033" s="10" t="n">
        <x:v>0</x:v>
      </x:c>
      <x:c r="U1033" s="10" t="str">
        <x:v>Liquidado</x:v>
      </x:c>
      <x:c r="V1033" s="10" t="str">
        <x:v>Baixo</x:v>
      </x:c>
      <x:c r="W1033" s="10" t="str">
        <x:v>Tecnologia</x:v>
      </x:c>
      <x:c r="X1033" s="10" t="str">
        <x:v>UND001</x:v>
      </x:c>
    </x:row>
    <x:row r="1034" ht="18" customHeight="1">
      <x:c r="A1034" s="10" t="str">
        <x:v>REC01033</x:v>
      </x:c>
      <x:c r="B1034" s="10" t="str">
        <x:v>EMP003</x:v>
      </x:c>
      <x:c r="C1034" s="10" t="str">
        <x:v>CLI051</x:v>
      </x:c>
      <x:c r="D1034" s="10" t="str">
        <x:v>CC004</x:v>
      </x:c>
      <x:c r="E1034" s="10" t="str">
        <x:v>CAT002</x:v>
      </x:c>
      <x:c r="F1034" s="10" t="str">
        <x:v>CTA005</x:v>
      </x:c>
      <x:c r="G1034" s="10" t="str">
        <x:v>FAT-201033</x:v>
      </x:c>
      <x:c r="H1034" s="10" t="str">
        <x:v>Prestação de serviços</x:v>
      </x:c>
      <x:c r="I1034" s="16" t="n">
        <x:v>45303.316090127315</x:v>
      </x:c>
      <x:c r="J1034" s="16" t="n">
        <x:v>45324.316090127315</x:v>
      </x:c>
      <x:c r="K1034" s="16" t="n">
        <x:v>45330.316090127315</x:v>
      </x:c>
      <x:c r="L1034" s="20" t="n">
        <x:v>60611.77</x:v>
      </x:c>
      <x:c r="M1034" s="20" t="n">
        <x:v>290.94</x:v>
      </x:c>
      <x:c r="N1034" s="20" t="n">
        <x:v>0</x:v>
      </x:c>
      <x:c r="O1034" s="20" t="n">
        <x:v>60902.71</x:v>
      </x:c>
      <x:c r="P1034" s="20" t="n">
        <x:v>0</x:v>
      </x:c>
      <x:c r="Q1034" s="10" t="str">
        <x:v>Recebido</x:v>
      </x:c>
      <x:c r="R1034" s="10" t="str">
        <x:v>TED</x:v>
      </x:c>
      <x:c r="S1034" s="10" t="str">
        <x:v>2024-01</x:v>
      </x:c>
      <x:c r="T1034" s="10" t="n">
        <x:v>0</x:v>
      </x:c>
      <x:c r="U1034" s="10" t="str">
        <x:v>Liquidado</x:v>
      </x:c>
      <x:c r="V1034" s="10" t="str">
        <x:v>Médio</x:v>
      </x:c>
      <x:c r="W1034" s="10" t="str">
        <x:v>Saúde</x:v>
      </x:c>
      <x:c r="X1034" s="10" t="str">
        <x:v>UND004</x:v>
      </x:c>
    </x:row>
    <x:row r="1035" ht="18" customHeight="1">
      <x:c r="A1035" s="10" t="str">
        <x:v>REC01034</x:v>
      </x:c>
      <x:c r="B1035" s="10" t="str">
        <x:v>EMP002</x:v>
      </x:c>
      <x:c r="C1035" s="10" t="str">
        <x:v>CLI069</x:v>
      </x:c>
      <x:c r="D1035" s="10" t="str">
        <x:v>CC008</x:v>
      </x:c>
      <x:c r="E1035" s="10" t="str">
        <x:v>CAT004</x:v>
      </x:c>
      <x:c r="F1035" s="10" t="str">
        <x:v>CTA003</x:v>
      </x:c>
      <x:c r="G1035" s="10" t="str">
        <x:v>FAT-201034</x:v>
      </x:c>
      <x:c r="H1035" s="10" t="str">
        <x:v>Venda de produtos</x:v>
      </x:c>
      <x:c r="I1035" s="16" t="n">
        <x:v>45926.192430648145</x:v>
      </x:c>
      <x:c r="J1035" s="16" t="n">
        <x:v>45956.192430648145</x:v>
      </x:c>
      <x:c r="K1035" s="16" t="n">
        <x:v>45956.192430648145</x:v>
      </x:c>
      <x:c r="L1035" s="20" t="n">
        <x:v>56849.86</x:v>
      </x:c>
      <x:c r="M1035" s="20" t="n">
        <x:v>0</x:v>
      </x:c>
      <x:c r="N1035" s="20" t="n">
        <x:v>0</x:v>
      </x:c>
      <x:c r="O1035" s="20" t="n">
        <x:v>56849.86</x:v>
      </x:c>
      <x:c r="P1035" s="20" t="n">
        <x:v>0</x:v>
      </x:c>
      <x:c r="Q1035" s="10" t="str">
        <x:v>Recebido</x:v>
      </x:c>
      <x:c r="R1035" s="10" t="str">
        <x:v>Cartão</x:v>
      </x:c>
      <x:c r="S1035" s="10" t="str">
        <x:v>2025-09</x:v>
      </x:c>
      <x:c r="T1035" s="10" t="n">
        <x:v>0</x:v>
      </x:c>
      <x:c r="U1035" s="10" t="str">
        <x:v>Liquidado</x:v>
      </x:c>
      <x:c r="V1035" s="10" t="str">
        <x:v>Alto</x:v>
      </x:c>
      <x:c r="W1035" s="10" t="str">
        <x:v>Tecnologia</x:v>
      </x:c>
      <x:c r="X1035" s="10" t="str">
        <x:v>UND003</x:v>
      </x:c>
    </x:row>
    <x:row r="1036" ht="18" customHeight="1">
      <x:c r="A1036" s="10" t="str">
        <x:v>REC01035</x:v>
      </x:c>
      <x:c r="B1036" s="10" t="str">
        <x:v>EMP003</x:v>
      </x:c>
      <x:c r="C1036" s="10" t="str">
        <x:v>CLI069</x:v>
      </x:c>
      <x:c r="D1036" s="10" t="str">
        <x:v>CC002</x:v>
      </x:c>
      <x:c r="E1036" s="10" t="str">
        <x:v>CAT002</x:v>
      </x:c>
      <x:c r="F1036" s="10" t="str">
        <x:v>CTA006</x:v>
      </x:c>
      <x:c r="G1036" s="10" t="str">
        <x:v>FAT-201035</x:v>
      </x:c>
      <x:c r="H1036" s="10" t="str">
        <x:v>Contrato mensal</x:v>
      </x:c>
      <x:c r="I1036" s="16" t="n">
        <x:v>45844.69920909722</x:v>
      </x:c>
      <x:c r="J1036" s="16" t="n">
        <x:v>45874.69920909722</x:v>
      </x:c>
      <x:c r="K1036" s="16" t="n">
        <x:v>45898.69920909722</x:v>
      </x:c>
      <x:c r="L1036" s="20" t="n">
        <x:v>8055.97</x:v>
      </x:c>
      <x:c r="M1036" s="20" t="n">
        <x:v>154.67</x:v>
      </x:c>
      <x:c r="N1036" s="20" t="n">
        <x:v>0</x:v>
      </x:c>
      <x:c r="O1036" s="20" t="n">
        <x:v>8210.64</x:v>
      </x:c>
      <x:c r="P1036" s="20" t="n">
        <x:v>0</x:v>
      </x:c>
      <x:c r="Q1036" s="10" t="str">
        <x:v>Recebido</x:v>
      </x:c>
      <x:c r="R1036" s="10" t="str">
        <x:v>TED</x:v>
      </x:c>
      <x:c r="S1036" s="10" t="str">
        <x:v>2025-07</x:v>
      </x:c>
      <x:c r="T1036" s="10" t="n">
        <x:v>0</x:v>
      </x:c>
      <x:c r="U1036" s="10" t="str">
        <x:v>Liquidado</x:v>
      </x:c>
      <x:c r="V1036" s="10" t="str">
        <x:v>Alto</x:v>
      </x:c>
      <x:c r="W1036" s="10" t="str">
        <x:v>Tecnologia</x:v>
      </x:c>
      <x:c r="X1036" s="10" t="str">
        <x:v>UND004</x:v>
      </x:c>
    </x:row>
    <x:row r="1037" ht="18" customHeight="1">
      <x:c r="A1037" s="10" t="str">
        <x:v>REC01036</x:v>
      </x:c>
      <x:c r="B1037" s="10" t="str">
        <x:v>EMP002</x:v>
      </x:c>
      <x:c r="C1037" s="10" t="str">
        <x:v>CLI056</x:v>
      </x:c>
      <x:c r="D1037" s="10" t="str">
        <x:v>CC008</x:v>
      </x:c>
      <x:c r="E1037" s="10" t="str">
        <x:v>CAT003</x:v>
      </x:c>
      <x:c r="F1037" s="10" t="str">
        <x:v>CTA004</x:v>
      </x:c>
      <x:c r="G1037" s="10" t="str">
        <x:v>FAT-201036</x:v>
      </x:c>
      <x:c r="H1037" s="10" t="str">
        <x:v>Frete faturado</x:v>
      </x:c>
      <x:c r="I1037" s="16" t="n">
        <x:v>45384.9799090625</x:v>
      </x:c>
      <x:c r="J1037" s="16" t="n">
        <x:v>45419.9799090625</x:v>
      </x:c>
      <x:c r="K1037" s="16" t="n">
        <x:v>45422.9799090625</x:v>
      </x:c>
      <x:c r="L1037" s="20" t="n">
        <x:v>117501.88</x:v>
      </x:c>
      <x:c r="M1037" s="20" t="n">
        <x:v>282</x:v>
      </x:c>
      <x:c r="N1037" s="20" t="n">
        <x:v>0</x:v>
      </x:c>
      <x:c r="O1037" s="20" t="n">
        <x:v>117783.88</x:v>
      </x:c>
      <x:c r="P1037" s="20" t="n">
        <x:v>0</x:v>
      </x:c>
      <x:c r="Q1037" s="10" t="str">
        <x:v>Recebido</x:v>
      </x:c>
      <x:c r="R1037" s="10" t="str">
        <x:v>Débito em Conta</x:v>
      </x:c>
      <x:c r="S1037" s="10" t="str">
        <x:v>2024-04</x:v>
      </x:c>
      <x:c r="T1037" s="10" t="n">
        <x:v>0</x:v>
      </x:c>
      <x:c r="U1037" s="10" t="str">
        <x:v>Liquidado</x:v>
      </x:c>
      <x:c r="V1037" s="10" t="str">
        <x:v>Baixo</x:v>
      </x:c>
      <x:c r="W1037" s="10" t="str">
        <x:v>Tecnologia</x:v>
      </x:c>
      <x:c r="X1037" s="10" t="str">
        <x:v>UND003</x:v>
      </x:c>
    </x:row>
    <x:row r="1038" ht="18" customHeight="1">
      <x:c r="A1038" s="10" t="str">
        <x:v>REC01037</x:v>
      </x:c>
      <x:c r="B1038" s="10" t="str">
        <x:v>EMP002</x:v>
      </x:c>
      <x:c r="C1038" s="10" t="str">
        <x:v>CLI068</x:v>
      </x:c>
      <x:c r="D1038" s="10" t="str">
        <x:v>CC008</x:v>
      </x:c>
      <x:c r="E1038" s="10" t="str">
        <x:v>CAT004</x:v>
      </x:c>
      <x:c r="F1038" s="10" t="str">
        <x:v>CTA004</x:v>
      </x:c>
      <x:c r="G1038" s="10" t="str">
        <x:v>FAT-201037</x:v>
      </x:c>
      <x:c r="H1038" s="10" t="str">
        <x:v>Prestação de serviços</x:v>
      </x:c>
      <x:c r="I1038" s="16" t="n">
        <x:v>45984.43261113426</x:v>
      </x:c>
      <x:c r="J1038" s="16" t="n">
        <x:v>46012.43261113426</x:v>
      </x:c>
      <x:c r="K1038" s="16"/>
      <x:c r="L1038" s="20" t="n">
        <x:v>112159.89</x:v>
      </x:c>
      <x:c r="M1038" s="20" t="n">
        <x:v>0</x:v>
      </x:c>
      <x:c r="N1038" s="20" t="n">
        <x:v>0</x:v>
      </x:c>
      <x:c r="O1038" s="20" t="n">
        <x:v>0</x:v>
      </x:c>
      <x:c r="P1038" s="20" t="n">
        <x:v>112159.89</x:v>
      </x:c>
      <x:c r="Q1038" s="10" t="str">
        <x:v>Vencido</x:v>
      </x:c>
      <x:c r="R1038" s="10" t="str">
        <x:v>Boleto</x:v>
      </x:c>
      <x:c r="S1038" s="10" t="str">
        <x:v>2025-11</x:v>
      </x:c>
      <x:c r="T1038" s="10" t="n">
        <x:v>9</x:v>
      </x:c>
      <x:c r="U1038" s="10" t="str">
        <x:v>1 a 30 dias</x:v>
      </x:c>
      <x:c r="V1038" s="10" t="str">
        <x:v>Médio</x:v>
      </x:c>
      <x:c r="W1038" s="10" t="str">
        <x:v>Varejo</x:v>
      </x:c>
      <x:c r="X1038" s="10" t="str">
        <x:v>UND003</x:v>
      </x:c>
    </x:row>
    <x:row r="1039" ht="18" customHeight="1">
      <x:c r="A1039" s="10" t="str">
        <x:v>REC01038</x:v>
      </x:c>
      <x:c r="B1039" s="10" t="str">
        <x:v>EMP003</x:v>
      </x:c>
      <x:c r="C1039" s="10" t="str">
        <x:v>CLI031</x:v>
      </x:c>
      <x:c r="D1039" s="10" t="str">
        <x:v>CC001</x:v>
      </x:c>
      <x:c r="E1039" s="10" t="str">
        <x:v>CAT004</x:v>
      </x:c>
      <x:c r="F1039" s="10" t="str">
        <x:v>CTA006</x:v>
      </x:c>
      <x:c r="G1039" s="10" t="str">
        <x:v>FAT-201038</x:v>
      </x:c>
      <x:c r="H1039" s="10" t="str">
        <x:v>Contrato mensal</x:v>
      </x:c>
      <x:c r="I1039" s="16" t="n">
        <x:v>45840.84312107639</x:v>
      </x:c>
      <x:c r="J1039" s="16" t="n">
        <x:v>45861.84312107639</x:v>
      </x:c>
      <x:c r="K1039" s="16" t="n">
        <x:v>45856.84312107639</x:v>
      </x:c>
      <x:c r="L1039" s="20" t="n">
        <x:v>3297.14</x:v>
      </x:c>
      <x:c r="M1039" s="20" t="n">
        <x:v>0</x:v>
      </x:c>
      <x:c r="N1039" s="20" t="n">
        <x:v>0</x:v>
      </x:c>
      <x:c r="O1039" s="20" t="n">
        <x:v>3297.14</x:v>
      </x:c>
      <x:c r="P1039" s="20" t="n">
        <x:v>0</x:v>
      </x:c>
      <x:c r="Q1039" s="10" t="str">
        <x:v>Recebido</x:v>
      </x:c>
      <x:c r="R1039" s="10" t="str">
        <x:v>Débito em Conta</x:v>
      </x:c>
      <x:c r="S1039" s="10" t="str">
        <x:v>2025-07</x:v>
      </x:c>
      <x:c r="T1039" s="10" t="n">
        <x:v>0</x:v>
      </x:c>
      <x:c r="U1039" s="10" t="str">
        <x:v>Liquidado</x:v>
      </x:c>
      <x:c r="V1039" s="10" t="str">
        <x:v>Baixo</x:v>
      </x:c>
      <x:c r="W1039" s="10" t="str">
        <x:v>Serviços</x:v>
      </x:c>
      <x:c r="X1039" s="10" t="str">
        <x:v>UND004</x:v>
      </x:c>
    </x:row>
    <x:row r="1040" ht="18" customHeight="1">
      <x:c r="A1040" s="10" t="str">
        <x:v>REC01039</x:v>
      </x:c>
      <x:c r="B1040" s="10" t="str">
        <x:v>EMP001</x:v>
      </x:c>
      <x:c r="C1040" s="10" t="str">
        <x:v>CLI077</x:v>
      </x:c>
      <x:c r="D1040" s="10" t="str">
        <x:v>CC004</x:v>
      </x:c>
      <x:c r="E1040" s="10" t="str">
        <x:v>CAT001</x:v>
      </x:c>
      <x:c r="F1040" s="10" t="str">
        <x:v>CTA002</x:v>
      </x:c>
      <x:c r="G1040" s="10" t="str">
        <x:v>FAT-201039</x:v>
      </x:c>
      <x:c r="H1040" s="10" t="str">
        <x:v>Venda de produtos</x:v>
      </x:c>
      <x:c r="I1040" s="16" t="n">
        <x:v>45640.86704388889</x:v>
      </x:c>
      <x:c r="J1040" s="16" t="n">
        <x:v>45661.86704388889</x:v>
      </x:c>
      <x:c r="K1040" s="16" t="n">
        <x:v>45664.86704388889</x:v>
      </x:c>
      <x:c r="L1040" s="20" t="n">
        <x:v>5482.72</x:v>
      </x:c>
      <x:c r="M1040" s="20" t="n">
        <x:v>13.16</x:v>
      </x:c>
      <x:c r="N1040" s="20" t="n">
        <x:v>0</x:v>
      </x:c>
      <x:c r="O1040" s="20" t="n">
        <x:v>5495.88</x:v>
      </x:c>
      <x:c r="P1040" s="20" t="n">
        <x:v>0</x:v>
      </x:c>
      <x:c r="Q1040" s="10" t="str">
        <x:v>Recebido</x:v>
      </x:c>
      <x:c r="R1040" s="10" t="str">
        <x:v>TED</x:v>
      </x:c>
      <x:c r="S1040" s="10" t="str">
        <x:v>2024-12</x:v>
      </x:c>
      <x:c r="T1040" s="10" t="n">
        <x:v>0</x:v>
      </x:c>
      <x:c r="U1040" s="10" t="str">
        <x:v>Liquidado</x:v>
      </x:c>
      <x:c r="V1040" s="10" t="str">
        <x:v>Médio</x:v>
      </x:c>
      <x:c r="W1040" s="10" t="str">
        <x:v>Serviços</x:v>
      </x:c>
      <x:c r="X1040" s="10" t="str">
        <x:v>UND001</x:v>
      </x:c>
    </x:row>
    <x:row r="1041" ht="18" customHeight="1">
      <x:c r="A1041" s="10" t="str">
        <x:v>REC01040</x:v>
      </x:c>
      <x:c r="B1041" s="10" t="str">
        <x:v>EMP001</x:v>
      </x:c>
      <x:c r="C1041" s="10" t="str">
        <x:v>CLI077</x:v>
      </x:c>
      <x:c r="D1041" s="10" t="str">
        <x:v>CC008</x:v>
      </x:c>
      <x:c r="E1041" s="10" t="str">
        <x:v>CAT001</x:v>
      </x:c>
      <x:c r="F1041" s="10" t="str">
        <x:v>CTA001</x:v>
      </x:c>
      <x:c r="G1041" s="10" t="str">
        <x:v>FAT-201040</x:v>
      </x:c>
      <x:c r="H1041" s="10" t="str">
        <x:v>Contrato mensal</x:v>
      </x:c>
      <x:c r="I1041" s="16" t="n">
        <x:v>45804.0998772338</x:v>
      </x:c>
      <x:c r="J1041" s="16" t="n">
        <x:v>45864.0998772338</x:v>
      </x:c>
      <x:c r="K1041" s="16" t="n">
        <x:v>45861.0998772338</x:v>
      </x:c>
      <x:c r="L1041" s="20" t="n">
        <x:v>897.5</x:v>
      </x:c>
      <x:c r="M1041" s="20" t="n">
        <x:v>0</x:v>
      </x:c>
      <x:c r="N1041" s="20" t="n">
        <x:v>0</x:v>
      </x:c>
      <x:c r="O1041" s="20" t="n">
        <x:v>897.5</x:v>
      </x:c>
      <x:c r="P1041" s="20" t="n">
        <x:v>0</x:v>
      </x:c>
      <x:c r="Q1041" s="10" t="str">
        <x:v>Recebido</x:v>
      </x:c>
      <x:c r="R1041" s="10" t="str">
        <x:v>Boleto</x:v>
      </x:c>
      <x:c r="S1041" s="10" t="str">
        <x:v>2025-05</x:v>
      </x:c>
      <x:c r="T1041" s="10" t="n">
        <x:v>0</x:v>
      </x:c>
      <x:c r="U1041" s="10" t="str">
        <x:v>Liquidado</x:v>
      </x:c>
      <x:c r="V1041" s="10" t="str">
        <x:v>Médio</x:v>
      </x:c>
      <x:c r="W1041" s="10" t="str">
        <x:v>Serviços</x:v>
      </x:c>
      <x:c r="X1041" s="10" t="str">
        <x:v>UND001</x:v>
      </x:c>
    </x:row>
    <x:row r="1042" ht="18" customHeight="1">
      <x:c r="A1042" s="10" t="str">
        <x:v>REC01041</x:v>
      </x:c>
      <x:c r="B1042" s="10" t="str">
        <x:v>EMP001</x:v>
      </x:c>
      <x:c r="C1042" s="10" t="str">
        <x:v>CLI035</x:v>
      </x:c>
      <x:c r="D1042" s="10" t="str">
        <x:v>CC008</x:v>
      </x:c>
      <x:c r="E1042" s="10" t="str">
        <x:v>CAT002</x:v>
      </x:c>
      <x:c r="F1042" s="10" t="str">
        <x:v>CTA001</x:v>
      </x:c>
      <x:c r="G1042" s="10" t="str">
        <x:v>FAT-201041</x:v>
      </x:c>
      <x:c r="H1042" s="10" t="str">
        <x:v>Frete faturado</x:v>
      </x:c>
      <x:c r="I1042" s="16" t="n">
        <x:v>45507.385145023145</x:v>
      </x:c>
      <x:c r="J1042" s="16" t="n">
        <x:v>45528.385145023145</x:v>
      </x:c>
      <x:c r="K1042" s="16" t="n">
        <x:v>45526.385145023145</x:v>
      </x:c>
      <x:c r="L1042" s="20" t="n">
        <x:v>100873.72</x:v>
      </x:c>
      <x:c r="M1042" s="20" t="n">
        <x:v>0</x:v>
      </x:c>
      <x:c r="N1042" s="20" t="n">
        <x:v>0</x:v>
      </x:c>
      <x:c r="O1042" s="20" t="n">
        <x:v>100873.72</x:v>
      </x:c>
      <x:c r="P1042" s="20" t="n">
        <x:v>0</x:v>
      </x:c>
      <x:c r="Q1042" s="10" t="str">
        <x:v>Recebido</x:v>
      </x:c>
      <x:c r="R1042" s="10" t="str">
        <x:v>Boleto</x:v>
      </x:c>
      <x:c r="S1042" s="10" t="str">
        <x:v>2024-08</x:v>
      </x:c>
      <x:c r="T1042" s="10" t="n">
        <x:v>0</x:v>
      </x:c>
      <x:c r="U1042" s="10" t="str">
        <x:v>Liquidado</x:v>
      </x:c>
      <x:c r="V1042" s="10" t="str">
        <x:v>Médio</x:v>
      </x:c>
      <x:c r="W1042" s="10" t="str">
        <x:v>Varejo</x:v>
      </x:c>
      <x:c r="X1042" s="10" t="str">
        <x:v>UND002</x:v>
      </x:c>
    </x:row>
    <x:row r="1043" ht="18" customHeight="1">
      <x:c r="A1043" s="10" t="str">
        <x:v>REC01042</x:v>
      </x:c>
      <x:c r="B1043" s="10" t="str">
        <x:v>EMP002</x:v>
      </x:c>
      <x:c r="C1043" s="10" t="str">
        <x:v>CLI022</x:v>
      </x:c>
      <x:c r="D1043" s="10" t="str">
        <x:v>CC007</x:v>
      </x:c>
      <x:c r="E1043" s="10" t="str">
        <x:v>CAT001</x:v>
      </x:c>
      <x:c r="F1043" s="10" t="str">
        <x:v>CTA004</x:v>
      </x:c>
      <x:c r="G1043" s="10" t="str">
        <x:v>FAT-201042</x:v>
      </x:c>
      <x:c r="H1043" s="10" t="str">
        <x:v>Frete faturado</x:v>
      </x:c>
      <x:c r="I1043" s="16" t="n">
        <x:v>45674.57970971065</x:v>
      </x:c>
      <x:c r="J1043" s="16" t="n">
        <x:v>45719.57970971065</x:v>
      </x:c>
      <x:c r="K1043" s="16" t="n">
        <x:v>45717.57970971065</x:v>
      </x:c>
      <x:c r="L1043" s="20" t="n">
        <x:v>9555.08</x:v>
      </x:c>
      <x:c r="M1043" s="20" t="n">
        <x:v>0</x:v>
      </x:c>
      <x:c r="N1043" s="20" t="n">
        <x:v>0</x:v>
      </x:c>
      <x:c r="O1043" s="20" t="n">
        <x:v>9555.08</x:v>
      </x:c>
      <x:c r="P1043" s="20" t="n">
        <x:v>0</x:v>
      </x:c>
      <x:c r="Q1043" s="10" t="str">
        <x:v>Recebido</x:v>
      </x:c>
      <x:c r="R1043" s="10" t="str">
        <x:v>TED</x:v>
      </x:c>
      <x:c r="S1043" s="10" t="str">
        <x:v>2025-01</x:v>
      </x:c>
      <x:c r="T1043" s="10" t="n">
        <x:v>0</x:v>
      </x:c>
      <x:c r="U1043" s="10" t="str">
        <x:v>Liquidado</x:v>
      </x:c>
      <x:c r="V1043" s="10" t="str">
        <x:v>Alto</x:v>
      </x:c>
      <x:c r="W1043" s="10" t="str">
        <x:v>Tecnologia</x:v>
      </x:c>
      <x:c r="X1043" s="10" t="str">
        <x:v>UND003</x:v>
      </x:c>
    </x:row>
    <x:row r="1044" ht="18" customHeight="1">
      <x:c r="A1044" s="10" t="str">
        <x:v>REC01043</x:v>
      </x:c>
      <x:c r="B1044" s="10" t="str">
        <x:v>EMP001</x:v>
      </x:c>
      <x:c r="C1044" s="10" t="str">
        <x:v>CLI072</x:v>
      </x:c>
      <x:c r="D1044" s="10" t="str">
        <x:v>CC006</x:v>
      </x:c>
      <x:c r="E1044" s="10" t="str">
        <x:v>CAT001</x:v>
      </x:c>
      <x:c r="F1044" s="10" t="str">
        <x:v>CTA002</x:v>
      </x:c>
      <x:c r="G1044" s="10" t="str">
        <x:v>FAT-201043</x:v>
      </x:c>
      <x:c r="H1044" s="10" t="str">
        <x:v>Contrato mensal</x:v>
      </x:c>
      <x:c r="I1044" s="16" t="n">
        <x:v>45300.78594710648</x:v>
      </x:c>
      <x:c r="J1044" s="16" t="n">
        <x:v>45360.78594710648</x:v>
      </x:c>
      <x:c r="K1044" s="16" t="n">
        <x:v>45363.78594710648</x:v>
      </x:c>
      <x:c r="L1044" s="20" t="n">
        <x:v>26383.54</x:v>
      </x:c>
      <x:c r="M1044" s="20" t="n">
        <x:v>63.32</x:v>
      </x:c>
      <x:c r="N1044" s="20" t="n">
        <x:v>0</x:v>
      </x:c>
      <x:c r="O1044" s="20" t="n">
        <x:v>26446.86</x:v>
      </x:c>
      <x:c r="P1044" s="20" t="n">
        <x:v>0</x:v>
      </x:c>
      <x:c r="Q1044" s="10" t="str">
        <x:v>Recebido</x:v>
      </x:c>
      <x:c r="R1044" s="10" t="str">
        <x:v>TED</x:v>
      </x:c>
      <x:c r="S1044" s="10" t="str">
        <x:v>2024-01</x:v>
      </x:c>
      <x:c r="T1044" s="10" t="n">
        <x:v>0</x:v>
      </x:c>
      <x:c r="U1044" s="10" t="str">
        <x:v>Liquidado</x:v>
      </x:c>
      <x:c r="V1044" s="10" t="str">
        <x:v>Alto</x:v>
      </x:c>
      <x:c r="W1044" s="10" t="str">
        <x:v>Varejo</x:v>
      </x:c>
      <x:c r="X1044" s="10" t="str">
        <x:v>UND001</x:v>
      </x:c>
    </x:row>
    <x:row r="1045" ht="18" customHeight="1">
      <x:c r="A1045" s="10" t="str">
        <x:v>REC01044</x:v>
      </x:c>
      <x:c r="B1045" s="10" t="str">
        <x:v>EMP002</x:v>
      </x:c>
      <x:c r="C1045" s="10" t="str">
        <x:v>CLI058</x:v>
      </x:c>
      <x:c r="D1045" s="10" t="str">
        <x:v>CC003</x:v>
      </x:c>
      <x:c r="E1045" s="10" t="str">
        <x:v>CAT003</x:v>
      </x:c>
      <x:c r="F1045" s="10" t="str">
        <x:v>CTA003</x:v>
      </x:c>
      <x:c r="G1045" s="10" t="str">
        <x:v>FAT-201044</x:v>
      </x:c>
      <x:c r="H1045" s="10" t="str">
        <x:v>Venda de produtos</x:v>
      </x:c>
      <x:c r="I1045" s="16" t="n">
        <x:v>45411.66693204861</x:v>
      </x:c>
      <x:c r="J1045" s="16" t="n">
        <x:v>45456.66693204861</x:v>
      </x:c>
      <x:c r="K1045" s="16" t="n">
        <x:v>45451.66693204861</x:v>
      </x:c>
      <x:c r="L1045" s="20" t="n">
        <x:v>11272.89</x:v>
      </x:c>
      <x:c r="M1045" s="20" t="n">
        <x:v>0</x:v>
      </x:c>
      <x:c r="N1045" s="20" t="n">
        <x:v>0</x:v>
      </x:c>
      <x:c r="O1045" s="20" t="n">
        <x:v>11272.89</x:v>
      </x:c>
      <x:c r="P1045" s="20" t="n">
        <x:v>0</x:v>
      </x:c>
      <x:c r="Q1045" s="10" t="str">
        <x:v>Recebido</x:v>
      </x:c>
      <x:c r="R1045" s="10" t="str">
        <x:v>Débito em Conta</x:v>
      </x:c>
      <x:c r="S1045" s="10" t="str">
        <x:v>2024-04</x:v>
      </x:c>
      <x:c r="T1045" s="10" t="n">
        <x:v>0</x:v>
      </x:c>
      <x:c r="U1045" s="10" t="str">
        <x:v>Liquidado</x:v>
      </x:c>
      <x:c r="V1045" s="10" t="str">
        <x:v>Baixo</x:v>
      </x:c>
      <x:c r="W1045" s="10" t="str">
        <x:v>Atacado</x:v>
      </x:c>
      <x:c r="X1045" s="10" t="str">
        <x:v>UND003</x:v>
      </x:c>
    </x:row>
    <x:row r="1046" ht="18" customHeight="1">
      <x:c r="A1046" s="10" t="str">
        <x:v>REC01045</x:v>
      </x:c>
      <x:c r="B1046" s="10" t="str">
        <x:v>EMP003</x:v>
      </x:c>
      <x:c r="C1046" s="10" t="str">
        <x:v>CLI048</x:v>
      </x:c>
      <x:c r="D1046" s="10" t="str">
        <x:v>CC007</x:v>
      </x:c>
      <x:c r="E1046" s="10" t="str">
        <x:v>CAT001</x:v>
      </x:c>
      <x:c r="F1046" s="10" t="str">
        <x:v>CTA005</x:v>
      </x:c>
      <x:c r="G1046" s="10" t="str">
        <x:v>FAT-201045</x:v>
      </x:c>
      <x:c r="H1046" s="10" t="str">
        <x:v>Venda de produtos</x:v>
      </x:c>
      <x:c r="I1046" s="16" t="n">
        <x:v>45391.742711516206</x:v>
      </x:c>
      <x:c r="J1046" s="16" t="n">
        <x:v>45412.742711516206</x:v>
      </x:c>
      <x:c r="K1046" s="16" t="n">
        <x:v>45412.742711516206</x:v>
      </x:c>
      <x:c r="L1046" s="20" t="n">
        <x:v>96168.21</x:v>
      </x:c>
      <x:c r="M1046" s="20" t="n">
        <x:v>0</x:v>
      </x:c>
      <x:c r="N1046" s="20" t="n">
        <x:v>0</x:v>
      </x:c>
      <x:c r="O1046" s="20" t="n">
        <x:v>96168.21</x:v>
      </x:c>
      <x:c r="P1046" s="20" t="n">
        <x:v>0</x:v>
      </x:c>
      <x:c r="Q1046" s="10" t="str">
        <x:v>Recebido</x:v>
      </x:c>
      <x:c r="R1046" s="10" t="str">
        <x:v>Boleto</x:v>
      </x:c>
      <x:c r="S1046" s="10" t="str">
        <x:v>2024-04</x:v>
      </x:c>
      <x:c r="T1046" s="10" t="n">
        <x:v>0</x:v>
      </x:c>
      <x:c r="U1046" s="10" t="str">
        <x:v>Liquidado</x:v>
      </x:c>
      <x:c r="V1046" s="10" t="str">
        <x:v>Baixo</x:v>
      </x:c>
      <x:c r="W1046" s="10" t="str">
        <x:v>Tecnologia</x:v>
      </x:c>
      <x:c r="X1046" s="10" t="str">
        <x:v>UND004</x:v>
      </x:c>
    </x:row>
    <x:row r="1047" ht="18" customHeight="1">
      <x:c r="A1047" s="10" t="str">
        <x:v>REC01046</x:v>
      </x:c>
      <x:c r="B1047" s="10" t="str">
        <x:v>EMP003</x:v>
      </x:c>
      <x:c r="C1047" s="10" t="str">
        <x:v>CLI066</x:v>
      </x:c>
      <x:c r="D1047" s="10" t="str">
        <x:v>CC002</x:v>
      </x:c>
      <x:c r="E1047" s="10" t="str">
        <x:v>CAT001</x:v>
      </x:c>
      <x:c r="F1047" s="10" t="str">
        <x:v>CTA005</x:v>
      </x:c>
      <x:c r="G1047" s="10" t="str">
        <x:v>FAT-201046</x:v>
      </x:c>
      <x:c r="H1047" s="10" t="str">
        <x:v>Venda de produtos</x:v>
      </x:c>
      <x:c r="I1047" s="16" t="n">
        <x:v>45662.612283842594</x:v>
      </x:c>
      <x:c r="J1047" s="16" t="n">
        <x:v>45692.612283842594</x:v>
      </x:c>
      <x:c r="K1047" s="16" t="n">
        <x:v>45689.612283842594</x:v>
      </x:c>
      <x:c r="L1047" s="20" t="n">
        <x:v>15967.24</x:v>
      </x:c>
      <x:c r="M1047" s="20" t="n">
        <x:v>0</x:v>
      </x:c>
      <x:c r="N1047" s="20" t="n">
        <x:v>0</x:v>
      </x:c>
      <x:c r="O1047" s="20" t="n">
        <x:v>15967.24</x:v>
      </x:c>
      <x:c r="P1047" s="20" t="n">
        <x:v>0</x:v>
      </x:c>
      <x:c r="Q1047" s="10" t="str">
        <x:v>Recebido</x:v>
      </x:c>
      <x:c r="R1047" s="10" t="str">
        <x:v>TED</x:v>
      </x:c>
      <x:c r="S1047" s="10" t="str">
        <x:v>2025-01</x:v>
      </x:c>
      <x:c r="T1047" s="10" t="n">
        <x:v>0</x:v>
      </x:c>
      <x:c r="U1047" s="10" t="str">
        <x:v>Liquidado</x:v>
      </x:c>
      <x:c r="V1047" s="10" t="str">
        <x:v>Baixo</x:v>
      </x:c>
      <x:c r="W1047" s="10" t="str">
        <x:v>Varejo</x:v>
      </x:c>
      <x:c r="X1047" s="10" t="str">
        <x:v>UND004</x:v>
      </x:c>
    </x:row>
    <x:row r="1048" ht="18" customHeight="1">
      <x:c r="A1048" s="10" t="str">
        <x:v>REC01047</x:v>
      </x:c>
      <x:c r="B1048" s="10" t="str">
        <x:v>EMP002</x:v>
      </x:c>
      <x:c r="C1048" s="10" t="str">
        <x:v>CLI027</x:v>
      </x:c>
      <x:c r="D1048" s="10" t="str">
        <x:v>CC005</x:v>
      </x:c>
      <x:c r="E1048" s="10" t="str">
        <x:v>CAT004</x:v>
      </x:c>
      <x:c r="F1048" s="10" t="str">
        <x:v>CTA004</x:v>
      </x:c>
      <x:c r="G1048" s="10" t="str">
        <x:v>FAT-201047</x:v>
      </x:c>
      <x:c r="H1048" s="10" t="str">
        <x:v>Prestação de serviços</x:v>
      </x:c>
      <x:c r="I1048" s="16" t="n">
        <x:v>45546.61543716435</x:v>
      </x:c>
      <x:c r="J1048" s="16" t="n">
        <x:v>45581.61543716435</x:v>
      </x:c>
      <x:c r="K1048" s="16" t="n">
        <x:v>45599.61543716435</x:v>
      </x:c>
      <x:c r="L1048" s="20" t="n">
        <x:v>3007.58</x:v>
      </x:c>
      <x:c r="M1048" s="20" t="n">
        <x:v>43.31</x:v>
      </x:c>
      <x:c r="N1048" s="20" t="n">
        <x:v>0</x:v>
      </x:c>
      <x:c r="O1048" s="20" t="n">
        <x:v>3050.89</x:v>
      </x:c>
      <x:c r="P1048" s="20" t="n">
        <x:v>0</x:v>
      </x:c>
      <x:c r="Q1048" s="10" t="str">
        <x:v>Recebido</x:v>
      </x:c>
      <x:c r="R1048" s="10" t="str">
        <x:v>TED</x:v>
      </x:c>
      <x:c r="S1048" s="10" t="str">
        <x:v>2024-09</x:v>
      </x:c>
      <x:c r="T1048" s="10" t="n">
        <x:v>0</x:v>
      </x:c>
      <x:c r="U1048" s="10" t="str">
        <x:v>Liquidado</x:v>
      </x:c>
      <x:c r="V1048" s="10" t="str">
        <x:v>Alto</x:v>
      </x:c>
      <x:c r="W1048" s="10" t="str">
        <x:v>Serviços</x:v>
      </x:c>
      <x:c r="X1048" s="10" t="str">
        <x:v>UND003</x:v>
      </x:c>
    </x:row>
    <x:row r="1049" ht="18" customHeight="1">
      <x:c r="A1049" s="10" t="str">
        <x:v>REC01048</x:v>
      </x:c>
      <x:c r="B1049" s="10" t="str">
        <x:v>EMP001</x:v>
      </x:c>
      <x:c r="C1049" s="10" t="str">
        <x:v>CLI019</x:v>
      </x:c>
      <x:c r="D1049" s="10" t="str">
        <x:v>CC001</x:v>
      </x:c>
      <x:c r="E1049" s="10" t="str">
        <x:v>CAT004</x:v>
      </x:c>
      <x:c r="F1049" s="10" t="str">
        <x:v>CTA001</x:v>
      </x:c>
      <x:c r="G1049" s="10" t="str">
        <x:v>FAT-201048</x:v>
      </x:c>
      <x:c r="H1049" s="10" t="str">
        <x:v>Frete faturado</x:v>
      </x:c>
      <x:c r="I1049" s="16" t="n">
        <x:v>45379.93797353009</x:v>
      </x:c>
      <x:c r="J1049" s="16" t="n">
        <x:v>45394.93797353009</x:v>
      </x:c>
      <x:c r="K1049" s="16" t="n">
        <x:v>45389.93797353009</x:v>
      </x:c>
      <x:c r="L1049" s="20" t="n">
        <x:v>78350.58</x:v>
      </x:c>
      <x:c r="M1049" s="20" t="n">
        <x:v>0</x:v>
      </x:c>
      <x:c r="N1049" s="20" t="n">
        <x:v>0</x:v>
      </x:c>
      <x:c r="O1049" s="20" t="n">
        <x:v>78350.58</x:v>
      </x:c>
      <x:c r="P1049" s="20" t="n">
        <x:v>0</x:v>
      </x:c>
      <x:c r="Q1049" s="10" t="str">
        <x:v>Recebido</x:v>
      </x:c>
      <x:c r="R1049" s="10" t="str">
        <x:v>PIX</x:v>
      </x:c>
      <x:c r="S1049" s="10" t="str">
        <x:v>2024-03</x:v>
      </x:c>
      <x:c r="T1049" s="10" t="n">
        <x:v>0</x:v>
      </x:c>
      <x:c r="U1049" s="10" t="str">
        <x:v>Liquidado</x:v>
      </x:c>
      <x:c r="V1049" s="10" t="str">
        <x:v>Alto</x:v>
      </x:c>
      <x:c r="W1049" s="10" t="str">
        <x:v>Saúde</x:v>
      </x:c>
      <x:c r="X1049" s="10" t="str">
        <x:v>UND002</x:v>
      </x:c>
    </x:row>
    <x:row r="1050" ht="18" customHeight="1">
      <x:c r="A1050" s="10" t="str">
        <x:v>REC01049</x:v>
      </x:c>
      <x:c r="B1050" s="10" t="str">
        <x:v>EMP003</x:v>
      </x:c>
      <x:c r="C1050" s="10" t="str">
        <x:v>CLI070</x:v>
      </x:c>
      <x:c r="D1050" s="10" t="str">
        <x:v>CC006</x:v>
      </x:c>
      <x:c r="E1050" s="10" t="str">
        <x:v>CAT001</x:v>
      </x:c>
      <x:c r="F1050" s="10" t="str">
        <x:v>CTA005</x:v>
      </x:c>
      <x:c r="G1050" s="10" t="str">
        <x:v>FAT-201049</x:v>
      </x:c>
      <x:c r="H1050" s="10" t="str">
        <x:v>Prestação de serviços</x:v>
      </x:c>
      <x:c r="I1050" s="16" t="n">
        <x:v>45935.583676064816</x:v>
      </x:c>
      <x:c r="J1050" s="16" t="n">
        <x:v>45995.583676064816</x:v>
      </x:c>
      <x:c r="K1050" s="16" t="n">
        <x:v>46002.583676064816</x:v>
      </x:c>
      <x:c r="L1050" s="20" t="n">
        <x:v>144477.76</x:v>
      </x:c>
      <x:c r="M1050" s="20" t="n">
        <x:v>809.08</x:v>
      </x:c>
      <x:c r="N1050" s="20" t="n">
        <x:v>0</x:v>
      </x:c>
      <x:c r="O1050" s="20" t="n">
        <x:v>145286.84</x:v>
      </x:c>
      <x:c r="P1050" s="20" t="n">
        <x:v>0</x:v>
      </x:c>
      <x:c r="Q1050" s="10" t="str">
        <x:v>Recebido</x:v>
      </x:c>
      <x:c r="R1050" s="10" t="str">
        <x:v>PIX</x:v>
      </x:c>
      <x:c r="S1050" s="10" t="str">
        <x:v>2025-10</x:v>
      </x:c>
      <x:c r="T1050" s="10" t="n">
        <x:v>0</x:v>
      </x:c>
      <x:c r="U1050" s="10" t="str">
        <x:v>Liquidado</x:v>
      </x:c>
      <x:c r="V1050" s="10" t="str">
        <x:v>Baixo</x:v>
      </x:c>
      <x:c r="W1050" s="10" t="str">
        <x:v>Saúde</x:v>
      </x:c>
      <x:c r="X1050" s="10" t="str">
        <x:v>UND004</x:v>
      </x:c>
    </x:row>
    <x:row r="1051" ht="18" customHeight="1">
      <x:c r="A1051" s="10" t="str">
        <x:v>REC01050</x:v>
      </x:c>
      <x:c r="B1051" s="10" t="str">
        <x:v>EMP002</x:v>
      </x:c>
      <x:c r="C1051" s="10" t="str">
        <x:v>CLI060</x:v>
      </x:c>
      <x:c r="D1051" s="10" t="str">
        <x:v>CC007</x:v>
      </x:c>
      <x:c r="E1051" s="10" t="str">
        <x:v>CAT004</x:v>
      </x:c>
      <x:c r="F1051" s="10" t="str">
        <x:v>CTA003</x:v>
      </x:c>
      <x:c r="G1051" s="10" t="str">
        <x:v>FAT-201050</x:v>
      </x:c>
      <x:c r="H1051" s="10" t="str">
        <x:v>Contrato mensal</x:v>
      </x:c>
      <x:c r="I1051" s="16" t="n">
        <x:v>45845.097784178244</x:v>
      </x:c>
      <x:c r="J1051" s="16" t="n">
        <x:v>45866.097784178244</x:v>
      </x:c>
      <x:c r="K1051" s="16"/>
      <x:c r="L1051" s="20" t="n">
        <x:v>8464.86</x:v>
      </x:c>
      <x:c r="M1051" s="20" t="n">
        <x:v>0</x:v>
      </x:c>
      <x:c r="N1051" s="20" t="n">
        <x:v>0</x:v>
      </x:c>
      <x:c r="O1051" s="20" t="n">
        <x:v>0</x:v>
      </x:c>
      <x:c r="P1051" s="20" t="n">
        <x:v>8464.86</x:v>
      </x:c>
      <x:c r="Q1051" s="10" t="str">
        <x:v>Vencido</x:v>
      </x:c>
      <x:c r="R1051" s="10" t="str">
        <x:v>Débito em Conta</x:v>
      </x:c>
      <x:c r="S1051" s="10" t="str">
        <x:v>2025-07</x:v>
      </x:c>
      <x:c r="T1051" s="10" t="n">
        <x:v>155</x:v>
      </x:c>
      <x:c r="U1051" s="10" t="str">
        <x:v>&gt; 120 dias</x:v>
      </x:c>
      <x:c r="V1051" s="10" t="str">
        <x:v>Baixo</x:v>
      </x:c>
      <x:c r="W1051" s="10" t="str">
        <x:v>Atacado</x:v>
      </x:c>
      <x:c r="X1051" s="10" t="str">
        <x:v>UND003</x:v>
      </x:c>
    </x:row>
    <x:row r="1052" ht="18" customHeight="1">
      <x:c r="A1052" s="10" t="str">
        <x:v>REC01051</x:v>
      </x:c>
      <x:c r="B1052" s="10" t="str">
        <x:v>EMP002</x:v>
      </x:c>
      <x:c r="C1052" s="10" t="str">
        <x:v>CLI053</x:v>
      </x:c>
      <x:c r="D1052" s="10" t="str">
        <x:v>CC008</x:v>
      </x:c>
      <x:c r="E1052" s="10" t="str">
        <x:v>CAT002</x:v>
      </x:c>
      <x:c r="F1052" s="10" t="str">
        <x:v>CTA003</x:v>
      </x:c>
      <x:c r="G1052" s="10" t="str">
        <x:v>FAT-201051</x:v>
      </x:c>
      <x:c r="H1052" s="10" t="str">
        <x:v>Prestação de serviços</x:v>
      </x:c>
      <x:c r="I1052" s="16" t="n">
        <x:v>45669.35836038194</x:v>
      </x:c>
      <x:c r="J1052" s="16" t="n">
        <x:v>45704.35836038194</x:v>
      </x:c>
      <x:c r="K1052" s="16" t="n">
        <x:v>45700.35836038194</x:v>
      </x:c>
      <x:c r="L1052" s="20" t="n">
        <x:v>134669.99</x:v>
      </x:c>
      <x:c r="M1052" s="20" t="n">
        <x:v>0</x:v>
      </x:c>
      <x:c r="N1052" s="20" t="n">
        <x:v>0</x:v>
      </x:c>
      <x:c r="O1052" s="20" t="n">
        <x:v>134669.99</x:v>
      </x:c>
      <x:c r="P1052" s="20" t="n">
        <x:v>0</x:v>
      </x:c>
      <x:c r="Q1052" s="10" t="str">
        <x:v>Recebido</x:v>
      </x:c>
      <x:c r="R1052" s="10" t="str">
        <x:v>PIX</x:v>
      </x:c>
      <x:c r="S1052" s="10" t="str">
        <x:v>2025-01</x:v>
      </x:c>
      <x:c r="T1052" s="10" t="n">
        <x:v>0</x:v>
      </x:c>
      <x:c r="U1052" s="10" t="str">
        <x:v>Liquidado</x:v>
      </x:c>
      <x:c r="V1052" s="10" t="str">
        <x:v>Baixo</x:v>
      </x:c>
      <x:c r="W1052" s="10" t="str">
        <x:v>Saúde</x:v>
      </x:c>
      <x:c r="X1052" s="10" t="str">
        <x:v>UND003</x:v>
      </x:c>
    </x:row>
    <x:row r="1053" ht="18" customHeight="1">
      <x:c r="A1053" s="10" t="str">
        <x:v>REC01052</x:v>
      </x:c>
      <x:c r="B1053" s="10" t="str">
        <x:v>EMP001</x:v>
      </x:c>
      <x:c r="C1053" s="10" t="str">
        <x:v>CLI045</x:v>
      </x:c>
      <x:c r="D1053" s="10" t="str">
        <x:v>CC005</x:v>
      </x:c>
      <x:c r="E1053" s="10" t="str">
        <x:v>CAT003</x:v>
      </x:c>
      <x:c r="F1053" s="10" t="str">
        <x:v>CTA001</x:v>
      </x:c>
      <x:c r="G1053" s="10" t="str">
        <x:v>FAT-201052</x:v>
      </x:c>
      <x:c r="H1053" s="10" t="str">
        <x:v>Venda de produtos</x:v>
      </x:c>
      <x:c r="I1053" s="16" t="n">
        <x:v>45457.80703902778</x:v>
      </x:c>
      <x:c r="J1053" s="16" t="n">
        <x:v>45478.80703902778</x:v>
      </x:c>
      <x:c r="K1053" s="16" t="n">
        <x:v>45483.80703902778</x:v>
      </x:c>
      <x:c r="L1053" s="20" t="n">
        <x:v>3605.88</x:v>
      </x:c>
      <x:c r="M1053" s="20" t="n">
        <x:v>14.42</x:v>
      </x:c>
      <x:c r="N1053" s="20" t="n">
        <x:v>0</x:v>
      </x:c>
      <x:c r="O1053" s="20" t="n">
        <x:v>3620.3</x:v>
      </x:c>
      <x:c r="P1053" s="20" t="n">
        <x:v>0</x:v>
      </x:c>
      <x:c r="Q1053" s="10" t="str">
        <x:v>Recebido</x:v>
      </x:c>
      <x:c r="R1053" s="10" t="str">
        <x:v>Boleto</x:v>
      </x:c>
      <x:c r="S1053" s="10" t="str">
        <x:v>2024-06</x:v>
      </x:c>
      <x:c r="T1053" s="10" t="n">
        <x:v>0</x:v>
      </x:c>
      <x:c r="U1053" s="10" t="str">
        <x:v>Liquidado</x:v>
      </x:c>
      <x:c r="V1053" s="10" t="str">
        <x:v>Baixo</x:v>
      </x:c>
      <x:c r="W1053" s="10" t="str">
        <x:v>Varejo</x:v>
      </x:c>
      <x:c r="X1053" s="10" t="str">
        <x:v>UND002</x:v>
      </x:c>
    </x:row>
    <x:row r="1054" ht="18" customHeight="1">
      <x:c r="A1054" s="10" t="str">
        <x:v>REC01053</x:v>
      </x:c>
      <x:c r="B1054" s="10" t="str">
        <x:v>EMP002</x:v>
      </x:c>
      <x:c r="C1054" s="10" t="str">
        <x:v>CLI020</x:v>
      </x:c>
      <x:c r="D1054" s="10" t="str">
        <x:v>CC003</x:v>
      </x:c>
      <x:c r="E1054" s="10" t="str">
        <x:v>CAT001</x:v>
      </x:c>
      <x:c r="F1054" s="10" t="str">
        <x:v>CTA003</x:v>
      </x:c>
      <x:c r="G1054" s="10" t="str">
        <x:v>FAT-201053</x:v>
      </x:c>
      <x:c r="H1054" s="10" t="str">
        <x:v>Contrato mensal</x:v>
      </x:c>
      <x:c r="I1054" s="16" t="n">
        <x:v>45777.32038459491</x:v>
      </x:c>
      <x:c r="J1054" s="16" t="n">
        <x:v>45812.32038459491</x:v>
      </x:c>
      <x:c r="K1054" s="16" t="n">
        <x:v>45821.32038459491</x:v>
      </x:c>
      <x:c r="L1054" s="20" t="n">
        <x:v>47025.04</x:v>
      </x:c>
      <x:c r="M1054" s="20" t="n">
        <x:v>338.58</x:v>
      </x:c>
      <x:c r="N1054" s="20" t="n">
        <x:v>0</x:v>
      </x:c>
      <x:c r="O1054" s="20" t="n">
        <x:v>47363.62</x:v>
      </x:c>
      <x:c r="P1054" s="20" t="n">
        <x:v>0</x:v>
      </x:c>
      <x:c r="Q1054" s="10" t="str">
        <x:v>Recebido</x:v>
      </x:c>
      <x:c r="R1054" s="10" t="str">
        <x:v>PIX</x:v>
      </x:c>
      <x:c r="S1054" s="10" t="str">
        <x:v>2025-04</x:v>
      </x:c>
      <x:c r="T1054" s="10" t="n">
        <x:v>0</x:v>
      </x:c>
      <x:c r="U1054" s="10" t="str">
        <x:v>Liquidado</x:v>
      </x:c>
      <x:c r="V1054" s="10" t="str">
        <x:v>Médio</x:v>
      </x:c>
      <x:c r="W1054" s="10" t="str">
        <x:v>Atacado</x:v>
      </x:c>
      <x:c r="X1054" s="10" t="str">
        <x:v>UND003</x:v>
      </x:c>
    </x:row>
    <x:row r="1055" ht="18" customHeight="1">
      <x:c r="A1055" s="10" t="str">
        <x:v>REC01054</x:v>
      </x:c>
      <x:c r="B1055" s="10" t="str">
        <x:v>EMP002</x:v>
      </x:c>
      <x:c r="C1055" s="10" t="str">
        <x:v>CLI074</x:v>
      </x:c>
      <x:c r="D1055" s="10" t="str">
        <x:v>CC008</x:v>
      </x:c>
      <x:c r="E1055" s="10" t="str">
        <x:v>CAT004</x:v>
      </x:c>
      <x:c r="F1055" s="10" t="str">
        <x:v>CTA004</x:v>
      </x:c>
      <x:c r="G1055" s="10" t="str">
        <x:v>FAT-201054</x:v>
      </x:c>
      <x:c r="H1055" s="10" t="str">
        <x:v>Frete faturado</x:v>
      </x:c>
      <x:c r="I1055" s="16" t="n">
        <x:v>45567.92590645833</x:v>
      </x:c>
      <x:c r="J1055" s="16" t="n">
        <x:v>45602.92590645833</x:v>
      </x:c>
      <x:c r="K1055" s="16" t="n">
        <x:v>45600.92590645833</x:v>
      </x:c>
      <x:c r="L1055" s="20" t="n">
        <x:v>144116.33</x:v>
      </x:c>
      <x:c r="M1055" s="20" t="n">
        <x:v>0</x:v>
      </x:c>
      <x:c r="N1055" s="20" t="n">
        <x:v>0</x:v>
      </x:c>
      <x:c r="O1055" s="20" t="n">
        <x:v>144116.33</x:v>
      </x:c>
      <x:c r="P1055" s="20" t="n">
        <x:v>0</x:v>
      </x:c>
      <x:c r="Q1055" s="10" t="str">
        <x:v>Recebido</x:v>
      </x:c>
      <x:c r="R1055" s="10" t="str">
        <x:v>Débito em Conta</x:v>
      </x:c>
      <x:c r="S1055" s="10" t="str">
        <x:v>2024-10</x:v>
      </x:c>
      <x:c r="T1055" s="10" t="n">
        <x:v>0</x:v>
      </x:c>
      <x:c r="U1055" s="10" t="str">
        <x:v>Liquidado</x:v>
      </x:c>
      <x:c r="V1055" s="10" t="str">
        <x:v>Médio</x:v>
      </x:c>
      <x:c r="W1055" s="10" t="str">
        <x:v>Tecnologia</x:v>
      </x:c>
      <x:c r="X1055" s="10" t="str">
        <x:v>UND003</x:v>
      </x:c>
    </x:row>
    <x:row r="1056" ht="18" customHeight="1">
      <x:c r="A1056" s="10" t="str">
        <x:v>REC01055</x:v>
      </x:c>
      <x:c r="B1056" s="10" t="str">
        <x:v>EMP001</x:v>
      </x:c>
      <x:c r="C1056" s="10" t="str">
        <x:v>CLI045</x:v>
      </x:c>
      <x:c r="D1056" s="10" t="str">
        <x:v>CC007</x:v>
      </x:c>
      <x:c r="E1056" s="10" t="str">
        <x:v>CAT001</x:v>
      </x:c>
      <x:c r="F1056" s="10" t="str">
        <x:v>CTA001</x:v>
      </x:c>
      <x:c r="G1056" s="10" t="str">
        <x:v>FAT-201055</x:v>
      </x:c>
      <x:c r="H1056" s="10" t="str">
        <x:v>Projeto especial</x:v>
      </x:c>
      <x:c r="I1056" s="16" t="n">
        <x:v>45631.33866114583</x:v>
      </x:c>
      <x:c r="J1056" s="16" t="n">
        <x:v>45659.33866114583</x:v>
      </x:c>
      <x:c r="K1056" s="16"/>
      <x:c r="L1056" s="20" t="n">
        <x:v>67807</x:v>
      </x:c>
      <x:c r="M1056" s="20" t="n">
        <x:v>0</x:v>
      </x:c>
      <x:c r="N1056" s="20" t="n">
        <x:v>0</x:v>
      </x:c>
      <x:c r="O1056" s="20" t="n">
        <x:v>0</x:v>
      </x:c>
      <x:c r="P1056" s="20" t="n">
        <x:v>67807</x:v>
      </x:c>
      <x:c r="Q1056" s="10" t="str">
        <x:v>Vencido</x:v>
      </x:c>
      <x:c r="R1056" s="10" t="str">
        <x:v>Cartão</x:v>
      </x:c>
      <x:c r="S1056" s="10" t="str">
        <x:v>2024-12</x:v>
      </x:c>
      <x:c r="T1056" s="10" t="n">
        <x:v>362</x:v>
      </x:c>
      <x:c r="U1056" s="10" t="str">
        <x:v>&gt; 120 dias</x:v>
      </x:c>
      <x:c r="V1056" s="10" t="str">
        <x:v>Baixo</x:v>
      </x:c>
      <x:c r="W1056" s="10" t="str">
        <x:v>Varejo</x:v>
      </x:c>
      <x:c r="X1056" s="10" t="str">
        <x:v>UND002</x:v>
      </x:c>
    </x:row>
    <x:row r="1057" ht="18" customHeight="1">
      <x:c r="A1057" s="10" t="str">
        <x:v>REC01056</x:v>
      </x:c>
      <x:c r="B1057" s="10" t="str">
        <x:v>EMP001</x:v>
      </x:c>
      <x:c r="C1057" s="10" t="str">
        <x:v>CLI031</x:v>
      </x:c>
      <x:c r="D1057" s="10" t="str">
        <x:v>CC006</x:v>
      </x:c>
      <x:c r="E1057" s="10" t="str">
        <x:v>CAT001</x:v>
      </x:c>
      <x:c r="F1057" s="10" t="str">
        <x:v>CTA002</x:v>
      </x:c>
      <x:c r="G1057" s="10" t="str">
        <x:v>FAT-201056</x:v>
      </x:c>
      <x:c r="H1057" s="10" t="str">
        <x:v>Projeto especial</x:v>
      </x:c>
      <x:c r="I1057" s="16" t="n">
        <x:v>45538.367783912036</x:v>
      </x:c>
      <x:c r="J1057" s="16" t="n">
        <x:v>45598.367783912036</x:v>
      </x:c>
      <x:c r="K1057" s="16"/>
      <x:c r="L1057" s="20" t="n">
        <x:v>58883.49</x:v>
      </x:c>
      <x:c r="M1057" s="20" t="n">
        <x:v>0</x:v>
      </x:c>
      <x:c r="N1057" s="20" t="n">
        <x:v>0</x:v>
      </x:c>
      <x:c r="O1057" s="20" t="n">
        <x:v>0</x:v>
      </x:c>
      <x:c r="P1057" s="20" t="n">
        <x:v>58883.49</x:v>
      </x:c>
      <x:c r="Q1057" s="10" t="str">
        <x:v>Vencido</x:v>
      </x:c>
      <x:c r="R1057" s="10" t="str">
        <x:v>Boleto</x:v>
      </x:c>
      <x:c r="S1057" s="10" t="str">
        <x:v>2024-09</x:v>
      </x:c>
      <x:c r="T1057" s="10" t="n">
        <x:v>423</x:v>
      </x:c>
      <x:c r="U1057" s="10" t="str">
        <x:v>&gt; 120 dias</x:v>
      </x:c>
      <x:c r="V1057" s="10" t="str">
        <x:v>Baixo</x:v>
      </x:c>
      <x:c r="W1057" s="10" t="str">
        <x:v>Serviços</x:v>
      </x:c>
      <x:c r="X1057" s="10" t="str">
        <x:v>UND001</x:v>
      </x:c>
    </x:row>
    <x:row r="1058" ht="18" customHeight="1">
      <x:c r="A1058" s="10" t="str">
        <x:v>REC01057</x:v>
      </x:c>
      <x:c r="B1058" s="10" t="str">
        <x:v>EMP002</x:v>
      </x:c>
      <x:c r="C1058" s="10" t="str">
        <x:v>CLI010</x:v>
      </x:c>
      <x:c r="D1058" s="10" t="str">
        <x:v>CC008</x:v>
      </x:c>
      <x:c r="E1058" s="10" t="str">
        <x:v>CAT002</x:v>
      </x:c>
      <x:c r="F1058" s="10" t="str">
        <x:v>CTA003</x:v>
      </x:c>
      <x:c r="G1058" s="10" t="str">
        <x:v>FAT-201057</x:v>
      </x:c>
      <x:c r="H1058" s="10" t="str">
        <x:v>Contrato mensal</x:v>
      </x:c>
      <x:c r="I1058" s="16" t="n">
        <x:v>45641.63588032407</x:v>
      </x:c>
      <x:c r="J1058" s="16" t="n">
        <x:v>45669.63588032407</x:v>
      </x:c>
      <x:c r="K1058" s="16" t="n">
        <x:v>45676.63588032407</x:v>
      </x:c>
      <x:c r="L1058" s="20" t="n">
        <x:v>2152.53</x:v>
      </x:c>
      <x:c r="M1058" s="20" t="n">
        <x:v>12.05</x:v>
      </x:c>
      <x:c r="N1058" s="20" t="n">
        <x:v>0</x:v>
      </x:c>
      <x:c r="O1058" s="20" t="n">
        <x:v>2164.58</x:v>
      </x:c>
      <x:c r="P1058" s="20" t="n">
        <x:v>0</x:v>
      </x:c>
      <x:c r="Q1058" s="10" t="str">
        <x:v>Recebido</x:v>
      </x:c>
      <x:c r="R1058" s="10" t="str">
        <x:v>Cartão</x:v>
      </x:c>
      <x:c r="S1058" s="10" t="str">
        <x:v>2024-12</x:v>
      </x:c>
      <x:c r="T1058" s="10" t="n">
        <x:v>0</x:v>
      </x:c>
      <x:c r="U1058" s="10" t="str">
        <x:v>Liquidado</x:v>
      </x:c>
      <x:c r="V1058" s="10" t="str">
        <x:v>Baixo</x:v>
      </x:c>
      <x:c r="W1058" s="10" t="str">
        <x:v>Indústria</x:v>
      </x:c>
      <x:c r="X1058" s="10" t="str">
        <x:v>UND003</x:v>
      </x:c>
    </x:row>
    <x:row r="1059" ht="18" customHeight="1">
      <x:c r="A1059" s="10" t="str">
        <x:v>REC01058</x:v>
      </x:c>
      <x:c r="B1059" s="10" t="str">
        <x:v>EMP002</x:v>
      </x:c>
      <x:c r="C1059" s="10" t="str">
        <x:v>CLI013</x:v>
      </x:c>
      <x:c r="D1059" s="10" t="str">
        <x:v>CC008</x:v>
      </x:c>
      <x:c r="E1059" s="10" t="str">
        <x:v>CAT004</x:v>
      </x:c>
      <x:c r="F1059" s="10" t="str">
        <x:v>CTA004</x:v>
      </x:c>
      <x:c r="G1059" s="10" t="str">
        <x:v>FAT-201058</x:v>
      </x:c>
      <x:c r="H1059" s="10" t="str">
        <x:v>Contrato mensal</x:v>
      </x:c>
      <x:c r="I1059" s="16" t="n">
        <x:v>45981.67686164352</x:v>
      </x:c>
      <x:c r="J1059" s="16" t="n">
        <x:v>46041.67686164352</x:v>
      </x:c>
      <x:c r="K1059" s="16"/>
      <x:c r="L1059" s="20" t="n">
        <x:v>92637.58</x:v>
      </x:c>
      <x:c r="M1059" s="20" t="n">
        <x:v>0</x:v>
      </x:c>
      <x:c r="N1059" s="20" t="n">
        <x:v>0</x:v>
      </x:c>
      <x:c r="O1059" s="20" t="n">
        <x:v>0</x:v>
      </x:c>
      <x:c r="P1059" s="20" t="n">
        <x:v>92637.58</x:v>
      </x:c>
      <x:c r="Q1059" s="10" t="str">
        <x:v>A vencer</x:v>
      </x:c>
      <x:c r="R1059" s="10" t="str">
        <x:v>Cartão</x:v>
      </x:c>
      <x:c r="S1059" s="10" t="str">
        <x:v>2025-11</x:v>
      </x:c>
      <x:c r="T1059" s="10" t="n">
        <x:v>0</x:v>
      </x:c>
      <x:c r="U1059" s="10" t="str">
        <x:v>A vencer</x:v>
      </x:c>
      <x:c r="V1059" s="10" t="str">
        <x:v>Baixo</x:v>
      </x:c>
      <x:c r="W1059" s="10" t="str">
        <x:v>Serviços</x:v>
      </x:c>
      <x:c r="X1059" s="10" t="str">
        <x:v>UND003</x:v>
      </x:c>
    </x:row>
    <x:row r="1060" ht="18" customHeight="1">
      <x:c r="A1060" s="10" t="str">
        <x:v>REC01059</x:v>
      </x:c>
      <x:c r="B1060" s="10" t="str">
        <x:v>EMP001</x:v>
      </x:c>
      <x:c r="C1060" s="10" t="str">
        <x:v>CLI023</x:v>
      </x:c>
      <x:c r="D1060" s="10" t="str">
        <x:v>CC006</x:v>
      </x:c>
      <x:c r="E1060" s="10" t="str">
        <x:v>CAT002</x:v>
      </x:c>
      <x:c r="F1060" s="10" t="str">
        <x:v>CTA001</x:v>
      </x:c>
      <x:c r="G1060" s="10" t="str">
        <x:v>FAT-201059</x:v>
      </x:c>
      <x:c r="H1060" s="10" t="str">
        <x:v>Contrato mensal</x:v>
      </x:c>
      <x:c r="I1060" s="16" t="n">
        <x:v>45459.84384736111</x:v>
      </x:c>
      <x:c r="J1060" s="16" t="n">
        <x:v>45487.84384736111</x:v>
      </x:c>
      <x:c r="K1060" s="16" t="n">
        <x:v>45496.84384736111</x:v>
      </x:c>
      <x:c r="L1060" s="20" t="n">
        <x:v>121762.93</x:v>
      </x:c>
      <x:c r="M1060" s="20" t="n">
        <x:v>876.69</x:v>
      </x:c>
      <x:c r="N1060" s="20" t="n">
        <x:v>0</x:v>
      </x:c>
      <x:c r="O1060" s="20" t="n">
        <x:v>122639.62</x:v>
      </x:c>
      <x:c r="P1060" s="20" t="n">
        <x:v>0</x:v>
      </x:c>
      <x:c r="Q1060" s="10" t="str">
        <x:v>Recebido</x:v>
      </x:c>
      <x:c r="R1060" s="10" t="str">
        <x:v>Débito em Conta</x:v>
      </x:c>
      <x:c r="S1060" s="10" t="str">
        <x:v>2024-06</x:v>
      </x:c>
      <x:c r="T1060" s="10" t="n">
        <x:v>0</x:v>
      </x:c>
      <x:c r="U1060" s="10" t="str">
        <x:v>Liquidado</x:v>
      </x:c>
      <x:c r="V1060" s="10" t="str">
        <x:v>Médio</x:v>
      </x:c>
      <x:c r="W1060" s="10" t="str">
        <x:v>Atacado</x:v>
      </x:c>
      <x:c r="X1060" s="10" t="str">
        <x:v>UND001</x:v>
      </x:c>
    </x:row>
    <x:row r="1061" ht="18" customHeight="1">
      <x:c r="A1061" s="10" t="str">
        <x:v>REC01060</x:v>
      </x:c>
      <x:c r="B1061" s="10" t="str">
        <x:v>EMP003</x:v>
      </x:c>
      <x:c r="C1061" s="10" t="str">
        <x:v>CLI013</x:v>
      </x:c>
      <x:c r="D1061" s="10" t="str">
        <x:v>CC001</x:v>
      </x:c>
      <x:c r="E1061" s="10" t="str">
        <x:v>CAT001</x:v>
      </x:c>
      <x:c r="F1061" s="10" t="str">
        <x:v>CTA005</x:v>
      </x:c>
      <x:c r="G1061" s="10" t="str">
        <x:v>FAT-201060</x:v>
      </x:c>
      <x:c r="H1061" s="10" t="str">
        <x:v>Venda de produtos</x:v>
      </x:c>
      <x:c r="I1061" s="16" t="n">
        <x:v>45581.452185775466</x:v>
      </x:c>
      <x:c r="J1061" s="16" t="n">
        <x:v>45626.452185775466</x:v>
      </x:c>
      <x:c r="K1061" s="16" t="n">
        <x:v>45620.452185775466</x:v>
      </x:c>
      <x:c r="L1061" s="20" t="n">
        <x:v>12154.94</x:v>
      </x:c>
      <x:c r="M1061" s="20" t="n">
        <x:v>0</x:v>
      </x:c>
      <x:c r="N1061" s="20" t="n">
        <x:v>0</x:v>
      </x:c>
      <x:c r="O1061" s="20" t="n">
        <x:v>12154.94</x:v>
      </x:c>
      <x:c r="P1061" s="20" t="n">
        <x:v>0</x:v>
      </x:c>
      <x:c r="Q1061" s="10" t="str">
        <x:v>Recebido</x:v>
      </x:c>
      <x:c r="R1061" s="10" t="str">
        <x:v>TED</x:v>
      </x:c>
      <x:c r="S1061" s="10" t="str">
        <x:v>2024-10</x:v>
      </x:c>
      <x:c r="T1061" s="10" t="n">
        <x:v>0</x:v>
      </x:c>
      <x:c r="U1061" s="10" t="str">
        <x:v>Liquidado</x:v>
      </x:c>
      <x:c r="V1061" s="10" t="str">
        <x:v>Baixo</x:v>
      </x:c>
      <x:c r="W1061" s="10" t="str">
        <x:v>Serviços</x:v>
      </x:c>
      <x:c r="X1061" s="10" t="str">
        <x:v>UND004</x:v>
      </x:c>
    </x:row>
    <x:row r="1062" ht="18" customHeight="1">
      <x:c r="A1062" s="10" t="str">
        <x:v>REC01061</x:v>
      </x:c>
      <x:c r="B1062" s="10" t="str">
        <x:v>EMP001</x:v>
      </x:c>
      <x:c r="C1062" s="10" t="str">
        <x:v>CLI038</x:v>
      </x:c>
      <x:c r="D1062" s="10" t="str">
        <x:v>CC006</x:v>
      </x:c>
      <x:c r="E1062" s="10" t="str">
        <x:v>CAT001</x:v>
      </x:c>
      <x:c r="F1062" s="10" t="str">
        <x:v>CTA002</x:v>
      </x:c>
      <x:c r="G1062" s="10" t="str">
        <x:v>FAT-201061</x:v>
      </x:c>
      <x:c r="H1062" s="10" t="str">
        <x:v>Venda de produtos</x:v>
      </x:c>
      <x:c r="I1062" s="16" t="n">
        <x:v>45441.592844293984</x:v>
      </x:c>
      <x:c r="J1062" s="16" t="n">
        <x:v>45501.592844293984</x:v>
      </x:c>
      <x:c r="K1062" s="16" t="n">
        <x:v>45504.592844293984</x:v>
      </x:c>
      <x:c r="L1062" s="20" t="n">
        <x:v>6625.48</x:v>
      </x:c>
      <x:c r="M1062" s="20" t="n">
        <x:v>15.9</x:v>
      </x:c>
      <x:c r="N1062" s="20" t="n">
        <x:v>0</x:v>
      </x:c>
      <x:c r="O1062" s="20" t="n">
        <x:v>6641.38</x:v>
      </x:c>
      <x:c r="P1062" s="20" t="n">
        <x:v>0</x:v>
      </x:c>
      <x:c r="Q1062" s="10" t="str">
        <x:v>Recebido</x:v>
      </x:c>
      <x:c r="R1062" s="10" t="str">
        <x:v>Cartão</x:v>
      </x:c>
      <x:c r="S1062" s="10" t="str">
        <x:v>2024-05</x:v>
      </x:c>
      <x:c r="T1062" s="10" t="n">
        <x:v>0</x:v>
      </x:c>
      <x:c r="U1062" s="10" t="str">
        <x:v>Liquidado</x:v>
      </x:c>
      <x:c r="V1062" s="10" t="str">
        <x:v>Baixo</x:v>
      </x:c>
      <x:c r="W1062" s="10" t="str">
        <x:v>Varejo</x:v>
      </x:c>
      <x:c r="X1062" s="10" t="str">
        <x:v>UND001</x:v>
      </x:c>
    </x:row>
    <x:row r="1063" ht="18" customHeight="1">
      <x:c r="A1063" s="10" t="str">
        <x:v>REC01062</x:v>
      </x:c>
      <x:c r="B1063" s="10" t="str">
        <x:v>EMP001</x:v>
      </x:c>
      <x:c r="C1063" s="10" t="str">
        <x:v>CLI015</x:v>
      </x:c>
      <x:c r="D1063" s="10" t="str">
        <x:v>CC008</x:v>
      </x:c>
      <x:c r="E1063" s="10" t="str">
        <x:v>CAT001</x:v>
      </x:c>
      <x:c r="F1063" s="10" t="str">
        <x:v>CTA001</x:v>
      </x:c>
      <x:c r="G1063" s="10" t="str">
        <x:v>FAT-201062</x:v>
      </x:c>
      <x:c r="H1063" s="10" t="str">
        <x:v>Projeto especial</x:v>
      </x:c>
      <x:c r="I1063" s="16" t="n">
        <x:v>45299.058177858795</x:v>
      </x:c>
      <x:c r="J1063" s="16" t="n">
        <x:v>45359.058177858795</x:v>
      </x:c>
      <x:c r="K1063" s="16" t="n">
        <x:v>45364.058177858795</x:v>
      </x:c>
      <x:c r="L1063" s="20" t="n">
        <x:v>36104.6</x:v>
      </x:c>
      <x:c r="M1063" s="20" t="n">
        <x:v>144.42</x:v>
      </x:c>
      <x:c r="N1063" s="20" t="n">
        <x:v>0</x:v>
      </x:c>
      <x:c r="O1063" s="20" t="n">
        <x:v>36249.02</x:v>
      </x:c>
      <x:c r="P1063" s="20" t="n">
        <x:v>0</x:v>
      </x:c>
      <x:c r="Q1063" s="10" t="str">
        <x:v>Recebido</x:v>
      </x:c>
      <x:c r="R1063" s="10" t="str">
        <x:v>Cartão</x:v>
      </x:c>
      <x:c r="S1063" s="10" t="str">
        <x:v>2024-01</x:v>
      </x:c>
      <x:c r="T1063" s="10" t="n">
        <x:v>0</x:v>
      </x:c>
      <x:c r="U1063" s="10" t="str">
        <x:v>Liquidado</x:v>
      </x:c>
      <x:c r="V1063" s="10" t="str">
        <x:v>Baixo</x:v>
      </x:c>
      <x:c r="W1063" s="10" t="str">
        <x:v>Atacado</x:v>
      </x:c>
      <x:c r="X1063" s="10" t="str">
        <x:v>UND001</x:v>
      </x:c>
    </x:row>
    <x:row r="1064" ht="18" customHeight="1">
      <x:c r="A1064" s="10" t="str">
        <x:v>REC01063</x:v>
      </x:c>
      <x:c r="B1064" s="10" t="str">
        <x:v>EMP002</x:v>
      </x:c>
      <x:c r="C1064" s="10" t="str">
        <x:v>CLI006</x:v>
      </x:c>
      <x:c r="D1064" s="10" t="str">
        <x:v>CC006</x:v>
      </x:c>
      <x:c r="E1064" s="10" t="str">
        <x:v>CAT003</x:v>
      </x:c>
      <x:c r="F1064" s="10" t="str">
        <x:v>CTA003</x:v>
      </x:c>
      <x:c r="G1064" s="10" t="str">
        <x:v>FAT-201063</x:v>
      </x:c>
      <x:c r="H1064" s="10" t="str">
        <x:v>Prestação de serviços</x:v>
      </x:c>
      <x:c r="I1064" s="16" t="n">
        <x:v>45300.15369193287</x:v>
      </x:c>
      <x:c r="J1064" s="16" t="n">
        <x:v>45345.15369193287</x:v>
      </x:c>
      <x:c r="K1064" s="16" t="n">
        <x:v>45347.15369193287</x:v>
      </x:c>
      <x:c r="L1064" s="20" t="n">
        <x:v>12852.68</x:v>
      </x:c>
      <x:c r="M1064" s="20" t="n">
        <x:v>20.56</x:v>
      </x:c>
      <x:c r="N1064" s="20" t="n">
        <x:v>0</x:v>
      </x:c>
      <x:c r="O1064" s="20" t="n">
        <x:v>12873.24</x:v>
      </x:c>
      <x:c r="P1064" s="20" t="n">
        <x:v>0</x:v>
      </x:c>
      <x:c r="Q1064" s="10" t="str">
        <x:v>Recebido</x:v>
      </x:c>
      <x:c r="R1064" s="10" t="str">
        <x:v>Cartão</x:v>
      </x:c>
      <x:c r="S1064" s="10" t="str">
        <x:v>2024-01</x:v>
      </x:c>
      <x:c r="T1064" s="10" t="n">
        <x:v>0</x:v>
      </x:c>
      <x:c r="U1064" s="10" t="str">
        <x:v>Liquidado</x:v>
      </x:c>
      <x:c r="V1064" s="10" t="str">
        <x:v>Baixo</x:v>
      </x:c>
      <x:c r="W1064" s="10" t="str">
        <x:v>Varejo</x:v>
      </x:c>
      <x:c r="X1064" s="10" t="str">
        <x:v>UND003</x:v>
      </x:c>
    </x:row>
    <x:row r="1065" ht="18" customHeight="1">
      <x:c r="A1065" s="10" t="str">
        <x:v>REC01064</x:v>
      </x:c>
      <x:c r="B1065" s="10" t="str">
        <x:v>EMP003</x:v>
      </x:c>
      <x:c r="C1065" s="10" t="str">
        <x:v>CLI075</x:v>
      </x:c>
      <x:c r="D1065" s="10" t="str">
        <x:v>CC008</x:v>
      </x:c>
      <x:c r="E1065" s="10" t="str">
        <x:v>CAT003</x:v>
      </x:c>
      <x:c r="F1065" s="10" t="str">
        <x:v>CTA006</x:v>
      </x:c>
      <x:c r="G1065" s="10" t="str">
        <x:v>FAT-201064</x:v>
      </x:c>
      <x:c r="H1065" s="10" t="str">
        <x:v>Projeto especial</x:v>
      </x:c>
      <x:c r="I1065" s="16" t="n">
        <x:v>45717.314857453704</x:v>
      </x:c>
      <x:c r="J1065" s="16" t="n">
        <x:v>45752.314857453704</x:v>
      </x:c>
      <x:c r="K1065" s="16" t="n">
        <x:v>45760.314857453704</x:v>
      </x:c>
      <x:c r="L1065" s="20" t="n">
        <x:v>93772.27</x:v>
      </x:c>
      <x:c r="M1065" s="20" t="n">
        <x:v>600.14</x:v>
      </x:c>
      <x:c r="N1065" s="20" t="n">
        <x:v>0</x:v>
      </x:c>
      <x:c r="O1065" s="20" t="n">
        <x:v>94372.41</x:v>
      </x:c>
      <x:c r="P1065" s="20" t="n">
        <x:v>0</x:v>
      </x:c>
      <x:c r="Q1065" s="10" t="str">
        <x:v>Recebido</x:v>
      </x:c>
      <x:c r="R1065" s="10" t="str">
        <x:v>Cartão</x:v>
      </x:c>
      <x:c r="S1065" s="10" t="str">
        <x:v>2025-03</x:v>
      </x:c>
      <x:c r="T1065" s="10" t="n">
        <x:v>0</x:v>
      </x:c>
      <x:c r="U1065" s="10" t="str">
        <x:v>Liquidado</x:v>
      </x:c>
      <x:c r="V1065" s="10" t="str">
        <x:v>Médio</x:v>
      </x:c>
      <x:c r="W1065" s="10" t="str">
        <x:v>Varejo</x:v>
      </x:c>
      <x:c r="X1065" s="10" t="str">
        <x:v>UND004</x:v>
      </x:c>
    </x:row>
    <x:row r="1066" ht="18" customHeight="1">
      <x:c r="A1066" s="10" t="str">
        <x:v>REC01065</x:v>
      </x:c>
      <x:c r="B1066" s="10" t="str">
        <x:v>EMP001</x:v>
      </x:c>
      <x:c r="C1066" s="10" t="str">
        <x:v>CLI042</x:v>
      </x:c>
      <x:c r="D1066" s="10" t="str">
        <x:v>CC003</x:v>
      </x:c>
      <x:c r="E1066" s="10" t="str">
        <x:v>CAT003</x:v>
      </x:c>
      <x:c r="F1066" s="10" t="str">
        <x:v>CTA001</x:v>
      </x:c>
      <x:c r="G1066" s="10" t="str">
        <x:v>FAT-201065</x:v>
      </x:c>
      <x:c r="H1066" s="10" t="str">
        <x:v>Venda de produtos</x:v>
      </x:c>
      <x:c r="I1066" s="16" t="n">
        <x:v>45484.87684005787</x:v>
      </x:c>
      <x:c r="J1066" s="16" t="n">
        <x:v>45512.87684005787</x:v>
      </x:c>
      <x:c r="K1066" s="16" t="n">
        <x:v>45515.87684005787</x:v>
      </x:c>
      <x:c r="L1066" s="20" t="n">
        <x:v>3282.44</x:v>
      </x:c>
      <x:c r="M1066" s="20" t="n">
        <x:v>7.88</x:v>
      </x:c>
      <x:c r="N1066" s="20" t="n">
        <x:v>0</x:v>
      </x:c>
      <x:c r="O1066" s="20" t="n">
        <x:v>3290.32</x:v>
      </x:c>
      <x:c r="P1066" s="20" t="n">
        <x:v>0</x:v>
      </x:c>
      <x:c r="Q1066" s="10" t="str">
        <x:v>Recebido</x:v>
      </x:c>
      <x:c r="R1066" s="10" t="str">
        <x:v>PIX</x:v>
      </x:c>
      <x:c r="S1066" s="10" t="str">
        <x:v>2024-07</x:v>
      </x:c>
      <x:c r="T1066" s="10" t="n">
        <x:v>0</x:v>
      </x:c>
      <x:c r="U1066" s="10" t="str">
        <x:v>Liquidado</x:v>
      </x:c>
      <x:c r="V1066" s="10" t="str">
        <x:v>Baixo</x:v>
      </x:c>
      <x:c r="W1066" s="10" t="str">
        <x:v>Varejo</x:v>
      </x:c>
      <x:c r="X1066" s="10" t="str">
        <x:v>UND001</x:v>
      </x:c>
    </x:row>
    <x:row r="1067" ht="18" customHeight="1">
      <x:c r="A1067" s="10" t="str">
        <x:v>REC01066</x:v>
      </x:c>
      <x:c r="B1067" s="10" t="str">
        <x:v>EMP003</x:v>
      </x:c>
      <x:c r="C1067" s="10" t="str">
        <x:v>CLI039</x:v>
      </x:c>
      <x:c r="D1067" s="10" t="str">
        <x:v>CC007</x:v>
      </x:c>
      <x:c r="E1067" s="10" t="str">
        <x:v>CAT002</x:v>
      </x:c>
      <x:c r="F1067" s="10" t="str">
        <x:v>CTA006</x:v>
      </x:c>
      <x:c r="G1067" s="10" t="str">
        <x:v>FAT-201066</x:v>
      </x:c>
      <x:c r="H1067" s="10" t="str">
        <x:v>Contrato mensal</x:v>
      </x:c>
      <x:c r="I1067" s="16" t="n">
        <x:v>45405.04639094907</x:v>
      </x:c>
      <x:c r="J1067" s="16" t="n">
        <x:v>45433.04639094907</x:v>
      </x:c>
      <x:c r="K1067" s="16" t="n">
        <x:v>45450.04639094907</x:v>
      </x:c>
      <x:c r="L1067" s="20" t="n">
        <x:v>33793.92</x:v>
      </x:c>
      <x:c r="M1067" s="20" t="n">
        <x:v>459.6</x:v>
      </x:c>
      <x:c r="N1067" s="20" t="n">
        <x:v>0</x:v>
      </x:c>
      <x:c r="O1067" s="20" t="n">
        <x:v>34253.52</x:v>
      </x:c>
      <x:c r="P1067" s="20" t="n">
        <x:v>0</x:v>
      </x:c>
      <x:c r="Q1067" s="10" t="str">
        <x:v>Recebido</x:v>
      </x:c>
      <x:c r="R1067" s="10" t="str">
        <x:v>PIX</x:v>
      </x:c>
      <x:c r="S1067" s="10" t="str">
        <x:v>2024-04</x:v>
      </x:c>
      <x:c r="T1067" s="10" t="n">
        <x:v>0</x:v>
      </x:c>
      <x:c r="U1067" s="10" t="str">
        <x:v>Liquidado</x:v>
      </x:c>
      <x:c r="V1067" s="10" t="str">
        <x:v>Alto</x:v>
      </x:c>
      <x:c r="W1067" s="10" t="str">
        <x:v>Saúde</x:v>
      </x:c>
      <x:c r="X1067" s="10" t="str">
        <x:v>UND004</x:v>
      </x:c>
    </x:row>
    <x:row r="1068" ht="18" customHeight="1">
      <x:c r="A1068" s="10" t="str">
        <x:v>REC01067</x:v>
      </x:c>
      <x:c r="B1068" s="10" t="str">
        <x:v>EMP003</x:v>
      </x:c>
      <x:c r="C1068" s="10" t="str">
        <x:v>CLI043</x:v>
      </x:c>
      <x:c r="D1068" s="10" t="str">
        <x:v>CC008</x:v>
      </x:c>
      <x:c r="E1068" s="10" t="str">
        <x:v>CAT003</x:v>
      </x:c>
      <x:c r="F1068" s="10" t="str">
        <x:v>CTA005</x:v>
      </x:c>
      <x:c r="G1068" s="10" t="str">
        <x:v>FAT-201067</x:v>
      </x:c>
      <x:c r="H1068" s="10" t="str">
        <x:v>Projeto especial</x:v>
      </x:c>
      <x:c r="I1068" s="16" t="n">
        <x:v>45639.717635347224</x:v>
      </x:c>
      <x:c r="J1068" s="16" t="n">
        <x:v>45669.717635347224</x:v>
      </x:c>
      <x:c r="K1068" s="16" t="n">
        <x:v>45670.717635347224</x:v>
      </x:c>
      <x:c r="L1068" s="20" t="n">
        <x:v>68820</x:v>
      </x:c>
      <x:c r="M1068" s="20" t="n">
        <x:v>55.06</x:v>
      </x:c>
      <x:c r="N1068" s="20" t="n">
        <x:v>0</x:v>
      </x:c>
      <x:c r="O1068" s="20" t="n">
        <x:v>68875.06</x:v>
      </x:c>
      <x:c r="P1068" s="20" t="n">
        <x:v>0</x:v>
      </x:c>
      <x:c r="Q1068" s="10" t="str">
        <x:v>Recebido</x:v>
      </x:c>
      <x:c r="R1068" s="10" t="str">
        <x:v>Débito em Conta</x:v>
      </x:c>
      <x:c r="S1068" s="10" t="str">
        <x:v>2024-12</x:v>
      </x:c>
      <x:c r="T1068" s="10" t="n">
        <x:v>0</x:v>
      </x:c>
      <x:c r="U1068" s="10" t="str">
        <x:v>Liquidado</x:v>
      </x:c>
      <x:c r="V1068" s="10" t="str">
        <x:v>Baixo</x:v>
      </x:c>
      <x:c r="W1068" s="10" t="str">
        <x:v>Atacado</x:v>
      </x:c>
      <x:c r="X1068" s="10" t="str">
        <x:v>UND004</x:v>
      </x:c>
    </x:row>
    <x:row r="1069" ht="18" customHeight="1">
      <x:c r="A1069" s="10" t="str">
        <x:v>REC01068</x:v>
      </x:c>
      <x:c r="B1069" s="10" t="str">
        <x:v>EMP002</x:v>
      </x:c>
      <x:c r="C1069" s="10" t="str">
        <x:v>CLI056</x:v>
      </x:c>
      <x:c r="D1069" s="10" t="str">
        <x:v>CC006</x:v>
      </x:c>
      <x:c r="E1069" s="10" t="str">
        <x:v>CAT004</x:v>
      </x:c>
      <x:c r="F1069" s="10" t="str">
        <x:v>CTA003</x:v>
      </x:c>
      <x:c r="G1069" s="10" t="str">
        <x:v>FAT-201068</x:v>
      </x:c>
      <x:c r="H1069" s="10" t="str">
        <x:v>Frete faturado</x:v>
      </x:c>
      <x:c r="I1069" s="16" t="n">
        <x:v>45310.371449502316</x:v>
      </x:c>
      <x:c r="J1069" s="16" t="n">
        <x:v>45370.371449502316</x:v>
      </x:c>
      <x:c r="K1069" s="16" t="n">
        <x:v>45365.371449502316</x:v>
      </x:c>
      <x:c r="L1069" s="20" t="n">
        <x:v>136965.5</x:v>
      </x:c>
      <x:c r="M1069" s="20" t="n">
        <x:v>0</x:v>
      </x:c>
      <x:c r="N1069" s="20" t="n">
        <x:v>2739.31</x:v>
      </x:c>
      <x:c r="O1069" s="20" t="n">
        <x:v>134226.19</x:v>
      </x:c>
      <x:c r="P1069" s="20" t="n">
        <x:v>0</x:v>
      </x:c>
      <x:c r="Q1069" s="10" t="str">
        <x:v>Recebido</x:v>
      </x:c>
      <x:c r="R1069" s="10" t="str">
        <x:v>Boleto</x:v>
      </x:c>
      <x:c r="S1069" s="10" t="str">
        <x:v>2024-01</x:v>
      </x:c>
      <x:c r="T1069" s="10" t="n">
        <x:v>0</x:v>
      </x:c>
      <x:c r="U1069" s="10" t="str">
        <x:v>Liquidado</x:v>
      </x:c>
      <x:c r="V1069" s="10" t="str">
        <x:v>Baixo</x:v>
      </x:c>
      <x:c r="W1069" s="10" t="str">
        <x:v>Tecnologia</x:v>
      </x:c>
      <x:c r="X1069" s="10" t="str">
        <x:v>UND003</x:v>
      </x:c>
    </x:row>
    <x:row r="1070" ht="18" customHeight="1">
      <x:c r="A1070" s="10" t="str">
        <x:v>REC01069</x:v>
      </x:c>
      <x:c r="B1070" s="10" t="str">
        <x:v>EMP003</x:v>
      </x:c>
      <x:c r="C1070" s="10" t="str">
        <x:v>CLI008</x:v>
      </x:c>
      <x:c r="D1070" s="10" t="str">
        <x:v>CC002</x:v>
      </x:c>
      <x:c r="E1070" s="10" t="str">
        <x:v>CAT002</x:v>
      </x:c>
      <x:c r="F1070" s="10" t="str">
        <x:v>CTA006</x:v>
      </x:c>
      <x:c r="G1070" s="10" t="str">
        <x:v>FAT-201069</x:v>
      </x:c>
      <x:c r="H1070" s="10" t="str">
        <x:v>Frete faturado</x:v>
      </x:c>
      <x:c r="I1070" s="16" t="n">
        <x:v>45543.97337846065</x:v>
      </x:c>
      <x:c r="J1070" s="16" t="n">
        <x:v>45603.97337846065</x:v>
      </x:c>
      <x:c r="K1070" s="16" t="n">
        <x:v>45606.97337846065</x:v>
      </x:c>
      <x:c r="L1070" s="20" t="n">
        <x:v>856.62</x:v>
      </x:c>
      <x:c r="M1070" s="20" t="n">
        <x:v>2.06</x:v>
      </x:c>
      <x:c r="N1070" s="20" t="n">
        <x:v>0</x:v>
      </x:c>
      <x:c r="O1070" s="20" t="n">
        <x:v>858.68</x:v>
      </x:c>
      <x:c r="P1070" s="20" t="n">
        <x:v>0</x:v>
      </x:c>
      <x:c r="Q1070" s="10" t="str">
        <x:v>Recebido</x:v>
      </x:c>
      <x:c r="R1070" s="10" t="str">
        <x:v>Boleto</x:v>
      </x:c>
      <x:c r="S1070" s="10" t="str">
        <x:v>2024-09</x:v>
      </x:c>
      <x:c r="T1070" s="10" t="n">
        <x:v>0</x:v>
      </x:c>
      <x:c r="U1070" s="10" t="str">
        <x:v>Liquidado</x:v>
      </x:c>
      <x:c r="V1070" s="10" t="str">
        <x:v>Médio</x:v>
      </x:c>
      <x:c r="W1070" s="10" t="str">
        <x:v>Saúde</x:v>
      </x:c>
      <x:c r="X1070" s="10" t="str">
        <x:v>UND004</x:v>
      </x:c>
    </x:row>
    <x:row r="1071" ht="18" customHeight="1">
      <x:c r="A1071" s="10" t="str">
        <x:v>REC01070</x:v>
      </x:c>
      <x:c r="B1071" s="10" t="str">
        <x:v>EMP001</x:v>
      </x:c>
      <x:c r="C1071" s="10" t="str">
        <x:v>CLI062</x:v>
      </x:c>
      <x:c r="D1071" s="10" t="str">
        <x:v>CC003</x:v>
      </x:c>
      <x:c r="E1071" s="10" t="str">
        <x:v>CAT002</x:v>
      </x:c>
      <x:c r="F1071" s="10" t="str">
        <x:v>CTA001</x:v>
      </x:c>
      <x:c r="G1071" s="10" t="str">
        <x:v>FAT-201070</x:v>
      </x:c>
      <x:c r="H1071" s="10" t="str">
        <x:v>Frete faturado</x:v>
      </x:c>
      <x:c r="I1071" s="16" t="n">
        <x:v>45335.10898899306</x:v>
      </x:c>
      <x:c r="J1071" s="16" t="n">
        <x:v>45356.10898899306</x:v>
      </x:c>
      <x:c r="K1071" s="16"/>
      <x:c r="L1071" s="20" t="n">
        <x:v>137880.66</x:v>
      </x:c>
      <x:c r="M1071" s="20" t="n">
        <x:v>0</x:v>
      </x:c>
      <x:c r="N1071" s="20" t="n">
        <x:v>0</x:v>
      </x:c>
      <x:c r="O1071" s="20" t="n">
        <x:v>0</x:v>
      </x:c>
      <x:c r="P1071" s="20" t="n">
        <x:v>137880.66</x:v>
      </x:c>
      <x:c r="Q1071" s="10" t="str">
        <x:v>Vencido</x:v>
      </x:c>
      <x:c r="R1071" s="10" t="str">
        <x:v>TED</x:v>
      </x:c>
      <x:c r="S1071" s="10" t="str">
        <x:v>2024-02</x:v>
      </x:c>
      <x:c r="T1071" s="10" t="n">
        <x:v>665</x:v>
      </x:c>
      <x:c r="U1071" s="10" t="str">
        <x:v>&gt; 120 dias</x:v>
      </x:c>
      <x:c r="V1071" s="10" t="str">
        <x:v>Baixo</x:v>
      </x:c>
      <x:c r="W1071" s="10" t="str">
        <x:v>Saúde</x:v>
      </x:c>
      <x:c r="X1071" s="10" t="str">
        <x:v>UND001</x:v>
      </x:c>
    </x:row>
    <x:row r="1072" ht="18" customHeight="1">
      <x:c r="A1072" s="10" t="str">
        <x:v>REC01071</x:v>
      </x:c>
      <x:c r="B1072" s="10" t="str">
        <x:v>EMP003</x:v>
      </x:c>
      <x:c r="C1072" s="10" t="str">
        <x:v>CLI064</x:v>
      </x:c>
      <x:c r="D1072" s="10" t="str">
        <x:v>CC001</x:v>
      </x:c>
      <x:c r="E1072" s="10" t="str">
        <x:v>CAT001</x:v>
      </x:c>
      <x:c r="F1072" s="10" t="str">
        <x:v>CTA006</x:v>
      </x:c>
      <x:c r="G1072" s="10" t="str">
        <x:v>FAT-201071</x:v>
      </x:c>
      <x:c r="H1072" s="10" t="str">
        <x:v>Contrato mensal</x:v>
      </x:c>
      <x:c r="I1072" s="16" t="n">
        <x:v>45986.14152981481</x:v>
      </x:c>
      <x:c r="J1072" s="16" t="n">
        <x:v>46031.14152981481</x:v>
      </x:c>
      <x:c r="K1072" s="16"/>
      <x:c r="L1072" s="20" t="n">
        <x:v>11613.12</x:v>
      </x:c>
      <x:c r="M1072" s="20" t="n">
        <x:v>0</x:v>
      </x:c>
      <x:c r="N1072" s="20" t="n">
        <x:v>0</x:v>
      </x:c>
      <x:c r="O1072" s="20" t="n">
        <x:v>0</x:v>
      </x:c>
      <x:c r="P1072" s="20" t="n">
        <x:v>11613.12</x:v>
      </x:c>
      <x:c r="Q1072" s="10" t="str">
        <x:v>A vencer</x:v>
      </x:c>
      <x:c r="R1072" s="10" t="str">
        <x:v>Débito em Conta</x:v>
      </x:c>
      <x:c r="S1072" s="10" t="str">
        <x:v>2025-11</x:v>
      </x:c>
      <x:c r="T1072" s="10" t="n">
        <x:v>0</x:v>
      </x:c>
      <x:c r="U1072" s="10" t="str">
        <x:v>A vencer</x:v>
      </x:c>
      <x:c r="V1072" s="10" t="str">
        <x:v>Médio</x:v>
      </x:c>
      <x:c r="W1072" s="10" t="str">
        <x:v>Atacado</x:v>
      </x:c>
      <x:c r="X1072" s="10" t="str">
        <x:v>UND004</x:v>
      </x:c>
    </x:row>
    <x:row r="1073" ht="18" customHeight="1">
      <x:c r="A1073" s="10" t="str">
        <x:v>REC01072</x:v>
      </x:c>
      <x:c r="B1073" s="10" t="str">
        <x:v>EMP002</x:v>
      </x:c>
      <x:c r="C1073" s="10" t="str">
        <x:v>CLI073</x:v>
      </x:c>
      <x:c r="D1073" s="10" t="str">
        <x:v>CC001</x:v>
      </x:c>
      <x:c r="E1073" s="10" t="str">
        <x:v>CAT001</x:v>
      </x:c>
      <x:c r="F1073" s="10" t="str">
        <x:v>CTA003</x:v>
      </x:c>
      <x:c r="G1073" s="10" t="str">
        <x:v>FAT-201072</x:v>
      </x:c>
      <x:c r="H1073" s="10" t="str">
        <x:v>Contrato mensal</x:v>
      </x:c>
      <x:c r="I1073" s="16" t="n">
        <x:v>45466.28623128472</x:v>
      </x:c>
      <x:c r="J1073" s="16" t="n">
        <x:v>45494.28623128472</x:v>
      </x:c>
      <x:c r="K1073" s="16" t="n">
        <x:v>45502.28623128472</x:v>
      </x:c>
      <x:c r="L1073" s="20" t="n">
        <x:v>59908.67</x:v>
      </x:c>
      <x:c r="M1073" s="20" t="n">
        <x:v>383.42</x:v>
      </x:c>
      <x:c r="N1073" s="20" t="n">
        <x:v>0</x:v>
      </x:c>
      <x:c r="O1073" s="20" t="n">
        <x:v>60292.09</x:v>
      </x:c>
      <x:c r="P1073" s="20" t="n">
        <x:v>0</x:v>
      </x:c>
      <x:c r="Q1073" s="10" t="str">
        <x:v>Recebido</x:v>
      </x:c>
      <x:c r="R1073" s="10" t="str">
        <x:v>Cartão</x:v>
      </x:c>
      <x:c r="S1073" s="10" t="str">
        <x:v>2024-06</x:v>
      </x:c>
      <x:c r="T1073" s="10" t="n">
        <x:v>0</x:v>
      </x:c>
      <x:c r="U1073" s="10" t="str">
        <x:v>Liquidado</x:v>
      </x:c>
      <x:c r="V1073" s="10" t="str">
        <x:v>Alto</x:v>
      </x:c>
      <x:c r="W1073" s="10" t="str">
        <x:v>Tecnologia</x:v>
      </x:c>
      <x:c r="X1073" s="10" t="str">
        <x:v>UND003</x:v>
      </x:c>
    </x:row>
    <x:row r="1074" ht="18" customHeight="1">
      <x:c r="A1074" s="10" t="str">
        <x:v>REC01073</x:v>
      </x:c>
      <x:c r="B1074" s="10" t="str">
        <x:v>EMP001</x:v>
      </x:c>
      <x:c r="C1074" s="10" t="str">
        <x:v>CLI020</x:v>
      </x:c>
      <x:c r="D1074" s="10" t="str">
        <x:v>CC006</x:v>
      </x:c>
      <x:c r="E1074" s="10" t="str">
        <x:v>CAT001</x:v>
      </x:c>
      <x:c r="F1074" s="10" t="str">
        <x:v>CTA001</x:v>
      </x:c>
      <x:c r="G1074" s="10" t="str">
        <x:v>FAT-201073</x:v>
      </x:c>
      <x:c r="H1074" s="10" t="str">
        <x:v>Projeto especial</x:v>
      </x:c>
      <x:c r="I1074" s="16" t="n">
        <x:v>45624.06687483796</x:v>
      </x:c>
      <x:c r="J1074" s="16" t="n">
        <x:v>45639.06687483796</x:v>
      </x:c>
      <x:c r="K1074" s="16" t="n">
        <x:v>45652.06687483796</x:v>
      </x:c>
      <x:c r="L1074" s="20" t="n">
        <x:v>19829.62</x:v>
      </x:c>
      <x:c r="M1074" s="20" t="n">
        <x:v>206.23</x:v>
      </x:c>
      <x:c r="N1074" s="20" t="n">
        <x:v>0</x:v>
      </x:c>
      <x:c r="O1074" s="20" t="n">
        <x:v>20035.85</x:v>
      </x:c>
      <x:c r="P1074" s="20" t="n">
        <x:v>0</x:v>
      </x:c>
      <x:c r="Q1074" s="10" t="str">
        <x:v>Recebido</x:v>
      </x:c>
      <x:c r="R1074" s="10" t="str">
        <x:v>Débito em Conta</x:v>
      </x:c>
      <x:c r="S1074" s="10" t="str">
        <x:v>2024-11</x:v>
      </x:c>
      <x:c r="T1074" s="10" t="n">
        <x:v>0</x:v>
      </x:c>
      <x:c r="U1074" s="10" t="str">
        <x:v>Liquidado</x:v>
      </x:c>
      <x:c r="V1074" s="10" t="str">
        <x:v>Médio</x:v>
      </x:c>
      <x:c r="W1074" s="10" t="str">
        <x:v>Atacado</x:v>
      </x:c>
      <x:c r="X1074" s="10" t="str">
        <x:v>UND001</x:v>
      </x:c>
    </x:row>
    <x:row r="1075" ht="18" customHeight="1">
      <x:c r="A1075" s="10" t="str">
        <x:v>REC01074</x:v>
      </x:c>
      <x:c r="B1075" s="10" t="str">
        <x:v>EMP001</x:v>
      </x:c>
      <x:c r="C1075" s="10" t="str">
        <x:v>CLI038</x:v>
      </x:c>
      <x:c r="D1075" s="10" t="str">
        <x:v>CC005</x:v>
      </x:c>
      <x:c r="E1075" s="10" t="str">
        <x:v>CAT002</x:v>
      </x:c>
      <x:c r="F1075" s="10" t="str">
        <x:v>CTA001</x:v>
      </x:c>
      <x:c r="G1075" s="10" t="str">
        <x:v>FAT-201074</x:v>
      </x:c>
      <x:c r="H1075" s="10" t="str">
        <x:v>Frete faturado</x:v>
      </x:c>
      <x:c r="I1075" s="16" t="n">
        <x:v>45400.1904919213</x:v>
      </x:c>
      <x:c r="J1075" s="16" t="n">
        <x:v>45415.1904919213</x:v>
      </x:c>
      <x:c r="K1075" s="16" t="n">
        <x:v>45416.1904919213</x:v>
      </x:c>
      <x:c r="L1075" s="20" t="n">
        <x:v>2133.9</x:v>
      </x:c>
      <x:c r="M1075" s="20" t="n">
        <x:v>1.71</x:v>
      </x:c>
      <x:c r="N1075" s="20" t="n">
        <x:v>0</x:v>
      </x:c>
      <x:c r="O1075" s="20" t="n">
        <x:v>2135.61</x:v>
      </x:c>
      <x:c r="P1075" s="20" t="n">
        <x:v>0</x:v>
      </x:c>
      <x:c r="Q1075" s="10" t="str">
        <x:v>Recebido</x:v>
      </x:c>
      <x:c r="R1075" s="10" t="str">
        <x:v>TED</x:v>
      </x:c>
      <x:c r="S1075" s="10" t="str">
        <x:v>2024-04</x:v>
      </x:c>
      <x:c r="T1075" s="10" t="n">
        <x:v>0</x:v>
      </x:c>
      <x:c r="U1075" s="10" t="str">
        <x:v>Liquidado</x:v>
      </x:c>
      <x:c r="V1075" s="10" t="str">
        <x:v>Baixo</x:v>
      </x:c>
      <x:c r="W1075" s="10" t="str">
        <x:v>Varejo</x:v>
      </x:c>
      <x:c r="X1075" s="10" t="str">
        <x:v>UND002</x:v>
      </x:c>
    </x:row>
    <x:row r="1076" ht="18" customHeight="1">
      <x:c r="A1076" s="10" t="str">
        <x:v>REC01075</x:v>
      </x:c>
      <x:c r="B1076" s="10" t="str">
        <x:v>EMP002</x:v>
      </x:c>
      <x:c r="C1076" s="10" t="str">
        <x:v>CLI065</x:v>
      </x:c>
      <x:c r="D1076" s="10" t="str">
        <x:v>CC007</x:v>
      </x:c>
      <x:c r="E1076" s="10" t="str">
        <x:v>CAT002</x:v>
      </x:c>
      <x:c r="F1076" s="10" t="str">
        <x:v>CTA003</x:v>
      </x:c>
      <x:c r="G1076" s="10" t="str">
        <x:v>FAT-201075</x:v>
      </x:c>
      <x:c r="H1076" s="10" t="str">
        <x:v>Venda de produtos</x:v>
      </x:c>
      <x:c r="I1076" s="16" t="n">
        <x:v>45686.92518305556</x:v>
      </x:c>
      <x:c r="J1076" s="16" t="n">
        <x:v>45716.92518305556</x:v>
      </x:c>
      <x:c r="K1076" s="16" t="n">
        <x:v>45719.92518305556</x:v>
      </x:c>
      <x:c r="L1076" s="20" t="n">
        <x:v>85941.48</x:v>
      </x:c>
      <x:c r="M1076" s="20" t="n">
        <x:v>206.26</x:v>
      </x:c>
      <x:c r="N1076" s="20" t="n">
        <x:v>0</x:v>
      </x:c>
      <x:c r="O1076" s="20" t="n">
        <x:v>86147.74</x:v>
      </x:c>
      <x:c r="P1076" s="20" t="n">
        <x:v>0</x:v>
      </x:c>
      <x:c r="Q1076" s="10" t="str">
        <x:v>Recebido</x:v>
      </x:c>
      <x:c r="R1076" s="10" t="str">
        <x:v>Cartão</x:v>
      </x:c>
      <x:c r="S1076" s="10" t="str">
        <x:v>2025-01</x:v>
      </x:c>
      <x:c r="T1076" s="10" t="n">
        <x:v>0</x:v>
      </x:c>
      <x:c r="U1076" s="10" t="str">
        <x:v>Liquidado</x:v>
      </x:c>
      <x:c r="V1076" s="10" t="str">
        <x:v>Médio</x:v>
      </x:c>
      <x:c r="W1076" s="10" t="str">
        <x:v>Serviços</x:v>
      </x:c>
      <x:c r="X1076" s="10" t="str">
        <x:v>UND003</x:v>
      </x:c>
    </x:row>
    <x:row r="1077" ht="18" customHeight="1">
      <x:c r="A1077" s="10" t="str">
        <x:v>REC01076</x:v>
      </x:c>
      <x:c r="B1077" s="10" t="str">
        <x:v>EMP003</x:v>
      </x:c>
      <x:c r="C1077" s="10" t="str">
        <x:v>CLI075</x:v>
      </x:c>
      <x:c r="D1077" s="10" t="str">
        <x:v>CC003</x:v>
      </x:c>
      <x:c r="E1077" s="10" t="str">
        <x:v>CAT004</x:v>
      </x:c>
      <x:c r="F1077" s="10" t="str">
        <x:v>CTA005</x:v>
      </x:c>
      <x:c r="G1077" s="10" t="str">
        <x:v>FAT-201076</x:v>
      </x:c>
      <x:c r="H1077" s="10" t="str">
        <x:v>Contrato mensal</x:v>
      </x:c>
      <x:c r="I1077" s="16" t="n">
        <x:v>46000.68127793982</x:v>
      </x:c>
      <x:c r="J1077" s="16" t="n">
        <x:v>46045.68127793982</x:v>
      </x:c>
      <x:c r="K1077" s="16"/>
      <x:c r="L1077" s="20" t="n">
        <x:v>8170.15</x:v>
      </x:c>
      <x:c r="M1077" s="20" t="n">
        <x:v>0</x:v>
      </x:c>
      <x:c r="N1077" s="20" t="n">
        <x:v>0</x:v>
      </x:c>
      <x:c r="O1077" s="20" t="n">
        <x:v>0</x:v>
      </x:c>
      <x:c r="P1077" s="20" t="n">
        <x:v>8170.15</x:v>
      </x:c>
      <x:c r="Q1077" s="10" t="str">
        <x:v>A vencer</x:v>
      </x:c>
      <x:c r="R1077" s="10" t="str">
        <x:v>Cartão</x:v>
      </x:c>
      <x:c r="S1077" s="10" t="str">
        <x:v>2025-12</x:v>
      </x:c>
      <x:c r="T1077" s="10" t="n">
        <x:v>0</x:v>
      </x:c>
      <x:c r="U1077" s="10" t="str">
        <x:v>A vencer</x:v>
      </x:c>
      <x:c r="V1077" s="10" t="str">
        <x:v>Médio</x:v>
      </x:c>
      <x:c r="W1077" s="10" t="str">
        <x:v>Varejo</x:v>
      </x:c>
      <x:c r="X1077" s="10" t="str">
        <x:v>UND004</x:v>
      </x:c>
    </x:row>
    <x:row r="1078" ht="18" customHeight="1">
      <x:c r="A1078" s="10" t="str">
        <x:v>REC01077</x:v>
      </x:c>
      <x:c r="B1078" s="10" t="str">
        <x:v>EMP002</x:v>
      </x:c>
      <x:c r="C1078" s="10" t="str">
        <x:v>CLI075</x:v>
      </x:c>
      <x:c r="D1078" s="10" t="str">
        <x:v>CC008</x:v>
      </x:c>
      <x:c r="E1078" s="10" t="str">
        <x:v>CAT003</x:v>
      </x:c>
      <x:c r="F1078" s="10" t="str">
        <x:v>CTA003</x:v>
      </x:c>
      <x:c r="G1078" s="10" t="str">
        <x:v>FAT-201077</x:v>
      </x:c>
      <x:c r="H1078" s="10" t="str">
        <x:v>Projeto especial</x:v>
      </x:c>
      <x:c r="I1078" s="16" t="n">
        <x:v>45494.902750775465</x:v>
      </x:c>
      <x:c r="J1078" s="16" t="n">
        <x:v>45524.902750775465</x:v>
      </x:c>
      <x:c r="K1078" s="16" t="n">
        <x:v>45529.902750775465</x:v>
      </x:c>
      <x:c r="L1078" s="20" t="n">
        <x:v>920.93</x:v>
      </x:c>
      <x:c r="M1078" s="20" t="n">
        <x:v>3.68</x:v>
      </x:c>
      <x:c r="N1078" s="20" t="n">
        <x:v>0</x:v>
      </x:c>
      <x:c r="O1078" s="20" t="n">
        <x:v>924.61</x:v>
      </x:c>
      <x:c r="P1078" s="20" t="n">
        <x:v>0</x:v>
      </x:c>
      <x:c r="Q1078" s="10" t="str">
        <x:v>Recebido</x:v>
      </x:c>
      <x:c r="R1078" s="10" t="str">
        <x:v>Cartão</x:v>
      </x:c>
      <x:c r="S1078" s="10" t="str">
        <x:v>2024-07</x:v>
      </x:c>
      <x:c r="T1078" s="10" t="n">
        <x:v>0</x:v>
      </x:c>
      <x:c r="U1078" s="10" t="str">
        <x:v>Liquidado</x:v>
      </x:c>
      <x:c r="V1078" s="10" t="str">
        <x:v>Médio</x:v>
      </x:c>
      <x:c r="W1078" s="10" t="str">
        <x:v>Varejo</x:v>
      </x:c>
      <x:c r="X1078" s="10" t="str">
        <x:v>UND003</x:v>
      </x:c>
    </x:row>
    <x:row r="1079" ht="18" customHeight="1">
      <x:c r="A1079" s="10" t="str">
        <x:v>REC01078</x:v>
      </x:c>
      <x:c r="B1079" s="10" t="str">
        <x:v>EMP003</x:v>
      </x:c>
      <x:c r="C1079" s="10" t="str">
        <x:v>CLI036</x:v>
      </x:c>
      <x:c r="D1079" s="10" t="str">
        <x:v>CC008</x:v>
      </x:c>
      <x:c r="E1079" s="10" t="str">
        <x:v>CAT003</x:v>
      </x:c>
      <x:c r="F1079" s="10" t="str">
        <x:v>CTA005</x:v>
      </x:c>
      <x:c r="G1079" s="10" t="str">
        <x:v>FAT-201078</x:v>
      </x:c>
      <x:c r="H1079" s="10" t="str">
        <x:v>Frete faturado</x:v>
      </x:c>
      <x:c r="I1079" s="16" t="n">
        <x:v>45384.15876351852</x:v>
      </x:c>
      <x:c r="J1079" s="16" t="n">
        <x:v>45412.15876351852</x:v>
      </x:c>
      <x:c r="K1079" s="16"/>
      <x:c r="L1079" s="20" t="n">
        <x:v>1284.62</x:v>
      </x:c>
      <x:c r="M1079" s="20" t="n">
        <x:v>0</x:v>
      </x:c>
      <x:c r="N1079" s="20" t="n">
        <x:v>0</x:v>
      </x:c>
      <x:c r="O1079" s="20" t="n">
        <x:v>0</x:v>
      </x:c>
      <x:c r="P1079" s="20" t="n">
        <x:v>0</x:v>
      </x:c>
      <x:c r="Q1079" s="10" t="str">
        <x:v>Cancelado</x:v>
      </x:c>
      <x:c r="R1079" s="10" t="str">
        <x:v>Boleto</x:v>
      </x:c>
      <x:c r="S1079" s="10" t="str">
        <x:v>2024-04</x:v>
      </x:c>
      <x:c r="T1079" s="10" t="n">
        <x:v>0</x:v>
      </x:c>
      <x:c r="U1079" s="10" t="str">
        <x:v>Cancelado</x:v>
      </x:c>
      <x:c r="V1079" s="10" t="str">
        <x:v>Baixo</x:v>
      </x:c>
      <x:c r="W1079" s="10" t="str">
        <x:v>Atacado</x:v>
      </x:c>
      <x:c r="X1079" s="10" t="str">
        <x:v>UND004</x:v>
      </x:c>
    </x:row>
    <x:row r="1080" ht="18" customHeight="1">
      <x:c r="A1080" s="10" t="str">
        <x:v>REC01079</x:v>
      </x:c>
      <x:c r="B1080" s="10" t="str">
        <x:v>EMP002</x:v>
      </x:c>
      <x:c r="C1080" s="10" t="str">
        <x:v>CLI073</x:v>
      </x:c>
      <x:c r="D1080" s="10" t="str">
        <x:v>CC007</x:v>
      </x:c>
      <x:c r="E1080" s="10" t="str">
        <x:v>CAT003</x:v>
      </x:c>
      <x:c r="F1080" s="10" t="str">
        <x:v>CTA003</x:v>
      </x:c>
      <x:c r="G1080" s="10" t="str">
        <x:v>FAT-201079</x:v>
      </x:c>
      <x:c r="H1080" s="10" t="str">
        <x:v>Projeto especial</x:v>
      </x:c>
      <x:c r="I1080" s="16" t="n">
        <x:v>45423.59260094907</x:v>
      </x:c>
      <x:c r="J1080" s="16" t="n">
        <x:v>45483.59260094907</x:v>
      </x:c>
      <x:c r="K1080" s="16" t="n">
        <x:v>45495.59260094907</x:v>
      </x:c>
      <x:c r="L1080" s="20" t="n">
        <x:v>5311.39</x:v>
      </x:c>
      <x:c r="M1080" s="20" t="n">
        <x:v>50.99</x:v>
      </x:c>
      <x:c r="N1080" s="20" t="n">
        <x:v>0</x:v>
      </x:c>
      <x:c r="O1080" s="20" t="n">
        <x:v>5362.38</x:v>
      </x:c>
      <x:c r="P1080" s="20" t="n">
        <x:v>0</x:v>
      </x:c>
      <x:c r="Q1080" s="10" t="str">
        <x:v>Recebido</x:v>
      </x:c>
      <x:c r="R1080" s="10" t="str">
        <x:v>Cartão</x:v>
      </x:c>
      <x:c r="S1080" s="10" t="str">
        <x:v>2024-05</x:v>
      </x:c>
      <x:c r="T1080" s="10" t="n">
        <x:v>0</x:v>
      </x:c>
      <x:c r="U1080" s="10" t="str">
        <x:v>Liquidado</x:v>
      </x:c>
      <x:c r="V1080" s="10" t="str">
        <x:v>Alto</x:v>
      </x:c>
      <x:c r="W1080" s="10" t="str">
        <x:v>Tecnologia</x:v>
      </x:c>
      <x:c r="X1080" s="10" t="str">
        <x:v>UND003</x:v>
      </x:c>
    </x:row>
    <x:row r="1081" ht="18" customHeight="1">
      <x:c r="A1081" s="10" t="str">
        <x:v>REC01080</x:v>
      </x:c>
      <x:c r="B1081" s="10" t="str">
        <x:v>EMP003</x:v>
      </x:c>
      <x:c r="C1081" s="10" t="str">
        <x:v>CLI021</x:v>
      </x:c>
      <x:c r="D1081" s="10" t="str">
        <x:v>CC006</x:v>
      </x:c>
      <x:c r="E1081" s="10" t="str">
        <x:v>CAT004</x:v>
      </x:c>
      <x:c r="F1081" s="10" t="str">
        <x:v>CTA006</x:v>
      </x:c>
      <x:c r="G1081" s="10" t="str">
        <x:v>FAT-201080</x:v>
      </x:c>
      <x:c r="H1081" s="10" t="str">
        <x:v>Frete faturado</x:v>
      </x:c>
      <x:c r="I1081" s="16" t="n">
        <x:v>45403.79064824074</x:v>
      </x:c>
      <x:c r="J1081" s="16" t="n">
        <x:v>45463.79064824074</x:v>
      </x:c>
      <x:c r="K1081" s="16" t="n">
        <x:v>45467.79064824074</x:v>
      </x:c>
      <x:c r="L1081" s="20" t="n">
        <x:v>22388.85</x:v>
      </x:c>
      <x:c r="M1081" s="20" t="n">
        <x:v>71.64</x:v>
      </x:c>
      <x:c r="N1081" s="20" t="n">
        <x:v>0</x:v>
      </x:c>
      <x:c r="O1081" s="20" t="n">
        <x:v>22460.49</x:v>
      </x:c>
      <x:c r="P1081" s="20" t="n">
        <x:v>0</x:v>
      </x:c>
      <x:c r="Q1081" s="10" t="str">
        <x:v>Recebido</x:v>
      </x:c>
      <x:c r="R1081" s="10" t="str">
        <x:v>Cartão</x:v>
      </x:c>
      <x:c r="S1081" s="10" t="str">
        <x:v>2024-04</x:v>
      </x:c>
      <x:c r="T1081" s="10" t="n">
        <x:v>0</x:v>
      </x:c>
      <x:c r="U1081" s="10" t="str">
        <x:v>Liquidado</x:v>
      </x:c>
      <x:c r="V1081" s="10" t="str">
        <x:v>Baixo</x:v>
      </x:c>
      <x:c r="W1081" s="10" t="str">
        <x:v>Indústria</x:v>
      </x:c>
      <x:c r="X1081" s="10" t="str">
        <x:v>UND004</x:v>
      </x:c>
    </x:row>
    <x:row r="1082" ht="18" customHeight="1">
      <x:c r="A1082" s="10" t="str">
        <x:v>REC01081</x:v>
      </x:c>
      <x:c r="B1082" s="10" t="str">
        <x:v>EMP002</x:v>
      </x:c>
      <x:c r="C1082" s="10" t="str">
        <x:v>CLI039</x:v>
      </x:c>
      <x:c r="D1082" s="10" t="str">
        <x:v>CC005</x:v>
      </x:c>
      <x:c r="E1082" s="10" t="str">
        <x:v>CAT001</x:v>
      </x:c>
      <x:c r="F1082" s="10" t="str">
        <x:v>CTA003</x:v>
      </x:c>
      <x:c r="G1082" s="10" t="str">
        <x:v>FAT-201081</x:v>
      </x:c>
      <x:c r="H1082" s="10" t="str">
        <x:v>Contrato mensal</x:v>
      </x:c>
      <x:c r="I1082" s="16" t="n">
        <x:v>45787.19635864584</x:v>
      </x:c>
      <x:c r="J1082" s="16" t="n">
        <x:v>45815.19635864584</x:v>
      </x:c>
      <x:c r="K1082" s="16" t="n">
        <x:v>45823.19635864584</x:v>
      </x:c>
      <x:c r="L1082" s="20" t="n">
        <x:v>4755.01</x:v>
      </x:c>
      <x:c r="M1082" s="20" t="n">
        <x:v>30.43</x:v>
      </x:c>
      <x:c r="N1082" s="20" t="n">
        <x:v>0</x:v>
      </x:c>
      <x:c r="O1082" s="20" t="n">
        <x:v>4785.44</x:v>
      </x:c>
      <x:c r="P1082" s="20" t="n">
        <x:v>0</x:v>
      </x:c>
      <x:c r="Q1082" s="10" t="str">
        <x:v>Recebido</x:v>
      </x:c>
      <x:c r="R1082" s="10" t="str">
        <x:v>PIX</x:v>
      </x:c>
      <x:c r="S1082" s="10" t="str">
        <x:v>2025-05</x:v>
      </x:c>
      <x:c r="T1082" s="10" t="n">
        <x:v>0</x:v>
      </x:c>
      <x:c r="U1082" s="10" t="str">
        <x:v>Liquidado</x:v>
      </x:c>
      <x:c r="V1082" s="10" t="str">
        <x:v>Alto</x:v>
      </x:c>
      <x:c r="W1082" s="10" t="str">
        <x:v>Saúde</x:v>
      </x:c>
      <x:c r="X1082" s="10" t="str">
        <x:v>UND003</x:v>
      </x:c>
    </x:row>
    <x:row r="1083" ht="18" customHeight="1">
      <x:c r="A1083" s="10" t="str">
        <x:v>REC01082</x:v>
      </x:c>
      <x:c r="B1083" s="10" t="str">
        <x:v>EMP002</x:v>
      </x:c>
      <x:c r="C1083" s="10" t="str">
        <x:v>CLI030</x:v>
      </x:c>
      <x:c r="D1083" s="10" t="str">
        <x:v>CC003</x:v>
      </x:c>
      <x:c r="E1083" s="10" t="str">
        <x:v>CAT003</x:v>
      </x:c>
      <x:c r="F1083" s="10" t="str">
        <x:v>CTA004</x:v>
      </x:c>
      <x:c r="G1083" s="10" t="str">
        <x:v>FAT-201082</x:v>
      </x:c>
      <x:c r="H1083" s="10" t="str">
        <x:v>Contrato mensal</x:v>
      </x:c>
      <x:c r="I1083" s="16" t="n">
        <x:v>45595.32376111111</x:v>
      </x:c>
      <x:c r="J1083" s="16" t="n">
        <x:v>45630.32376111111</x:v>
      </x:c>
      <x:c r="K1083" s="16" t="n">
        <x:v>45631.32376111111</x:v>
      </x:c>
      <x:c r="L1083" s="20" t="n">
        <x:v>46168.82</x:v>
      </x:c>
      <x:c r="M1083" s="20" t="n">
        <x:v>36.94</x:v>
      </x:c>
      <x:c r="N1083" s="20" t="n">
        <x:v>0</x:v>
      </x:c>
      <x:c r="O1083" s="20" t="n">
        <x:v>46205.76</x:v>
      </x:c>
      <x:c r="P1083" s="20" t="n">
        <x:v>0</x:v>
      </x:c>
      <x:c r="Q1083" s="10" t="str">
        <x:v>Recebido</x:v>
      </x:c>
      <x:c r="R1083" s="10" t="str">
        <x:v>Débito em Conta</x:v>
      </x:c>
      <x:c r="S1083" s="10" t="str">
        <x:v>2024-10</x:v>
      </x:c>
      <x:c r="T1083" s="10" t="n">
        <x:v>0</x:v>
      </x:c>
      <x:c r="U1083" s="10" t="str">
        <x:v>Liquidado</x:v>
      </x:c>
      <x:c r="V1083" s="10" t="str">
        <x:v>Baixo</x:v>
      </x:c>
      <x:c r="W1083" s="10" t="str">
        <x:v>Tecnologia</x:v>
      </x:c>
      <x:c r="X1083" s="10" t="str">
        <x:v>UND003</x:v>
      </x:c>
    </x:row>
    <x:row r="1084" ht="18" customHeight="1">
      <x:c r="A1084" s="10" t="str">
        <x:v>REC01083</x:v>
      </x:c>
      <x:c r="B1084" s="10" t="str">
        <x:v>EMP003</x:v>
      </x:c>
      <x:c r="C1084" s="10" t="str">
        <x:v>CLI013</x:v>
      </x:c>
      <x:c r="D1084" s="10" t="str">
        <x:v>CC002</x:v>
      </x:c>
      <x:c r="E1084" s="10" t="str">
        <x:v>CAT004</x:v>
      </x:c>
      <x:c r="F1084" s="10" t="str">
        <x:v>CTA006</x:v>
      </x:c>
      <x:c r="G1084" s="10" t="str">
        <x:v>FAT-201083</x:v>
      </x:c>
      <x:c r="H1084" s="10" t="str">
        <x:v>Projeto especial</x:v>
      </x:c>
      <x:c r="I1084" s="16" t="n">
        <x:v>45487.906083842594</x:v>
      </x:c>
      <x:c r="J1084" s="16" t="n">
        <x:v>45522.906083842594</x:v>
      </x:c>
      <x:c r="K1084" s="16" t="n">
        <x:v>45525.906083842594</x:v>
      </x:c>
      <x:c r="L1084" s="20" t="n">
        <x:v>2772.14</x:v>
      </x:c>
      <x:c r="M1084" s="20" t="n">
        <x:v>6.65</x:v>
      </x:c>
      <x:c r="N1084" s="20" t="n">
        <x:v>0</x:v>
      </x:c>
      <x:c r="O1084" s="20" t="n">
        <x:v>2778.79</x:v>
      </x:c>
      <x:c r="P1084" s="20" t="n">
        <x:v>0</x:v>
      </x:c>
      <x:c r="Q1084" s="10" t="str">
        <x:v>Recebido</x:v>
      </x:c>
      <x:c r="R1084" s="10" t="str">
        <x:v>Boleto</x:v>
      </x:c>
      <x:c r="S1084" s="10" t="str">
        <x:v>2024-07</x:v>
      </x:c>
      <x:c r="T1084" s="10" t="n">
        <x:v>0</x:v>
      </x:c>
      <x:c r="U1084" s="10" t="str">
        <x:v>Liquidado</x:v>
      </x:c>
      <x:c r="V1084" s="10" t="str">
        <x:v>Baixo</x:v>
      </x:c>
      <x:c r="W1084" s="10" t="str">
        <x:v>Serviços</x:v>
      </x:c>
      <x:c r="X1084" s="10" t="str">
        <x:v>UND004</x:v>
      </x:c>
    </x:row>
    <x:row r="1085" ht="18" customHeight="1">
      <x:c r="A1085" s="10" t="str">
        <x:v>REC01084</x:v>
      </x:c>
      <x:c r="B1085" s="10" t="str">
        <x:v>EMP001</x:v>
      </x:c>
      <x:c r="C1085" s="10" t="str">
        <x:v>CLI035</x:v>
      </x:c>
      <x:c r="D1085" s="10" t="str">
        <x:v>CC006</x:v>
      </x:c>
      <x:c r="E1085" s="10" t="str">
        <x:v>CAT004</x:v>
      </x:c>
      <x:c r="F1085" s="10" t="str">
        <x:v>CTA001</x:v>
      </x:c>
      <x:c r="G1085" s="10" t="str">
        <x:v>FAT-201084</x:v>
      </x:c>
      <x:c r="H1085" s="10" t="str">
        <x:v>Projeto especial</x:v>
      </x:c>
      <x:c r="I1085" s="16" t="n">
        <x:v>45877.363467650466</x:v>
      </x:c>
      <x:c r="J1085" s="16" t="n">
        <x:v>45912.363467650466</x:v>
      </x:c>
      <x:c r="K1085" s="16" t="n">
        <x:v>45926.363467650466</x:v>
      </x:c>
      <x:c r="L1085" s="20" t="n">
        <x:v>17222.43</x:v>
      </x:c>
      <x:c r="M1085" s="20" t="n">
        <x:v>192.89</x:v>
      </x:c>
      <x:c r="N1085" s="20" t="n">
        <x:v>0</x:v>
      </x:c>
      <x:c r="O1085" s="20" t="n">
        <x:v>17415.32</x:v>
      </x:c>
      <x:c r="P1085" s="20" t="n">
        <x:v>0</x:v>
      </x:c>
      <x:c r="Q1085" s="10" t="str">
        <x:v>Recebido</x:v>
      </x:c>
      <x:c r="R1085" s="10" t="str">
        <x:v>Cartão</x:v>
      </x:c>
      <x:c r="S1085" s="10" t="str">
        <x:v>2025-08</x:v>
      </x:c>
      <x:c r="T1085" s="10" t="n">
        <x:v>0</x:v>
      </x:c>
      <x:c r="U1085" s="10" t="str">
        <x:v>Liquidado</x:v>
      </x:c>
      <x:c r="V1085" s="10" t="str">
        <x:v>Médio</x:v>
      </x:c>
      <x:c r="W1085" s="10" t="str">
        <x:v>Varejo</x:v>
      </x:c>
      <x:c r="X1085" s="10" t="str">
        <x:v>UND001</x:v>
      </x:c>
    </x:row>
    <x:row r="1086" ht="18" customHeight="1">
      <x:c r="A1086" s="10" t="str">
        <x:v>REC01085</x:v>
      </x:c>
      <x:c r="B1086" s="10" t="str">
        <x:v>EMP002</x:v>
      </x:c>
      <x:c r="C1086" s="10" t="str">
        <x:v>CLI017</x:v>
      </x:c>
      <x:c r="D1086" s="10" t="str">
        <x:v>CC005</x:v>
      </x:c>
      <x:c r="E1086" s="10" t="str">
        <x:v>CAT003</x:v>
      </x:c>
      <x:c r="F1086" s="10" t="str">
        <x:v>CTA004</x:v>
      </x:c>
      <x:c r="G1086" s="10" t="str">
        <x:v>FAT-201085</x:v>
      </x:c>
      <x:c r="H1086" s="10" t="str">
        <x:v>Venda de produtos</x:v>
      </x:c>
      <x:c r="I1086" s="16" t="n">
        <x:v>46011.80147746528</x:v>
      </x:c>
      <x:c r="J1086" s="16" t="n">
        <x:v>46056.80147746528</x:v>
      </x:c>
      <x:c r="K1086" s="16"/>
      <x:c r="L1086" s="20" t="n">
        <x:v>142958.66</x:v>
      </x:c>
      <x:c r="M1086" s="20" t="n">
        <x:v>0</x:v>
      </x:c>
      <x:c r="N1086" s="20" t="n">
        <x:v>0</x:v>
      </x:c>
      <x:c r="O1086" s="20" t="n">
        <x:v>0</x:v>
      </x:c>
      <x:c r="P1086" s="20" t="n">
        <x:v>142958.66</x:v>
      </x:c>
      <x:c r="Q1086" s="10" t="str">
        <x:v>A vencer</x:v>
      </x:c>
      <x:c r="R1086" s="10" t="str">
        <x:v>Boleto</x:v>
      </x:c>
      <x:c r="S1086" s="10" t="str">
        <x:v>2025-12</x:v>
      </x:c>
      <x:c r="T1086" s="10" t="n">
        <x:v>0</x:v>
      </x:c>
      <x:c r="U1086" s="10" t="str">
        <x:v>A vencer</x:v>
      </x:c>
      <x:c r="V1086" s="10" t="str">
        <x:v>Médio</x:v>
      </x:c>
      <x:c r="W1086" s="10" t="str">
        <x:v>Atacado</x:v>
      </x:c>
      <x:c r="X1086" s="10" t="str">
        <x:v>UND003</x:v>
      </x:c>
    </x:row>
    <x:row r="1087" ht="18" customHeight="1">
      <x:c r="A1087" s="10" t="str">
        <x:v>REC01086</x:v>
      </x:c>
      <x:c r="B1087" s="10" t="str">
        <x:v>EMP002</x:v>
      </x:c>
      <x:c r="C1087" s="10" t="str">
        <x:v>CLI005</x:v>
      </x:c>
      <x:c r="D1087" s="10" t="str">
        <x:v>CC007</x:v>
      </x:c>
      <x:c r="E1087" s="10" t="str">
        <x:v>CAT001</x:v>
      </x:c>
      <x:c r="F1087" s="10" t="str">
        <x:v>CTA004</x:v>
      </x:c>
      <x:c r="G1087" s="10" t="str">
        <x:v>FAT-201086</x:v>
      </x:c>
      <x:c r="H1087" s="10" t="str">
        <x:v>Contrato mensal</x:v>
      </x:c>
      <x:c r="I1087" s="16" t="n">
        <x:v>45805.993177337965</x:v>
      </x:c>
      <x:c r="J1087" s="16" t="n">
        <x:v>45840.993177337965</x:v>
      </x:c>
      <x:c r="K1087" s="16"/>
      <x:c r="L1087" s="20" t="n">
        <x:v>24719.96</x:v>
      </x:c>
      <x:c r="M1087" s="20" t="n">
        <x:v>0</x:v>
      </x:c>
      <x:c r="N1087" s="20" t="n">
        <x:v>0</x:v>
      </x:c>
      <x:c r="O1087" s="20" t="n">
        <x:v>0</x:v>
      </x:c>
      <x:c r="P1087" s="20" t="n">
        <x:v>24719.96</x:v>
      </x:c>
      <x:c r="Q1087" s="10" t="str">
        <x:v>Vencido</x:v>
      </x:c>
      <x:c r="R1087" s="10" t="str">
        <x:v>PIX</x:v>
      </x:c>
      <x:c r="S1087" s="10" t="str">
        <x:v>2025-05</x:v>
      </x:c>
      <x:c r="T1087" s="10" t="n">
        <x:v>181</x:v>
      </x:c>
      <x:c r="U1087" s="10" t="str">
        <x:v>&gt; 120 dias</x:v>
      </x:c>
      <x:c r="V1087" s="10" t="str">
        <x:v>Baixo</x:v>
      </x:c>
      <x:c r="W1087" s="10" t="str">
        <x:v>Atacado</x:v>
      </x:c>
      <x:c r="X1087" s="10" t="str">
        <x:v>UND003</x:v>
      </x:c>
    </x:row>
    <x:row r="1088" ht="18" customHeight="1">
      <x:c r="A1088" s="10" t="str">
        <x:v>REC01087</x:v>
      </x:c>
      <x:c r="B1088" s="10" t="str">
        <x:v>EMP002</x:v>
      </x:c>
      <x:c r="C1088" s="10" t="str">
        <x:v>CLI040</x:v>
      </x:c>
      <x:c r="D1088" s="10" t="str">
        <x:v>CC006</x:v>
      </x:c>
      <x:c r="E1088" s="10" t="str">
        <x:v>CAT003</x:v>
      </x:c>
      <x:c r="F1088" s="10" t="str">
        <x:v>CTA003</x:v>
      </x:c>
      <x:c r="G1088" s="10" t="str">
        <x:v>FAT-201087</x:v>
      </x:c>
      <x:c r="H1088" s="10" t="str">
        <x:v>Prestação de serviços</x:v>
      </x:c>
      <x:c r="I1088" s="16" t="n">
        <x:v>45575.342748483796</x:v>
      </x:c>
      <x:c r="J1088" s="16" t="n">
        <x:v>45620.342748483796</x:v>
      </x:c>
      <x:c r="K1088" s="16" t="n">
        <x:v>45614.342748483796</x:v>
      </x:c>
      <x:c r="L1088" s="20" t="n">
        <x:v>32905.54</x:v>
      </x:c>
      <x:c r="M1088" s="20" t="n">
        <x:v>0</x:v>
      </x:c>
      <x:c r="N1088" s="20" t="n">
        <x:v>0</x:v>
      </x:c>
      <x:c r="O1088" s="20" t="n">
        <x:v>32905.54</x:v>
      </x:c>
      <x:c r="P1088" s="20" t="n">
        <x:v>0</x:v>
      </x:c>
      <x:c r="Q1088" s="10" t="str">
        <x:v>Recebido</x:v>
      </x:c>
      <x:c r="R1088" s="10" t="str">
        <x:v>TED</x:v>
      </x:c>
      <x:c r="S1088" s="10" t="str">
        <x:v>2024-10</x:v>
      </x:c>
      <x:c r="T1088" s="10" t="n">
        <x:v>0</x:v>
      </x:c>
      <x:c r="U1088" s="10" t="str">
        <x:v>Liquidado</x:v>
      </x:c>
      <x:c r="V1088" s="10" t="str">
        <x:v>Baixo</x:v>
      </x:c>
      <x:c r="W1088" s="10" t="str">
        <x:v>Saúde</x:v>
      </x:c>
      <x:c r="X1088" s="10" t="str">
        <x:v>UND003</x:v>
      </x:c>
    </x:row>
    <x:row r="1089" ht="18" customHeight="1">
      <x:c r="A1089" s="10" t="str">
        <x:v>REC01088</x:v>
      </x:c>
      <x:c r="B1089" s="10" t="str">
        <x:v>EMP002</x:v>
      </x:c>
      <x:c r="C1089" s="10" t="str">
        <x:v>CLI062</x:v>
      </x:c>
      <x:c r="D1089" s="10" t="str">
        <x:v>CC003</x:v>
      </x:c>
      <x:c r="E1089" s="10" t="str">
        <x:v>CAT001</x:v>
      </x:c>
      <x:c r="F1089" s="10" t="str">
        <x:v>CTA003</x:v>
      </x:c>
      <x:c r="G1089" s="10" t="str">
        <x:v>FAT-201088</x:v>
      </x:c>
      <x:c r="H1089" s="10" t="str">
        <x:v>Contrato mensal</x:v>
      </x:c>
      <x:c r="I1089" s="16" t="n">
        <x:v>45999.84730439815</x:v>
      </x:c>
      <x:c r="J1089" s="16" t="n">
        <x:v>46020.84730439815</x:v>
      </x:c>
      <x:c r="K1089" s="16"/>
      <x:c r="L1089" s="20" t="n">
        <x:v>23855.09</x:v>
      </x:c>
      <x:c r="M1089" s="20" t="n">
        <x:v>0</x:v>
      </x:c>
      <x:c r="N1089" s="20" t="n">
        <x:v>0</x:v>
      </x:c>
      <x:c r="O1089" s="20" t="n">
        <x:v>0</x:v>
      </x:c>
      <x:c r="P1089" s="20" t="n">
        <x:v>23855.09</x:v>
      </x:c>
      <x:c r="Q1089" s="10" t="str">
        <x:v>Vencido</x:v>
      </x:c>
      <x:c r="R1089" s="10" t="str">
        <x:v>Débito em Conta</x:v>
      </x:c>
      <x:c r="S1089" s="10" t="str">
        <x:v>2025-12</x:v>
      </x:c>
      <x:c r="T1089" s="10" t="n">
        <x:v>1</x:v>
      </x:c>
      <x:c r="U1089" s="10" t="str">
        <x:v>1 a 30 dias</x:v>
      </x:c>
      <x:c r="V1089" s="10" t="str">
        <x:v>Baixo</x:v>
      </x:c>
      <x:c r="W1089" s="10" t="str">
        <x:v>Saúde</x:v>
      </x:c>
      <x:c r="X1089" s="10" t="str">
        <x:v>UND003</x:v>
      </x:c>
    </x:row>
    <x:row r="1090" ht="18" customHeight="1">
      <x:c r="A1090" s="10" t="str">
        <x:v>REC01089</x:v>
      </x:c>
      <x:c r="B1090" s="10" t="str">
        <x:v>EMP001</x:v>
      </x:c>
      <x:c r="C1090" s="10" t="str">
        <x:v>CLI073</x:v>
      </x:c>
      <x:c r="D1090" s="10" t="str">
        <x:v>CC001</x:v>
      </x:c>
      <x:c r="E1090" s="10" t="str">
        <x:v>CAT001</x:v>
      </x:c>
      <x:c r="F1090" s="10" t="str">
        <x:v>CTA002</x:v>
      </x:c>
      <x:c r="G1090" s="10" t="str">
        <x:v>FAT-201089</x:v>
      </x:c>
      <x:c r="H1090" s="10" t="str">
        <x:v>Projeto especial</x:v>
      </x:c>
      <x:c r="I1090" s="16" t="n">
        <x:v>45520.28381206019</x:v>
      </x:c>
      <x:c r="J1090" s="16" t="n">
        <x:v>45555.28381206019</x:v>
      </x:c>
      <x:c r="K1090" s="16" t="n">
        <x:v>45566.28381206019</x:v>
      </x:c>
      <x:c r="L1090" s="20" t="n">
        <x:v>65288.27</x:v>
      </x:c>
      <x:c r="M1090" s="20" t="n">
        <x:v>574.54</x:v>
      </x:c>
      <x:c r="N1090" s="20" t="n">
        <x:v>0</x:v>
      </x:c>
      <x:c r="O1090" s="20" t="n">
        <x:v>65862.81</x:v>
      </x:c>
      <x:c r="P1090" s="20" t="n">
        <x:v>0</x:v>
      </x:c>
      <x:c r="Q1090" s="10" t="str">
        <x:v>Recebido</x:v>
      </x:c>
      <x:c r="R1090" s="10" t="str">
        <x:v>Boleto</x:v>
      </x:c>
      <x:c r="S1090" s="10" t="str">
        <x:v>2024-08</x:v>
      </x:c>
      <x:c r="T1090" s="10" t="n">
        <x:v>0</x:v>
      </x:c>
      <x:c r="U1090" s="10" t="str">
        <x:v>Liquidado</x:v>
      </x:c>
      <x:c r="V1090" s="10" t="str">
        <x:v>Alto</x:v>
      </x:c>
      <x:c r="W1090" s="10" t="str">
        <x:v>Tecnologia</x:v>
      </x:c>
      <x:c r="X1090" s="10" t="str">
        <x:v>UND001</x:v>
      </x:c>
    </x:row>
    <x:row r="1091" ht="18" customHeight="1">
      <x:c r="A1091" s="10" t="str">
        <x:v>REC01090</x:v>
      </x:c>
      <x:c r="B1091" s="10" t="str">
        <x:v>EMP002</x:v>
      </x:c>
      <x:c r="C1091" s="10" t="str">
        <x:v>CLI017</x:v>
      </x:c>
      <x:c r="D1091" s="10" t="str">
        <x:v>CC005</x:v>
      </x:c>
      <x:c r="E1091" s="10" t="str">
        <x:v>CAT004</x:v>
      </x:c>
      <x:c r="F1091" s="10" t="str">
        <x:v>CTA003</x:v>
      </x:c>
      <x:c r="G1091" s="10" t="str">
        <x:v>FAT-201090</x:v>
      </x:c>
      <x:c r="H1091" s="10" t="str">
        <x:v>Frete faturado</x:v>
      </x:c>
      <x:c r="I1091" s="16" t="n">
        <x:v>45937.83200206018</x:v>
      </x:c>
      <x:c r="J1091" s="16" t="n">
        <x:v>45982.83200206018</x:v>
      </x:c>
      <x:c r="K1091" s="16" t="n">
        <x:v>45987.83200206018</x:v>
      </x:c>
      <x:c r="L1091" s="20" t="n">
        <x:v>7110.89</x:v>
      </x:c>
      <x:c r="M1091" s="20" t="n">
        <x:v>28.44</x:v>
      </x:c>
      <x:c r="N1091" s="20" t="n">
        <x:v>0</x:v>
      </x:c>
      <x:c r="O1091" s="20" t="n">
        <x:v>7139.33</x:v>
      </x:c>
      <x:c r="P1091" s="20" t="n">
        <x:v>0</x:v>
      </x:c>
      <x:c r="Q1091" s="10" t="str">
        <x:v>Recebido</x:v>
      </x:c>
      <x:c r="R1091" s="10" t="str">
        <x:v>PIX</x:v>
      </x:c>
      <x:c r="S1091" s="10" t="str">
        <x:v>2025-10</x:v>
      </x:c>
      <x:c r="T1091" s="10" t="n">
        <x:v>0</x:v>
      </x:c>
      <x:c r="U1091" s="10" t="str">
        <x:v>Liquidado</x:v>
      </x:c>
      <x:c r="V1091" s="10" t="str">
        <x:v>Médio</x:v>
      </x:c>
      <x:c r="W1091" s="10" t="str">
        <x:v>Atacado</x:v>
      </x:c>
      <x:c r="X1091" s="10" t="str">
        <x:v>UND003</x:v>
      </x:c>
    </x:row>
    <x:row r="1092" ht="18" customHeight="1">
      <x:c r="A1092" s="10" t="str">
        <x:v>REC01091</x:v>
      </x:c>
      <x:c r="B1092" s="10" t="str">
        <x:v>EMP001</x:v>
      </x:c>
      <x:c r="C1092" s="10" t="str">
        <x:v>CLI060</x:v>
      </x:c>
      <x:c r="D1092" s="10" t="str">
        <x:v>CC001</x:v>
      </x:c>
      <x:c r="E1092" s="10" t="str">
        <x:v>CAT004</x:v>
      </x:c>
      <x:c r="F1092" s="10" t="str">
        <x:v>CTA002</x:v>
      </x:c>
      <x:c r="G1092" s="10" t="str">
        <x:v>FAT-201091</x:v>
      </x:c>
      <x:c r="H1092" s="10" t="str">
        <x:v>Frete faturado</x:v>
      </x:c>
      <x:c r="I1092" s="16" t="n">
        <x:v>45515.42495590278</x:v>
      </x:c>
      <x:c r="J1092" s="16" t="n">
        <x:v>45575.42495590278</x:v>
      </x:c>
      <x:c r="K1092" s="16" t="n">
        <x:v>45569.42495590278</x:v>
      </x:c>
      <x:c r="L1092" s="20" t="n">
        <x:v>43433.25</x:v>
      </x:c>
      <x:c r="M1092" s="20" t="n">
        <x:v>0</x:v>
      </x:c>
      <x:c r="N1092" s="20" t="n">
        <x:v>0</x:v>
      </x:c>
      <x:c r="O1092" s="20" t="n">
        <x:v>43433.25</x:v>
      </x:c>
      <x:c r="P1092" s="20" t="n">
        <x:v>0</x:v>
      </x:c>
      <x:c r="Q1092" s="10" t="str">
        <x:v>Recebido</x:v>
      </x:c>
      <x:c r="R1092" s="10" t="str">
        <x:v>TED</x:v>
      </x:c>
      <x:c r="S1092" s="10" t="str">
        <x:v>2024-08</x:v>
      </x:c>
      <x:c r="T1092" s="10" t="n">
        <x:v>0</x:v>
      </x:c>
      <x:c r="U1092" s="10" t="str">
        <x:v>Liquidado</x:v>
      </x:c>
      <x:c r="V1092" s="10" t="str">
        <x:v>Baixo</x:v>
      </x:c>
      <x:c r="W1092" s="10" t="str">
        <x:v>Atacado</x:v>
      </x:c>
      <x:c r="X1092" s="10" t="str">
        <x:v>UND001</x:v>
      </x:c>
    </x:row>
    <x:row r="1093" ht="18" customHeight="1">
      <x:c r="A1093" s="10" t="str">
        <x:v>REC01092</x:v>
      </x:c>
      <x:c r="B1093" s="10" t="str">
        <x:v>EMP002</x:v>
      </x:c>
      <x:c r="C1093" s="10" t="str">
        <x:v>CLI028</x:v>
      </x:c>
      <x:c r="D1093" s="10" t="str">
        <x:v>CC008</x:v>
      </x:c>
      <x:c r="E1093" s="10" t="str">
        <x:v>CAT004</x:v>
      </x:c>
      <x:c r="F1093" s="10" t="str">
        <x:v>CTA004</x:v>
      </x:c>
      <x:c r="G1093" s="10" t="str">
        <x:v>FAT-201092</x:v>
      </x:c>
      <x:c r="H1093" s="10" t="str">
        <x:v>Venda de produtos</x:v>
      </x:c>
      <x:c r="I1093" s="16" t="n">
        <x:v>45802.88432157407</x:v>
      </x:c>
      <x:c r="J1093" s="16" t="n">
        <x:v>45862.88432157407</x:v>
      </x:c>
      <x:c r="K1093" s="16" t="n">
        <x:v>45864.88432157407</x:v>
      </x:c>
      <x:c r="L1093" s="20" t="n">
        <x:v>56671.31</x:v>
      </x:c>
      <x:c r="M1093" s="20" t="n">
        <x:v>90.67</x:v>
      </x:c>
      <x:c r="N1093" s="20" t="n">
        <x:v>0</x:v>
      </x:c>
      <x:c r="O1093" s="20" t="n">
        <x:v>56761.98</x:v>
      </x:c>
      <x:c r="P1093" s="20" t="n">
        <x:v>0</x:v>
      </x:c>
      <x:c r="Q1093" s="10" t="str">
        <x:v>Recebido</x:v>
      </x:c>
      <x:c r="R1093" s="10" t="str">
        <x:v>Cartão</x:v>
      </x:c>
      <x:c r="S1093" s="10" t="str">
        <x:v>2025-05</x:v>
      </x:c>
      <x:c r="T1093" s="10" t="n">
        <x:v>0</x:v>
      </x:c>
      <x:c r="U1093" s="10" t="str">
        <x:v>Liquidado</x:v>
      </x:c>
      <x:c r="V1093" s="10" t="str">
        <x:v>Baixo</x:v>
      </x:c>
      <x:c r="W1093" s="10" t="str">
        <x:v>Serviços</x:v>
      </x:c>
      <x:c r="X1093" s="10" t="str">
        <x:v>UND003</x:v>
      </x:c>
    </x:row>
    <x:row r="1094" ht="18" customHeight="1">
      <x:c r="A1094" s="10" t="str">
        <x:v>REC01093</x:v>
      </x:c>
      <x:c r="B1094" s="10" t="str">
        <x:v>EMP001</x:v>
      </x:c>
      <x:c r="C1094" s="10" t="str">
        <x:v>CLI067</x:v>
      </x:c>
      <x:c r="D1094" s="10" t="str">
        <x:v>CC005</x:v>
      </x:c>
      <x:c r="E1094" s="10" t="str">
        <x:v>CAT002</x:v>
      </x:c>
      <x:c r="F1094" s="10" t="str">
        <x:v>CTA001</x:v>
      </x:c>
      <x:c r="G1094" s="10" t="str">
        <x:v>FAT-201093</x:v>
      </x:c>
      <x:c r="H1094" s="10" t="str">
        <x:v>Contrato mensal</x:v>
      </x:c>
      <x:c r="I1094" s="16" t="n">
        <x:v>45882.09380793982</x:v>
      </x:c>
      <x:c r="J1094" s="16" t="n">
        <x:v>45910.09380793982</x:v>
      </x:c>
      <x:c r="K1094" s="16" t="n">
        <x:v>45914.09380793982</x:v>
      </x:c>
      <x:c r="L1094" s="20" t="n">
        <x:v>20448.8</x:v>
      </x:c>
      <x:c r="M1094" s="20" t="n">
        <x:v>65.44</x:v>
      </x:c>
      <x:c r="N1094" s="20" t="n">
        <x:v>0</x:v>
      </x:c>
      <x:c r="O1094" s="20" t="n">
        <x:v>20514.24</x:v>
      </x:c>
      <x:c r="P1094" s="20" t="n">
        <x:v>0</x:v>
      </x:c>
      <x:c r="Q1094" s="10" t="str">
        <x:v>Recebido</x:v>
      </x:c>
      <x:c r="R1094" s="10" t="str">
        <x:v>Débito em Conta</x:v>
      </x:c>
      <x:c r="S1094" s="10" t="str">
        <x:v>2025-08</x:v>
      </x:c>
      <x:c r="T1094" s="10" t="n">
        <x:v>0</x:v>
      </x:c>
      <x:c r="U1094" s="10" t="str">
        <x:v>Liquidado</x:v>
      </x:c>
      <x:c r="V1094" s="10" t="str">
        <x:v>Alto</x:v>
      </x:c>
      <x:c r="W1094" s="10" t="str">
        <x:v>Varejo</x:v>
      </x:c>
      <x:c r="X1094" s="10" t="str">
        <x:v>UND001</x:v>
      </x:c>
    </x:row>
    <x:row r="1095" ht="18" customHeight="1">
      <x:c r="A1095" s="10" t="str">
        <x:v>REC01094</x:v>
      </x:c>
      <x:c r="B1095" s="10" t="str">
        <x:v>EMP002</x:v>
      </x:c>
      <x:c r="C1095" s="10" t="str">
        <x:v>CLI039</x:v>
      </x:c>
      <x:c r="D1095" s="10" t="str">
        <x:v>CC001</x:v>
      </x:c>
      <x:c r="E1095" s="10" t="str">
        <x:v>CAT003</x:v>
      </x:c>
      <x:c r="F1095" s="10" t="str">
        <x:v>CTA003</x:v>
      </x:c>
      <x:c r="G1095" s="10" t="str">
        <x:v>FAT-201094</x:v>
      </x:c>
      <x:c r="H1095" s="10" t="str">
        <x:v>Projeto especial</x:v>
      </x:c>
      <x:c r="I1095" s="16" t="n">
        <x:v>45963.904428877315</x:v>
      </x:c>
      <x:c r="J1095" s="16" t="n">
        <x:v>45978.904428877315</x:v>
      </x:c>
      <x:c r="K1095" s="16" t="n">
        <x:v>45980.904428877315</x:v>
      </x:c>
      <x:c r="L1095" s="20" t="n">
        <x:v>62995.77</x:v>
      </x:c>
      <x:c r="M1095" s="20" t="n">
        <x:v>100.79</x:v>
      </x:c>
      <x:c r="N1095" s="20" t="n">
        <x:v>0</x:v>
      </x:c>
      <x:c r="O1095" s="20" t="n">
        <x:v>63096.56</x:v>
      </x:c>
      <x:c r="P1095" s="20" t="n">
        <x:v>0</x:v>
      </x:c>
      <x:c r="Q1095" s="10" t="str">
        <x:v>Recebido</x:v>
      </x:c>
      <x:c r="R1095" s="10" t="str">
        <x:v>PIX</x:v>
      </x:c>
      <x:c r="S1095" s="10" t="str">
        <x:v>2025-11</x:v>
      </x:c>
      <x:c r="T1095" s="10" t="n">
        <x:v>0</x:v>
      </x:c>
      <x:c r="U1095" s="10" t="str">
        <x:v>Liquidado</x:v>
      </x:c>
      <x:c r="V1095" s="10" t="str">
        <x:v>Alto</x:v>
      </x:c>
      <x:c r="W1095" s="10" t="str">
        <x:v>Saúde</x:v>
      </x:c>
      <x:c r="X1095" s="10" t="str">
        <x:v>UND003</x:v>
      </x:c>
    </x:row>
    <x:row r="1096" ht="18" customHeight="1">
      <x:c r="A1096" s="10" t="str">
        <x:v>REC01095</x:v>
      </x:c>
      <x:c r="B1096" s="10" t="str">
        <x:v>EMP001</x:v>
      </x:c>
      <x:c r="C1096" s="10" t="str">
        <x:v>CLI048</x:v>
      </x:c>
      <x:c r="D1096" s="10" t="str">
        <x:v>CC002</x:v>
      </x:c>
      <x:c r="E1096" s="10" t="str">
        <x:v>CAT001</x:v>
      </x:c>
      <x:c r="F1096" s="10" t="str">
        <x:v>CTA001</x:v>
      </x:c>
      <x:c r="G1096" s="10" t="str">
        <x:v>FAT-201095</x:v>
      </x:c>
      <x:c r="H1096" s="10" t="str">
        <x:v>Contrato mensal</x:v>
      </x:c>
      <x:c r="I1096" s="16" t="n">
        <x:v>45799.5437331713</x:v>
      </x:c>
      <x:c r="J1096" s="16" t="n">
        <x:v>45820.5437331713</x:v>
      </x:c>
      <x:c r="K1096" s="16" t="n">
        <x:v>45826.5437331713</x:v>
      </x:c>
      <x:c r="L1096" s="20" t="n">
        <x:v>880.42</x:v>
      </x:c>
      <x:c r="M1096" s="20" t="n">
        <x:v>4.23</x:v>
      </x:c>
      <x:c r="N1096" s="20" t="n">
        <x:v>0</x:v>
      </x:c>
      <x:c r="O1096" s="20" t="n">
        <x:v>884.65</x:v>
      </x:c>
      <x:c r="P1096" s="20" t="n">
        <x:v>0</x:v>
      </x:c>
      <x:c r="Q1096" s="10" t="str">
        <x:v>Recebido</x:v>
      </x:c>
      <x:c r="R1096" s="10" t="str">
        <x:v>Débito em Conta</x:v>
      </x:c>
      <x:c r="S1096" s="10" t="str">
        <x:v>2025-05</x:v>
      </x:c>
      <x:c r="T1096" s="10" t="n">
        <x:v>0</x:v>
      </x:c>
      <x:c r="U1096" s="10" t="str">
        <x:v>Liquidado</x:v>
      </x:c>
      <x:c r="V1096" s="10" t="str">
        <x:v>Baixo</x:v>
      </x:c>
      <x:c r="W1096" s="10" t="str">
        <x:v>Tecnologia</x:v>
      </x:c>
      <x:c r="X1096" s="10" t="str">
        <x:v>UND001</x:v>
      </x:c>
    </x:row>
    <x:row r="1097" ht="18" customHeight="1">
      <x:c r="A1097" s="10" t="str">
        <x:v>REC01096</x:v>
      </x:c>
      <x:c r="B1097" s="10" t="str">
        <x:v>EMP001</x:v>
      </x:c>
      <x:c r="C1097" s="10" t="str">
        <x:v>CLI024</x:v>
      </x:c>
      <x:c r="D1097" s="10" t="str">
        <x:v>CC007</x:v>
      </x:c>
      <x:c r="E1097" s="10" t="str">
        <x:v>CAT002</x:v>
      </x:c>
      <x:c r="F1097" s="10" t="str">
        <x:v>CTA001</x:v>
      </x:c>
      <x:c r="G1097" s="10" t="str">
        <x:v>FAT-201096</x:v>
      </x:c>
      <x:c r="H1097" s="10" t="str">
        <x:v>Frete faturado</x:v>
      </x:c>
      <x:c r="I1097" s="16" t="n">
        <x:v>45574.07998929398</x:v>
      </x:c>
      <x:c r="J1097" s="16" t="n">
        <x:v>45634.07998929398</x:v>
      </x:c>
      <x:c r="K1097" s="16" t="n">
        <x:v>45631.07998929398</x:v>
      </x:c>
      <x:c r="L1097" s="20" t="n">
        <x:v>9964.57</x:v>
      </x:c>
      <x:c r="M1097" s="20" t="n">
        <x:v>0</x:v>
      </x:c>
      <x:c r="N1097" s="20" t="n">
        <x:v>0</x:v>
      </x:c>
      <x:c r="O1097" s="20" t="n">
        <x:v>9964.57</x:v>
      </x:c>
      <x:c r="P1097" s="20" t="n">
        <x:v>0</x:v>
      </x:c>
      <x:c r="Q1097" s="10" t="str">
        <x:v>Recebido</x:v>
      </x:c>
      <x:c r="R1097" s="10" t="str">
        <x:v>Débito em Conta</x:v>
      </x:c>
      <x:c r="S1097" s="10" t="str">
        <x:v>2024-10</x:v>
      </x:c>
      <x:c r="T1097" s="10" t="n">
        <x:v>0</x:v>
      </x:c>
      <x:c r="U1097" s="10" t="str">
        <x:v>Liquidado</x:v>
      </x:c>
      <x:c r="V1097" s="10" t="str">
        <x:v>Baixo</x:v>
      </x:c>
      <x:c r="W1097" s="10" t="str">
        <x:v>Saúde</x:v>
      </x:c>
      <x:c r="X1097" s="10" t="str">
        <x:v>UND001</x:v>
      </x:c>
    </x:row>
    <x:row r="1098" ht="18" customHeight="1">
      <x:c r="A1098" s="10" t="str">
        <x:v>REC01097</x:v>
      </x:c>
      <x:c r="B1098" s="10" t="str">
        <x:v>EMP001</x:v>
      </x:c>
      <x:c r="C1098" s="10" t="str">
        <x:v>CLI065</x:v>
      </x:c>
      <x:c r="D1098" s="10" t="str">
        <x:v>CC001</x:v>
      </x:c>
      <x:c r="E1098" s="10" t="str">
        <x:v>CAT003</x:v>
      </x:c>
      <x:c r="F1098" s="10" t="str">
        <x:v>CTA001</x:v>
      </x:c>
      <x:c r="G1098" s="10" t="str">
        <x:v>FAT-201097</x:v>
      </x:c>
      <x:c r="H1098" s="10" t="str">
        <x:v>Contrato mensal</x:v>
      </x:c>
      <x:c r="I1098" s="16" t="n">
        <x:v>45497.95044346065</x:v>
      </x:c>
      <x:c r="J1098" s="16" t="n">
        <x:v>45557.95044346065</x:v>
      </x:c>
      <x:c r="K1098" s="16" t="n">
        <x:v>45561.95044346065</x:v>
      </x:c>
      <x:c r="L1098" s="20" t="n">
        <x:v>12916.51</x:v>
      </x:c>
      <x:c r="M1098" s="20" t="n">
        <x:v>41.33</x:v>
      </x:c>
      <x:c r="N1098" s="20" t="n">
        <x:v>0</x:v>
      </x:c>
      <x:c r="O1098" s="20" t="n">
        <x:v>12957.84</x:v>
      </x:c>
      <x:c r="P1098" s="20" t="n">
        <x:v>0</x:v>
      </x:c>
      <x:c r="Q1098" s="10" t="str">
        <x:v>Recebido</x:v>
      </x:c>
      <x:c r="R1098" s="10" t="str">
        <x:v>Débito em Conta</x:v>
      </x:c>
      <x:c r="S1098" s="10" t="str">
        <x:v>2024-07</x:v>
      </x:c>
      <x:c r="T1098" s="10" t="n">
        <x:v>0</x:v>
      </x:c>
      <x:c r="U1098" s="10" t="str">
        <x:v>Liquidado</x:v>
      </x:c>
      <x:c r="V1098" s="10" t="str">
        <x:v>Médio</x:v>
      </x:c>
      <x:c r="W1098" s="10" t="str">
        <x:v>Serviços</x:v>
      </x:c>
      <x:c r="X1098" s="10" t="str">
        <x:v>UND002</x:v>
      </x:c>
    </x:row>
    <x:row r="1099" ht="18" customHeight="1">
      <x:c r="A1099" s="10" t="str">
        <x:v>REC01098</x:v>
      </x:c>
      <x:c r="B1099" s="10" t="str">
        <x:v>EMP002</x:v>
      </x:c>
      <x:c r="C1099" s="10" t="str">
        <x:v>CLI077</x:v>
      </x:c>
      <x:c r="D1099" s="10" t="str">
        <x:v>CC008</x:v>
      </x:c>
      <x:c r="E1099" s="10" t="str">
        <x:v>CAT004</x:v>
      </x:c>
      <x:c r="F1099" s="10" t="str">
        <x:v>CTA004</x:v>
      </x:c>
      <x:c r="G1099" s="10" t="str">
        <x:v>FAT-201098</x:v>
      </x:c>
      <x:c r="H1099" s="10" t="str">
        <x:v>Projeto especial</x:v>
      </x:c>
      <x:c r="I1099" s="16" t="n">
        <x:v>45640.73550818287</x:v>
      </x:c>
      <x:c r="J1099" s="16" t="n">
        <x:v>45668.73550818287</x:v>
      </x:c>
      <x:c r="K1099" s="16"/>
      <x:c r="L1099" s="20" t="n">
        <x:v>17062.47</x:v>
      </x:c>
      <x:c r="M1099" s="20" t="n">
        <x:v>0</x:v>
      </x:c>
      <x:c r="N1099" s="20" t="n">
        <x:v>0</x:v>
      </x:c>
      <x:c r="O1099" s="20" t="n">
        <x:v>0</x:v>
      </x:c>
      <x:c r="P1099" s="20" t="n">
        <x:v>17062.47</x:v>
      </x:c>
      <x:c r="Q1099" s="10" t="str">
        <x:v>Vencido</x:v>
      </x:c>
      <x:c r="R1099" s="10" t="str">
        <x:v>Débito em Conta</x:v>
      </x:c>
      <x:c r="S1099" s="10" t="str">
        <x:v>2024-12</x:v>
      </x:c>
      <x:c r="T1099" s="10" t="n">
        <x:v>353</x:v>
      </x:c>
      <x:c r="U1099" s="10" t="str">
        <x:v>&gt; 120 dias</x:v>
      </x:c>
      <x:c r="V1099" s="10" t="str">
        <x:v>Médio</x:v>
      </x:c>
      <x:c r="W1099" s="10" t="str">
        <x:v>Serviços</x:v>
      </x:c>
      <x:c r="X1099" s="10" t="str">
        <x:v>UND003</x:v>
      </x:c>
    </x:row>
    <x:row r="1100" ht="18" customHeight="1">
      <x:c r="A1100" s="10" t="str">
        <x:v>REC01099</x:v>
      </x:c>
      <x:c r="B1100" s="10" t="str">
        <x:v>EMP001</x:v>
      </x:c>
      <x:c r="C1100" s="10" t="str">
        <x:v>CLI050</x:v>
      </x:c>
      <x:c r="D1100" s="10" t="str">
        <x:v>CC003</x:v>
      </x:c>
      <x:c r="E1100" s="10" t="str">
        <x:v>CAT001</x:v>
      </x:c>
      <x:c r="F1100" s="10" t="str">
        <x:v>CTA001</x:v>
      </x:c>
      <x:c r="G1100" s="10" t="str">
        <x:v>FAT-201099</x:v>
      </x:c>
      <x:c r="H1100" s="10" t="str">
        <x:v>Frete faturado</x:v>
      </x:c>
      <x:c r="I1100" s="16" t="n">
        <x:v>45870.49258976852</x:v>
      </x:c>
      <x:c r="J1100" s="16" t="n">
        <x:v>45900.49258976852</x:v>
      </x:c>
      <x:c r="K1100" s="16" t="n">
        <x:v>45907.49258976852</x:v>
      </x:c>
      <x:c r="L1100" s="20" t="n">
        <x:v>128547.54</x:v>
      </x:c>
      <x:c r="M1100" s="20" t="n">
        <x:v>719.87</x:v>
      </x:c>
      <x:c r="N1100" s="20" t="n">
        <x:v>0</x:v>
      </x:c>
      <x:c r="O1100" s="20" t="n">
        <x:v>129267.41</x:v>
      </x:c>
      <x:c r="P1100" s="20" t="n">
        <x:v>0</x:v>
      </x:c>
      <x:c r="Q1100" s="10" t="str">
        <x:v>Recebido</x:v>
      </x:c>
      <x:c r="R1100" s="10" t="str">
        <x:v>Cartão</x:v>
      </x:c>
      <x:c r="S1100" s="10" t="str">
        <x:v>2025-08</x:v>
      </x:c>
      <x:c r="T1100" s="10" t="n">
        <x:v>0</x:v>
      </x:c>
      <x:c r="U1100" s="10" t="str">
        <x:v>Liquidado</x:v>
      </x:c>
      <x:c r="V1100" s="10" t="str">
        <x:v>Baixo</x:v>
      </x:c>
      <x:c r="W1100" s="10" t="str">
        <x:v>Tecnologia</x:v>
      </x:c>
      <x:c r="X1100" s="10" t="str">
        <x:v>UND001</x:v>
      </x:c>
    </x:row>
    <x:row r="1101" ht="18" customHeight="1">
      <x:c r="A1101" s="12" t="str">
        <x:v>REC01100</x:v>
      </x:c>
      <x:c r="B1101" s="12" t="str">
        <x:v>EMP002</x:v>
      </x:c>
      <x:c r="C1101" s="12" t="str">
        <x:v>CLI078</x:v>
      </x:c>
      <x:c r="D1101" s="12" t="str">
        <x:v>CC003</x:v>
      </x:c>
      <x:c r="E1101" s="12" t="str">
        <x:v>CAT004</x:v>
      </x:c>
      <x:c r="F1101" s="12" t="str">
        <x:v>CTA004</x:v>
      </x:c>
      <x:c r="G1101" s="12" t="str">
        <x:v>FAT-201100</x:v>
      </x:c>
      <x:c r="H1101" s="12" t="str">
        <x:v>Venda de produtos</x:v>
      </x:c>
      <x:c r="I1101" s="17" t="n">
        <x:v>45546.342975520834</x:v>
      </x:c>
      <x:c r="J1101" s="17" t="n">
        <x:v>45567.342975520834</x:v>
      </x:c>
      <x:c r="K1101" s="17" t="n">
        <x:v>45576.342975520834</x:v>
      </x:c>
      <x:c r="L1101" s="21" t="n">
        <x:v>1133.71</x:v>
      </x:c>
      <x:c r="M1101" s="21" t="n">
        <x:v>8.16</x:v>
      </x:c>
      <x:c r="N1101" s="21" t="n">
        <x:v>0</x:v>
      </x:c>
      <x:c r="O1101" s="21" t="n">
        <x:v>1141.87</x:v>
      </x:c>
      <x:c r="P1101" s="21" t="n">
        <x:v>0</x:v>
      </x:c>
      <x:c r="Q1101" s="12" t="str">
        <x:v>Recebido</x:v>
      </x:c>
      <x:c r="R1101" s="12" t="str">
        <x:v>TED</x:v>
      </x:c>
      <x:c r="S1101" s="12" t="str">
        <x:v>2024-09</x:v>
      </x:c>
      <x:c r="T1101" s="12" t="n">
        <x:v>0</x:v>
      </x:c>
      <x:c r="U1101" s="12" t="str">
        <x:v>Liquidado</x:v>
      </x:c>
      <x:c r="V1101" s="12" t="str">
        <x:v>Médio</x:v>
      </x:c>
      <x:c r="W1101" s="12" t="str">
        <x:v>Tecnologia</x:v>
      </x:c>
      <x:c r="X1101" s="12" t="str">
        <x:v>UND003</x:v>
      </x:c>
    </x:row>
  </x:sheetData>
  <x:pageMargins left="0.7" right="0.7" top="0.75" bottom="0.75" header="0.3" footer="0.3"/>
  <x:tableParts count="1">
    <x:tablePart xmlns:r="http://schemas.openxmlformats.org/officeDocument/2006/relationships" r:id="R03b48eeb465145b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6.75" hidden="0" customWidth="1"/>
    <x:col min="3" max="3" width="12.75" hidden="0" customWidth="1"/>
    <x:col min="4" max="4" width="19.75" hidden="0" customWidth="1"/>
    <x:col min="5" max="5" width="16.75" hidden="0" customWidth="1"/>
    <x:col min="6" max="6" width="14.75" hidden="0" customWidth="1"/>
    <x:col min="7" max="7" width="11.75" hidden="0" customWidth="1"/>
    <x:col min="8" max="8" width="18.75" hidden="0" customWidth="1"/>
    <x:col min="9" max="9" width="10" hidden="0" customWidth="1"/>
    <x:col min="10" max="10" width="16.75" hidden="0" customWidth="1"/>
    <x:col min="11" max="11" width="10" hidden="0" customWidth="1"/>
    <x:col min="12" max="12" width="10" hidden="0" customWidth="1"/>
  </x:cols>
  <x:sheetData>
    <x:row r="1" ht="28" customHeight="1">
      <x:c r="A1" s="5" t="str">
        <x:v>ID_Movimento</x:v>
      </x:c>
      <x:c r="B1" s="14" t="str">
        <x:v>Data_Movimento</x:v>
      </x:c>
      <x:c r="C1" s="5" t="str">
        <x:v>ID_Empresa</x:v>
      </x:c>
      <x:c r="D1" s="5" t="str">
        <x:v>ID_Conta_Bancaria</x:v>
      </x:c>
      <x:c r="E1" s="5" t="str">
        <x:v>Tipo_Movimento</x:v>
      </x:c>
      <x:c r="F1" s="5" t="str">
        <x:v>ID_Categoria</x:v>
      </x:c>
      <x:c r="G1" s="5" t="str">
        <x:v>Descricao</x:v>
      </x:c>
      <x:c r="H1" s="5" t="str">
        <x:v>ID_Titulo_Origem</x:v>
      </x:c>
      <x:c r="I1" s="18" t="str">
        <x:v>Valor</x:v>
      </x:c>
      <x:c r="J1" s="18" t="str">
        <x:v>Valor_Assinado</x:v>
      </x:c>
      <x:c r="K1" s="5" t="str">
        <x:v>Status</x:v>
      </x:c>
      <x:c r="L1" s="5" t="str">
        <x:v>Origem</x:v>
      </x:c>
    </x:row>
    <x:row r="2" ht="18" customHeight="1">
      <x:c r="A2" s="8" t="str">
        <x:v>MOV000001</x:v>
      </x:c>
      <x:c r="B2" s="15" t="n">
        <x:v>45292</x:v>
      </x:c>
      <x:c r="C2" s="8" t="str">
        <x:v>EMP001</x:v>
      </x:c>
      <x:c r="D2" s="8" t="str">
        <x:v>CTA001</x:v>
      </x:c>
      <x:c r="E2" s="8" t="str">
        <x:v>Entrada</x:v>
      </x:c>
      <x:c r="F2" s="8" t="str">
        <x:v>Saldo Inicial</x:v>
      </x:c>
      <x:c r="G2" s="8" t="str">
        <x:v>Saldo de abertura</x:v>
      </x:c>
      <x:c r="H2" s="8" t="str"/>
      <x:c r="I2" s="19" t="n">
        <x:v>325000</x:v>
      </x:c>
      <x:c r="J2" s="19" t="n">
        <x:v>325000</x:v>
      </x:c>
      <x:c r="K2" s="8" t="str">
        <x:v>Realizado</x:v>
      </x:c>
      <x:c r="L2" s="8" t="str">
        <x:v>Saldo Inicial</x:v>
      </x:c>
    </x:row>
    <x:row r="3" ht="18" customHeight="1">
      <x:c r="A3" s="10" t="str">
        <x:v>MOV000002</x:v>
      </x:c>
      <x:c r="B3" s="16" t="n">
        <x:v>45292</x:v>
      </x:c>
      <x:c r="C3" s="10" t="str">
        <x:v>EMP001</x:v>
      </x:c>
      <x:c r="D3" s="10" t="str">
        <x:v>CTA002</x:v>
      </x:c>
      <x:c r="E3" s="10" t="str">
        <x:v>Entrada</x:v>
      </x:c>
      <x:c r="F3" s="10" t="str">
        <x:v>Saldo Inicial</x:v>
      </x:c>
      <x:c r="G3" s="10" t="str">
        <x:v>Saldo de abertura</x:v>
      </x:c>
      <x:c r="H3" s="10" t="str"/>
      <x:c r="I3" s="20" t="n">
        <x:v>185000</x:v>
      </x:c>
      <x:c r="J3" s="20" t="n">
        <x:v>185000</x:v>
      </x:c>
      <x:c r="K3" s="10" t="str">
        <x:v>Realizado</x:v>
      </x:c>
      <x:c r="L3" s="10" t="str">
        <x:v>Saldo Inicial</x:v>
      </x:c>
    </x:row>
    <x:row r="4" ht="18" customHeight="1">
      <x:c r="A4" s="10" t="str">
        <x:v>MOV000003</x:v>
      </x:c>
      <x:c r="B4" s="16" t="n">
        <x:v>45292</x:v>
      </x:c>
      <x:c r="C4" s="10" t="str">
        <x:v>EMP002</x:v>
      </x:c>
      <x:c r="D4" s="10" t="str">
        <x:v>CTA003</x:v>
      </x:c>
      <x:c r="E4" s="10" t="str">
        <x:v>Entrada</x:v>
      </x:c>
      <x:c r="F4" s="10" t="str">
        <x:v>Saldo Inicial</x:v>
      </x:c>
      <x:c r="G4" s="10" t="str">
        <x:v>Saldo de abertura</x:v>
      </x:c>
      <x:c r="H4" s="10" t="str"/>
      <x:c r="I4" s="20" t="n">
        <x:v>240000</x:v>
      </x:c>
      <x:c r="J4" s="20" t="n">
        <x:v>240000</x:v>
      </x:c>
      <x:c r="K4" s="10" t="str">
        <x:v>Realizado</x:v>
      </x:c>
      <x:c r="L4" s="10" t="str">
        <x:v>Saldo Inicial</x:v>
      </x:c>
    </x:row>
    <x:row r="5" ht="18" customHeight="1">
      <x:c r="A5" s="10" t="str">
        <x:v>MOV000004</x:v>
      </x:c>
      <x:c r="B5" s="16" t="n">
        <x:v>45292</x:v>
      </x:c>
      <x:c r="C5" s="10" t="str">
        <x:v>EMP002</x:v>
      </x:c>
      <x:c r="D5" s="10" t="str">
        <x:v>CTA004</x:v>
      </x:c>
      <x:c r="E5" s="10" t="str">
        <x:v>Entrada</x:v>
      </x:c>
      <x:c r="F5" s="10" t="str">
        <x:v>Saldo Inicial</x:v>
      </x:c>
      <x:c r="G5" s="10" t="str">
        <x:v>Saldo de abertura</x:v>
      </x:c>
      <x:c r="H5" s="10" t="str"/>
      <x:c r="I5" s="20" t="n">
        <x:v>420000</x:v>
      </x:c>
      <x:c r="J5" s="20" t="n">
        <x:v>420000</x:v>
      </x:c>
      <x:c r="K5" s="10" t="str">
        <x:v>Realizado</x:v>
      </x:c>
      <x:c r="L5" s="10" t="str">
        <x:v>Saldo Inicial</x:v>
      </x:c>
    </x:row>
    <x:row r="6" ht="18" customHeight="1">
      <x:c r="A6" s="10" t="str">
        <x:v>MOV000005</x:v>
      </x:c>
      <x:c r="B6" s="16" t="n">
        <x:v>45292</x:v>
      </x:c>
      <x:c r="C6" s="10" t="str">
        <x:v>EMP003</x:v>
      </x:c>
      <x:c r="D6" s="10" t="str">
        <x:v>CTA005</x:v>
      </x:c>
      <x:c r="E6" s="10" t="str">
        <x:v>Entrada</x:v>
      </x:c>
      <x:c r="F6" s="10" t="str">
        <x:v>Saldo Inicial</x:v>
      </x:c>
      <x:c r="G6" s="10" t="str">
        <x:v>Saldo de abertura</x:v>
      </x:c>
      <x:c r="H6" s="10" t="str"/>
      <x:c r="I6" s="20" t="n">
        <x:v>275000</x:v>
      </x:c>
      <x:c r="J6" s="20" t="n">
        <x:v>275000</x:v>
      </x:c>
      <x:c r="K6" s="10" t="str">
        <x:v>Realizado</x:v>
      </x:c>
      <x:c r="L6" s="10" t="str">
        <x:v>Saldo Inicial</x:v>
      </x:c>
    </x:row>
    <x:row r="7" ht="18" customHeight="1">
      <x:c r="A7" s="10" t="str">
        <x:v>MOV000006</x:v>
      </x:c>
      <x:c r="B7" s="16" t="n">
        <x:v>45292</x:v>
      </x:c>
      <x:c r="C7" s="10" t="str">
        <x:v>EMP003</x:v>
      </x:c>
      <x:c r="D7" s="10" t="str">
        <x:v>CTA006</x:v>
      </x:c>
      <x:c r="E7" s="10" t="str">
        <x:v>Entrada</x:v>
      </x:c>
      <x:c r="F7" s="10" t="str">
        <x:v>Saldo Inicial</x:v>
      </x:c>
      <x:c r="G7" s="10" t="str">
        <x:v>Saldo de abertura</x:v>
      </x:c>
      <x:c r="H7" s="10" t="str"/>
      <x:c r="I7" s="20" t="n">
        <x:v>310000</x:v>
      </x:c>
      <x:c r="J7" s="20" t="n">
        <x:v>310000</x:v>
      </x:c>
      <x:c r="K7" s="10" t="str">
        <x:v>Realizado</x:v>
      </x:c>
      <x:c r="L7" s="10" t="str">
        <x:v>Saldo Inicial</x:v>
      </x:c>
    </x:row>
    <x:row r="8" ht="18" customHeight="1">
      <x:c r="A8" s="10" t="str">
        <x:v>MOV000342</x:v>
      </x:c>
      <x:c r="B8" s="16" t="n">
        <x:v>45303.78418116898</x:v>
      </x:c>
      <x:c r="C8" s="10" t="str">
        <x:v>EMP001</x:v>
      </x:c>
      <x:c r="D8" s="10" t="str">
        <x:v>CTA002</x:v>
      </x:c>
      <x:c r="E8" s="10" t="str">
        <x:v>Saída</x:v>
      </x:c>
      <x:c r="F8" s="10" t="str">
        <x:v>CAT015</x:v>
      </x:c>
      <x:c r="G8" s="10" t="str">
        <x:v>Tributos e taxas</x:v>
      </x:c>
      <x:c r="H8" s="10" t="str">
        <x:v>PAG00396</x:v>
      </x:c>
      <x:c r="I8" s="20" t="n">
        <x:v>13920.36</x:v>
      </x:c>
      <x:c r="J8" s="20" t="n">
        <x:v>-13920.36</x:v>
      </x:c>
      <x:c r="K8" s="10" t="str">
        <x:v>Realizado</x:v>
      </x:c>
      <x:c r="L8" s="10" t="str">
        <x:v>Contas a Pagar</x:v>
      </x:c>
    </x:row>
    <x:row r="9" ht="18" customHeight="1">
      <x:c r="A9" s="10" t="str">
        <x:v>MOV001521</x:v>
      </x:c>
      <x:c r="B9" s="16" t="n">
        <x:v>45312.79462821759</x:v>
      </x:c>
      <x:c r="C9" s="10" t="str">
        <x:v>EMP003</x:v>
      </x:c>
      <x:c r="D9" s="10" t="str">
        <x:v>CTA006</x:v>
      </x:c>
      <x:c r="E9" s="10" t="str">
        <x:v>Entrada</x:v>
      </x:c>
      <x:c r="F9" s="10" t="str">
        <x:v>CAT001</x:v>
      </x:c>
      <x:c r="G9" s="10" t="str">
        <x:v>Prestação de serviços</x:v>
      </x:c>
      <x:c r="H9" s="10" t="str">
        <x:v>REC00933</x:v>
      </x:c>
      <x:c r="I9" s="20" t="n">
        <x:v>39093.42</x:v>
      </x:c>
      <x:c r="J9" s="20" t="n">
        <x:v>39093.42</x:v>
      </x:c>
      <x:c r="K9" s="10" t="str">
        <x:v>Realizado</x:v>
      </x:c>
      <x:c r="L9" s="10" t="str">
        <x:v>Contas a Receber</x:v>
      </x:c>
    </x:row>
    <x:row r="10" ht="18" customHeight="1">
      <x:c r="A10" s="10" t="str">
        <x:v>MOV000294</x:v>
      </x:c>
      <x:c r="B10" s="16" t="n">
        <x:v>45314.34797870371</x:v>
      </x:c>
      <x:c r="C10" s="10" t="str">
        <x:v>EMP001</x:v>
      </x:c>
      <x:c r="D10" s="10" t="str">
        <x:v>CTA002</x:v>
      </x:c>
      <x:c r="E10" s="10" t="str">
        <x:v>Saída</x:v>
      </x:c>
      <x:c r="F10" s="10" t="str">
        <x:v>CAT011</x:v>
      </x:c>
      <x:c r="G10" s="10" t="str">
        <x:v>Tributos e taxas</x:v>
      </x:c>
      <x:c r="H10" s="10" t="str">
        <x:v>PAG00341</x:v>
      </x:c>
      <x:c r="I10" s="20" t="n">
        <x:v>7406.94</x:v>
      </x:c>
      <x:c r="J10" s="20" t="n">
        <x:v>-7406.94</x:v>
      </x:c>
      <x:c r="K10" s="10" t="str">
        <x:v>Realizado</x:v>
      </x:c>
      <x:c r="L10" s="10" t="str">
        <x:v>Contas a Pagar</x:v>
      </x:c>
    </x:row>
    <x:row r="11" ht="18" customHeight="1">
      <x:c r="A11" s="10" t="str">
        <x:v>MOV001544</x:v>
      </x:c>
      <x:c r="B11" s="16" t="n">
        <x:v>45315.330731458336</x:v>
      </x:c>
      <x:c r="C11" s="10" t="str">
        <x:v>EMP002</x:v>
      </x:c>
      <x:c r="D11" s="10" t="str">
        <x:v>CTA004</x:v>
      </x:c>
      <x:c r="E11" s="10" t="str">
        <x:v>Entrada</x:v>
      </x:c>
      <x:c r="F11" s="10" t="str">
        <x:v>CAT003</x:v>
      </x:c>
      <x:c r="G11" s="10" t="str">
        <x:v>Projeto especial</x:v>
      </x:c>
      <x:c r="H11" s="10" t="str">
        <x:v>REC00961</x:v>
      </x:c>
      <x:c r="I11" s="20" t="n">
        <x:v>67357.27</x:v>
      </x:c>
      <x:c r="J11" s="20" t="n">
        <x:v>67357.27</x:v>
      </x:c>
      <x:c r="K11" s="10" t="str">
        <x:v>Realizado</x:v>
      </x:c>
      <x:c r="L11" s="10" t="str">
        <x:v>Contas a Receber</x:v>
      </x:c>
    </x:row>
    <x:row r="12" ht="18" customHeight="1">
      <x:c r="A12" s="10" t="str">
        <x:v>MOV000015</x:v>
      </x:c>
      <x:c r="B12" s="16" t="n">
        <x:v>45316.74545415509</x:v>
      </x:c>
      <x:c r="C12" s="10" t="str">
        <x:v>EMP001</x:v>
      </x:c>
      <x:c r="D12" s="10" t="str">
        <x:v>CTA002</x:v>
      </x:c>
      <x:c r="E12" s="10" t="str">
        <x:v>Saída</x:v>
      </x:c>
      <x:c r="F12" s="10" t="str">
        <x:v>CAT006</x:v>
      </x:c>
      <x:c r="G12" s="10" t="str">
        <x:v>Contrato recorrente</x:v>
      </x:c>
      <x:c r="H12" s="10" t="str">
        <x:v>PAG00012</x:v>
      </x:c>
      <x:c r="I12" s="20" t="n">
        <x:v>28941.89</x:v>
      </x:c>
      <x:c r="J12" s="20" t="n">
        <x:v>-28941.89</x:v>
      </x:c>
      <x:c r="K12" s="10" t="str">
        <x:v>Realizado</x:v>
      </x:c>
      <x:c r="L12" s="10" t="str">
        <x:v>Contas a Pagar</x:v>
      </x:c>
    </x:row>
    <x:row r="13" ht="18" customHeight="1">
      <x:c r="A13" s="10" t="str">
        <x:v>MOV000813</x:v>
      </x:c>
      <x:c r="B13" s="16" t="n">
        <x:v>45320.5194871875</x:v>
      </x:c>
      <x:c r="C13" s="10" t="str">
        <x:v>EMP002</x:v>
      </x:c>
      <x:c r="D13" s="10" t="str">
        <x:v>CTA003</x:v>
      </x:c>
      <x:c r="E13" s="10" t="str">
        <x:v>Entrada</x:v>
      </x:c>
      <x:c r="F13" s="10" t="str">
        <x:v>CAT003</x:v>
      </x:c>
      <x:c r="G13" s="10" t="str">
        <x:v>Prestação de serviços</x:v>
      </x:c>
      <x:c r="H13" s="10" t="str">
        <x:v>REC00073</x:v>
      </x:c>
      <x:c r="I13" s="20" t="n">
        <x:v>38120.41</x:v>
      </x:c>
      <x:c r="J13" s="20" t="n">
        <x:v>38120.41</x:v>
      </x:c>
      <x:c r="K13" s="10" t="str">
        <x:v>Realizado</x:v>
      </x:c>
      <x:c r="L13" s="10" t="str">
        <x:v>Contas a Receber</x:v>
      </x:c>
    </x:row>
    <x:row r="14" ht="18" customHeight="1">
      <x:c r="A14" s="10" t="str">
        <x:v>MOV000484</x:v>
      </x:c>
      <x:c r="B14" s="16" t="n">
        <x:v>45323.93350244213</x:v>
      </x:c>
      <x:c r="C14" s="10" t="str">
        <x:v>EMP001</x:v>
      </x:c>
      <x:c r="D14" s="10" t="str">
        <x:v>CTA001</x:v>
      </x:c>
      <x:c r="E14" s="10" t="str">
        <x:v>Saída</x:v>
      </x:c>
      <x:c r="F14" s="10" t="str">
        <x:v>CAT014</x:v>
      </x:c>
      <x:c r="G14" s="10" t="str">
        <x:v>Compra de materiais</x:v>
      </x:c>
      <x:c r="H14" s="10" t="str">
        <x:v>PAG00568</x:v>
      </x:c>
      <x:c r="I14" s="20" t="n">
        <x:v>4642.07</x:v>
      </x:c>
      <x:c r="J14" s="20" t="n">
        <x:v>-4642.07</x:v>
      </x:c>
      <x:c r="K14" s="10" t="str">
        <x:v>Realizado</x:v>
      </x:c>
      <x:c r="L14" s="10" t="str">
        <x:v>Contas a Pagar</x:v>
      </x:c>
    </x:row>
    <x:row r="15" ht="18" customHeight="1">
      <x:c r="A15" s="10" t="str">
        <x:v>MOV000223</x:v>
      </x:c>
      <x:c r="B15" s="16" t="n">
        <x:v>45324.977512627316</x:v>
      </x:c>
      <x:c r="C15" s="10" t="str">
        <x:v>EMP003</x:v>
      </x:c>
      <x:c r="D15" s="10" t="str">
        <x:v>CTA005</x:v>
      </x:c>
      <x:c r="E15" s="10" t="str">
        <x:v>Saída</x:v>
      </x:c>
      <x:c r="F15" s="10" t="str">
        <x:v>CAT006</x:v>
      </x:c>
      <x:c r="G15" s="10" t="str">
        <x:v>Contrato recorrente</x:v>
      </x:c>
      <x:c r="H15" s="10" t="str">
        <x:v>PAG00261</x:v>
      </x:c>
      <x:c r="I15" s="20" t="n">
        <x:v>3749.67</x:v>
      </x:c>
      <x:c r="J15" s="20" t="n">
        <x:v>-3749.67</x:v>
      </x:c>
      <x:c r="K15" s="10" t="str">
        <x:v>Realizado</x:v>
      </x:c>
      <x:c r="L15" s="10" t="str">
        <x:v>Contas a Pagar</x:v>
      </x:c>
    </x:row>
    <x:row r="16" ht="18" customHeight="1">
      <x:c r="A16" s="10" t="str">
        <x:v>MOV000436</x:v>
      </x:c>
      <x:c r="B16" s="16" t="n">
        <x:v>45328.26071702546</x:v>
      </x:c>
      <x:c r="C16" s="10" t="str">
        <x:v>EMP001</x:v>
      </x:c>
      <x:c r="D16" s="10" t="str">
        <x:v>CTA001</x:v>
      </x:c>
      <x:c r="E16" s="10" t="str">
        <x:v>Saída</x:v>
      </x:c>
      <x:c r="F16" s="10" t="str">
        <x:v>CAT012</x:v>
      </x:c>
      <x:c r="G16" s="10" t="str">
        <x:v>Contrato recorrente</x:v>
      </x:c>
      <x:c r="H16" s="10" t="str">
        <x:v>PAG00510</x:v>
      </x:c>
      <x:c r="I16" s="20" t="n">
        <x:v>26771.79</x:v>
      </x:c>
      <x:c r="J16" s="20" t="n">
        <x:v>-26771.79</x:v>
      </x:c>
      <x:c r="K16" s="10" t="str">
        <x:v>Realizado</x:v>
      </x:c>
      <x:c r="L16" s="10" t="str">
        <x:v>Contas a Pagar</x:v>
      </x:c>
    </x:row>
    <x:row r="17" ht="18" customHeight="1">
      <x:c r="A17" s="10" t="str">
        <x:v>MOV000244</x:v>
      </x:c>
      <x:c r="B17" s="16" t="n">
        <x:v>45328.962861597225</x:v>
      </x:c>
      <x:c r="C17" s="10" t="str">
        <x:v>EMP001</x:v>
      </x:c>
      <x:c r="D17" s="10" t="str">
        <x:v>CTA002</x:v>
      </x:c>
      <x:c r="E17" s="10" t="str">
        <x:v>Saída</x:v>
      </x:c>
      <x:c r="F17" s="10" t="str">
        <x:v>CAT005</x:v>
      </x:c>
      <x:c r="G17" s="10" t="str">
        <x:v>Contrato recorrente</x:v>
      </x:c>
      <x:c r="H17" s="10" t="str">
        <x:v>PAG00285</x:v>
      </x:c>
      <x:c r="I17" s="20" t="n">
        <x:v>4859.54</x:v>
      </x:c>
      <x:c r="J17" s="20" t="n">
        <x:v>-4859.54</x:v>
      </x:c>
      <x:c r="K17" s="10" t="str">
        <x:v>Realizado</x:v>
      </x:c>
      <x:c r="L17" s="10" t="str">
        <x:v>Contas a Pagar</x:v>
      </x:c>
    </x:row>
    <x:row r="18" ht="18" customHeight="1">
      <x:c r="A18" s="10" t="str">
        <x:v>MOV000209</x:v>
      </x:c>
      <x:c r="B18" s="16" t="n">
        <x:v>45330.03471157407</x:v>
      </x:c>
      <x:c r="C18" s="10" t="str">
        <x:v>EMP002</x:v>
      </x:c>
      <x:c r="D18" s="10" t="str">
        <x:v>CTA003</x:v>
      </x:c>
      <x:c r="E18" s="10" t="str">
        <x:v>Saída</x:v>
      </x:c>
      <x:c r="F18" s="10" t="str">
        <x:v>CAT008</x:v>
      </x:c>
      <x:c r="G18" s="10" t="str">
        <x:v>Despesa operacional</x:v>
      </x:c>
      <x:c r="H18" s="10" t="str">
        <x:v>PAG00243</x:v>
      </x:c>
      <x:c r="I18" s="20" t="n">
        <x:v>2822.79</x:v>
      </x:c>
      <x:c r="J18" s="20" t="n">
        <x:v>-2822.79</x:v>
      </x:c>
      <x:c r="K18" s="10" t="str">
        <x:v>Realizado</x:v>
      </x:c>
      <x:c r="L18" s="10" t="str">
        <x:v>Contas a Pagar</x:v>
      </x:c>
    </x:row>
    <x:row r="19" ht="18" customHeight="1">
      <x:c r="A19" s="10" t="str">
        <x:v>MOV001605</x:v>
      </x:c>
      <x:c r="B19" s="16" t="n">
        <x:v>45330.316090127315</x:v>
      </x:c>
      <x:c r="C19" s="10" t="str">
        <x:v>EMP003</x:v>
      </x:c>
      <x:c r="D19" s="10" t="str">
        <x:v>CTA005</x:v>
      </x:c>
      <x:c r="E19" s="10" t="str">
        <x:v>Entrada</x:v>
      </x:c>
      <x:c r="F19" s="10" t="str">
        <x:v>CAT002</x:v>
      </x:c>
      <x:c r="G19" s="10" t="str">
        <x:v>Prestação de serviços</x:v>
      </x:c>
      <x:c r="H19" s="10" t="str">
        <x:v>REC01033</x:v>
      </x:c>
      <x:c r="I19" s="20" t="n">
        <x:v>60902.71</x:v>
      </x:c>
      <x:c r="J19" s="20" t="n">
        <x:v>60902.71</x:v>
      </x:c>
      <x:c r="K19" s="10" t="str">
        <x:v>Realizado</x:v>
      </x:c>
      <x:c r="L19" s="10" t="str">
        <x:v>Contas a Receber</x:v>
      </x:c>
    </x:row>
    <x:row r="20" ht="18" customHeight="1">
      <x:c r="A20" s="10" t="str">
        <x:v>MOV000875</x:v>
      </x:c>
      <x:c r="B20" s="16" t="n">
        <x:v>45330.91608667824</x:v>
      </x:c>
      <x:c r="C20" s="10" t="str">
        <x:v>EMP003</x:v>
      </x:c>
      <x:c r="D20" s="10" t="str">
        <x:v>CTA005</x:v>
      </x:c>
      <x:c r="E20" s="10" t="str">
        <x:v>Entrada</x:v>
      </x:c>
      <x:c r="F20" s="10" t="str">
        <x:v>CAT003</x:v>
      </x:c>
      <x:c r="G20" s="10" t="str">
        <x:v>Projeto especial</x:v>
      </x:c>
      <x:c r="H20" s="10" t="str">
        <x:v>REC00146</x:v>
      </x:c>
      <x:c r="I20" s="20" t="n">
        <x:v>43617.72</x:v>
      </x:c>
      <x:c r="J20" s="20" t="n">
        <x:v>43617.72</x:v>
      </x:c>
      <x:c r="K20" s="10" t="str">
        <x:v>Realizado</x:v>
      </x:c>
      <x:c r="L20" s="10" t="str">
        <x:v>Contas a Receber</x:v>
      </x:c>
    </x:row>
    <x:row r="21" ht="18" customHeight="1">
      <x:c r="A21" s="10" t="str">
        <x:v>MOV000316</x:v>
      </x:c>
      <x:c r="B21" s="16" t="n">
        <x:v>45332.809332488425</x:v>
      </x:c>
      <x:c r="C21" s="10" t="str">
        <x:v>EMP002</x:v>
      </x:c>
      <x:c r="D21" s="10" t="str">
        <x:v>CTA004</x:v>
      </x:c>
      <x:c r="E21" s="10" t="str">
        <x:v>Saída</x:v>
      </x:c>
      <x:c r="F21" s="10" t="str">
        <x:v>CAT009</x:v>
      </x:c>
      <x:c r="G21" s="10" t="str">
        <x:v>Tributos e taxas</x:v>
      </x:c>
      <x:c r="H21" s="10" t="str">
        <x:v>PAG00366</x:v>
      </x:c>
      <x:c r="I21" s="20" t="n">
        <x:v>965.97</x:v>
      </x:c>
      <x:c r="J21" s="20" t="n">
        <x:v>-965.97</x:v>
      </x:c>
      <x:c r="K21" s="10" t="str">
        <x:v>Realizado</x:v>
      </x:c>
      <x:c r="L21" s="10" t="str">
        <x:v>Contas a Pagar</x:v>
      </x:c>
    </x:row>
    <x:row r="22" ht="18" customHeight="1">
      <x:c r="A22" s="10" t="str">
        <x:v>MOV000025</x:v>
      </x:c>
      <x:c r="B22" s="16" t="n">
        <x:v>45334.022797199075</x:v>
      </x:c>
      <x:c r="C22" s="10" t="str">
        <x:v>EMP002</x:v>
      </x:c>
      <x:c r="D22" s="10" t="str">
        <x:v>CTA003</x:v>
      </x:c>
      <x:c r="E22" s="10" t="str">
        <x:v>Saída</x:v>
      </x:c>
      <x:c r="F22" s="10" t="str">
        <x:v>CAT010</x:v>
      </x:c>
      <x:c r="G22" s="10" t="str">
        <x:v>Prestação de serviços</x:v>
      </x:c>
      <x:c r="H22" s="10" t="str">
        <x:v>PAG00024</x:v>
      </x:c>
      <x:c r="I22" s="20" t="n">
        <x:v>20552.94</x:v>
      </x:c>
      <x:c r="J22" s="20" t="n">
        <x:v>-20552.94</x:v>
      </x:c>
      <x:c r="K22" s="10" t="str">
        <x:v>Realizado</x:v>
      </x:c>
      <x:c r="L22" s="10" t="str">
        <x:v>Contas a Pagar</x:v>
      </x:c>
    </x:row>
    <x:row r="23" ht="18" customHeight="1">
      <x:c r="A23" s="10" t="str">
        <x:v>MOV000614</x:v>
      </x:c>
      <x:c r="B23" s="16" t="n">
        <x:v>45336.73440252315</x:v>
      </x:c>
      <x:c r="C23" s="10" t="str">
        <x:v>EMP002</x:v>
      </x:c>
      <x:c r="D23" s="10" t="str">
        <x:v>CTA004</x:v>
      </x:c>
      <x:c r="E23" s="10" t="str">
        <x:v>Saída</x:v>
      </x:c>
      <x:c r="F23" s="10" t="str">
        <x:v>CAT007</x:v>
      </x:c>
      <x:c r="G23" s="10" t="str">
        <x:v>Tributos e taxas</x:v>
      </x:c>
      <x:c r="H23" s="10" t="str">
        <x:v>PAG00727</x:v>
      </x:c>
      <x:c r="I23" s="20" t="n">
        <x:v>5938.05</x:v>
      </x:c>
      <x:c r="J23" s="20" t="n">
        <x:v>-5938.05</x:v>
      </x:c>
      <x:c r="K23" s="10" t="str">
        <x:v>Realizado</x:v>
      </x:c>
      <x:c r="L23" s="10" t="str">
        <x:v>Contas a Pagar</x:v>
      </x:c>
    </x:row>
    <x:row r="24" ht="18" customHeight="1">
      <x:c r="A24" s="10" t="str">
        <x:v>MOV001555</x:v>
      </x:c>
      <x:c r="B24" s="16" t="n">
        <x:v>45337.45351521991</x:v>
      </x:c>
      <x:c r="C24" s="10" t="str">
        <x:v>EMP002</x:v>
      </x:c>
      <x:c r="D24" s="10" t="str">
        <x:v>CTA003</x:v>
      </x:c>
      <x:c r="E24" s="10" t="str">
        <x:v>Entrada</x:v>
      </x:c>
      <x:c r="F24" s="10" t="str">
        <x:v>CAT002</x:v>
      </x:c>
      <x:c r="G24" s="10" t="str">
        <x:v>Contrato mensal</x:v>
      </x:c>
      <x:c r="H24" s="10" t="str">
        <x:v>REC00973</x:v>
      </x:c>
      <x:c r="I24" s="20" t="n">
        <x:v>60729.13</x:v>
      </x:c>
      <x:c r="J24" s="20" t="n">
        <x:v>60729.13</x:v>
      </x:c>
      <x:c r="K24" s="10" t="str">
        <x:v>Realizado</x:v>
      </x:c>
      <x:c r="L24" s="10" t="str">
        <x:v>Contas a Receber</x:v>
      </x:c>
    </x:row>
    <x:row r="25" ht="18" customHeight="1">
      <x:c r="A25" s="10" t="str">
        <x:v>MOV000433</x:v>
      </x:c>
      <x:c r="B25" s="16" t="n">
        <x:v>45337.459456770834</x:v>
      </x:c>
      <x:c r="C25" s="10" t="str">
        <x:v>EMP001</x:v>
      </x:c>
      <x:c r="D25" s="10" t="str">
        <x:v>CTA002</x:v>
      </x:c>
      <x:c r="E25" s="10" t="str">
        <x:v>Saída</x:v>
      </x:c>
      <x:c r="F25" s="10" t="str">
        <x:v>CAT007</x:v>
      </x:c>
      <x:c r="G25" s="10" t="str">
        <x:v>Compra de materiais</x:v>
      </x:c>
      <x:c r="H25" s="10" t="str">
        <x:v>PAG00507</x:v>
      </x:c>
      <x:c r="I25" s="20" t="n">
        <x:v>38634.21</x:v>
      </x:c>
      <x:c r="J25" s="20" t="n">
        <x:v>-38634.21</x:v>
      </x:c>
      <x:c r="K25" s="10" t="str">
        <x:v>Realizado</x:v>
      </x:c>
      <x:c r="L25" s="10" t="str">
        <x:v>Contas a Pagar</x:v>
      </x:c>
    </x:row>
    <x:row r="26" ht="18" customHeight="1">
      <x:c r="A26" s="10" t="str">
        <x:v>MOV000946</x:v>
      </x:c>
      <x:c r="B26" s="16" t="n">
        <x:v>45337.806141388886</x:v>
      </x:c>
      <x:c r="C26" s="10" t="str">
        <x:v>EMP003</x:v>
      </x:c>
      <x:c r="D26" s="10" t="str">
        <x:v>CTA006</x:v>
      </x:c>
      <x:c r="E26" s="10" t="str">
        <x:v>Entrada</x:v>
      </x:c>
      <x:c r="F26" s="10" t="str">
        <x:v>CAT003</x:v>
      </x:c>
      <x:c r="G26" s="10" t="str">
        <x:v>Frete faturado</x:v>
      </x:c>
      <x:c r="H26" s="10" t="str">
        <x:v>REC00227</x:v>
      </x:c>
      <x:c r="I26" s="20" t="n">
        <x:v>13298.66</x:v>
      </x:c>
      <x:c r="J26" s="20" t="n">
        <x:v>13298.66</x:v>
      </x:c>
      <x:c r="K26" s="10" t="str">
        <x:v>Realizado</x:v>
      </x:c>
      <x:c r="L26" s="10" t="str">
        <x:v>Contas a Receber</x:v>
      </x:c>
    </x:row>
    <x:row r="27" ht="18" customHeight="1">
      <x:c r="A27" s="10" t="str">
        <x:v>MOV000706</x:v>
      </x:c>
      <x:c r="B27" s="16" t="n">
        <x:v>45338.17735868056</x:v>
      </x:c>
      <x:c r="C27" s="10" t="str">
        <x:v>EMP001</x:v>
      </x:c>
      <x:c r="D27" s="10" t="str">
        <x:v>CTA001</x:v>
      </x:c>
      <x:c r="E27" s="10" t="str">
        <x:v>Saída</x:v>
      </x:c>
      <x:c r="F27" s="10" t="str">
        <x:v>CAT015</x:v>
      </x:c>
      <x:c r="G27" s="10" t="str">
        <x:v>Contrato recorrente</x:v>
      </x:c>
      <x:c r="H27" s="10" t="str">
        <x:v>PAG00839</x:v>
      </x:c>
      <x:c r="I27" s="20" t="n">
        <x:v>102020.46</x:v>
      </x:c>
      <x:c r="J27" s="20" t="n">
        <x:v>-102020.46</x:v>
      </x:c>
      <x:c r="K27" s="10" t="str">
        <x:v>Realizado</x:v>
      </x:c>
      <x:c r="L27" s="10" t="str">
        <x:v>Contas a Pagar</x:v>
      </x:c>
    </x:row>
    <x:row r="28" ht="18" customHeight="1">
      <x:c r="A28" s="10" t="str">
        <x:v>MOV000820</x:v>
      </x:c>
      <x:c r="B28" s="16" t="n">
        <x:v>45338.80502099537</x:v>
      </x:c>
      <x:c r="C28" s="10" t="str">
        <x:v>EMP002</x:v>
      </x:c>
      <x:c r="D28" s="10" t="str">
        <x:v>CTA003</x:v>
      </x:c>
      <x:c r="E28" s="10" t="str">
        <x:v>Entrada</x:v>
      </x:c>
      <x:c r="F28" s="10" t="str">
        <x:v>CAT004</x:v>
      </x:c>
      <x:c r="G28" s="10" t="str">
        <x:v>Frete faturado</x:v>
      </x:c>
      <x:c r="H28" s="10" t="str">
        <x:v>REC00081</x:v>
      </x:c>
      <x:c r="I28" s="20" t="n">
        <x:v>121645.22</x:v>
      </x:c>
      <x:c r="J28" s="20" t="n">
        <x:v>121645.22</x:v>
      </x:c>
      <x:c r="K28" s="10" t="str">
        <x:v>Realizado</x:v>
      </x:c>
      <x:c r="L28" s="10" t="str">
        <x:v>Contas a Receber</x:v>
      </x:c>
    </x:row>
    <x:row r="29" ht="18" customHeight="1">
      <x:c r="A29" s="10" t="str">
        <x:v>MOV000151</x:v>
      </x:c>
      <x:c r="B29" s="16" t="n">
        <x:v>45339.191293958334</x:v>
      </x:c>
      <x:c r="C29" s="10" t="str">
        <x:v>EMP003</x:v>
      </x:c>
      <x:c r="D29" s="10" t="str">
        <x:v>CTA006</x:v>
      </x:c>
      <x:c r="E29" s="10" t="str">
        <x:v>Saída</x:v>
      </x:c>
      <x:c r="F29" s="10" t="str">
        <x:v>CAT010</x:v>
      </x:c>
      <x:c r="G29" s="10" t="str">
        <x:v>Prestação de serviços</x:v>
      </x:c>
      <x:c r="H29" s="10" t="str">
        <x:v>PAG00174</x:v>
      </x:c>
      <x:c r="I29" s="20" t="n">
        <x:v>103368.61</x:v>
      </x:c>
      <x:c r="J29" s="20" t="n">
        <x:v>-103368.61</x:v>
      </x:c>
      <x:c r="K29" s="10" t="str">
        <x:v>Realizado</x:v>
      </x:c>
      <x:c r="L29" s="10" t="str">
        <x:v>Contas a Pagar</x:v>
      </x:c>
    </x:row>
    <x:row r="30" ht="18" customHeight="1">
      <x:c r="A30" s="10" t="str">
        <x:v>MOV001300</x:v>
      </x:c>
      <x:c r="B30" s="16" t="n">
        <x:v>45339.37219841435</x:v>
      </x:c>
      <x:c r="C30" s="10" t="str">
        <x:v>EMP001</x:v>
      </x:c>
      <x:c r="D30" s="10" t="str">
        <x:v>CTA002</x:v>
      </x:c>
      <x:c r="E30" s="10" t="str">
        <x:v>Entrada</x:v>
      </x:c>
      <x:c r="F30" s="10" t="str">
        <x:v>CAT003</x:v>
      </x:c>
      <x:c r="G30" s="10" t="str">
        <x:v>Contrato mensal</x:v>
      </x:c>
      <x:c r="H30" s="10" t="str">
        <x:v>REC00662</x:v>
      </x:c>
      <x:c r="I30" s="20" t="n">
        <x:v>13077.96</x:v>
      </x:c>
      <x:c r="J30" s="20" t="n">
        <x:v>13077.96</x:v>
      </x:c>
      <x:c r="K30" s="10" t="str">
        <x:v>Realizado</x:v>
      </x:c>
      <x:c r="L30" s="10" t="str">
        <x:v>Contas a Receber</x:v>
      </x:c>
    </x:row>
    <x:row r="31" ht="18" customHeight="1">
      <x:c r="A31" s="10" t="str">
        <x:v>MOV000824</x:v>
      </x:c>
      <x:c r="B31" s="16" t="n">
        <x:v>45339.50151913195</x:v>
      </x:c>
      <x:c r="C31" s="10" t="str">
        <x:v>EMP003</x:v>
      </x:c>
      <x:c r="D31" s="10" t="str">
        <x:v>CTA006</x:v>
      </x:c>
      <x:c r="E31" s="10" t="str">
        <x:v>Entrada</x:v>
      </x:c>
      <x:c r="F31" s="10" t="str">
        <x:v>CAT001</x:v>
      </x:c>
      <x:c r="G31" s="10" t="str">
        <x:v>Venda de produtos</x:v>
      </x:c>
      <x:c r="H31" s="10" t="str">
        <x:v>REC00086</x:v>
      </x:c>
      <x:c r="I31" s="20" t="n">
        <x:v>11410.23</x:v>
      </x:c>
      <x:c r="J31" s="20" t="n">
        <x:v>11410.23</x:v>
      </x:c>
      <x:c r="K31" s="10" t="str">
        <x:v>Realizado</x:v>
      </x:c>
      <x:c r="L31" s="10" t="str">
        <x:v>Contas a Receber</x:v>
      </x:c>
    </x:row>
    <x:row r="32" ht="18" customHeight="1">
      <x:c r="A32" s="10" t="str">
        <x:v>MOV000357</x:v>
      </x:c>
      <x:c r="B32" s="16" t="n">
        <x:v>45340.19692663194</x:v>
      </x:c>
      <x:c r="C32" s="10" t="str">
        <x:v>EMP001</x:v>
      </x:c>
      <x:c r="D32" s="10" t="str">
        <x:v>CTA001</x:v>
      </x:c>
      <x:c r="E32" s="10" t="str">
        <x:v>Saída</x:v>
      </x:c>
      <x:c r="F32" s="10" t="str">
        <x:v>CAT009</x:v>
      </x:c>
      <x:c r="G32" s="10" t="str">
        <x:v>Compra de materiais</x:v>
      </x:c>
      <x:c r="H32" s="10" t="str">
        <x:v>PAG00415</x:v>
      </x:c>
      <x:c r="I32" s="20" t="n">
        <x:v>30096.36</x:v>
      </x:c>
      <x:c r="J32" s="20" t="n">
        <x:v>-30096.36</x:v>
      </x:c>
      <x:c r="K32" s="10" t="str">
        <x:v>Realizado</x:v>
      </x:c>
      <x:c r="L32" s="10" t="str">
        <x:v>Contas a Pagar</x:v>
      </x:c>
    </x:row>
    <x:row r="33" ht="18" customHeight="1">
      <x:c r="A33" s="10" t="str">
        <x:v>MOV000753</x:v>
      </x:c>
      <x:c r="B33" s="16" t="n">
        <x:v>45340.350508587966</x:v>
      </x:c>
      <x:c r="C33" s="10" t="str">
        <x:v>EMP003</x:v>
      </x:c>
      <x:c r="D33" s="10" t="str">
        <x:v>CTA005</x:v>
      </x:c>
      <x:c r="E33" s="10" t="str">
        <x:v>Saída</x:v>
      </x:c>
      <x:c r="F33" s="10" t="str">
        <x:v>CAT014</x:v>
      </x:c>
      <x:c r="G33" s="10" t="str">
        <x:v>Prestação de serviços</x:v>
      </x:c>
      <x:c r="H33" s="10" t="str">
        <x:v>PAG00894</x:v>
      </x:c>
      <x:c r="I33" s="20" t="n">
        <x:v>57302.81</x:v>
      </x:c>
      <x:c r="J33" s="20" t="n">
        <x:v>-57302.81</x:v>
      </x:c>
      <x:c r="K33" s="10" t="str">
        <x:v>Realizado</x:v>
      </x:c>
      <x:c r="L33" s="10" t="str">
        <x:v>Contas a Pagar</x:v>
      </x:c>
    </x:row>
    <x:row r="34" ht="18" customHeight="1">
      <x:c r="A34" s="10" t="str">
        <x:v>MOV001311</x:v>
      </x:c>
      <x:c r="B34" s="16" t="n">
        <x:v>45341.03138025463</x:v>
      </x:c>
      <x:c r="C34" s="10" t="str">
        <x:v>EMP002</x:v>
      </x:c>
      <x:c r="D34" s="10" t="str">
        <x:v>CTA003</x:v>
      </x:c>
      <x:c r="E34" s="10" t="str">
        <x:v>Entrada</x:v>
      </x:c>
      <x:c r="F34" s="10" t="str">
        <x:v>CAT002</x:v>
      </x:c>
      <x:c r="G34" s="10" t="str">
        <x:v>Frete faturado</x:v>
      </x:c>
      <x:c r="H34" s="10" t="str">
        <x:v>REC00674</x:v>
      </x:c>
      <x:c r="I34" s="20" t="n">
        <x:v>8325.15</x:v>
      </x:c>
      <x:c r="J34" s="20" t="n">
        <x:v>8325.15</x:v>
      </x:c>
      <x:c r="K34" s="10" t="str">
        <x:v>Realizado</x:v>
      </x:c>
      <x:c r="L34" s="10" t="str">
        <x:v>Contas a Receber</x:v>
      </x:c>
    </x:row>
    <x:row r="35" ht="18" customHeight="1">
      <x:c r="A35" s="10" t="str">
        <x:v>MOV000093</x:v>
      </x:c>
      <x:c r="B35" s="16" t="n">
        <x:v>45341.92742460648</x:v>
      </x:c>
      <x:c r="C35" s="10" t="str">
        <x:v>EMP003</x:v>
      </x:c>
      <x:c r="D35" s="10" t="str">
        <x:v>CTA005</x:v>
      </x:c>
      <x:c r="E35" s="10" t="str">
        <x:v>Saída</x:v>
      </x:c>
      <x:c r="F35" s="10" t="str">
        <x:v>CAT017</x:v>
      </x:c>
      <x:c r="G35" s="10" t="str">
        <x:v>Prestação de serviços</x:v>
      </x:c>
      <x:c r="H35" s="10" t="str">
        <x:v>PAG00104</x:v>
      </x:c>
      <x:c r="I35" s="20" t="n">
        <x:v>11532.68</x:v>
      </x:c>
      <x:c r="J35" s="20" t="n">
        <x:v>-11532.68</x:v>
      </x:c>
      <x:c r="K35" s="10" t="str">
        <x:v>Realizado</x:v>
      </x:c>
      <x:c r="L35" s="10" t="str">
        <x:v>Contas a Pagar</x:v>
      </x:c>
    </x:row>
    <x:row r="36" ht="18" customHeight="1">
      <x:c r="A36" s="10" t="str">
        <x:v>MOV001057</x:v>
      </x:c>
      <x:c r="B36" s="16" t="n">
        <x:v>45342.543873344905</x:v>
      </x:c>
      <x:c r="C36" s="10" t="str">
        <x:v>EMP001</x:v>
      </x:c>
      <x:c r="D36" s="10" t="str">
        <x:v>CTA002</x:v>
      </x:c>
      <x:c r="E36" s="10" t="str">
        <x:v>Entrada</x:v>
      </x:c>
      <x:c r="F36" s="10" t="str">
        <x:v>CAT002</x:v>
      </x:c>
      <x:c r="G36" s="10" t="str">
        <x:v>Venda de produtos</x:v>
      </x:c>
      <x:c r="H36" s="10" t="str">
        <x:v>REC00372</x:v>
      </x:c>
      <x:c r="I36" s="20" t="n">
        <x:v>17578.52</x:v>
      </x:c>
      <x:c r="J36" s="20" t="n">
        <x:v>17578.52</x:v>
      </x:c>
      <x:c r="K36" s="10" t="str">
        <x:v>Realizado</x:v>
      </x:c>
      <x:c r="L36" s="10" t="str">
        <x:v>Contas a Receber</x:v>
      </x:c>
    </x:row>
    <x:row r="37" ht="18" customHeight="1">
      <x:c r="A37" s="10" t="str">
        <x:v>MOV000638</x:v>
      </x:c>
      <x:c r="B37" s="16" t="n">
        <x:v>45343.05104622685</x:v>
      </x:c>
      <x:c r="C37" s="10" t="str">
        <x:v>EMP001</x:v>
      </x:c>
      <x:c r="D37" s="10" t="str">
        <x:v>CTA001</x:v>
      </x:c>
      <x:c r="E37" s="10" t="str">
        <x:v>Saída</x:v>
      </x:c>
      <x:c r="F37" s="10" t="str">
        <x:v>CAT016</x:v>
      </x:c>
      <x:c r="G37" s="10" t="str">
        <x:v>Prestação de serviços</x:v>
      </x:c>
      <x:c r="H37" s="10" t="str">
        <x:v>PAG00756</x:v>
      </x:c>
      <x:c r="I37" s="20" t="n">
        <x:v>88335.05</x:v>
      </x:c>
      <x:c r="J37" s="20" t="n">
        <x:v>-88335.05</x:v>
      </x:c>
      <x:c r="K37" s="10" t="str">
        <x:v>Realizado</x:v>
      </x:c>
      <x:c r="L37" s="10" t="str">
        <x:v>Contas a Pagar</x:v>
      </x:c>
    </x:row>
    <x:row r="38" ht="18" customHeight="1">
      <x:c r="A38" s="10" t="str">
        <x:v>MOV000263</x:v>
      </x:c>
      <x:c r="B38" s="16" t="n">
        <x:v>45343.26976539352</x:v>
      </x:c>
      <x:c r="C38" s="10" t="str">
        <x:v>EMP002</x:v>
      </x:c>
      <x:c r="D38" s="10" t="str">
        <x:v>CTA004</x:v>
      </x:c>
      <x:c r="E38" s="10" t="str">
        <x:v>Saída</x:v>
      </x:c>
      <x:c r="F38" s="10" t="str">
        <x:v>CAT018</x:v>
      </x:c>
      <x:c r="G38" s="10" t="str">
        <x:v>Prestação de serviços</x:v>
      </x:c>
      <x:c r="H38" s="10" t="str">
        <x:v>PAG00306</x:v>
      </x:c>
      <x:c r="I38" s="20" t="n">
        <x:v>2274.68</x:v>
      </x:c>
      <x:c r="J38" s="20" t="n">
        <x:v>-2274.68</x:v>
      </x:c>
      <x:c r="K38" s="10" t="str">
        <x:v>Realizado</x:v>
      </x:c>
      <x:c r="L38" s="10" t="str">
        <x:v>Contas a Pagar</x:v>
      </x:c>
    </x:row>
    <x:row r="39" ht="18" customHeight="1">
      <x:c r="A39" s="10" t="str">
        <x:v>MOV000541</x:v>
      </x:c>
      <x:c r="B39" s="16" t="n">
        <x:v>45343.635031342594</x:v>
      </x:c>
      <x:c r="C39" s="10" t="str">
        <x:v>EMP002</x:v>
      </x:c>
      <x:c r="D39" s="10" t="str">
        <x:v>CTA004</x:v>
      </x:c>
      <x:c r="E39" s="10" t="str">
        <x:v>Saída</x:v>
      </x:c>
      <x:c r="F39" s="10" t="str">
        <x:v>CAT008</x:v>
      </x:c>
      <x:c r="G39" s="10" t="str">
        <x:v>Prestação de serviços</x:v>
      </x:c>
      <x:c r="H39" s="10" t="str">
        <x:v>PAG00634</x:v>
      </x:c>
      <x:c r="I39" s="20" t="n">
        <x:v>54561.69</x:v>
      </x:c>
      <x:c r="J39" s="20" t="n">
        <x:v>-54561.69</x:v>
      </x:c>
      <x:c r="K39" s="10" t="str">
        <x:v>Realizado</x:v>
      </x:c>
      <x:c r="L39" s="10" t="str">
        <x:v>Contas a Pagar</x:v>
      </x:c>
    </x:row>
    <x:row r="40" ht="18" customHeight="1">
      <x:c r="A40" s="10" t="str">
        <x:v>MOV000508</x:v>
      </x:c>
      <x:c r="B40" s="16" t="n">
        <x:v>45343.725444375</x:v>
      </x:c>
      <x:c r="C40" s="10" t="str">
        <x:v>EMP003</x:v>
      </x:c>
      <x:c r="D40" s="10" t="str">
        <x:v>CTA006</x:v>
      </x:c>
      <x:c r="E40" s="10" t="str">
        <x:v>Saída</x:v>
      </x:c>
      <x:c r="F40" s="10" t="str">
        <x:v>CAT016</x:v>
      </x:c>
      <x:c r="G40" s="10" t="str">
        <x:v>Tributos e taxas</x:v>
      </x:c>
      <x:c r="H40" s="10" t="str">
        <x:v>PAG00598</x:v>
      </x:c>
      <x:c r="I40" s="20" t="n">
        <x:v>98626.16</x:v>
      </x:c>
      <x:c r="J40" s="20" t="n">
        <x:v>-98626.16</x:v>
      </x:c>
      <x:c r="K40" s="10" t="str">
        <x:v>Realizado</x:v>
      </x:c>
      <x:c r="L40" s="10" t="str">
        <x:v>Contas a Pagar</x:v>
      </x:c>
    </x:row>
    <x:row r="41" ht="18" customHeight="1">
      <x:c r="A41" s="10" t="str">
        <x:v>MOV000745</x:v>
      </x:c>
      <x:c r="B41" s="16" t="n">
        <x:v>45344.332755462965</x:v>
      </x:c>
      <x:c r="C41" s="10" t="str">
        <x:v>EMP003</x:v>
      </x:c>
      <x:c r="D41" s="10" t="str">
        <x:v>CTA005</x:v>
      </x:c>
      <x:c r="E41" s="10" t="str">
        <x:v>Saída</x:v>
      </x:c>
      <x:c r="F41" s="10" t="str">
        <x:v>CAT012</x:v>
      </x:c>
      <x:c r="G41" s="10" t="str">
        <x:v>Compra de materiais</x:v>
      </x:c>
      <x:c r="H41" s="10" t="str">
        <x:v>PAG00885</x:v>
      </x:c>
      <x:c r="I41" s="20" t="n">
        <x:v>16704.95</x:v>
      </x:c>
      <x:c r="J41" s="20" t="n">
        <x:v>-16704.95</x:v>
      </x:c>
      <x:c r="K41" s="10" t="str">
        <x:v>Realizado</x:v>
      </x:c>
      <x:c r="L41" s="10" t="str">
        <x:v>Contas a Pagar</x:v>
      </x:c>
    </x:row>
    <x:row r="42" ht="18" customHeight="1">
      <x:c r="A42" s="10" t="str">
        <x:v>MOV000784</x:v>
      </x:c>
      <x:c r="B42" s="16" t="n">
        <x:v>45345.03533747685</x:v>
      </x:c>
      <x:c r="C42" s="10" t="str">
        <x:v>EMP001</x:v>
      </x:c>
      <x:c r="D42" s="10" t="str">
        <x:v>CTA002</x:v>
      </x:c>
      <x:c r="E42" s="10" t="str">
        <x:v>Entrada</x:v>
      </x:c>
      <x:c r="F42" s="10" t="str">
        <x:v>CAT004</x:v>
      </x:c>
      <x:c r="G42" s="10" t="str">
        <x:v>Projeto especial</x:v>
      </x:c>
      <x:c r="H42" s="10" t="str">
        <x:v>REC00040</x:v>
      </x:c>
      <x:c r="I42" s="20" t="n">
        <x:v>4503.05</x:v>
      </x:c>
      <x:c r="J42" s="20" t="n">
        <x:v>4503.05</x:v>
      </x:c>
      <x:c r="K42" s="10" t="str">
        <x:v>Realizado</x:v>
      </x:c>
      <x:c r="L42" s="10" t="str">
        <x:v>Contas a Receber</x:v>
      </x:c>
    </x:row>
    <x:row r="43" ht="18" customHeight="1">
      <x:c r="A43" s="10" t="str">
        <x:v>MOV000711</x:v>
      </x:c>
      <x:c r="B43" s="16" t="n">
        <x:v>45346.32640456018</x:v>
      </x:c>
      <x:c r="C43" s="10" t="str">
        <x:v>EMP003</x:v>
      </x:c>
      <x:c r="D43" s="10" t="str">
        <x:v>CTA005</x:v>
      </x:c>
      <x:c r="E43" s="10" t="str">
        <x:v>Saída</x:v>
      </x:c>
      <x:c r="F43" s="10" t="str">
        <x:v>CAT018</x:v>
      </x:c>
      <x:c r="G43" s="10" t="str">
        <x:v>Contrato recorrente</x:v>
      </x:c>
      <x:c r="H43" s="10" t="str">
        <x:v>PAG00845</x:v>
      </x:c>
      <x:c r="I43" s="20" t="n">
        <x:v>78072.49</x:v>
      </x:c>
      <x:c r="J43" s="20" t="n">
        <x:v>-78072.49</x:v>
      </x:c>
      <x:c r="K43" s="10" t="str">
        <x:v>Realizado</x:v>
      </x:c>
      <x:c r="L43" s="10" t="str">
        <x:v>Contas a Pagar</x:v>
      </x:c>
    </x:row>
    <x:row r="44" ht="18" customHeight="1">
      <x:c r="A44" s="10" t="str">
        <x:v>MOV000611</x:v>
      </x:c>
      <x:c r="B44" s="16" t="n">
        <x:v>45346.46021981481</x:v>
      </x:c>
      <x:c r="C44" s="10" t="str">
        <x:v>EMP001</x:v>
      </x:c>
      <x:c r="D44" s="10" t="str">
        <x:v>CTA002</x:v>
      </x:c>
      <x:c r="E44" s="10" t="str">
        <x:v>Saída</x:v>
      </x:c>
      <x:c r="F44" s="10" t="str">
        <x:v>CAT011</x:v>
      </x:c>
      <x:c r="G44" s="10" t="str">
        <x:v>Compra de materiais</x:v>
      </x:c>
      <x:c r="H44" s="10" t="str">
        <x:v>PAG00723</x:v>
      </x:c>
      <x:c r="I44" s="20" t="n">
        <x:v>42337.68</x:v>
      </x:c>
      <x:c r="J44" s="20" t="n">
        <x:v>-42337.68</x:v>
      </x:c>
      <x:c r="K44" s="10" t="str">
        <x:v>Realizado</x:v>
      </x:c>
      <x:c r="L44" s="10" t="str">
        <x:v>Contas a Pagar</x:v>
      </x:c>
    </x:row>
    <x:row r="45" ht="18" customHeight="1">
      <x:c r="A45" s="10" t="str">
        <x:v>MOV001630</x:v>
      </x:c>
      <x:c r="B45" s="16" t="n">
        <x:v>45347.15369193287</x:v>
      </x:c>
      <x:c r="C45" s="10" t="str">
        <x:v>EMP002</x:v>
      </x:c>
      <x:c r="D45" s="10" t="str">
        <x:v>CTA003</x:v>
      </x:c>
      <x:c r="E45" s="10" t="str">
        <x:v>Entrada</x:v>
      </x:c>
      <x:c r="F45" s="10" t="str">
        <x:v>CAT003</x:v>
      </x:c>
      <x:c r="G45" s="10" t="str">
        <x:v>Prestação de serviços</x:v>
      </x:c>
      <x:c r="H45" s="10" t="str">
        <x:v>REC01063</x:v>
      </x:c>
      <x:c r="I45" s="20" t="n">
        <x:v>12873.24</x:v>
      </x:c>
      <x:c r="J45" s="20" t="n">
        <x:v>12873.24</x:v>
      </x:c>
      <x:c r="K45" s="10" t="str">
        <x:v>Realizado</x:v>
      </x:c>
      <x:c r="L45" s="10" t="str">
        <x:v>Contas a Receber</x:v>
      </x:c>
    </x:row>
    <x:row r="46" ht="18" customHeight="1">
      <x:c r="A46" s="10" t="str">
        <x:v>MOV000169</x:v>
      </x:c>
      <x:c r="B46" s="16" t="n">
        <x:v>45347.34579959491</x:v>
      </x:c>
      <x:c r="C46" s="10" t="str">
        <x:v>EMP002</x:v>
      </x:c>
      <x:c r="D46" s="10" t="str">
        <x:v>CTA003</x:v>
      </x:c>
      <x:c r="E46" s="10" t="str">
        <x:v>Saída</x:v>
      </x:c>
      <x:c r="F46" s="10" t="str">
        <x:v>CAT005</x:v>
      </x:c>
      <x:c r="G46" s="10" t="str">
        <x:v>Contrato recorrente</x:v>
      </x:c>
      <x:c r="H46" s="10" t="str">
        <x:v>PAG00198</x:v>
      </x:c>
      <x:c r="I46" s="20" t="n">
        <x:v>19059.36</x:v>
      </x:c>
      <x:c r="J46" s="20" t="n">
        <x:v>-19059.36</x:v>
      </x:c>
      <x:c r="K46" s="10" t="str">
        <x:v>Realizado</x:v>
      </x:c>
      <x:c r="L46" s="10" t="str">
        <x:v>Contas a Pagar</x:v>
      </x:c>
    </x:row>
    <x:row r="47" ht="18" customHeight="1">
      <x:c r="A47" s="10" t="str">
        <x:v>MOV000852</x:v>
      </x:c>
      <x:c r="B47" s="16" t="n">
        <x:v>45347.59330472222</x:v>
      </x:c>
      <x:c r="C47" s="10" t="str">
        <x:v>EMP002</x:v>
      </x:c>
      <x:c r="D47" s="10" t="str">
        <x:v>CTA004</x:v>
      </x:c>
      <x:c r="E47" s="10" t="str">
        <x:v>Entrada</x:v>
      </x:c>
      <x:c r="F47" s="10" t="str">
        <x:v>CAT001</x:v>
      </x:c>
      <x:c r="G47" s="10" t="str">
        <x:v>Prestação de serviços</x:v>
      </x:c>
      <x:c r="H47" s="10" t="str">
        <x:v>REC00121</x:v>
      </x:c>
      <x:c r="I47" s="20" t="n">
        <x:v>18568.05</x:v>
      </x:c>
      <x:c r="J47" s="20" t="n">
        <x:v>18568.05</x:v>
      </x:c>
      <x:c r="K47" s="10" t="str">
        <x:v>Realizado</x:v>
      </x:c>
      <x:c r="L47" s="10" t="str">
        <x:v>Contas a Receber</x:v>
      </x:c>
    </x:row>
    <x:row r="48" ht="18" customHeight="1">
      <x:c r="A48" s="10" t="str">
        <x:v>MOV001454</x:v>
      </x:c>
      <x:c r="B48" s="16" t="n">
        <x:v>45348.292386712965</x:v>
      </x:c>
      <x:c r="C48" s="10" t="str">
        <x:v>EMP001</x:v>
      </x:c>
      <x:c r="D48" s="10" t="str">
        <x:v>CTA002</x:v>
      </x:c>
      <x:c r="E48" s="10" t="str">
        <x:v>Entrada</x:v>
      </x:c>
      <x:c r="F48" s="10" t="str">
        <x:v>CAT004</x:v>
      </x:c>
      <x:c r="G48" s="10" t="str">
        <x:v>Contrato mensal</x:v>
      </x:c>
      <x:c r="H48" s="10" t="str">
        <x:v>REC00849</x:v>
      </x:c>
      <x:c r="I48" s="20" t="n">
        <x:v>6999.37</x:v>
      </x:c>
      <x:c r="J48" s="20" t="n">
        <x:v>6999.37</x:v>
      </x:c>
      <x:c r="K48" s="10" t="str">
        <x:v>Realizado</x:v>
      </x:c>
      <x:c r="L48" s="10" t="str">
        <x:v>Contas a Receber</x:v>
      </x:c>
    </x:row>
    <x:row r="49" ht="18" customHeight="1">
      <x:c r="A49" s="10" t="str">
        <x:v>MOV000794</x:v>
      </x:c>
      <x:c r="B49" s="16" t="n">
        <x:v>45349.38828799769</x:v>
      </x:c>
      <x:c r="C49" s="10" t="str">
        <x:v>EMP003</x:v>
      </x:c>
      <x:c r="D49" s="10" t="str">
        <x:v>CTA005</x:v>
      </x:c>
      <x:c r="E49" s="10" t="str">
        <x:v>Entrada</x:v>
      </x:c>
      <x:c r="F49" s="10" t="str">
        <x:v>CAT003</x:v>
      </x:c>
      <x:c r="G49" s="10" t="str">
        <x:v>Prestação de serviços</x:v>
      </x:c>
      <x:c r="H49" s="10" t="str">
        <x:v>REC00051</x:v>
      </x:c>
      <x:c r="I49" s="20" t="n">
        <x:v>858.2</x:v>
      </x:c>
      <x:c r="J49" s="20" t="n">
        <x:v>858.2</x:v>
      </x:c>
      <x:c r="K49" s="10" t="str">
        <x:v>Realizado</x:v>
      </x:c>
      <x:c r="L49" s="10" t="str">
        <x:v>Contas a Receber</x:v>
      </x:c>
    </x:row>
    <x:row r="50" ht="18" customHeight="1">
      <x:c r="A50" s="10" t="str">
        <x:v>MOV001253</x:v>
      </x:c>
      <x:c r="B50" s="16" t="n">
        <x:v>45349.76508547454</x:v>
      </x:c>
      <x:c r="C50" s="10" t="str">
        <x:v>EMP003</x:v>
      </x:c>
      <x:c r="D50" s="10" t="str">
        <x:v>CTA006</x:v>
      </x:c>
      <x:c r="E50" s="10" t="str">
        <x:v>Entrada</x:v>
      </x:c>
      <x:c r="F50" s="10" t="str">
        <x:v>CAT004</x:v>
      </x:c>
      <x:c r="G50" s="10" t="str">
        <x:v>Projeto especial</x:v>
      </x:c>
      <x:c r="H50" s="10" t="str">
        <x:v>REC00607</x:v>
      </x:c>
      <x:c r="I50" s="20" t="n">
        <x:v>107691.93</x:v>
      </x:c>
      <x:c r="J50" s="20" t="n">
        <x:v>107691.93</x:v>
      </x:c>
      <x:c r="K50" s="10" t="str">
        <x:v>Realizado</x:v>
      </x:c>
      <x:c r="L50" s="10" t="str">
        <x:v>Contas a Receber</x:v>
      </x:c>
    </x:row>
    <x:row r="51" ht="18" customHeight="1">
      <x:c r="A51" s="10" t="str">
        <x:v>MOV000125</x:v>
      </x:c>
      <x:c r="B51" s="16" t="n">
        <x:v>45350.70342305556</x:v>
      </x:c>
      <x:c r="C51" s="10" t="str">
        <x:v>EMP001</x:v>
      </x:c>
      <x:c r="D51" s="10" t="str">
        <x:v>CTA002</x:v>
      </x:c>
      <x:c r="E51" s="10" t="str">
        <x:v>Saída</x:v>
      </x:c>
      <x:c r="F51" s="10" t="str">
        <x:v>CAT009</x:v>
      </x:c>
      <x:c r="G51" s="10" t="str">
        <x:v>Contrato recorrente</x:v>
      </x:c>
      <x:c r="H51" s="10" t="str">
        <x:v>PAG00145</x:v>
      </x:c>
      <x:c r="I51" s="20" t="n">
        <x:v>786.9</x:v>
      </x:c>
      <x:c r="J51" s="20" t="n">
        <x:v>-786.9</x:v>
      </x:c>
      <x:c r="K51" s="10" t="str">
        <x:v>Realizado</x:v>
      </x:c>
      <x:c r="L51" s="10" t="str">
        <x:v>Contas a Pagar</x:v>
      </x:c>
    </x:row>
    <x:row r="52" ht="18" customHeight="1">
      <x:c r="A52" s="10" t="str">
        <x:v>MOV000167</x:v>
      </x:c>
      <x:c r="B52" s="16" t="n">
        <x:v>45350.84226527778</x:v>
      </x:c>
      <x:c r="C52" s="10" t="str">
        <x:v>EMP001</x:v>
      </x:c>
      <x:c r="D52" s="10" t="str">
        <x:v>CTA001</x:v>
      </x:c>
      <x:c r="E52" s="10" t="str">
        <x:v>Saída</x:v>
      </x:c>
      <x:c r="F52" s="10" t="str">
        <x:v>CAT008</x:v>
      </x:c>
      <x:c r="G52" s="10" t="str">
        <x:v>Compra de materiais</x:v>
      </x:c>
      <x:c r="H52" s="10" t="str">
        <x:v>PAG00196</x:v>
      </x:c>
      <x:c r="I52" s="20" t="n">
        <x:v>66539.67</x:v>
      </x:c>
      <x:c r="J52" s="20" t="n">
        <x:v>-66539.67</x:v>
      </x:c>
      <x:c r="K52" s="10" t="str">
        <x:v>Realizado</x:v>
      </x:c>
      <x:c r="L52" s="10" t="str">
        <x:v>Contas a Pagar</x:v>
      </x:c>
    </x:row>
    <x:row r="53" ht="18" customHeight="1">
      <x:c r="A53" s="10" t="str">
        <x:v>MOV001086</x:v>
      </x:c>
      <x:c r="B53" s="16" t="n">
        <x:v>45351.500571655095</x:v>
      </x:c>
      <x:c r="C53" s="10" t="str">
        <x:v>EMP001</x:v>
      </x:c>
      <x:c r="D53" s="10" t="str">
        <x:v>CTA001</x:v>
      </x:c>
      <x:c r="E53" s="10" t="str">
        <x:v>Entrada</x:v>
      </x:c>
      <x:c r="F53" s="10" t="str">
        <x:v>CAT003</x:v>
      </x:c>
      <x:c r="G53" s="10" t="str">
        <x:v>Prestação de serviços</x:v>
      </x:c>
      <x:c r="H53" s="10" t="str">
        <x:v>REC00409</x:v>
      </x:c>
      <x:c r="I53" s="20" t="n">
        <x:v>137620.05</x:v>
      </x:c>
      <x:c r="J53" s="20" t="n">
        <x:v>137620.05</x:v>
      </x:c>
      <x:c r="K53" s="10" t="str">
        <x:v>Realizado</x:v>
      </x:c>
      <x:c r="L53" s="10" t="str">
        <x:v>Contas a Receber</x:v>
      </x:c>
    </x:row>
    <x:row r="54" ht="18" customHeight="1">
      <x:c r="A54" s="10" t="str">
        <x:v>MOV000743</x:v>
      </x:c>
      <x:c r="B54" s="16" t="n">
        <x:v>45351.56590898148</x:v>
      </x:c>
      <x:c r="C54" s="10" t="str">
        <x:v>EMP003</x:v>
      </x:c>
      <x:c r="D54" s="10" t="str">
        <x:v>CTA005</x:v>
      </x:c>
      <x:c r="E54" s="10" t="str">
        <x:v>Saída</x:v>
      </x:c>
      <x:c r="F54" s="10" t="str">
        <x:v>CAT012</x:v>
      </x:c>
      <x:c r="G54" s="10" t="str">
        <x:v>Contrato recorrente</x:v>
      </x:c>
      <x:c r="H54" s="10" t="str">
        <x:v>PAG00883</x:v>
      </x:c>
      <x:c r="I54" s="20" t="n">
        <x:v>42062.69</x:v>
      </x:c>
      <x:c r="J54" s="20" t="n">
        <x:v>-42062.69</x:v>
      </x:c>
      <x:c r="K54" s="10" t="str">
        <x:v>Realizado</x:v>
      </x:c>
      <x:c r="L54" s="10" t="str">
        <x:v>Contas a Pagar</x:v>
      </x:c>
    </x:row>
    <x:row r="55" ht="18" customHeight="1">
      <x:c r="A55" s="10" t="str">
        <x:v>MOV000787</x:v>
      </x:c>
      <x:c r="B55" s="16" t="n">
        <x:v>45351.65158740741</x:v>
      </x:c>
      <x:c r="C55" s="10" t="str">
        <x:v>EMP003</x:v>
      </x:c>
      <x:c r="D55" s="10" t="str">
        <x:v>CTA006</x:v>
      </x:c>
      <x:c r="E55" s="10" t="str">
        <x:v>Entrada</x:v>
      </x:c>
      <x:c r="F55" s="10" t="str">
        <x:v>CAT004</x:v>
      </x:c>
      <x:c r="G55" s="10" t="str">
        <x:v>Projeto especial</x:v>
      </x:c>
      <x:c r="H55" s="10" t="str">
        <x:v>REC00043</x:v>
      </x:c>
      <x:c r="I55" s="20" t="n">
        <x:v>76551.87</x:v>
      </x:c>
      <x:c r="J55" s="20" t="n">
        <x:v>76551.87</x:v>
      </x:c>
      <x:c r="K55" s="10" t="str">
        <x:v>Realizado</x:v>
      </x:c>
      <x:c r="L55" s="10" t="str">
        <x:v>Contas a Receber</x:v>
      </x:c>
    </x:row>
    <x:row r="56" ht="18" customHeight="1">
      <x:c r="A56" s="10" t="str">
        <x:v>MOV001460</x:v>
      </x:c>
      <x:c r="B56" s="16" t="n">
        <x:v>45351.863377430556</x:v>
      </x:c>
      <x:c r="C56" s="10" t="str">
        <x:v>EMP003</x:v>
      </x:c>
      <x:c r="D56" s="10" t="str">
        <x:v>CTA005</x:v>
      </x:c>
      <x:c r="E56" s="10" t="str">
        <x:v>Entrada</x:v>
      </x:c>
      <x:c r="F56" s="10" t="str">
        <x:v>CAT001</x:v>
      </x:c>
      <x:c r="G56" s="10" t="str">
        <x:v>Contrato mensal</x:v>
      </x:c>
      <x:c r="H56" s="10" t="str">
        <x:v>REC00856</x:v>
      </x:c>
      <x:c r="I56" s="20" t="n">
        <x:v>142174.45</x:v>
      </x:c>
      <x:c r="J56" s="20" t="n">
        <x:v>142174.45</x:v>
      </x:c>
      <x:c r="K56" s="10" t="str">
        <x:v>Realizado</x:v>
      </x:c>
      <x:c r="L56" s="10" t="str">
        <x:v>Contas a Receber</x:v>
      </x:c>
    </x:row>
    <x:row r="57" ht="18" customHeight="1">
      <x:c r="A57" s="10" t="str">
        <x:v>MOV001512</x:v>
      </x:c>
      <x:c r="B57" s="16" t="n">
        <x:v>45352.70756850694</x:v>
      </x:c>
      <x:c r="C57" s="10" t="str">
        <x:v>EMP002</x:v>
      </x:c>
      <x:c r="D57" s="10" t="str">
        <x:v>CTA004</x:v>
      </x:c>
      <x:c r="E57" s="10" t="str">
        <x:v>Entrada</x:v>
      </x:c>
      <x:c r="F57" s="10" t="str">
        <x:v>CAT002</x:v>
      </x:c>
      <x:c r="G57" s="10" t="str">
        <x:v>Prestação de serviços</x:v>
      </x:c>
      <x:c r="H57" s="10" t="str">
        <x:v>REC00922</x:v>
      </x:c>
      <x:c r="I57" s="20" t="n">
        <x:v>88939.82</x:v>
      </x:c>
      <x:c r="J57" s="20" t="n">
        <x:v>88939.82</x:v>
      </x:c>
      <x:c r="K57" s="10" t="str">
        <x:v>Realizado</x:v>
      </x:c>
      <x:c r="L57" s="10" t="str">
        <x:v>Contas a Receber</x:v>
      </x:c>
    </x:row>
    <x:row r="58" ht="18" customHeight="1">
      <x:c r="A58" s="10" t="str">
        <x:v>MOV000197</x:v>
      </x:c>
      <x:c r="B58" s="16" t="n">
        <x:v>45352.71815756944</x:v>
      </x:c>
      <x:c r="C58" s="10" t="str">
        <x:v>EMP002</x:v>
      </x:c>
      <x:c r="D58" s="10" t="str">
        <x:v>CTA004</x:v>
      </x:c>
      <x:c r="E58" s="10" t="str">
        <x:v>Saída</x:v>
      </x:c>
      <x:c r="F58" s="10" t="str">
        <x:v>CAT013</x:v>
      </x:c>
      <x:c r="G58" s="10" t="str">
        <x:v>Prestação de serviços</x:v>
      </x:c>
      <x:c r="H58" s="10" t="str">
        <x:v>PAG00230</x:v>
      </x:c>
      <x:c r="I58" s="20" t="n">
        <x:v>100699.8</x:v>
      </x:c>
      <x:c r="J58" s="20" t="n">
        <x:v>-100699.8</x:v>
      </x:c>
      <x:c r="K58" s="10" t="str">
        <x:v>Realizado</x:v>
      </x:c>
      <x:c r="L58" s="10" t="str">
        <x:v>Contas a Pagar</x:v>
      </x:c>
    </x:row>
    <x:row r="59" ht="18" customHeight="1">
      <x:c r="A59" s="10" t="str">
        <x:v>MOV001061</x:v>
      </x:c>
      <x:c r="B59" s="16" t="n">
        <x:v>45352.80522061342</x:v>
      </x:c>
      <x:c r="C59" s="10" t="str">
        <x:v>EMP001</x:v>
      </x:c>
      <x:c r="D59" s="10" t="str">
        <x:v>CTA002</x:v>
      </x:c>
      <x:c r="E59" s="10" t="str">
        <x:v>Entrada</x:v>
      </x:c>
      <x:c r="F59" s="10" t="str">
        <x:v>CAT002</x:v>
      </x:c>
      <x:c r="G59" s="10" t="str">
        <x:v>Projeto especial</x:v>
      </x:c>
      <x:c r="H59" s="10" t="str">
        <x:v>REC00378</x:v>
      </x:c>
      <x:c r="I59" s="20" t="n">
        <x:v>32127.1</x:v>
      </x:c>
      <x:c r="J59" s="20" t="n">
        <x:v>32127.1</x:v>
      </x:c>
      <x:c r="K59" s="10" t="str">
        <x:v>Realizado</x:v>
      </x:c>
      <x:c r="L59" s="10" t="str">
        <x:v>Contas a Receber</x:v>
      </x:c>
    </x:row>
    <x:row r="60" ht="18" customHeight="1">
      <x:c r="A60" s="10" t="str">
        <x:v>MOV000668</x:v>
      </x:c>
      <x:c r="B60" s="16" t="n">
        <x:v>45353.74043642361</x:v>
      </x:c>
      <x:c r="C60" s="10" t="str">
        <x:v>EMP002</x:v>
      </x:c>
      <x:c r="D60" s="10" t="str">
        <x:v>CTA003</x:v>
      </x:c>
      <x:c r="E60" s="10" t="str">
        <x:v>Saída</x:v>
      </x:c>
      <x:c r="F60" s="10" t="str">
        <x:v>CAT011</x:v>
      </x:c>
      <x:c r="G60" s="10" t="str">
        <x:v>Contrato recorrente</x:v>
      </x:c>
      <x:c r="H60" s="10" t="str">
        <x:v>PAG00793</x:v>
      </x:c>
      <x:c r="I60" s="20" t="n">
        <x:v>47031.3</x:v>
      </x:c>
      <x:c r="J60" s="20" t="n">
        <x:v>-47031.3</x:v>
      </x:c>
      <x:c r="K60" s="10" t="str">
        <x:v>Realizado</x:v>
      </x:c>
      <x:c r="L60" s="10" t="str">
        <x:v>Contas a Pagar</x:v>
      </x:c>
    </x:row>
    <x:row r="61" ht="18" customHeight="1">
      <x:c r="A61" s="10" t="str">
        <x:v>MOV001528</x:v>
      </x:c>
      <x:c r="B61" s="16" t="n">
        <x:v>45355.552705</x:v>
      </x:c>
      <x:c r="C61" s="10" t="str">
        <x:v>EMP002</x:v>
      </x:c>
      <x:c r="D61" s="10" t="str">
        <x:v>CTA004</x:v>
      </x:c>
      <x:c r="E61" s="10" t="str">
        <x:v>Entrada</x:v>
      </x:c>
      <x:c r="F61" s="10" t="str">
        <x:v>CAT001</x:v>
      </x:c>
      <x:c r="G61" s="10" t="str">
        <x:v>Projeto especial</x:v>
      </x:c>
      <x:c r="H61" s="10" t="str">
        <x:v>REC00940</x:v>
      </x:c>
      <x:c r="I61" s="20" t="n">
        <x:v>101578.8</x:v>
      </x:c>
      <x:c r="J61" s="20" t="n">
        <x:v>101578.8</x:v>
      </x:c>
      <x:c r="K61" s="10" t="str">
        <x:v>Realizado</x:v>
      </x:c>
      <x:c r="L61" s="10" t="str">
        <x:v>Contas a Receber</x:v>
      </x:c>
    </x:row>
    <x:row r="62" ht="18" customHeight="1">
      <x:c r="A62" s="10" t="str">
        <x:v>MOV000925</x:v>
      </x:c>
      <x:c r="B62" s="16" t="n">
        <x:v>45355.841749756946</x:v>
      </x:c>
      <x:c r="C62" s="10" t="str">
        <x:v>EMP001</x:v>
      </x:c>
      <x:c r="D62" s="10" t="str">
        <x:v>CTA001</x:v>
      </x:c>
      <x:c r="E62" s="10" t="str">
        <x:v>Entrada</x:v>
      </x:c>
      <x:c r="F62" s="10" t="str">
        <x:v>CAT001</x:v>
      </x:c>
      <x:c r="G62" s="10" t="str">
        <x:v>Frete faturado</x:v>
      </x:c>
      <x:c r="H62" s="10" t="str">
        <x:v>REC00203</x:v>
      </x:c>
      <x:c r="I62" s="20" t="n">
        <x:v>903.55</x:v>
      </x:c>
      <x:c r="J62" s="20" t="n">
        <x:v>903.55</x:v>
      </x:c>
      <x:c r="K62" s="10" t="str">
        <x:v>Realizado</x:v>
      </x:c>
      <x:c r="L62" s="10" t="str">
        <x:v>Contas a Receber</x:v>
      </x:c>
    </x:row>
    <x:row r="63" ht="18" customHeight="1">
      <x:c r="A63" s="10" t="str">
        <x:v>MOV000240</x:v>
      </x:c>
      <x:c r="B63" s="16" t="n">
        <x:v>45356.2240608912</x:v>
      </x:c>
      <x:c r="C63" s="10" t="str">
        <x:v>EMP001</x:v>
      </x:c>
      <x:c r="D63" s="10" t="str">
        <x:v>CTA002</x:v>
      </x:c>
      <x:c r="E63" s="10" t="str">
        <x:v>Saída</x:v>
      </x:c>
      <x:c r="F63" s="10" t="str">
        <x:v>CAT009</x:v>
      </x:c>
      <x:c r="G63" s="10" t="str">
        <x:v>Contrato recorrente</x:v>
      </x:c>
      <x:c r="H63" s="10" t="str">
        <x:v>PAG00280</x:v>
      </x:c>
      <x:c r="I63" s="20" t="n">
        <x:v>56765.33</x:v>
      </x:c>
      <x:c r="J63" s="20" t="n">
        <x:v>-56765.33</x:v>
      </x:c>
      <x:c r="K63" s="10" t="str">
        <x:v>Realizado</x:v>
      </x:c>
      <x:c r="L63" s="10" t="str">
        <x:v>Contas a Pagar</x:v>
      </x:c>
    </x:row>
    <x:row r="64" ht="18" customHeight="1">
      <x:c r="A64" s="10" t="str">
        <x:v>MOV000517</x:v>
      </x:c>
      <x:c r="B64" s="16" t="n">
        <x:v>45356.415412407405</x:v>
      </x:c>
      <x:c r="C64" s="10" t="str">
        <x:v>EMP001</x:v>
      </x:c>
      <x:c r="D64" s="10" t="str">
        <x:v>CTA001</x:v>
      </x:c>
      <x:c r="E64" s="10" t="str">
        <x:v>Saída</x:v>
      </x:c>
      <x:c r="F64" s="10" t="str">
        <x:v>CAT018</x:v>
      </x:c>
      <x:c r="G64" s="10" t="str">
        <x:v>Despesa operacional</x:v>
      </x:c>
      <x:c r="H64" s="10" t="str">
        <x:v>PAG00607</x:v>
      </x:c>
      <x:c r="I64" s="20" t="n">
        <x:v>101871.88</x:v>
      </x:c>
      <x:c r="J64" s="20" t="n">
        <x:v>-101871.88</x:v>
      </x:c>
      <x:c r="K64" s="10" t="str">
        <x:v>Realizado</x:v>
      </x:c>
      <x:c r="L64" s="10" t="str">
        <x:v>Contas a Pagar</x:v>
      </x:c>
    </x:row>
    <x:row r="65" ht="18" customHeight="1">
      <x:c r="A65" s="10" t="str">
        <x:v>MOV000504</x:v>
      </x:c>
      <x:c r="B65" s="16" t="n">
        <x:v>45356.50401960648</x:v>
      </x:c>
      <x:c r="C65" s="10" t="str">
        <x:v>EMP003</x:v>
      </x:c>
      <x:c r="D65" s="10" t="str">
        <x:v>CTA005</x:v>
      </x:c>
      <x:c r="E65" s="10" t="str">
        <x:v>Saída</x:v>
      </x:c>
      <x:c r="F65" s="10" t="str">
        <x:v>CAT013</x:v>
      </x:c>
      <x:c r="G65" s="10" t="str">
        <x:v>Contrato recorrente</x:v>
      </x:c>
      <x:c r="H65" s="10" t="str">
        <x:v>PAG00593</x:v>
      </x:c>
      <x:c r="I65" s="20" t="n">
        <x:v>34995.18</x:v>
      </x:c>
      <x:c r="J65" s="20" t="n">
        <x:v>-34995.18</x:v>
      </x:c>
      <x:c r="K65" s="10" t="str">
        <x:v>Realizado</x:v>
      </x:c>
      <x:c r="L65" s="10" t="str">
        <x:v>Contas a Pagar</x:v>
      </x:c>
    </x:row>
    <x:row r="66" ht="18" customHeight="1">
      <x:c r="A66" s="10" t="str">
        <x:v>MOV001115</x:v>
      </x:c>
      <x:c r="B66" s="16" t="n">
        <x:v>45357.44917787037</x:v>
      </x:c>
      <x:c r="C66" s="10" t="str">
        <x:v>EMP001</x:v>
      </x:c>
      <x:c r="D66" s="10" t="str">
        <x:v>CTA001</x:v>
      </x:c>
      <x:c r="E66" s="10" t="str">
        <x:v>Entrada</x:v>
      </x:c>
      <x:c r="F66" s="10" t="str">
        <x:v>CAT004</x:v>
      </x:c>
      <x:c r="G66" s="10" t="str">
        <x:v>Venda de produtos</x:v>
      </x:c>
      <x:c r="H66" s="10" t="str">
        <x:v>REC00444</x:v>
      </x:c>
      <x:c r="I66" s="20" t="n">
        <x:v>54943.05</x:v>
      </x:c>
      <x:c r="J66" s="20" t="n">
        <x:v>54943.05</x:v>
      </x:c>
      <x:c r="K66" s="10" t="str">
        <x:v>Realizado</x:v>
      </x:c>
      <x:c r="L66" s="10" t="str">
        <x:v>Contas a Receber</x:v>
      </x:c>
    </x:row>
    <x:row r="67" ht="18" customHeight="1">
      <x:c r="A67" s="10" t="str">
        <x:v>MOV001240</x:v>
      </x:c>
      <x:c r="B67" s="16" t="n">
        <x:v>45358.041594270835</x:v>
      </x:c>
      <x:c r="C67" s="10" t="str">
        <x:v>EMP003</x:v>
      </x:c>
      <x:c r="D67" s="10" t="str">
        <x:v>CTA006</x:v>
      </x:c>
      <x:c r="E67" s="10" t="str">
        <x:v>Entrada</x:v>
      </x:c>
      <x:c r="F67" s="10" t="str">
        <x:v>CAT003</x:v>
      </x:c>
      <x:c r="G67" s="10" t="str">
        <x:v>Frete faturado</x:v>
      </x:c>
      <x:c r="H67" s="10" t="str">
        <x:v>REC00592</x:v>
      </x:c>
      <x:c r="I67" s="20" t="n">
        <x:v>52456.23</x:v>
      </x:c>
      <x:c r="J67" s="20" t="n">
        <x:v>52456.23</x:v>
      </x:c>
      <x:c r="K67" s="10" t="str">
        <x:v>Realizado</x:v>
      </x:c>
      <x:c r="L67" s="10" t="str">
        <x:v>Contas a Receber</x:v>
      </x:c>
    </x:row>
    <x:row r="68" ht="18" customHeight="1">
      <x:c r="A68" s="10" t="str">
        <x:v>MOV000619</x:v>
      </x:c>
      <x:c r="B68" s="16" t="n">
        <x:v>45358.68500038194</x:v>
      </x:c>
      <x:c r="C68" s="10" t="str">
        <x:v>EMP002</x:v>
      </x:c>
      <x:c r="D68" s="10" t="str">
        <x:v>CTA004</x:v>
      </x:c>
      <x:c r="E68" s="10" t="str">
        <x:v>Saída</x:v>
      </x:c>
      <x:c r="F68" s="10" t="str">
        <x:v>CAT011</x:v>
      </x:c>
      <x:c r="G68" s="10" t="str">
        <x:v>Despesa operacional</x:v>
      </x:c>
      <x:c r="H68" s="10" t="str">
        <x:v>PAG00733</x:v>
      </x:c>
      <x:c r="I68" s="20" t="n">
        <x:v>115500.33</x:v>
      </x:c>
      <x:c r="J68" s="20" t="n">
        <x:v>-115500.33</x:v>
      </x:c>
      <x:c r="K68" s="10" t="str">
        <x:v>Realizado</x:v>
      </x:c>
      <x:c r="L68" s="10" t="str">
        <x:v>Contas a Pagar</x:v>
      </x:c>
    </x:row>
    <x:row r="69" ht="18" customHeight="1">
      <x:c r="A69" s="10" t="str">
        <x:v>MOV000509</x:v>
      </x:c>
      <x:c r="B69" s="16" t="n">
        <x:v>45359.53155450231</x:v>
      </x:c>
      <x:c r="C69" s="10" t="str">
        <x:v>EMP002</x:v>
      </x:c>
      <x:c r="D69" s="10" t="str">
        <x:v>CTA004</x:v>
      </x:c>
      <x:c r="E69" s="10" t="str">
        <x:v>Saída</x:v>
      </x:c>
      <x:c r="F69" s="10" t="str">
        <x:v>CAT015</x:v>
      </x:c>
      <x:c r="G69" s="10" t="str">
        <x:v>Compra de materiais</x:v>
      </x:c>
      <x:c r="H69" s="10" t="str">
        <x:v>PAG00599</x:v>
      </x:c>
      <x:c r="I69" s="20" t="n">
        <x:v>89509.25</x:v>
      </x:c>
      <x:c r="J69" s="20" t="n">
        <x:v>-89509.25</x:v>
      </x:c>
      <x:c r="K69" s="10" t="str">
        <x:v>Realizado</x:v>
      </x:c>
      <x:c r="L69" s="10" t="str">
        <x:v>Contas a Pagar</x:v>
      </x:c>
    </x:row>
    <x:row r="70" ht="18" customHeight="1">
      <x:c r="A70" s="10" t="str">
        <x:v>MOV000900</x:v>
      </x:c>
      <x:c r="B70" s="16" t="n">
        <x:v>45359.61796423611</x:v>
      </x:c>
      <x:c r="C70" s="10" t="str">
        <x:v>EMP003</x:v>
      </x:c>
      <x:c r="D70" s="10" t="str">
        <x:v>CTA005</x:v>
      </x:c>
      <x:c r="E70" s="10" t="str">
        <x:v>Entrada</x:v>
      </x:c>
      <x:c r="F70" s="10" t="str">
        <x:v>CAT003</x:v>
      </x:c>
      <x:c r="G70" s="10" t="str">
        <x:v>Frete faturado</x:v>
      </x:c>
      <x:c r="H70" s="10" t="str">
        <x:v>REC00177</x:v>
      </x:c>
      <x:c r="I70" s="20" t="n">
        <x:v>49713.4</x:v>
      </x:c>
      <x:c r="J70" s="20" t="n">
        <x:v>49713.4</x:v>
      </x:c>
      <x:c r="K70" s="10" t="str">
        <x:v>Realizado</x:v>
      </x:c>
      <x:c r="L70" s="10" t="str">
        <x:v>Contas a Receber</x:v>
      </x:c>
    </x:row>
    <x:row r="71" ht="18" customHeight="1">
      <x:c r="A71" s="10" t="str">
        <x:v>MOV000810</x:v>
      </x:c>
      <x:c r="B71" s="16" t="n">
        <x:v>45359.66540967592</x:v>
      </x:c>
      <x:c r="C71" s="10" t="str">
        <x:v>EMP002</x:v>
      </x:c>
      <x:c r="D71" s="10" t="str">
        <x:v>CTA003</x:v>
      </x:c>
      <x:c r="E71" s="10" t="str">
        <x:v>Entrada</x:v>
      </x:c>
      <x:c r="F71" s="10" t="str">
        <x:v>CAT001</x:v>
      </x:c>
      <x:c r="G71" s="10" t="str">
        <x:v>Projeto especial</x:v>
      </x:c>
      <x:c r="H71" s="10" t="str">
        <x:v>REC00069</x:v>
      </x:c>
      <x:c r="I71" s="20" t="n">
        <x:v>1369.92</x:v>
      </x:c>
      <x:c r="J71" s="20" t="n">
        <x:v>1369.92</x:v>
      </x:c>
      <x:c r="K71" s="10" t="str">
        <x:v>Realizado</x:v>
      </x:c>
      <x:c r="L71" s="10" t="str">
        <x:v>Contas a Receber</x:v>
      </x:c>
    </x:row>
    <x:row r="72" ht="18" customHeight="1">
      <x:c r="A72" s="10" t="str">
        <x:v>MOV000236</x:v>
      </x:c>
      <x:c r="B72" s="16" t="n">
        <x:v>45359.80074734954</x:v>
      </x:c>
      <x:c r="C72" s="10" t="str">
        <x:v>EMP003</x:v>
      </x:c>
      <x:c r="D72" s="10" t="str">
        <x:v>CTA005</x:v>
      </x:c>
      <x:c r="E72" s="10" t="str">
        <x:v>Saída</x:v>
      </x:c>
      <x:c r="F72" s="10" t="str">
        <x:v>CAT006</x:v>
      </x:c>
      <x:c r="G72" s="10" t="str">
        <x:v>Prestação de serviços</x:v>
      </x:c>
      <x:c r="H72" s="10" t="str">
        <x:v>PAG00276</x:v>
      </x:c>
      <x:c r="I72" s="20" t="n">
        <x:v>48423.8</x:v>
      </x:c>
      <x:c r="J72" s="20" t="n">
        <x:v>-48423.8</x:v>
      </x:c>
      <x:c r="K72" s="10" t="str">
        <x:v>Realizado</x:v>
      </x:c>
      <x:c r="L72" s="10" t="str">
        <x:v>Contas a Pagar</x:v>
      </x:c>
    </x:row>
    <x:row r="73" ht="18" customHeight="1">
      <x:c r="A73" s="10" t="str">
        <x:v>MOV001263</x:v>
      </x:c>
      <x:c r="B73" s="16" t="n">
        <x:v>45360.29311556713</x:v>
      </x:c>
      <x:c r="C73" s="10" t="str">
        <x:v>EMP002</x:v>
      </x:c>
      <x:c r="D73" s="10" t="str">
        <x:v>CTA003</x:v>
      </x:c>
      <x:c r="E73" s="10" t="str">
        <x:v>Entrada</x:v>
      </x:c>
      <x:c r="F73" s="10" t="str">
        <x:v>CAT003</x:v>
      </x:c>
      <x:c r="G73" s="10" t="str">
        <x:v>Projeto especial</x:v>
      </x:c>
      <x:c r="H73" s="10" t="str">
        <x:v>REC00620</x:v>
      </x:c>
      <x:c r="I73" s="20" t="n">
        <x:v>975.43</x:v>
      </x:c>
      <x:c r="J73" s="20" t="n">
        <x:v>975.43</x:v>
      </x:c>
      <x:c r="K73" s="10" t="str">
        <x:v>Realizado</x:v>
      </x:c>
      <x:c r="L73" s="10" t="str">
        <x:v>Contas a Receber</x:v>
      </x:c>
    </x:row>
    <x:row r="74" ht="18" customHeight="1">
      <x:c r="A74" s="10" t="str">
        <x:v>MOV001443</x:v>
      </x:c>
      <x:c r="B74" s="16" t="n">
        <x:v>45360.301406099534</x:v>
      </x:c>
      <x:c r="C74" s="10" t="str">
        <x:v>EMP003</x:v>
      </x:c>
      <x:c r="D74" s="10" t="str">
        <x:v>CTA005</x:v>
      </x:c>
      <x:c r="E74" s="10" t="str">
        <x:v>Entrada</x:v>
      </x:c>
      <x:c r="F74" s="10" t="str">
        <x:v>CAT001</x:v>
      </x:c>
      <x:c r="G74" s="10" t="str">
        <x:v>Contrato mensal</x:v>
      </x:c>
      <x:c r="H74" s="10" t="str">
        <x:v>REC00835</x:v>
      </x:c>
      <x:c r="I74" s="20" t="n">
        <x:v>9568.62</x:v>
      </x:c>
      <x:c r="J74" s="20" t="n">
        <x:v>9568.62</x:v>
      </x:c>
      <x:c r="K74" s="10" t="str">
        <x:v>Realizado</x:v>
      </x:c>
      <x:c r="L74" s="10" t="str">
        <x:v>Contas a Receber</x:v>
      </x:c>
    </x:row>
    <x:row r="75" ht="18" customHeight="1">
      <x:c r="A75" s="10" t="str">
        <x:v>MOV001304</x:v>
      </x:c>
      <x:c r="B75" s="16" t="n">
        <x:v>45361.24779282408</x:v>
      </x:c>
      <x:c r="C75" s="10" t="str">
        <x:v>EMP003</x:v>
      </x:c>
      <x:c r="D75" s="10" t="str">
        <x:v>CTA005</x:v>
      </x:c>
      <x:c r="E75" s="10" t="str">
        <x:v>Entrada</x:v>
      </x:c>
      <x:c r="F75" s="10" t="str">
        <x:v>CAT004</x:v>
      </x:c>
      <x:c r="G75" s="10" t="str">
        <x:v>Frete faturado</x:v>
      </x:c>
      <x:c r="H75" s="10" t="str">
        <x:v>REC00667</x:v>
      </x:c>
      <x:c r="I75" s="20" t="n">
        <x:v>29070.67</x:v>
      </x:c>
      <x:c r="J75" s="20" t="n">
        <x:v>29070.67</x:v>
      </x:c>
      <x:c r="K75" s="10" t="str">
        <x:v>Realizado</x:v>
      </x:c>
      <x:c r="L75" s="10" t="str">
        <x:v>Contas a Receber</x:v>
      </x:c>
    </x:row>
    <x:row r="76" ht="18" customHeight="1">
      <x:c r="A76" s="10" t="str">
        <x:v>MOV000806</x:v>
      </x:c>
      <x:c r="B76" s="16" t="n">
        <x:v>45361.31637172454</x:v>
      </x:c>
      <x:c r="C76" s="10" t="str">
        <x:v>EMP001</x:v>
      </x:c>
      <x:c r="D76" s="10" t="str">
        <x:v>CTA001</x:v>
      </x:c>
      <x:c r="E76" s="10" t="str">
        <x:v>Entrada</x:v>
      </x:c>
      <x:c r="F76" s="10" t="str">
        <x:v>CAT001</x:v>
      </x:c>
      <x:c r="G76" s="10" t="str">
        <x:v>Contrato mensal</x:v>
      </x:c>
      <x:c r="H76" s="10" t="str">
        <x:v>REC00065</x:v>
      </x:c>
      <x:c r="I76" s="20" t="n">
        <x:v>139452.08</x:v>
      </x:c>
      <x:c r="J76" s="20" t="n">
        <x:v>139452.08</x:v>
      </x:c>
      <x:c r="K76" s="10" t="str">
        <x:v>Realizado</x:v>
      </x:c>
      <x:c r="L76" s="10" t="str">
        <x:v>Contas a Receber</x:v>
      </x:c>
    </x:row>
    <x:row r="77" ht="18" customHeight="1">
      <x:c r="A77" s="10" t="str">
        <x:v>MOV001216</x:v>
      </x:c>
      <x:c r="B77" s="16" t="n">
        <x:v>45361.366232071756</x:v>
      </x:c>
      <x:c r="C77" s="10" t="str">
        <x:v>EMP003</x:v>
      </x:c>
      <x:c r="D77" s="10" t="str">
        <x:v>CTA005</x:v>
      </x:c>
      <x:c r="E77" s="10" t="str">
        <x:v>Entrada</x:v>
      </x:c>
      <x:c r="F77" s="10" t="str">
        <x:v>CAT002</x:v>
      </x:c>
      <x:c r="G77" s="10" t="str">
        <x:v>Venda de produtos</x:v>
      </x:c>
      <x:c r="H77" s="10" t="str">
        <x:v>REC00565</x:v>
      </x:c>
      <x:c r="I77" s="20" t="n">
        <x:v>9811.85</x:v>
      </x:c>
      <x:c r="J77" s="20" t="n">
        <x:v>9811.85</x:v>
      </x:c>
      <x:c r="K77" s="10" t="str">
        <x:v>Realizado</x:v>
      </x:c>
      <x:c r="L77" s="10" t="str">
        <x:v>Contas a Receber</x:v>
      </x:c>
    </x:row>
    <x:row r="78" ht="18" customHeight="1">
      <x:c r="A78" s="10" t="str">
        <x:v>MOV000214</x:v>
      </x:c>
      <x:c r="B78" s="16" t="n">
        <x:v>45361.5850109838</x:v>
      </x:c>
      <x:c r="C78" s="10" t="str">
        <x:v>EMP002</x:v>
      </x:c>
      <x:c r="D78" s="10" t="str">
        <x:v>CTA004</x:v>
      </x:c>
      <x:c r="E78" s="10" t="str">
        <x:v>Saída</x:v>
      </x:c>
      <x:c r="F78" s="10" t="str">
        <x:v>CAT016</x:v>
      </x:c>
      <x:c r="G78" s="10" t="str">
        <x:v>Prestação de serviços</x:v>
      </x:c>
      <x:c r="H78" s="10" t="str">
        <x:v>PAG00248</x:v>
      </x:c>
      <x:c r="I78" s="20" t="n">
        <x:v>72804.99</x:v>
      </x:c>
      <x:c r="J78" s="20" t="n">
        <x:v>-72804.99</x:v>
      </x:c>
      <x:c r="K78" s="10" t="str">
        <x:v>Realizado</x:v>
      </x:c>
      <x:c r="L78" s="10" t="str">
        <x:v>Contas a Pagar</x:v>
      </x:c>
    </x:row>
    <x:row r="79" ht="18" customHeight="1">
      <x:c r="A79" s="10" t="str">
        <x:v>MOV001290</x:v>
      </x:c>
      <x:c r="B79" s="16" t="n">
        <x:v>45363.43196123843</x:v>
      </x:c>
      <x:c r="C79" s="10" t="str">
        <x:v>EMP002</x:v>
      </x:c>
      <x:c r="D79" s="10" t="str">
        <x:v>CTA003</x:v>
      </x:c>
      <x:c r="E79" s="10" t="str">
        <x:v>Entrada</x:v>
      </x:c>
      <x:c r="F79" s="10" t="str">
        <x:v>CAT003</x:v>
      </x:c>
      <x:c r="G79" s="10" t="str">
        <x:v>Contrato mensal</x:v>
      </x:c>
      <x:c r="H79" s="10" t="str">
        <x:v>REC00652</x:v>
      </x:c>
      <x:c r="I79" s="20" t="n">
        <x:v>26103.78</x:v>
      </x:c>
      <x:c r="J79" s="20" t="n">
        <x:v>26103.78</x:v>
      </x:c>
      <x:c r="K79" s="10" t="str">
        <x:v>Realizado</x:v>
      </x:c>
      <x:c r="L79" s="10" t="str">
        <x:v>Contas a Receber</x:v>
      </x:c>
    </x:row>
    <x:row r="80" ht="18" customHeight="1">
      <x:c r="A80" s="10" t="str">
        <x:v>MOV000568</x:v>
      </x:c>
      <x:c r="B80" s="16" t="n">
        <x:v>45363.44603886574</x:v>
      </x:c>
      <x:c r="C80" s="10" t="str">
        <x:v>EMP003</x:v>
      </x:c>
      <x:c r="D80" s="10" t="str">
        <x:v>CTA005</x:v>
      </x:c>
      <x:c r="E80" s="10" t="str">
        <x:v>Saída</x:v>
      </x:c>
      <x:c r="F80" s="10" t="str">
        <x:v>CAT013</x:v>
      </x:c>
      <x:c r="G80" s="10" t="str">
        <x:v>Contrato recorrente</x:v>
      </x:c>
      <x:c r="H80" s="10" t="str">
        <x:v>PAG00667</x:v>
      </x:c>
      <x:c r="I80" s="20" t="n">
        <x:v>7092.5</x:v>
      </x:c>
      <x:c r="J80" s="20" t="n">
        <x:v>-7092.5</x:v>
      </x:c>
      <x:c r="K80" s="10" t="str">
        <x:v>Realizado</x:v>
      </x:c>
      <x:c r="L80" s="10" t="str">
        <x:v>Contas a Pagar</x:v>
      </x:c>
    </x:row>
    <x:row r="81" ht="18" customHeight="1">
      <x:c r="A81" s="10" t="str">
        <x:v>MOV001614</x:v>
      </x:c>
      <x:c r="B81" s="16" t="n">
        <x:v>45363.78594710648</x:v>
      </x:c>
      <x:c r="C81" s="10" t="str">
        <x:v>EMP001</x:v>
      </x:c>
      <x:c r="D81" s="10" t="str">
        <x:v>CTA002</x:v>
      </x:c>
      <x:c r="E81" s="10" t="str">
        <x:v>Entrada</x:v>
      </x:c>
      <x:c r="F81" s="10" t="str">
        <x:v>CAT001</x:v>
      </x:c>
      <x:c r="G81" s="10" t="str">
        <x:v>Contrato mensal</x:v>
      </x:c>
      <x:c r="H81" s="10" t="str">
        <x:v>REC01043</x:v>
      </x:c>
      <x:c r="I81" s="20" t="n">
        <x:v>26446.86</x:v>
      </x:c>
      <x:c r="J81" s="20" t="n">
        <x:v>26446.86</x:v>
      </x:c>
      <x:c r="K81" s="10" t="str">
        <x:v>Realizado</x:v>
      </x:c>
      <x:c r="L81" s="10" t="str">
        <x:v>Contas a Receber</x:v>
      </x:c>
    </x:row>
    <x:row r="82" ht="18" customHeight="1">
      <x:c r="A82" s="10" t="str">
        <x:v>MOV001055</x:v>
      </x:c>
      <x:c r="B82" s="16" t="n">
        <x:v>45363.90023252315</x:v>
      </x:c>
      <x:c r="C82" s="10" t="str">
        <x:v>EMP002</x:v>
      </x:c>
      <x:c r="D82" s="10" t="str">
        <x:v>CTA004</x:v>
      </x:c>
      <x:c r="E82" s="10" t="str">
        <x:v>Entrada</x:v>
      </x:c>
      <x:c r="F82" s="10" t="str">
        <x:v>CAT004</x:v>
      </x:c>
      <x:c r="G82" s="10" t="str">
        <x:v>Projeto especial</x:v>
      </x:c>
      <x:c r="H82" s="10" t="str">
        <x:v>REC00367</x:v>
      </x:c>
      <x:c r="I82" s="20" t="n">
        <x:v>91555.18</x:v>
      </x:c>
      <x:c r="J82" s="20" t="n">
        <x:v>91555.18</x:v>
      </x:c>
      <x:c r="K82" s="10" t="str">
        <x:v>Realizado</x:v>
      </x:c>
      <x:c r="L82" s="10" t="str">
        <x:v>Contas a Receber</x:v>
      </x:c>
    </x:row>
    <x:row r="83" ht="18" customHeight="1">
      <x:c r="A83" s="10" t="str">
        <x:v>MOV001629</x:v>
      </x:c>
      <x:c r="B83" s="16" t="n">
        <x:v>45364.058177858795</x:v>
      </x:c>
      <x:c r="C83" s="10" t="str">
        <x:v>EMP001</x:v>
      </x:c>
      <x:c r="D83" s="10" t="str">
        <x:v>CTA001</x:v>
      </x:c>
      <x:c r="E83" s="10" t="str">
        <x:v>Entrada</x:v>
      </x:c>
      <x:c r="F83" s="10" t="str">
        <x:v>CAT001</x:v>
      </x:c>
      <x:c r="G83" s="10" t="str">
        <x:v>Projeto especial</x:v>
      </x:c>
      <x:c r="H83" s="10" t="str">
        <x:v>REC01062</x:v>
      </x:c>
      <x:c r="I83" s="20" t="n">
        <x:v>36249.02</x:v>
      </x:c>
      <x:c r="J83" s="20" t="n">
        <x:v>36249.02</x:v>
      </x:c>
      <x:c r="K83" s="10" t="str">
        <x:v>Realizado</x:v>
      </x:c>
      <x:c r="L83" s="10" t="str">
        <x:v>Contas a Receber</x:v>
      </x:c>
    </x:row>
    <x:row r="84" ht="18" customHeight="1">
      <x:c r="A84" s="10" t="str">
        <x:v>MOV000705</x:v>
      </x:c>
      <x:c r="B84" s="16" t="n">
        <x:v>45365.31271135416</x:v>
      </x:c>
      <x:c r="C84" s="10" t="str">
        <x:v>EMP002</x:v>
      </x:c>
      <x:c r="D84" s="10" t="str">
        <x:v>CTA003</x:v>
      </x:c>
      <x:c r="E84" s="10" t="str">
        <x:v>Saída</x:v>
      </x:c>
      <x:c r="F84" s="10" t="str">
        <x:v>CAT011</x:v>
      </x:c>
      <x:c r="G84" s="10" t="str">
        <x:v>Tributos e taxas</x:v>
      </x:c>
      <x:c r="H84" s="10" t="str">
        <x:v>PAG00838</x:v>
      </x:c>
      <x:c r="I84" s="20" t="n">
        <x:v>24214.54</x:v>
      </x:c>
      <x:c r="J84" s="20" t="n">
        <x:v>-24214.54</x:v>
      </x:c>
      <x:c r="K84" s="10" t="str">
        <x:v>Realizado</x:v>
      </x:c>
      <x:c r="L84" s="10" t="str">
        <x:v>Contas a Pagar</x:v>
      </x:c>
    </x:row>
    <x:row r="85" ht="18" customHeight="1">
      <x:c r="A85" s="10" t="str">
        <x:v>MOV001635</x:v>
      </x:c>
      <x:c r="B85" s="16" t="n">
        <x:v>45365.371449502316</x:v>
      </x:c>
      <x:c r="C85" s="10" t="str">
        <x:v>EMP002</x:v>
      </x:c>
      <x:c r="D85" s="10" t="str">
        <x:v>CTA003</x:v>
      </x:c>
      <x:c r="E85" s="10" t="str">
        <x:v>Entrada</x:v>
      </x:c>
      <x:c r="F85" s="10" t="str">
        <x:v>CAT004</x:v>
      </x:c>
      <x:c r="G85" s="10" t="str">
        <x:v>Frete faturado</x:v>
      </x:c>
      <x:c r="H85" s="10" t="str">
        <x:v>REC01068</x:v>
      </x:c>
      <x:c r="I85" s="20" t="n">
        <x:v>134226.19</x:v>
      </x:c>
      <x:c r="J85" s="20" t="n">
        <x:v>134226.19</x:v>
      </x:c>
      <x:c r="K85" s="10" t="str">
        <x:v>Realizado</x:v>
      </x:c>
      <x:c r="L85" s="10" t="str">
        <x:v>Contas a Receber</x:v>
      </x:c>
    </x:row>
    <x:row r="86" ht="18" customHeight="1">
      <x:c r="A86" s="10" t="str">
        <x:v>MOV000515</x:v>
      </x:c>
      <x:c r="B86" s="16" t="n">
        <x:v>45365.58205159722</x:v>
      </x:c>
      <x:c r="C86" s="10" t="str">
        <x:v>EMP003</x:v>
      </x:c>
      <x:c r="D86" s="10" t="str">
        <x:v>CTA006</x:v>
      </x:c>
      <x:c r="E86" s="10" t="str">
        <x:v>Saída</x:v>
      </x:c>
      <x:c r="F86" s="10" t="str">
        <x:v>CAT010</x:v>
      </x:c>
      <x:c r="G86" s="10" t="str">
        <x:v>Despesa operacional</x:v>
      </x:c>
      <x:c r="H86" s="10" t="str">
        <x:v>PAG00605</x:v>
      </x:c>
      <x:c r="I86" s="20" t="n">
        <x:v>112369.05</x:v>
      </x:c>
      <x:c r="J86" s="20" t="n">
        <x:v>-112369.05</x:v>
      </x:c>
      <x:c r="K86" s="10" t="str">
        <x:v>Realizado</x:v>
      </x:c>
      <x:c r="L86" s="10" t="str">
        <x:v>Contas a Pagar</x:v>
      </x:c>
    </x:row>
    <x:row r="87" ht="18" customHeight="1">
      <x:c r="A87" s="10" t="str">
        <x:v>MOV000036</x:v>
      </x:c>
      <x:c r="B87" s="16" t="n">
        <x:v>45365.618440081016</x:v>
      </x:c>
      <x:c r="C87" s="10" t="str">
        <x:v>EMP003</x:v>
      </x:c>
      <x:c r="D87" s="10" t="str">
        <x:v>CTA006</x:v>
      </x:c>
      <x:c r="E87" s="10" t="str">
        <x:v>Saída</x:v>
      </x:c>
      <x:c r="F87" s="10" t="str">
        <x:v>CAT008</x:v>
      </x:c>
      <x:c r="G87" s="10" t="str">
        <x:v>Compra de materiais</x:v>
      </x:c>
      <x:c r="H87" s="10" t="str">
        <x:v>PAG00036</x:v>
      </x:c>
      <x:c r="I87" s="20" t="n">
        <x:v>69158.79</x:v>
      </x:c>
      <x:c r="J87" s="20" t="n">
        <x:v>-69158.79</x:v>
      </x:c>
      <x:c r="K87" s="10" t="str">
        <x:v>Realizado</x:v>
      </x:c>
      <x:c r="L87" s="10" t="str">
        <x:v>Contas a Pagar</x:v>
      </x:c>
    </x:row>
    <x:row r="88" ht="18" customHeight="1">
      <x:c r="A88" s="10" t="str">
        <x:v>MOV001491</x:v>
      </x:c>
      <x:c r="B88" s="16" t="n">
        <x:v>45365.75997737268</x:v>
      </x:c>
      <x:c r="C88" s="10" t="str">
        <x:v>EMP002</x:v>
      </x:c>
      <x:c r="D88" s="10" t="str">
        <x:v>CTA003</x:v>
      </x:c>
      <x:c r="E88" s="10" t="str">
        <x:v>Entrada</x:v>
      </x:c>
      <x:c r="F88" s="10" t="str">
        <x:v>CAT001</x:v>
      </x:c>
      <x:c r="G88" s="10" t="str">
        <x:v>Contrato mensal</x:v>
      </x:c>
      <x:c r="H88" s="10" t="str">
        <x:v>REC00895</x:v>
      </x:c>
      <x:c r="I88" s="20" t="n">
        <x:v>5988.88</x:v>
      </x:c>
      <x:c r="J88" s="20" t="n">
        <x:v>5988.88</x:v>
      </x:c>
      <x:c r="K88" s="10" t="str">
        <x:v>Realizado</x:v>
      </x:c>
      <x:c r="L88" s="10" t="str">
        <x:v>Contas a Receber</x:v>
      </x:c>
    </x:row>
    <x:row r="89" ht="18" customHeight="1">
      <x:c r="A89" s="10" t="str">
        <x:v>MOV000973</x:v>
      </x:c>
      <x:c r="B89" s="16" t="n">
        <x:v>45366.03662126158</x:v>
      </x:c>
      <x:c r="C89" s="10" t="str">
        <x:v>EMP002</x:v>
      </x:c>
      <x:c r="D89" s="10" t="str">
        <x:v>CTA004</x:v>
      </x:c>
      <x:c r="E89" s="10" t="str">
        <x:v>Entrada</x:v>
      </x:c>
      <x:c r="F89" s="10" t="str">
        <x:v>CAT003</x:v>
      </x:c>
      <x:c r="G89" s="10" t="str">
        <x:v>Prestação de serviços</x:v>
      </x:c>
      <x:c r="H89" s="10" t="str">
        <x:v>REC00265</x:v>
      </x:c>
      <x:c r="I89" s="20" t="n">
        <x:v>65949.04</x:v>
      </x:c>
      <x:c r="J89" s="20" t="n">
        <x:v>65949.04</x:v>
      </x:c>
      <x:c r="K89" s="10" t="str">
        <x:v>Realizado</x:v>
      </x:c>
      <x:c r="L89" s="10" t="str">
        <x:v>Contas a Receber</x:v>
      </x:c>
    </x:row>
    <x:row r="90" ht="18" customHeight="1">
      <x:c r="A90" s="10" t="str">
        <x:v>MOV001032</x:v>
      </x:c>
      <x:c r="B90" s="16" t="n">
        <x:v>45366.1837965625</x:v>
      </x:c>
      <x:c r="C90" s="10" t="str">
        <x:v>EMP003</x:v>
      </x:c>
      <x:c r="D90" s="10" t="str">
        <x:v>CTA005</x:v>
      </x:c>
      <x:c r="E90" s="10" t="str">
        <x:v>Entrada</x:v>
      </x:c>
      <x:c r="F90" s="10" t="str">
        <x:v>CAT001</x:v>
      </x:c>
      <x:c r="G90" s="10" t="str">
        <x:v>Prestação de serviços</x:v>
      </x:c>
      <x:c r="H90" s="10" t="str">
        <x:v>REC00338</x:v>
      </x:c>
      <x:c r="I90" s="20" t="n">
        <x:v>990.87</x:v>
      </x:c>
      <x:c r="J90" s="20" t="n">
        <x:v>990.87</x:v>
      </x:c>
      <x:c r="K90" s="10" t="str">
        <x:v>Realizado</x:v>
      </x:c>
      <x:c r="L90" s="10" t="str">
        <x:v>Contas a Receber</x:v>
      </x:c>
    </x:row>
    <x:row r="91" ht="18" customHeight="1">
      <x:c r="A91" s="10" t="str">
        <x:v>MOV001509</x:v>
      </x:c>
      <x:c r="B91" s="16" t="n">
        <x:v>45366.62918083333</x:v>
      </x:c>
      <x:c r="C91" s="10" t="str">
        <x:v>EMP002</x:v>
      </x:c>
      <x:c r="D91" s="10" t="str">
        <x:v>CTA004</x:v>
      </x:c>
      <x:c r="E91" s="10" t="str">
        <x:v>Entrada</x:v>
      </x:c>
      <x:c r="F91" s="10" t="str">
        <x:v>CAT003</x:v>
      </x:c>
      <x:c r="G91" s="10" t="str">
        <x:v>Prestação de serviços</x:v>
      </x:c>
      <x:c r="H91" s="10" t="str">
        <x:v>REC00919</x:v>
      </x:c>
      <x:c r="I91" s="20" t="n">
        <x:v>144785.74</x:v>
      </x:c>
      <x:c r="J91" s="20" t="n">
        <x:v>144785.74</x:v>
      </x:c>
      <x:c r="K91" s="10" t="str">
        <x:v>Realizado</x:v>
      </x:c>
      <x:c r="L91" s="10" t="str">
        <x:v>Contas a Receber</x:v>
      </x:c>
    </x:row>
    <x:row r="92" ht="18" customHeight="1">
      <x:c r="A92" s="10" t="str">
        <x:v>MOV001134</x:v>
      </x:c>
      <x:c r="B92" s="16" t="n">
        <x:v>45366.6430353125</x:v>
      </x:c>
      <x:c r="C92" s="10" t="str">
        <x:v>EMP002</x:v>
      </x:c>
      <x:c r="D92" s="10" t="str">
        <x:v>CTA004</x:v>
      </x:c>
      <x:c r="E92" s="10" t="str">
        <x:v>Entrada</x:v>
      </x:c>
      <x:c r="F92" s="10" t="str">
        <x:v>CAT004</x:v>
      </x:c>
      <x:c r="G92" s="10" t="str">
        <x:v>Prestação de serviços</x:v>
      </x:c>
      <x:c r="H92" s="10" t="str">
        <x:v>REC00466</x:v>
      </x:c>
      <x:c r="I92" s="20" t="n">
        <x:v>97426.83</x:v>
      </x:c>
      <x:c r="J92" s="20" t="n">
        <x:v>97426.83</x:v>
      </x:c>
      <x:c r="K92" s="10" t="str">
        <x:v>Realizado</x:v>
      </x:c>
      <x:c r="L92" s="10" t="str">
        <x:v>Contas a Receber</x:v>
      </x:c>
    </x:row>
    <x:row r="93" ht="18" customHeight="1">
      <x:c r="A93" s="10" t="str">
        <x:v>MOV000219</x:v>
      </x:c>
      <x:c r="B93" s="16" t="n">
        <x:v>45366.70089640046</x:v>
      </x:c>
      <x:c r="C93" s="10" t="str">
        <x:v>EMP003</x:v>
      </x:c>
      <x:c r="D93" s="10" t="str">
        <x:v>CTA006</x:v>
      </x:c>
      <x:c r="E93" s="10" t="str">
        <x:v>Saída</x:v>
      </x:c>
      <x:c r="F93" s="10" t="str">
        <x:v>CAT015</x:v>
      </x:c>
      <x:c r="G93" s="10" t="str">
        <x:v>Despesa operacional</x:v>
      </x:c>
      <x:c r="H93" s="10" t="str">
        <x:v>PAG00255</x:v>
      </x:c>
      <x:c r="I93" s="20" t="n">
        <x:v>68594.57</x:v>
      </x:c>
      <x:c r="J93" s="20" t="n">
        <x:v>-68594.57</x:v>
      </x:c>
      <x:c r="K93" s="10" t="str">
        <x:v>Realizado</x:v>
      </x:c>
      <x:c r="L93" s="10" t="str">
        <x:v>Contas a Pagar</x:v>
      </x:c>
    </x:row>
    <x:row r="94" ht="18" customHeight="1">
      <x:c r="A94" s="10" t="str">
        <x:v>MOV000458</x:v>
      </x:c>
      <x:c r="B94" s="16" t="n">
        <x:v>45367.01436550926</x:v>
      </x:c>
      <x:c r="C94" s="10" t="str">
        <x:v>EMP002</x:v>
      </x:c>
      <x:c r="D94" s="10" t="str">
        <x:v>CTA004</x:v>
      </x:c>
      <x:c r="E94" s="10" t="str">
        <x:v>Saída</x:v>
      </x:c>
      <x:c r="F94" s="10" t="str">
        <x:v>CAT018</x:v>
      </x:c>
      <x:c r="G94" s="10" t="str">
        <x:v>Despesa operacional</x:v>
      </x:c>
      <x:c r="H94" s="10" t="str">
        <x:v>PAG00537</x:v>
      </x:c>
      <x:c r="I94" s="20" t="n">
        <x:v>2058.29</x:v>
      </x:c>
      <x:c r="J94" s="20" t="n">
        <x:v>-2058.29</x:v>
      </x:c>
      <x:c r="K94" s="10" t="str">
        <x:v>Realizado</x:v>
      </x:c>
      <x:c r="L94" s="10" t="str">
        <x:v>Contas a Pagar</x:v>
      </x:c>
    </x:row>
    <x:row r="95" ht="18" customHeight="1">
      <x:c r="A95" s="10" t="str">
        <x:v>MOV000641</x:v>
      </x:c>
      <x:c r="B95" s="16" t="n">
        <x:v>45367.298490636575</x:v>
      </x:c>
      <x:c r="C95" s="10" t="str">
        <x:v>EMP002</x:v>
      </x:c>
      <x:c r="D95" s="10" t="str">
        <x:v>CTA003</x:v>
      </x:c>
      <x:c r="E95" s="10" t="str">
        <x:v>Saída</x:v>
      </x:c>
      <x:c r="F95" s="10" t="str">
        <x:v>CAT010</x:v>
      </x:c>
      <x:c r="G95" s="10" t="str">
        <x:v>Prestação de serviços</x:v>
      </x:c>
      <x:c r="H95" s="10" t="str">
        <x:v>PAG00759</x:v>
      </x:c>
      <x:c r="I95" s="20" t="n">
        <x:v>2758.81</x:v>
      </x:c>
      <x:c r="J95" s="20" t="n">
        <x:v>-2758.81</x:v>
      </x:c>
      <x:c r="K95" s="10" t="str">
        <x:v>Realizado</x:v>
      </x:c>
      <x:c r="L95" s="10" t="str">
        <x:v>Contas a Pagar</x:v>
      </x:c>
    </x:row>
    <x:row r="96" ht="18" customHeight="1">
      <x:c r="A96" s="10" t="str">
        <x:v>MOV000405</x:v>
      </x:c>
      <x:c r="B96" s="16" t="n">
        <x:v>45367.58278729166</x:v>
      </x:c>
      <x:c r="C96" s="10" t="str">
        <x:v>EMP003</x:v>
      </x:c>
      <x:c r="D96" s="10" t="str">
        <x:v>CTA005</x:v>
      </x:c>
      <x:c r="E96" s="10" t="str">
        <x:v>Saída</x:v>
      </x:c>
      <x:c r="F96" s="10" t="str">
        <x:v>CAT016</x:v>
      </x:c>
      <x:c r="G96" s="10" t="str">
        <x:v>Compra de materiais</x:v>
      </x:c>
      <x:c r="H96" s="10" t="str">
        <x:v>PAG00472</x:v>
      </x:c>
      <x:c r="I96" s="20" t="n">
        <x:v>86860.88</x:v>
      </x:c>
      <x:c r="J96" s="20" t="n">
        <x:v>-86860.88</x:v>
      </x:c>
      <x:c r="K96" s="10" t="str">
        <x:v>Realizado</x:v>
      </x:c>
      <x:c r="L96" s="10" t="str">
        <x:v>Contas a Pagar</x:v>
      </x:c>
    </x:row>
    <x:row r="97" ht="18" customHeight="1">
      <x:c r="A97" s="10" t="str">
        <x:v>MOV000128</x:v>
      </x:c>
      <x:c r="B97" s="16" t="n">
        <x:v>45367.58473763889</x:v>
      </x:c>
      <x:c r="C97" s="10" t="str">
        <x:v>EMP003</x:v>
      </x:c>
      <x:c r="D97" s="10" t="str">
        <x:v>CTA005</x:v>
      </x:c>
      <x:c r="E97" s="10" t="str">
        <x:v>Saída</x:v>
      </x:c>
      <x:c r="F97" s="10" t="str">
        <x:v>CAT007</x:v>
      </x:c>
      <x:c r="G97" s="10" t="str">
        <x:v>Prestação de serviços</x:v>
      </x:c>
      <x:c r="H97" s="10" t="str">
        <x:v>PAG00148</x:v>
      </x:c>
      <x:c r="I97" s="20" t="n">
        <x:v>89414.71</x:v>
      </x:c>
      <x:c r="J97" s="20" t="n">
        <x:v>-89414.71</x:v>
      </x:c>
      <x:c r="K97" s="10" t="str">
        <x:v>Realizado</x:v>
      </x:c>
      <x:c r="L97" s="10" t="str">
        <x:v>Contas a Pagar</x:v>
      </x:c>
    </x:row>
    <x:row r="98" ht="18" customHeight="1">
      <x:c r="A98" s="10" t="str">
        <x:v>MOV000115</x:v>
      </x:c>
      <x:c r="B98" s="16" t="n">
        <x:v>45368.52996421296</x:v>
      </x:c>
      <x:c r="C98" s="10" t="str">
        <x:v>EMP003</x:v>
      </x:c>
      <x:c r="D98" s="10" t="str">
        <x:v>CTA006</x:v>
      </x:c>
      <x:c r="E98" s="10" t="str">
        <x:v>Saída</x:v>
      </x:c>
      <x:c r="F98" s="10" t="str">
        <x:v>CAT009</x:v>
      </x:c>
      <x:c r="G98" s="10" t="str">
        <x:v>Despesa operacional</x:v>
      </x:c>
      <x:c r="H98" s="10" t="str">
        <x:v>PAG00134</x:v>
      </x:c>
      <x:c r="I98" s="20" t="n">
        <x:v>55147.09</x:v>
      </x:c>
      <x:c r="J98" s="20" t="n">
        <x:v>-55147.09</x:v>
      </x:c>
      <x:c r="K98" s="10" t="str">
        <x:v>Realizado</x:v>
      </x:c>
      <x:c r="L98" s="10" t="str">
        <x:v>Contas a Pagar</x:v>
      </x:c>
    </x:row>
    <x:row r="99" ht="18" customHeight="1">
      <x:c r="A99" s="10" t="str">
        <x:v>MOV000659</x:v>
      </x:c>
      <x:c r="B99" s="16" t="n">
        <x:v>45369.27879285879</x:v>
      </x:c>
      <x:c r="C99" s="10" t="str">
        <x:v>EMP003</x:v>
      </x:c>
      <x:c r="D99" s="10" t="str">
        <x:v>CTA005</x:v>
      </x:c>
      <x:c r="E99" s="10" t="str">
        <x:v>Saída</x:v>
      </x:c>
      <x:c r="F99" s="10" t="str">
        <x:v>CAT008</x:v>
      </x:c>
      <x:c r="G99" s="10" t="str">
        <x:v>Contrato recorrente</x:v>
      </x:c>
      <x:c r="H99" s="10" t="str">
        <x:v>PAG00783</x:v>
      </x:c>
      <x:c r="I99" s="20" t="n">
        <x:v>4318.12</x:v>
      </x:c>
      <x:c r="J99" s="20" t="n">
        <x:v>-4318.12</x:v>
      </x:c>
      <x:c r="K99" s="10" t="str">
        <x:v>Realizado</x:v>
      </x:c>
      <x:c r="L99" s="10" t="str">
        <x:v>Contas a Pagar</x:v>
      </x:c>
    </x:row>
    <x:row r="100" ht="18" customHeight="1">
      <x:c r="A100" s="10" t="str">
        <x:v>MOV001371</x:v>
      </x:c>
      <x:c r="B100" s="16" t="n">
        <x:v>45369.326619444444</x:v>
      </x:c>
      <x:c r="C100" s="10" t="str">
        <x:v>EMP002</x:v>
      </x:c>
      <x:c r="D100" s="10" t="str">
        <x:v>CTA004</x:v>
      </x:c>
      <x:c r="E100" s="10" t="str">
        <x:v>Entrada</x:v>
      </x:c>
      <x:c r="F100" s="10" t="str">
        <x:v>CAT002</x:v>
      </x:c>
      <x:c r="G100" s="10" t="str">
        <x:v>Venda de produtos</x:v>
      </x:c>
      <x:c r="H100" s="10" t="str">
        <x:v>REC00741</x:v>
      </x:c>
      <x:c r="I100" s="20" t="n">
        <x:v>2411.65</x:v>
      </x:c>
      <x:c r="J100" s="20" t="n">
        <x:v>2411.65</x:v>
      </x:c>
      <x:c r="K100" s="10" t="str">
        <x:v>Realizado</x:v>
      </x:c>
      <x:c r="L100" s="10" t="str">
        <x:v>Contas a Receber</x:v>
      </x:c>
    </x:row>
    <x:row r="101" ht="18" customHeight="1">
      <x:c r="A101" s="10" t="str">
        <x:v>MOV000326</x:v>
      </x:c>
      <x:c r="B101" s="16" t="n">
        <x:v>45369.79942494213</x:v>
      </x:c>
      <x:c r="C101" s="10" t="str">
        <x:v>EMP001</x:v>
      </x:c>
      <x:c r="D101" s="10" t="str">
        <x:v>CTA002</x:v>
      </x:c>
      <x:c r="E101" s="10" t="str">
        <x:v>Saída</x:v>
      </x:c>
      <x:c r="F101" s="10" t="str">
        <x:v>CAT009</x:v>
      </x:c>
      <x:c r="G101" s="10" t="str">
        <x:v>Despesa operacional</x:v>
      </x:c>
      <x:c r="H101" s="10" t="str">
        <x:v>PAG00379</x:v>
      </x:c>
      <x:c r="I101" s="20" t="n">
        <x:v>1623.88</x:v>
      </x:c>
      <x:c r="J101" s="20" t="n">
        <x:v>-1623.88</x:v>
      </x:c>
      <x:c r="K101" s="10" t="str">
        <x:v>Realizado</x:v>
      </x:c>
      <x:c r="L101" s="10" t="str">
        <x:v>Contas a Pagar</x:v>
      </x:c>
    </x:row>
    <x:row r="102" ht="18" customHeight="1">
      <x:c r="A102" s="10" t="str">
        <x:v>MOV000717</x:v>
      </x:c>
      <x:c r="B102" s="16" t="n">
        <x:v>45369.87161033565</x:v>
      </x:c>
      <x:c r="C102" s="10" t="str">
        <x:v>EMP003</x:v>
      </x:c>
      <x:c r="D102" s="10" t="str">
        <x:v>CTA006</x:v>
      </x:c>
      <x:c r="E102" s="10" t="str">
        <x:v>Saída</x:v>
      </x:c>
      <x:c r="F102" s="10" t="str">
        <x:v>CAT005</x:v>
      </x:c>
      <x:c r="G102" s="10" t="str">
        <x:v>Compra de materiais</x:v>
      </x:c>
      <x:c r="H102" s="10" t="str">
        <x:v>PAG00851</x:v>
      </x:c>
      <x:c r="I102" s="20" t="n">
        <x:v>1112.4</x:v>
      </x:c>
      <x:c r="J102" s="20" t="n">
        <x:v>-1112.4</x:v>
      </x:c>
      <x:c r="K102" s="10" t="str">
        <x:v>Realizado</x:v>
      </x:c>
      <x:c r="L102" s="10" t="str">
        <x:v>Contas a Pagar</x:v>
      </x:c>
    </x:row>
    <x:row r="103" ht="18" customHeight="1">
      <x:c r="A103" s="10" t="str">
        <x:v>MOV001318</x:v>
      </x:c>
      <x:c r="B103" s="16" t="n">
        <x:v>45369.926368229164</x:v>
      </x:c>
      <x:c r="C103" s="10" t="str">
        <x:v>EMP002</x:v>
      </x:c>
      <x:c r="D103" s="10" t="str">
        <x:v>CTA004</x:v>
      </x:c>
      <x:c r="E103" s="10" t="str">
        <x:v>Entrada</x:v>
      </x:c>
      <x:c r="F103" s="10" t="str">
        <x:v>CAT003</x:v>
      </x:c>
      <x:c r="G103" s="10" t="str">
        <x:v>Venda de produtos</x:v>
      </x:c>
      <x:c r="H103" s="10" t="str">
        <x:v>REC00681</x:v>
      </x:c>
      <x:c r="I103" s="20" t="n">
        <x:v>137668</x:v>
      </x:c>
      <x:c r="J103" s="20" t="n">
        <x:v>137668</x:v>
      </x:c>
      <x:c r="K103" s="10" t="str">
        <x:v>Realizado</x:v>
      </x:c>
      <x:c r="L103" s="10" t="str">
        <x:v>Contas a Receber</x:v>
      </x:c>
    </x:row>
    <x:row r="104" ht="18" customHeight="1">
      <x:c r="A104" s="10" t="str">
        <x:v>MOV000585</x:v>
      </x:c>
      <x:c r="B104" s="16" t="n">
        <x:v>45370.06250068287</x:v>
      </x:c>
      <x:c r="C104" s="10" t="str">
        <x:v>EMP002</x:v>
      </x:c>
      <x:c r="D104" s="10" t="str">
        <x:v>CTA004</x:v>
      </x:c>
      <x:c r="E104" s="10" t="str">
        <x:v>Saída</x:v>
      </x:c>
      <x:c r="F104" s="10" t="str">
        <x:v>CAT017</x:v>
      </x:c>
      <x:c r="G104" s="10" t="str">
        <x:v>Tributos e taxas</x:v>
      </x:c>
      <x:c r="H104" s="10" t="str">
        <x:v>PAG00688</x:v>
      </x:c>
      <x:c r="I104" s="20" t="n">
        <x:v>2491.46</x:v>
      </x:c>
      <x:c r="J104" s="20" t="n">
        <x:v>-2491.46</x:v>
      </x:c>
      <x:c r="K104" s="10" t="str">
        <x:v>Realizado</x:v>
      </x:c>
      <x:c r="L104" s="10" t="str">
        <x:v>Contas a Pagar</x:v>
      </x:c>
    </x:row>
    <x:row r="105" ht="18" customHeight="1">
      <x:c r="A105" s="10" t="str">
        <x:v>MOV000274</x:v>
      </x:c>
      <x:c r="B105" s="16" t="n">
        <x:v>45370.675826238425</x:v>
      </x:c>
      <x:c r="C105" s="10" t="str">
        <x:v>EMP001</x:v>
      </x:c>
      <x:c r="D105" s="10" t="str">
        <x:v>CTA001</x:v>
      </x:c>
      <x:c r="E105" s="10" t="str">
        <x:v>Saída</x:v>
      </x:c>
      <x:c r="F105" s="10" t="str">
        <x:v>CAT010</x:v>
      </x:c>
      <x:c r="G105" s="10" t="str">
        <x:v>Tributos e taxas</x:v>
      </x:c>
      <x:c r="H105" s="10" t="str">
        <x:v>PAG00318</x:v>
      </x:c>
      <x:c r="I105" s="20" t="n">
        <x:v>9472.45</x:v>
      </x:c>
      <x:c r="J105" s="20" t="n">
        <x:v>-9472.45</x:v>
      </x:c>
      <x:c r="K105" s="10" t="str">
        <x:v>Realizado</x:v>
      </x:c>
      <x:c r="L105" s="10" t="str">
        <x:v>Contas a Pagar</x:v>
      </x:c>
    </x:row>
    <x:row r="106" ht="18" customHeight="1">
      <x:c r="A106" s="10" t="str">
        <x:v>MOV001065</x:v>
      </x:c>
      <x:c r="B106" s="16" t="n">
        <x:v>45370.76302372685</x:v>
      </x:c>
      <x:c r="C106" s="10" t="str">
        <x:v>EMP003</x:v>
      </x:c>
      <x:c r="D106" s="10" t="str">
        <x:v>CTA005</x:v>
      </x:c>
      <x:c r="E106" s="10" t="str">
        <x:v>Entrada</x:v>
      </x:c>
      <x:c r="F106" s="10" t="str">
        <x:v>CAT004</x:v>
      </x:c>
      <x:c r="G106" s="10" t="str">
        <x:v>Prestação de serviços</x:v>
      </x:c>
      <x:c r="H106" s="10" t="str">
        <x:v>REC00383</x:v>
      </x:c>
      <x:c r="I106" s="20" t="n">
        <x:v>7830.2</x:v>
      </x:c>
      <x:c r="J106" s="20" t="n">
        <x:v>7830.2</x:v>
      </x:c>
      <x:c r="K106" s="10" t="str">
        <x:v>Realizado</x:v>
      </x:c>
      <x:c r="L106" s="10" t="str">
        <x:v>Contas a Receber</x:v>
      </x:c>
    </x:row>
    <x:row r="107" ht="18" customHeight="1">
      <x:c r="A107" s="10" t="str">
        <x:v>MOV000941</x:v>
      </x:c>
      <x:c r="B107" s="16" t="n">
        <x:v>45371.022983090275</x:v>
      </x:c>
      <x:c r="C107" s="10" t="str">
        <x:v>EMP002</x:v>
      </x:c>
      <x:c r="D107" s="10" t="str">
        <x:v>CTA003</x:v>
      </x:c>
      <x:c r="E107" s="10" t="str">
        <x:v>Entrada</x:v>
      </x:c>
      <x:c r="F107" s="10" t="str">
        <x:v>CAT002</x:v>
      </x:c>
      <x:c r="G107" s="10" t="str">
        <x:v>Frete faturado</x:v>
      </x:c>
      <x:c r="H107" s="10" t="str">
        <x:v>REC00222</x:v>
      </x:c>
      <x:c r="I107" s="20" t="n">
        <x:v>9986.74</x:v>
      </x:c>
      <x:c r="J107" s="20" t="n">
        <x:v>9986.74</x:v>
      </x:c>
      <x:c r="K107" s="10" t="str">
        <x:v>Realizado</x:v>
      </x:c>
      <x:c r="L107" s="10" t="str">
        <x:v>Contas a Receber</x:v>
      </x:c>
    </x:row>
    <x:row r="108" ht="18" customHeight="1">
      <x:c r="A108" s="10" t="str">
        <x:v>MOV000279</x:v>
      </x:c>
      <x:c r="B108" s="16" t="n">
        <x:v>45372.9228515162</x:v>
      </x:c>
      <x:c r="C108" s="10" t="str">
        <x:v>EMP003</x:v>
      </x:c>
      <x:c r="D108" s="10" t="str">
        <x:v>CTA006</x:v>
      </x:c>
      <x:c r="E108" s="10" t="str">
        <x:v>Saída</x:v>
      </x:c>
      <x:c r="F108" s="10" t="str">
        <x:v>CAT006</x:v>
      </x:c>
      <x:c r="G108" s="10" t="str">
        <x:v>Contrato recorrente</x:v>
      </x:c>
      <x:c r="H108" s="10" t="str">
        <x:v>PAG00324</x:v>
      </x:c>
      <x:c r="I108" s="20" t="n">
        <x:v>46999.51</x:v>
      </x:c>
      <x:c r="J108" s="20" t="n">
        <x:v>-46999.51</x:v>
      </x:c>
      <x:c r="K108" s="10" t="str">
        <x:v>Realizado</x:v>
      </x:c>
      <x:c r="L108" s="10" t="str">
        <x:v>Contas a Pagar</x:v>
      </x:c>
    </x:row>
    <x:row r="109" ht="18" customHeight="1">
      <x:c r="A109" s="10" t="str">
        <x:v>MOV001328</x:v>
      </x:c>
      <x:c r="B109" s="16" t="n">
        <x:v>45373.01191988426</x:v>
      </x:c>
      <x:c r="C109" s="10" t="str">
        <x:v>EMP003</x:v>
      </x:c>
      <x:c r="D109" s="10" t="str">
        <x:v>CTA005</x:v>
      </x:c>
      <x:c r="E109" s="10" t="str">
        <x:v>Entrada</x:v>
      </x:c>
      <x:c r="F109" s="10" t="str">
        <x:v>CAT004</x:v>
      </x:c>
      <x:c r="G109" s="10" t="str">
        <x:v>Venda de produtos</x:v>
      </x:c>
      <x:c r="H109" s="10" t="str">
        <x:v>REC00692</x:v>
      </x:c>
      <x:c r="I109" s="20" t="n">
        <x:v>90202.51</x:v>
      </x:c>
      <x:c r="J109" s="20" t="n">
        <x:v>90202.51</x:v>
      </x:c>
      <x:c r="K109" s="10" t="str">
        <x:v>Realizado</x:v>
      </x:c>
      <x:c r="L109" s="10" t="str">
        <x:v>Contas a Receber</x:v>
      </x:c>
    </x:row>
    <x:row r="110" ht="18" customHeight="1">
      <x:c r="A110" s="10" t="str">
        <x:v>MOV000927</x:v>
      </x:c>
      <x:c r="B110" s="16" t="n">
        <x:v>45374.07065109954</x:v>
      </x:c>
      <x:c r="C110" s="10" t="str">
        <x:v>EMP001</x:v>
      </x:c>
      <x:c r="D110" s="10" t="str">
        <x:v>CTA001</x:v>
      </x:c>
      <x:c r="E110" s="10" t="str">
        <x:v>Entrada</x:v>
      </x:c>
      <x:c r="F110" s="10" t="str">
        <x:v>CAT002</x:v>
      </x:c>
      <x:c r="G110" s="10" t="str">
        <x:v>Projeto especial</x:v>
      </x:c>
      <x:c r="H110" s="10" t="str">
        <x:v>REC00205</x:v>
      </x:c>
      <x:c r="I110" s="20" t="n">
        <x:v>66602.11</x:v>
      </x:c>
      <x:c r="J110" s="20" t="n">
        <x:v>66602.11</x:v>
      </x:c>
      <x:c r="K110" s="10" t="str">
        <x:v>Realizado</x:v>
      </x:c>
      <x:c r="L110" s="10" t="str">
        <x:v>Contas a Receber</x:v>
      </x:c>
    </x:row>
    <x:row r="111" ht="18" customHeight="1">
      <x:c r="A111" s="10" t="str">
        <x:v>MOV000741</x:v>
      </x:c>
      <x:c r="B111" s="16" t="n">
        <x:v>45374.447582465276</x:v>
      </x:c>
      <x:c r="C111" s="10" t="str">
        <x:v>EMP002</x:v>
      </x:c>
      <x:c r="D111" s="10" t="str">
        <x:v>CTA004</x:v>
      </x:c>
      <x:c r="E111" s="10" t="str">
        <x:v>Saída</x:v>
      </x:c>
      <x:c r="F111" s="10" t="str">
        <x:v>CAT017</x:v>
      </x:c>
      <x:c r="G111" s="10" t="str">
        <x:v>Compra de materiais</x:v>
      </x:c>
      <x:c r="H111" s="10" t="str">
        <x:v>PAG00881</x:v>
      </x:c>
      <x:c r="I111" s="20" t="n">
        <x:v>62187.89</x:v>
      </x:c>
      <x:c r="J111" s="20" t="n">
        <x:v>-62187.89</x:v>
      </x:c>
      <x:c r="K111" s="10" t="str">
        <x:v>Realizado</x:v>
      </x:c>
      <x:c r="L111" s="10" t="str">
        <x:v>Contas a Pagar</x:v>
      </x:c>
    </x:row>
    <x:row r="112" ht="18" customHeight="1">
      <x:c r="A112" s="10" t="str">
        <x:v>MOV001168</x:v>
      </x:c>
      <x:c r="B112" s="16" t="n">
        <x:v>45374.93983811342</x:v>
      </x:c>
      <x:c r="C112" s="10" t="str">
        <x:v>EMP002</x:v>
      </x:c>
      <x:c r="D112" s="10" t="str">
        <x:v>CTA004</x:v>
      </x:c>
      <x:c r="E112" s="10" t="str">
        <x:v>Entrada</x:v>
      </x:c>
      <x:c r="F112" s="10" t="str">
        <x:v>CAT003</x:v>
      </x:c>
      <x:c r="G112" s="10" t="str">
        <x:v>Frete faturado</x:v>
      </x:c>
      <x:c r="H112" s="10" t="str">
        <x:v>REC00502</x:v>
      </x:c>
      <x:c r="I112" s="20" t="n">
        <x:v>96112.31</x:v>
      </x:c>
      <x:c r="J112" s="20" t="n">
        <x:v>96112.31</x:v>
      </x:c>
      <x:c r="K112" s="10" t="str">
        <x:v>Realizado</x:v>
      </x:c>
      <x:c r="L112" s="10" t="str">
        <x:v>Contas a Receber</x:v>
      </x:c>
    </x:row>
    <x:row r="113" ht="18" customHeight="1">
      <x:c r="A113" s="10" t="str">
        <x:v>MOV000823</x:v>
      </x:c>
      <x:c r="B113" s="16" t="n">
        <x:v>45375.5494866088</x:v>
      </x:c>
      <x:c r="C113" s="10" t="str">
        <x:v>EMP001</x:v>
      </x:c>
      <x:c r="D113" s="10" t="str">
        <x:v>CTA002</x:v>
      </x:c>
      <x:c r="E113" s="10" t="str">
        <x:v>Entrada</x:v>
      </x:c>
      <x:c r="F113" s="10" t="str">
        <x:v>CAT003</x:v>
      </x:c>
      <x:c r="G113" s="10" t="str">
        <x:v>Frete faturado</x:v>
      </x:c>
      <x:c r="H113" s="10" t="str">
        <x:v>REC00085</x:v>
      </x:c>
      <x:c r="I113" s="20" t="n">
        <x:v>53541.71</x:v>
      </x:c>
      <x:c r="J113" s="20" t="n">
        <x:v>53541.71</x:v>
      </x:c>
      <x:c r="K113" s="10" t="str">
        <x:v>Realizado</x:v>
      </x:c>
      <x:c r="L113" s="10" t="str">
        <x:v>Contas a Receber</x:v>
      </x:c>
    </x:row>
    <x:row r="114" ht="18" customHeight="1">
      <x:c r="A114" s="10" t="str">
        <x:v>MOV000165</x:v>
      </x:c>
      <x:c r="B114" s="16" t="n">
        <x:v>45376.29514206018</x:v>
      </x:c>
      <x:c r="C114" s="10" t="str">
        <x:v>EMP002</x:v>
      </x:c>
      <x:c r="D114" s="10" t="str">
        <x:v>CTA004</x:v>
      </x:c>
      <x:c r="E114" s="10" t="str">
        <x:v>Saída</x:v>
      </x:c>
      <x:c r="F114" s="10" t="str">
        <x:v>CAT007</x:v>
      </x:c>
      <x:c r="G114" s="10" t="str">
        <x:v>Tributos e taxas</x:v>
      </x:c>
      <x:c r="H114" s="10" t="str">
        <x:v>PAG00194</x:v>
      </x:c>
      <x:c r="I114" s="20" t="n">
        <x:v>10070.1</x:v>
      </x:c>
      <x:c r="J114" s="20" t="n">
        <x:v>-10070.1</x:v>
      </x:c>
      <x:c r="K114" s="10" t="str">
        <x:v>Realizado</x:v>
      </x:c>
      <x:c r="L114" s="10" t="str">
        <x:v>Contas a Pagar</x:v>
      </x:c>
    </x:row>
    <x:row r="115" ht="18" customHeight="1">
      <x:c r="A115" s="10" t="str">
        <x:v>MOV000296</x:v>
      </x:c>
      <x:c r="B115" s="16" t="n">
        <x:v>45376.60575782407</x:v>
      </x:c>
      <x:c r="C115" s="10" t="str">
        <x:v>EMP002</x:v>
      </x:c>
      <x:c r="D115" s="10" t="str">
        <x:v>CTA003</x:v>
      </x:c>
      <x:c r="E115" s="10" t="str">
        <x:v>Saída</x:v>
      </x:c>
      <x:c r="F115" s="10" t="str">
        <x:v>CAT009</x:v>
      </x:c>
      <x:c r="G115" s="10" t="str">
        <x:v>Compra de materiais</x:v>
      </x:c>
      <x:c r="H115" s="10" t="str">
        <x:v>PAG00344</x:v>
      </x:c>
      <x:c r="I115" s="20" t="n">
        <x:v>4778.27</x:v>
      </x:c>
      <x:c r="J115" s="20" t="n">
        <x:v>-4778.27</x:v>
      </x:c>
      <x:c r="K115" s="10" t="str">
        <x:v>Realizado</x:v>
      </x:c>
      <x:c r="L115" s="10" t="str">
        <x:v>Contas a Pagar</x:v>
      </x:c>
    </x:row>
    <x:row r="116" ht="18" customHeight="1">
      <x:c r="A116" s="10" t="str">
        <x:v>MOV000180</x:v>
      </x:c>
      <x:c r="B116" s="16" t="n">
        <x:v>45376.73331996528</x:v>
      </x:c>
      <x:c r="C116" s="10" t="str">
        <x:v>EMP003</x:v>
      </x:c>
      <x:c r="D116" s="10" t="str">
        <x:v>CTA005</x:v>
      </x:c>
      <x:c r="E116" s="10" t="str">
        <x:v>Saída</x:v>
      </x:c>
      <x:c r="F116" s="10" t="str">
        <x:v>CAT014</x:v>
      </x:c>
      <x:c r="G116" s="10" t="str">
        <x:v>Despesa operacional</x:v>
      </x:c>
      <x:c r="H116" s="10" t="str">
        <x:v>PAG00211</x:v>
      </x:c>
      <x:c r="I116" s="20" t="n">
        <x:v>73339.1</x:v>
      </x:c>
      <x:c r="J116" s="20" t="n">
        <x:v>-73339.1</x:v>
      </x:c>
      <x:c r="K116" s="10" t="str">
        <x:v>Realizado</x:v>
      </x:c>
      <x:c r="L116" s="10" t="str">
        <x:v>Contas a Pagar</x:v>
      </x:c>
    </x:row>
    <x:row r="117" ht="18" customHeight="1">
      <x:c r="A117" s="10" t="str">
        <x:v>MOV001252</x:v>
      </x:c>
      <x:c r="B117" s="16" t="n">
        <x:v>45376.762055914354</x:v>
      </x:c>
      <x:c r="C117" s="10" t="str">
        <x:v>EMP001</x:v>
      </x:c>
      <x:c r="D117" s="10" t="str">
        <x:v>CTA002</x:v>
      </x:c>
      <x:c r="E117" s="10" t="str">
        <x:v>Entrada</x:v>
      </x:c>
      <x:c r="F117" s="10" t="str">
        <x:v>CAT001</x:v>
      </x:c>
      <x:c r="G117" s="10" t="str">
        <x:v>Frete faturado</x:v>
      </x:c>
      <x:c r="H117" s="10" t="str">
        <x:v>REC00606</x:v>
      </x:c>
      <x:c r="I117" s="20" t="n">
        <x:v>11576.95</x:v>
      </x:c>
      <x:c r="J117" s="20" t="n">
        <x:v>11576.95</x:v>
      </x:c>
      <x:c r="K117" s="10" t="str">
        <x:v>Realizado</x:v>
      </x:c>
      <x:c r="L117" s="10" t="str">
        <x:v>Contas a Receber</x:v>
      </x:c>
    </x:row>
    <x:row r="118" ht="18" customHeight="1">
      <x:c r="A118" s="10" t="str">
        <x:v>MOV001295</x:v>
      </x:c>
      <x:c r="B118" s="16" t="n">
        <x:v>45377.21310709491</x:v>
      </x:c>
      <x:c r="C118" s="10" t="str">
        <x:v>EMP002</x:v>
      </x:c>
      <x:c r="D118" s="10" t="str">
        <x:v>CTA003</x:v>
      </x:c>
      <x:c r="E118" s="10" t="str">
        <x:v>Entrada</x:v>
      </x:c>
      <x:c r="F118" s="10" t="str">
        <x:v>CAT001</x:v>
      </x:c>
      <x:c r="G118" s="10" t="str">
        <x:v>Contrato mensal</x:v>
      </x:c>
      <x:c r="H118" s="10" t="str">
        <x:v>REC00657</x:v>
      </x:c>
      <x:c r="I118" s="20" t="n">
        <x:v>14363.84</x:v>
      </x:c>
      <x:c r="J118" s="20" t="n">
        <x:v>14363.84</x:v>
      </x:c>
      <x:c r="K118" s="10" t="str">
        <x:v>Realizado</x:v>
      </x:c>
      <x:c r="L118" s="10" t="str">
        <x:v>Contas a Receber</x:v>
      </x:c>
    </x:row>
    <x:row r="119" ht="18" customHeight="1">
      <x:c r="A119" s="10" t="str">
        <x:v>MOV001480</x:v>
      </x:c>
      <x:c r="B119" s="16" t="n">
        <x:v>45378.95838266204</x:v>
      </x:c>
      <x:c r="C119" s="10" t="str">
        <x:v>EMP001</x:v>
      </x:c>
      <x:c r="D119" s="10" t="str">
        <x:v>CTA002</x:v>
      </x:c>
      <x:c r="E119" s="10" t="str">
        <x:v>Entrada</x:v>
      </x:c>
      <x:c r="F119" s="10" t="str">
        <x:v>CAT001</x:v>
      </x:c>
      <x:c r="G119" s="10" t="str">
        <x:v>Frete faturado</x:v>
      </x:c>
      <x:c r="H119" s="10" t="str">
        <x:v>REC00880</x:v>
      </x:c>
      <x:c r="I119" s="20" t="n">
        <x:v>84628.93</x:v>
      </x:c>
      <x:c r="J119" s="20" t="n">
        <x:v>84628.93</x:v>
      </x:c>
      <x:c r="K119" s="10" t="str">
        <x:v>Realizado</x:v>
      </x:c>
      <x:c r="L119" s="10" t="str">
        <x:v>Contas a Receber</x:v>
      </x:c>
    </x:row>
    <x:row r="120" ht="18" customHeight="1">
      <x:c r="A120" s="10" t="str">
        <x:v>MOV000501</x:v>
      </x:c>
      <x:c r="B120" s="16" t="n">
        <x:v>45379.561745949075</x:v>
      </x:c>
      <x:c r="C120" s="10" t="str">
        <x:v>EMP003</x:v>
      </x:c>
      <x:c r="D120" s="10" t="str">
        <x:v>CTA005</x:v>
      </x:c>
      <x:c r="E120" s="10" t="str">
        <x:v>Saída</x:v>
      </x:c>
      <x:c r="F120" s="10" t="str">
        <x:v>CAT008</x:v>
      </x:c>
      <x:c r="G120" s="10" t="str">
        <x:v>Tributos e taxas</x:v>
      </x:c>
      <x:c r="H120" s="10" t="str">
        <x:v>PAG00590</x:v>
      </x:c>
      <x:c r="I120" s="20" t="n">
        <x:v>113114.81</x:v>
      </x:c>
      <x:c r="J120" s="20" t="n">
        <x:v>-113114.81</x:v>
      </x:c>
      <x:c r="K120" s="10" t="str">
        <x:v>Realizado</x:v>
      </x:c>
      <x:c r="L120" s="10" t="str">
        <x:v>Contas a Pagar</x:v>
      </x:c>
    </x:row>
    <x:row r="121" ht="18" customHeight="1">
      <x:c r="A121" s="10" t="str">
        <x:v>MOV000046</x:v>
      </x:c>
      <x:c r="B121" s="16" t="n">
        <x:v>45379.859719837965</x:v>
      </x:c>
      <x:c r="C121" s="10" t="str">
        <x:v>EMP001</x:v>
      </x:c>
      <x:c r="D121" s="10" t="str">
        <x:v>CTA002</x:v>
      </x:c>
      <x:c r="E121" s="10" t="str">
        <x:v>Saída</x:v>
      </x:c>
      <x:c r="F121" s="10" t="str">
        <x:v>CAT009</x:v>
      </x:c>
      <x:c r="G121" s="10" t="str">
        <x:v>Tributos e taxas</x:v>
      </x:c>
      <x:c r="H121" s="10" t="str">
        <x:v>PAG00046</x:v>
      </x:c>
      <x:c r="I121" s="20" t="n">
        <x:v>744.39</x:v>
      </x:c>
      <x:c r="J121" s="20" t="n">
        <x:v>-744.39</x:v>
      </x:c>
      <x:c r="K121" s="10" t="str">
        <x:v>Realizado</x:v>
      </x:c>
      <x:c r="L121" s="10" t="str">
        <x:v>Contas a Pagar</x:v>
      </x:c>
    </x:row>
    <x:row r="122" ht="18" customHeight="1">
      <x:c r="A122" s="10" t="str">
        <x:v>MOV000166</x:v>
      </x:c>
      <x:c r="B122" s="16" t="n">
        <x:v>45380.185211006945</x:v>
      </x:c>
      <x:c r="C122" s="10" t="str">
        <x:v>EMP002</x:v>
      </x:c>
      <x:c r="D122" s="10" t="str">
        <x:v>CTA004</x:v>
      </x:c>
      <x:c r="E122" s="10" t="str">
        <x:v>Saída</x:v>
      </x:c>
      <x:c r="F122" s="10" t="str">
        <x:v>CAT017</x:v>
      </x:c>
      <x:c r="G122" s="10" t="str">
        <x:v>Tributos e taxas</x:v>
      </x:c>
      <x:c r="H122" s="10" t="str">
        <x:v>PAG00195</x:v>
      </x:c>
      <x:c r="I122" s="20" t="n">
        <x:v>3378.65</x:v>
      </x:c>
      <x:c r="J122" s="20" t="n">
        <x:v>-3378.65</x:v>
      </x:c>
      <x:c r="K122" s="10" t="str">
        <x:v>Realizado</x:v>
      </x:c>
      <x:c r="L122" s="10" t="str">
        <x:v>Contas a Pagar</x:v>
      </x:c>
    </x:row>
    <x:row r="123" ht="18" customHeight="1">
      <x:c r="A123" s="10" t="str">
        <x:v>MOV001314</x:v>
      </x:c>
      <x:c r="B123" s="16" t="n">
        <x:v>45380.263948912034</x:v>
      </x:c>
      <x:c r="C123" s="10" t="str">
        <x:v>EMP001</x:v>
      </x:c>
      <x:c r="D123" s="10" t="str">
        <x:v>CTA001</x:v>
      </x:c>
      <x:c r="E123" s="10" t="str">
        <x:v>Entrada</x:v>
      </x:c>
      <x:c r="F123" s="10" t="str">
        <x:v>CAT004</x:v>
      </x:c>
      <x:c r="G123" s="10" t="str">
        <x:v>Venda de produtos</x:v>
      </x:c>
      <x:c r="H123" s="10" t="str">
        <x:v>REC00677</x:v>
      </x:c>
      <x:c r="I123" s="20" t="n">
        <x:v>11562.06</x:v>
      </x:c>
      <x:c r="J123" s="20" t="n">
        <x:v>11562.06</x:v>
      </x:c>
      <x:c r="K123" s="10" t="str">
        <x:v>Realizado</x:v>
      </x:c>
      <x:c r="L123" s="10" t="str">
        <x:v>Contas a Receber</x:v>
      </x:c>
    </x:row>
    <x:row r="124" ht="18" customHeight="1">
      <x:c r="A124" s="10" t="str">
        <x:v>MOV000355</x:v>
      </x:c>
      <x:c r="B124" s="16" t="n">
        <x:v>45380.79731763889</x:v>
      </x:c>
      <x:c r="C124" s="10" t="str">
        <x:v>EMP002</x:v>
      </x:c>
      <x:c r="D124" s="10" t="str">
        <x:v>CTA003</x:v>
      </x:c>
      <x:c r="E124" s="10" t="str">
        <x:v>Saída</x:v>
      </x:c>
      <x:c r="F124" s="10" t="str">
        <x:v>CAT014</x:v>
      </x:c>
      <x:c r="G124" s="10" t="str">
        <x:v>Despesa operacional</x:v>
      </x:c>
      <x:c r="H124" s="10" t="str">
        <x:v>PAG00413</x:v>
      </x:c>
      <x:c r="I124" s="20" t="n">
        <x:v>11106.37</x:v>
      </x:c>
      <x:c r="J124" s="20" t="n">
        <x:v>-11106.37</x:v>
      </x:c>
      <x:c r="K124" s="10" t="str">
        <x:v>Realizado</x:v>
      </x:c>
      <x:c r="L124" s="10" t="str">
        <x:v>Contas a Pagar</x:v>
      </x:c>
    </x:row>
    <x:row r="125" ht="18" customHeight="1">
      <x:c r="A125" s="10" t="str">
        <x:v>MOV001309</x:v>
      </x:c>
      <x:c r="B125" s="16" t="n">
        <x:v>45380.89106903935</x:v>
      </x:c>
      <x:c r="C125" s="10" t="str">
        <x:v>EMP001</x:v>
      </x:c>
      <x:c r="D125" s="10" t="str">
        <x:v>CTA001</x:v>
      </x:c>
      <x:c r="E125" s="10" t="str">
        <x:v>Entrada</x:v>
      </x:c>
      <x:c r="F125" s="10" t="str">
        <x:v>CAT002</x:v>
      </x:c>
      <x:c r="G125" s="10" t="str">
        <x:v>Contrato mensal</x:v>
      </x:c>
      <x:c r="H125" s="10" t="str">
        <x:v>REC00672</x:v>
      </x:c>
      <x:c r="I125" s="20" t="n">
        <x:v>121965.15</x:v>
      </x:c>
      <x:c r="J125" s="20" t="n">
        <x:v>121965.15</x:v>
      </x:c>
      <x:c r="K125" s="10" t="str">
        <x:v>Realizado</x:v>
      </x:c>
      <x:c r="L125" s="10" t="str">
        <x:v>Contas a Receber</x:v>
      </x:c>
    </x:row>
    <x:row r="126" ht="18" customHeight="1">
      <x:c r="A126" s="10" t="str">
        <x:v>MOV001313</x:v>
      </x:c>
      <x:c r="B126" s="16" t="n">
        <x:v>45380.92004318287</x:v>
      </x:c>
      <x:c r="C126" s="10" t="str">
        <x:v>EMP003</x:v>
      </x:c>
      <x:c r="D126" s="10" t="str">
        <x:v>CTA005</x:v>
      </x:c>
      <x:c r="E126" s="10" t="str">
        <x:v>Entrada</x:v>
      </x:c>
      <x:c r="F126" s="10" t="str">
        <x:v>CAT003</x:v>
      </x:c>
      <x:c r="G126" s="10" t="str">
        <x:v>Contrato mensal</x:v>
      </x:c>
      <x:c r="H126" s="10" t="str">
        <x:v>REC00676</x:v>
      </x:c>
      <x:c r="I126" s="20" t="n">
        <x:v>41326.99</x:v>
      </x:c>
      <x:c r="J126" s="20" t="n">
        <x:v>41326.99</x:v>
      </x:c>
      <x:c r="K126" s="10" t="str">
        <x:v>Realizado</x:v>
      </x:c>
      <x:c r="L126" s="10" t="str">
        <x:v>Contas a Receber</x:v>
      </x:c>
    </x:row>
    <x:row r="127" ht="18" customHeight="1">
      <x:c r="A127" s="10" t="str">
        <x:v>MOV000492</x:v>
      </x:c>
      <x:c r="B127" s="16" t="n">
        <x:v>45381.14411664352</x:v>
      </x:c>
      <x:c r="C127" s="10" t="str">
        <x:v>EMP003</x:v>
      </x:c>
      <x:c r="D127" s="10" t="str">
        <x:v>CTA005</x:v>
      </x:c>
      <x:c r="E127" s="10" t="str">
        <x:v>Saída</x:v>
      </x:c>
      <x:c r="F127" s="10" t="str">
        <x:v>CAT014</x:v>
      </x:c>
      <x:c r="G127" s="10" t="str">
        <x:v>Despesa operacional</x:v>
      </x:c>
      <x:c r="H127" s="10" t="str">
        <x:v>PAG00577</x:v>
      </x:c>
      <x:c r="I127" s="20" t="n">
        <x:v>9314.38</x:v>
      </x:c>
      <x:c r="J127" s="20" t="n">
        <x:v>-9314.38</x:v>
      </x:c>
      <x:c r="K127" s="10" t="str">
        <x:v>Realizado</x:v>
      </x:c>
      <x:c r="L127" s="10" t="str">
        <x:v>Contas a Pagar</x:v>
      </x:c>
    </x:row>
    <x:row r="128" ht="18" customHeight="1">
      <x:c r="A128" s="10" t="str">
        <x:v>MOV001079</x:v>
      </x:c>
      <x:c r="B128" s="16" t="n">
        <x:v>45381.677293217595</x:v>
      </x:c>
      <x:c r="C128" s="10" t="str">
        <x:v>EMP002</x:v>
      </x:c>
      <x:c r="D128" s="10" t="str">
        <x:v>CTA003</x:v>
      </x:c>
      <x:c r="E128" s="10" t="str">
        <x:v>Entrada</x:v>
      </x:c>
      <x:c r="F128" s="10" t="str">
        <x:v>CAT003</x:v>
      </x:c>
      <x:c r="G128" s="10" t="str">
        <x:v>Venda de produtos</x:v>
      </x:c>
      <x:c r="H128" s="10" t="str">
        <x:v>REC00400</x:v>
      </x:c>
      <x:c r="I128" s="20" t="n">
        <x:v>11665.19</x:v>
      </x:c>
      <x:c r="J128" s="20" t="n">
        <x:v>11665.19</x:v>
      </x:c>
      <x:c r="K128" s="10" t="str">
        <x:v>Realizado</x:v>
      </x:c>
      <x:c r="L128" s="10" t="str">
        <x:v>Contas a Receber</x:v>
      </x:c>
    </x:row>
    <x:row r="129" ht="18" customHeight="1">
      <x:c r="A129" s="10" t="str">
        <x:v>MOV001047</x:v>
      </x:c>
      <x:c r="B129" s="16" t="n">
        <x:v>45381.86753689815</x:v>
      </x:c>
      <x:c r="C129" s="10" t="str">
        <x:v>EMP002</x:v>
      </x:c>
      <x:c r="D129" s="10" t="str">
        <x:v>CTA003</x:v>
      </x:c>
      <x:c r="E129" s="10" t="str">
        <x:v>Entrada</x:v>
      </x:c>
      <x:c r="F129" s="10" t="str">
        <x:v>CAT002</x:v>
      </x:c>
      <x:c r="G129" s="10" t="str">
        <x:v>Projeto especial</x:v>
      </x:c>
      <x:c r="H129" s="10" t="str">
        <x:v>REC00358</x:v>
      </x:c>
      <x:c r="I129" s="20" t="n">
        <x:v>34972.89</x:v>
      </x:c>
      <x:c r="J129" s="20" t="n">
        <x:v>34972.89</x:v>
      </x:c>
      <x:c r="K129" s="10" t="str">
        <x:v>Realizado</x:v>
      </x:c>
      <x:c r="L129" s="10" t="str">
        <x:v>Contas a Receber</x:v>
      </x:c>
    </x:row>
    <x:row r="130" ht="18" customHeight="1">
      <x:c r="A130" s="10" t="str">
        <x:v>MOV000997</x:v>
      </x:c>
      <x:c r="B130" s="16" t="n">
        <x:v>45382.17642400463</x:v>
      </x:c>
      <x:c r="C130" s="10" t="str">
        <x:v>EMP001</x:v>
      </x:c>
      <x:c r="D130" s="10" t="str">
        <x:v>CTA001</x:v>
      </x:c>
      <x:c r="E130" s="10" t="str">
        <x:v>Entrada</x:v>
      </x:c>
      <x:c r="F130" s="10" t="str">
        <x:v>CAT004</x:v>
      </x:c>
      <x:c r="G130" s="10" t="str">
        <x:v>Venda de produtos</x:v>
      </x:c>
      <x:c r="H130" s="10" t="str">
        <x:v>REC00295</x:v>
      </x:c>
      <x:c r="I130" s="20" t="n">
        <x:v>37839.95</x:v>
      </x:c>
      <x:c r="J130" s="20" t="n">
        <x:v>37839.95</x:v>
      </x:c>
      <x:c r="K130" s="10" t="str">
        <x:v>Realizado</x:v>
      </x:c>
      <x:c r="L130" s="10" t="str">
        <x:v>Contas a Receber</x:v>
      </x:c>
    </x:row>
    <x:row r="131" ht="18" customHeight="1">
      <x:c r="A131" s="10" t="str">
        <x:v>MOV000929</x:v>
      </x:c>
      <x:c r="B131" s="16" t="n">
        <x:v>45382.377095717595</x:v>
      </x:c>
      <x:c r="C131" s="10" t="str">
        <x:v>EMP002</x:v>
      </x:c>
      <x:c r="D131" s="10" t="str">
        <x:v>CTA003</x:v>
      </x:c>
      <x:c r="E131" s="10" t="str">
        <x:v>Entrada</x:v>
      </x:c>
      <x:c r="F131" s="10" t="str">
        <x:v>CAT002</x:v>
      </x:c>
      <x:c r="G131" s="10" t="str">
        <x:v>Prestação de serviços</x:v>
      </x:c>
      <x:c r="H131" s="10" t="str">
        <x:v>REC00208</x:v>
      </x:c>
      <x:c r="I131" s="20" t="n">
        <x:v>128464.99</x:v>
      </x:c>
      <x:c r="J131" s="20" t="n">
        <x:v>128464.99</x:v>
      </x:c>
      <x:c r="K131" s="10" t="str">
        <x:v>Realizado</x:v>
      </x:c>
      <x:c r="L131" s="10" t="str">
        <x:v>Contas a Receber</x:v>
      </x:c>
    </x:row>
    <x:row r="132" ht="18" customHeight="1">
      <x:c r="A132" s="10" t="str">
        <x:v>MOV001260</x:v>
      </x:c>
      <x:c r="B132" s="16" t="n">
        <x:v>45383.16132211805</x:v>
      </x:c>
      <x:c r="C132" s="10" t="str">
        <x:v>EMP002</x:v>
      </x:c>
      <x:c r="D132" s="10" t="str">
        <x:v>CTA004</x:v>
      </x:c>
      <x:c r="E132" s="10" t="str">
        <x:v>Entrada</x:v>
      </x:c>
      <x:c r="F132" s="10" t="str">
        <x:v>CAT001</x:v>
      </x:c>
      <x:c r="G132" s="10" t="str">
        <x:v>Prestação de serviços</x:v>
      </x:c>
      <x:c r="H132" s="10" t="str">
        <x:v>REC00616</x:v>
      </x:c>
      <x:c r="I132" s="20" t="n">
        <x:v>55724.7</x:v>
      </x:c>
      <x:c r="J132" s="20" t="n">
        <x:v>55724.7</x:v>
      </x:c>
      <x:c r="K132" s="10" t="str">
        <x:v>Realizado</x:v>
      </x:c>
      <x:c r="L132" s="10" t="str">
        <x:v>Contas a Receber</x:v>
      </x:c>
    </x:row>
    <x:row r="133" ht="18" customHeight="1">
      <x:c r="A133" s="10" t="str">
        <x:v>MOV001098</x:v>
      </x:c>
      <x:c r="B133" s="16" t="n">
        <x:v>45383.196867847226</x:v>
      </x:c>
      <x:c r="C133" s="10" t="str">
        <x:v>EMP003</x:v>
      </x:c>
      <x:c r="D133" s="10" t="str">
        <x:v>CTA005</x:v>
      </x:c>
      <x:c r="E133" s="10" t="str">
        <x:v>Entrada</x:v>
      </x:c>
      <x:c r="F133" s="10" t="str">
        <x:v>CAT004</x:v>
      </x:c>
      <x:c r="G133" s="10" t="str">
        <x:v>Venda de produtos</x:v>
      </x:c>
      <x:c r="H133" s="10" t="str">
        <x:v>REC00424</x:v>
      </x:c>
      <x:c r="I133" s="20" t="n">
        <x:v>27928.11</x:v>
      </x:c>
      <x:c r="J133" s="20" t="n">
        <x:v>27928.11</x:v>
      </x:c>
      <x:c r="K133" s="10" t="str">
        <x:v>Realizado</x:v>
      </x:c>
      <x:c r="L133" s="10" t="str">
        <x:v>Contas a Receber</x:v>
      </x:c>
    </x:row>
    <x:row r="134" ht="18" customHeight="1">
      <x:c r="A134" s="10" t="str">
        <x:v>MOV000987</x:v>
      </x:c>
      <x:c r="B134" s="16" t="n">
        <x:v>45384.45617253472</x:v>
      </x:c>
      <x:c r="C134" s="10" t="str">
        <x:v>EMP003</x:v>
      </x:c>
      <x:c r="D134" s="10" t="str">
        <x:v>CTA006</x:v>
      </x:c>
      <x:c r="E134" s="10" t="str">
        <x:v>Entrada</x:v>
      </x:c>
      <x:c r="F134" s="10" t="str">
        <x:v>CAT004</x:v>
      </x:c>
      <x:c r="G134" s="10" t="str">
        <x:v>Frete faturado</x:v>
      </x:c>
      <x:c r="H134" s="10" t="str">
        <x:v>REC00283</x:v>
      </x:c>
      <x:c r="I134" s="20" t="n">
        <x:v>108960.31</x:v>
      </x:c>
      <x:c r="J134" s="20" t="n">
        <x:v>108960.31</x:v>
      </x:c>
      <x:c r="K134" s="10" t="str">
        <x:v>Realizado</x:v>
      </x:c>
      <x:c r="L134" s="10" t="str">
        <x:v>Contas a Receber</x:v>
      </x:c>
    </x:row>
    <x:row r="135" ht="18" customHeight="1">
      <x:c r="A135" s="10" t="str">
        <x:v>MOV000087</x:v>
      </x:c>
      <x:c r="B135" s="16" t="n">
        <x:v>45384.59154857639</x:v>
      </x:c>
      <x:c r="C135" s="10" t="str">
        <x:v>EMP001</x:v>
      </x:c>
      <x:c r="D135" s="10" t="str">
        <x:v>CTA002</x:v>
      </x:c>
      <x:c r="E135" s="10" t="str">
        <x:v>Saída</x:v>
      </x:c>
      <x:c r="F135" s="10" t="str">
        <x:v>CAT015</x:v>
      </x:c>
      <x:c r="G135" s="10" t="str">
        <x:v>Compra de materiais</x:v>
      </x:c>
      <x:c r="H135" s="10" t="str">
        <x:v>PAG00098</x:v>
      </x:c>
      <x:c r="I135" s="20" t="n">
        <x:v>3510.96</x:v>
      </x:c>
      <x:c r="J135" s="20" t="n">
        <x:v>-3510.96</x:v>
      </x:c>
      <x:c r="K135" s="10" t="str">
        <x:v>Realizado</x:v>
      </x:c>
      <x:c r="L135" s="10" t="str">
        <x:v>Contas a Pagar</x:v>
      </x:c>
    </x:row>
    <x:row r="136" ht="18" customHeight="1">
      <x:c r="A136" s="10" t="str">
        <x:v>MOV000774</x:v>
      </x:c>
      <x:c r="B136" s="16" t="n">
        <x:v>45385.139919155095</x:v>
      </x:c>
      <x:c r="C136" s="10" t="str">
        <x:v>EMP001</x:v>
      </x:c>
      <x:c r="D136" s="10" t="str">
        <x:v>CTA002</x:v>
      </x:c>
      <x:c r="E136" s="10" t="str">
        <x:v>Entrada</x:v>
      </x:c>
      <x:c r="F136" s="10" t="str">
        <x:v>CAT001</x:v>
      </x:c>
      <x:c r="G136" s="10" t="str">
        <x:v>Projeto especial</x:v>
      </x:c>
      <x:c r="H136" s="10" t="str">
        <x:v>REC00024</x:v>
      </x:c>
      <x:c r="I136" s="20" t="n">
        <x:v>125700.04</x:v>
      </x:c>
      <x:c r="J136" s="20" t="n">
        <x:v>125700.04</x:v>
      </x:c>
      <x:c r="K136" s="10" t="str">
        <x:v>Realizado</x:v>
      </x:c>
      <x:c r="L136" s="10" t="str">
        <x:v>Contas a Receber</x:v>
      </x:c>
    </x:row>
    <x:row r="137" ht="18" customHeight="1">
      <x:c r="A137" s="10" t="str">
        <x:v>MOV000347</x:v>
      </x:c>
      <x:c r="B137" s="16" t="n">
        <x:v>45385.53369525463</x:v>
      </x:c>
      <x:c r="C137" s="10" t="str">
        <x:v>EMP001</x:v>
      </x:c>
      <x:c r="D137" s="10" t="str">
        <x:v>CTA001</x:v>
      </x:c>
      <x:c r="E137" s="10" t="str">
        <x:v>Saída</x:v>
      </x:c>
      <x:c r="F137" s="10" t="str">
        <x:v>CAT011</x:v>
      </x:c>
      <x:c r="G137" s="10" t="str">
        <x:v>Contrato recorrente</x:v>
      </x:c>
      <x:c r="H137" s="10" t="str">
        <x:v>PAG00401</x:v>
      </x:c>
      <x:c r="I137" s="20" t="n">
        <x:v>66397.62</x:v>
      </x:c>
      <x:c r="J137" s="20" t="n">
        <x:v>-66397.62</x:v>
      </x:c>
      <x:c r="K137" s="10" t="str">
        <x:v>Realizado</x:v>
      </x:c>
      <x:c r="L137" s="10" t="str">
        <x:v>Contas a Pagar</x:v>
      </x:c>
    </x:row>
    <x:row r="138" ht="18" customHeight="1">
      <x:c r="A138" s="10" t="str">
        <x:v>MOV000287</x:v>
      </x:c>
      <x:c r="B138" s="16" t="n">
        <x:v>45385.88322503472</x:v>
      </x:c>
      <x:c r="C138" s="10" t="str">
        <x:v>EMP002</x:v>
      </x:c>
      <x:c r="D138" s="10" t="str">
        <x:v>CTA003</x:v>
      </x:c>
      <x:c r="E138" s="10" t="str">
        <x:v>Saída</x:v>
      </x:c>
      <x:c r="F138" s="10" t="str">
        <x:v>CAT007</x:v>
      </x:c>
      <x:c r="G138" s="10" t="str">
        <x:v>Prestação de serviços</x:v>
      </x:c>
      <x:c r="H138" s="10" t="str">
        <x:v>PAG00333</x:v>
      </x:c>
      <x:c r="I138" s="20" t="n">
        <x:v>36438.63</x:v>
      </x:c>
      <x:c r="J138" s="20" t="n">
        <x:v>-36438.63</x:v>
      </x:c>
      <x:c r="K138" s="10" t="str">
        <x:v>Realizado</x:v>
      </x:c>
      <x:c r="L138" s="10" t="str">
        <x:v>Contas a Pagar</x:v>
      </x:c>
    </x:row>
    <x:row r="139" ht="18" customHeight="1">
      <x:c r="A139" s="10" t="str">
        <x:v>MOV001308</x:v>
      </x:c>
      <x:c r="B139" s="16" t="n">
        <x:v>45386.30351399306</x:v>
      </x:c>
      <x:c r="C139" s="10" t="str">
        <x:v>EMP001</x:v>
      </x:c>
      <x:c r="D139" s="10" t="str">
        <x:v>CTA002</x:v>
      </x:c>
      <x:c r="E139" s="10" t="str">
        <x:v>Entrada</x:v>
      </x:c>
      <x:c r="F139" s="10" t="str">
        <x:v>CAT001</x:v>
      </x:c>
      <x:c r="G139" s="10" t="str">
        <x:v>Prestação de serviços</x:v>
      </x:c>
      <x:c r="H139" s="10" t="str">
        <x:v>REC00671</x:v>
      </x:c>
      <x:c r="I139" s="20" t="n">
        <x:v>110425.2</x:v>
      </x:c>
      <x:c r="J139" s="20" t="n">
        <x:v>110425.2</x:v>
      </x:c>
      <x:c r="K139" s="10" t="str">
        <x:v>Realizado</x:v>
      </x:c>
      <x:c r="L139" s="10" t="str">
        <x:v>Contas a Receber</x:v>
      </x:c>
    </x:row>
    <x:row r="140" ht="18" customHeight="1">
      <x:c r="A140" s="10" t="str">
        <x:v>MOV000608</x:v>
      </x:c>
      <x:c r="B140" s="16" t="n">
        <x:v>45386.90615825231</x:v>
      </x:c>
      <x:c r="C140" s="10" t="str">
        <x:v>EMP001</x:v>
      </x:c>
      <x:c r="D140" s="10" t="str">
        <x:v>CTA001</x:v>
      </x:c>
      <x:c r="E140" s="10" t="str">
        <x:v>Saída</x:v>
      </x:c>
      <x:c r="F140" s="10" t="str">
        <x:v>CAT010</x:v>
      </x:c>
      <x:c r="G140" s="10" t="str">
        <x:v>Contrato recorrente</x:v>
      </x:c>
      <x:c r="H140" s="10" t="str">
        <x:v>PAG00720</x:v>
      </x:c>
      <x:c r="I140" s="20" t="n">
        <x:v>22047.43</x:v>
      </x:c>
      <x:c r="J140" s="20" t="n">
        <x:v>-22047.43</x:v>
      </x:c>
      <x:c r="K140" s="10" t="str">
        <x:v>Realizado</x:v>
      </x:c>
      <x:c r="L140" s="10" t="str">
        <x:v>Contas a Pagar</x:v>
      </x:c>
    </x:row>
    <x:row r="141" ht="18" customHeight="1">
      <x:c r="A141" s="10" t="str">
        <x:v>MOV000018</x:v>
      </x:c>
      <x:c r="B141" s="16" t="n">
        <x:v>45386.94533423611</x:v>
      </x:c>
      <x:c r="C141" s="10" t="str">
        <x:v>EMP001</x:v>
      </x:c>
      <x:c r="D141" s="10" t="str">
        <x:v>CTA002</x:v>
      </x:c>
      <x:c r="E141" s="10" t="str">
        <x:v>Saída</x:v>
      </x:c>
      <x:c r="F141" s="10" t="str">
        <x:v>CAT015</x:v>
      </x:c>
      <x:c r="G141" s="10" t="str">
        <x:v>Prestação de serviços</x:v>
      </x:c>
      <x:c r="H141" s="10" t="str">
        <x:v>PAG00016</x:v>
      </x:c>
      <x:c r="I141" s="20" t="n">
        <x:v>2553.65</x:v>
      </x:c>
      <x:c r="J141" s="20" t="n">
        <x:v>-2553.65</x:v>
      </x:c>
      <x:c r="K141" s="10" t="str">
        <x:v>Realizado</x:v>
      </x:c>
      <x:c r="L141" s="10" t="str">
        <x:v>Contas a Pagar</x:v>
      </x:c>
    </x:row>
    <x:row r="142" ht="18" customHeight="1">
      <x:c r="A142" s="10" t="str">
        <x:v>MOV000921</x:v>
      </x:c>
      <x:c r="B142" s="16" t="n">
        <x:v>45387.33452966435</x:v>
      </x:c>
      <x:c r="C142" s="10" t="str">
        <x:v>EMP002</x:v>
      </x:c>
      <x:c r="D142" s="10" t="str">
        <x:v>CTA004</x:v>
      </x:c>
      <x:c r="E142" s="10" t="str">
        <x:v>Entrada</x:v>
      </x:c>
      <x:c r="F142" s="10" t="str">
        <x:v>CAT004</x:v>
      </x:c>
      <x:c r="G142" s="10" t="str">
        <x:v>Projeto especial</x:v>
      </x:c>
      <x:c r="H142" s="10" t="str">
        <x:v>REC00199</x:v>
      </x:c>
      <x:c r="I142" s="20" t="n">
        <x:v>6271.85</x:v>
      </x:c>
      <x:c r="J142" s="20" t="n">
        <x:v>6271.85</x:v>
      </x:c>
      <x:c r="K142" s="10" t="str">
        <x:v>Realizado</x:v>
      </x:c>
      <x:c r="L142" s="10" t="str">
        <x:v>Contas a Receber</x:v>
      </x:c>
    </x:row>
    <x:row r="143" ht="18" customHeight="1">
      <x:c r="A143" s="10" t="str">
        <x:v>MOV000712</x:v>
      </x:c>
      <x:c r="B143" s="16" t="n">
        <x:v>45387.51073134259</x:v>
      </x:c>
      <x:c r="C143" s="10" t="str">
        <x:v>EMP003</x:v>
      </x:c>
      <x:c r="D143" s="10" t="str">
        <x:v>CTA006</x:v>
      </x:c>
      <x:c r="E143" s="10" t="str">
        <x:v>Saída</x:v>
      </x:c>
      <x:c r="F143" s="10" t="str">
        <x:v>CAT011</x:v>
      </x:c>
      <x:c r="G143" s="10" t="str">
        <x:v>Tributos e taxas</x:v>
      </x:c>
      <x:c r="H143" s="10" t="str">
        <x:v>PAG00846</x:v>
      </x:c>
      <x:c r="I143" s="20" t="n">
        <x:v>29354.88</x:v>
      </x:c>
      <x:c r="J143" s="20" t="n">
        <x:v>-29354.88</x:v>
      </x:c>
      <x:c r="K143" s="10" t="str">
        <x:v>Realizado</x:v>
      </x:c>
      <x:c r="L143" s="10" t="str">
        <x:v>Contas a Pagar</x:v>
      </x:c>
    </x:row>
    <x:row r="144" ht="18" customHeight="1">
      <x:c r="A144" s="10" t="str">
        <x:v>MOV000300</x:v>
      </x:c>
      <x:c r="B144" s="16" t="n">
        <x:v>45388.36693040509</x:v>
      </x:c>
      <x:c r="C144" s="10" t="str">
        <x:v>EMP002</x:v>
      </x:c>
      <x:c r="D144" s="10" t="str">
        <x:v>CTA003</x:v>
      </x:c>
      <x:c r="E144" s="10" t="str">
        <x:v>Saída</x:v>
      </x:c>
      <x:c r="F144" s="10" t="str">
        <x:v>CAT009</x:v>
      </x:c>
      <x:c r="G144" s="10" t="str">
        <x:v>Tributos e taxas</x:v>
      </x:c>
      <x:c r="H144" s="10" t="str">
        <x:v>PAG00349</x:v>
      </x:c>
      <x:c r="I144" s="20" t="n">
        <x:v>94918.53</x:v>
      </x:c>
      <x:c r="J144" s="20" t="n">
        <x:v>-94918.53</x:v>
      </x:c>
      <x:c r="K144" s="10" t="str">
        <x:v>Realizado</x:v>
      </x:c>
      <x:c r="L144" s="10" t="str">
        <x:v>Contas a Pagar</x:v>
      </x:c>
    </x:row>
    <x:row r="145" ht="18" customHeight="1">
      <x:c r="A145" s="10" t="str">
        <x:v>MOV000089</x:v>
      </x:c>
      <x:c r="B145" s="16" t="n">
        <x:v>45388.40500373843</x:v>
      </x:c>
      <x:c r="C145" s="10" t="str">
        <x:v>EMP002</x:v>
      </x:c>
      <x:c r="D145" s="10" t="str">
        <x:v>CTA004</x:v>
      </x:c>
      <x:c r="E145" s="10" t="str">
        <x:v>Saída</x:v>
      </x:c>
      <x:c r="F145" s="10" t="str">
        <x:v>CAT009</x:v>
      </x:c>
      <x:c r="G145" s="10" t="str">
        <x:v>Contrato recorrente</x:v>
      </x:c>
      <x:c r="H145" s="10" t="str">
        <x:v>PAG00100</x:v>
      </x:c>
      <x:c r="I145" s="20" t="n">
        <x:v>1835.21</x:v>
      </x:c>
      <x:c r="J145" s="20" t="n">
        <x:v>-1835.21</x:v>
      </x:c>
      <x:c r="K145" s="10" t="str">
        <x:v>Realizado</x:v>
      </x:c>
      <x:c r="L145" s="10" t="str">
        <x:v>Contas a Pagar</x:v>
      </x:c>
    </x:row>
    <x:row r="146" ht="18" customHeight="1">
      <x:c r="A146" s="10" t="str">
        <x:v>MOV000942</x:v>
      </x:c>
      <x:c r="B146" s="16" t="n">
        <x:v>45388.60620091435</x:v>
      </x:c>
      <x:c r="C146" s="10" t="str">
        <x:v>EMP002</x:v>
      </x:c>
      <x:c r="D146" s="10" t="str">
        <x:v>CTA004</x:v>
      </x:c>
      <x:c r="E146" s="10" t="str">
        <x:v>Entrada</x:v>
      </x:c>
      <x:c r="F146" s="10" t="str">
        <x:v>CAT003</x:v>
      </x:c>
      <x:c r="G146" s="10" t="str">
        <x:v>Frete faturado</x:v>
      </x:c>
      <x:c r="H146" s="10" t="str">
        <x:v>REC00223</x:v>
      </x:c>
      <x:c r="I146" s="20" t="n">
        <x:v>29509.88</x:v>
      </x:c>
      <x:c r="J146" s="20" t="n">
        <x:v>29509.88</x:v>
      </x:c>
      <x:c r="K146" s="10" t="str">
        <x:v>Realizado</x:v>
      </x:c>
      <x:c r="L146" s="10" t="str">
        <x:v>Contas a Receber</x:v>
      </x:c>
    </x:row>
    <x:row r="147" ht="18" customHeight="1">
      <x:c r="A147" s="10" t="str">
        <x:v>MOV001553</x:v>
      </x:c>
      <x:c r="B147" s="16" t="n">
        <x:v>45388.837307037036</x:v>
      </x:c>
      <x:c r="C147" s="10" t="str">
        <x:v>EMP003</x:v>
      </x:c>
      <x:c r="D147" s="10" t="str">
        <x:v>CTA006</x:v>
      </x:c>
      <x:c r="E147" s="10" t="str">
        <x:v>Entrada</x:v>
      </x:c>
      <x:c r="F147" s="10" t="str">
        <x:v>CAT001</x:v>
      </x:c>
      <x:c r="G147" s="10" t="str">
        <x:v>Prestação de serviços</x:v>
      </x:c>
      <x:c r="H147" s="10" t="str">
        <x:v>REC00970</x:v>
      </x:c>
      <x:c r="I147" s="20" t="n">
        <x:v>46236.13</x:v>
      </x:c>
      <x:c r="J147" s="20" t="n">
        <x:v>46236.13</x:v>
      </x:c>
      <x:c r="K147" s="10" t="str">
        <x:v>Realizado</x:v>
      </x:c>
      <x:c r="L147" s="10" t="str">
        <x:v>Contas a Receber</x:v>
      </x:c>
    </x:row>
    <x:row r="148" ht="18" customHeight="1">
      <x:c r="A148" s="10" t="str">
        <x:v>MOV001064</x:v>
      </x:c>
      <x:c r="B148" s="16" t="n">
        <x:v>45388.88235664352</x:v>
      </x:c>
      <x:c r="C148" s="10" t="str">
        <x:v>EMP003</x:v>
      </x:c>
      <x:c r="D148" s="10" t="str">
        <x:v>CTA006</x:v>
      </x:c>
      <x:c r="E148" s="10" t="str">
        <x:v>Entrada</x:v>
      </x:c>
      <x:c r="F148" s="10" t="str">
        <x:v>CAT003</x:v>
      </x:c>
      <x:c r="G148" s="10" t="str">
        <x:v>Projeto especial</x:v>
      </x:c>
      <x:c r="H148" s="10" t="str">
        <x:v>REC00381</x:v>
      </x:c>
      <x:c r="I148" s="20" t="n">
        <x:v>19043.33</x:v>
      </x:c>
      <x:c r="J148" s="20" t="n">
        <x:v>19043.33</x:v>
      </x:c>
      <x:c r="K148" s="10" t="str">
        <x:v>Realizado</x:v>
      </x:c>
      <x:c r="L148" s="10" t="str">
        <x:v>Contas a Receber</x:v>
      </x:c>
    </x:row>
    <x:row r="149" ht="18" customHeight="1">
      <x:c r="A149" s="10" t="str">
        <x:v>MOV000574</x:v>
      </x:c>
      <x:c r="B149" s="16" t="n">
        <x:v>45389.04242773148</x:v>
      </x:c>
      <x:c r="C149" s="10" t="str">
        <x:v>EMP003</x:v>
      </x:c>
      <x:c r="D149" s="10" t="str">
        <x:v>CTA005</x:v>
      </x:c>
      <x:c r="E149" s="10" t="str">
        <x:v>Saída</x:v>
      </x:c>
      <x:c r="F149" s="10" t="str">
        <x:v>CAT007</x:v>
      </x:c>
      <x:c r="G149" s="10" t="str">
        <x:v>Compra de materiais</x:v>
      </x:c>
      <x:c r="H149" s="10" t="str">
        <x:v>PAG00675</x:v>
      </x:c>
      <x:c r="I149" s="20" t="n">
        <x:v>1711.74</x:v>
      </x:c>
      <x:c r="J149" s="20" t="n">
        <x:v>-1711.74</x:v>
      </x:c>
      <x:c r="K149" s="10" t="str">
        <x:v>Realizado</x:v>
      </x:c>
      <x:c r="L149" s="10" t="str">
        <x:v>Contas a Pagar</x:v>
      </x:c>
    </x:row>
    <x:row r="150" ht="18" customHeight="1">
      <x:c r="A150" s="10" t="str">
        <x:v>MOV000430</x:v>
      </x:c>
      <x:c r="B150" s="16" t="n">
        <x:v>45389.7220943287</x:v>
      </x:c>
      <x:c r="C150" s="10" t="str">
        <x:v>EMP001</x:v>
      </x:c>
      <x:c r="D150" s="10" t="str">
        <x:v>CTA002</x:v>
      </x:c>
      <x:c r="E150" s="10" t="str">
        <x:v>Saída</x:v>
      </x:c>
      <x:c r="F150" s="10" t="str">
        <x:v>CAT018</x:v>
      </x:c>
      <x:c r="G150" s="10" t="str">
        <x:v>Despesa operacional</x:v>
      </x:c>
      <x:c r="H150" s="10" t="str">
        <x:v>PAG00503</x:v>
      </x:c>
      <x:c r="I150" s="20" t="n">
        <x:v>29141.25</x:v>
      </x:c>
      <x:c r="J150" s="20" t="n">
        <x:v>-29141.25</x:v>
      </x:c>
      <x:c r="K150" s="10" t="str">
        <x:v>Realizado</x:v>
      </x:c>
      <x:c r="L150" s="10" t="str">
        <x:v>Contas a Pagar</x:v>
      </x:c>
    </x:row>
    <x:row r="151" ht="18" customHeight="1">
      <x:c r="A151" s="10" t="str">
        <x:v>MOV001619</x:v>
      </x:c>
      <x:c r="B151" s="16" t="n">
        <x:v>45389.93797353009</x:v>
      </x:c>
      <x:c r="C151" s="10" t="str">
        <x:v>EMP001</x:v>
      </x:c>
      <x:c r="D151" s="10" t="str">
        <x:v>CTA001</x:v>
      </x:c>
      <x:c r="E151" s="10" t="str">
        <x:v>Entrada</x:v>
      </x:c>
      <x:c r="F151" s="10" t="str">
        <x:v>CAT004</x:v>
      </x:c>
      <x:c r="G151" s="10" t="str">
        <x:v>Frete faturado</x:v>
      </x:c>
      <x:c r="H151" s="10" t="str">
        <x:v>REC01048</x:v>
      </x:c>
      <x:c r="I151" s="20" t="n">
        <x:v>78350.58</x:v>
      </x:c>
      <x:c r="J151" s="20" t="n">
        <x:v>78350.58</x:v>
      </x:c>
      <x:c r="K151" s="10" t="str">
        <x:v>Realizado</x:v>
      </x:c>
      <x:c r="L151" s="10" t="str">
        <x:v>Contas a Receber</x:v>
      </x:c>
    </x:row>
    <x:row r="152" ht="18" customHeight="1">
      <x:c r="A152" s="10" t="str">
        <x:v>MOV001591</x:v>
      </x:c>
      <x:c r="B152" s="16" t="n">
        <x:v>45389.973387847225</x:v>
      </x:c>
      <x:c r="C152" s="10" t="str">
        <x:v>EMP001</x:v>
      </x:c>
      <x:c r="D152" s="10" t="str">
        <x:v>CTA001</x:v>
      </x:c>
      <x:c r="E152" s="10" t="str">
        <x:v>Entrada</x:v>
      </x:c>
      <x:c r="F152" s="10" t="str">
        <x:v>CAT001</x:v>
      </x:c>
      <x:c r="G152" s="10" t="str">
        <x:v>Venda de produtos</x:v>
      </x:c>
      <x:c r="H152" s="10" t="str">
        <x:v>REC01017</x:v>
      </x:c>
      <x:c r="I152" s="20" t="n">
        <x:v>18245.48</x:v>
      </x:c>
      <x:c r="J152" s="20" t="n">
        <x:v>18245.48</x:v>
      </x:c>
      <x:c r="K152" s="10" t="str">
        <x:v>Realizado</x:v>
      </x:c>
      <x:c r="L152" s="10" t="str">
        <x:v>Contas a Receber</x:v>
      </x:c>
    </x:row>
    <x:row r="153" ht="18" customHeight="1">
      <x:c r="A153" s="10" t="str">
        <x:v>MOV000293</x:v>
      </x:c>
      <x:c r="B153" s="16" t="n">
        <x:v>45390.31531965278</x:v>
      </x:c>
      <x:c r="C153" s="10" t="str">
        <x:v>EMP001</x:v>
      </x:c>
      <x:c r="D153" s="10" t="str">
        <x:v>CTA001</x:v>
      </x:c>
      <x:c r="E153" s="10" t="str">
        <x:v>Saída</x:v>
      </x:c>
      <x:c r="F153" s="10" t="str">
        <x:v>CAT013</x:v>
      </x:c>
      <x:c r="G153" s="10" t="str">
        <x:v>Contrato recorrente</x:v>
      </x:c>
      <x:c r="H153" s="10" t="str">
        <x:v>PAG00340</x:v>
      </x:c>
      <x:c r="I153" s="20" t="n">
        <x:v>27664.74</x:v>
      </x:c>
      <x:c r="J153" s="20" t="n">
        <x:v>-27664.74</x:v>
      </x:c>
      <x:c r="K153" s="10" t="str">
        <x:v>Realizado</x:v>
      </x:c>
      <x:c r="L153" s="10" t="str">
        <x:v>Contas a Pagar</x:v>
      </x:c>
    </x:row>
    <x:row r="154" ht="18" customHeight="1">
      <x:c r="A154" s="10" t="str">
        <x:v>MOV000449</x:v>
      </x:c>
      <x:c r="B154" s="16" t="n">
        <x:v>45390.55563605324</x:v>
      </x:c>
      <x:c r="C154" s="10" t="str">
        <x:v>EMP002</x:v>
      </x:c>
      <x:c r="D154" s="10" t="str">
        <x:v>CTA004</x:v>
      </x:c>
      <x:c r="E154" s="10" t="str">
        <x:v>Saída</x:v>
      </x:c>
      <x:c r="F154" s="10" t="str">
        <x:v>CAT018</x:v>
      </x:c>
      <x:c r="G154" s="10" t="str">
        <x:v>Contrato recorrente</x:v>
      </x:c>
      <x:c r="H154" s="10" t="str">
        <x:v>PAG00527</x:v>
      </x:c>
      <x:c r="I154" s="20" t="n">
        <x:v>28770.46</x:v>
      </x:c>
      <x:c r="J154" s="20" t="n">
        <x:v>-28770.46</x:v>
      </x:c>
      <x:c r="K154" s="10" t="str">
        <x:v>Realizado</x:v>
      </x:c>
      <x:c r="L154" s="10" t="str">
        <x:v>Contas a Pagar</x:v>
      </x:c>
    </x:row>
    <x:row r="155" ht="18" customHeight="1">
      <x:c r="A155" s="10" t="str">
        <x:v>MOV000962</x:v>
      </x:c>
      <x:c r="B155" s="16" t="n">
        <x:v>45391.02580085648</x:v>
      </x:c>
      <x:c r="C155" s="10" t="str">
        <x:v>EMP001</x:v>
      </x:c>
      <x:c r="D155" s="10" t="str">
        <x:v>CTA002</x:v>
      </x:c>
      <x:c r="E155" s="10" t="str">
        <x:v>Entrada</x:v>
      </x:c>
      <x:c r="F155" s="10" t="str">
        <x:v>CAT004</x:v>
      </x:c>
      <x:c r="G155" s="10" t="str">
        <x:v>Prestação de serviços</x:v>
      </x:c>
      <x:c r="H155" s="10" t="str">
        <x:v>REC00249</x:v>
      </x:c>
      <x:c r="I155" s="20" t="n">
        <x:v>97427.59</x:v>
      </x:c>
      <x:c r="J155" s="20" t="n">
        <x:v>97427.59</x:v>
      </x:c>
      <x:c r="K155" s="10" t="str">
        <x:v>Realizado</x:v>
      </x:c>
      <x:c r="L155" s="10" t="str">
        <x:v>Contas a Receber</x:v>
      </x:c>
    </x:row>
    <x:row r="156" ht="18" customHeight="1">
      <x:c r="A156" s="10" t="str">
        <x:v>MOV001425</x:v>
      </x:c>
      <x:c r="B156" s="16" t="n">
        <x:v>45391.11150025463</x:v>
      </x:c>
      <x:c r="C156" s="10" t="str">
        <x:v>EMP003</x:v>
      </x:c>
      <x:c r="D156" s="10" t="str">
        <x:v>CTA005</x:v>
      </x:c>
      <x:c r="E156" s="10" t="str">
        <x:v>Entrada</x:v>
      </x:c>
      <x:c r="F156" s="10" t="str">
        <x:v>CAT003</x:v>
      </x:c>
      <x:c r="G156" s="10" t="str">
        <x:v>Frete faturado</x:v>
      </x:c>
      <x:c r="H156" s="10" t="str">
        <x:v>REC00815</x:v>
      </x:c>
      <x:c r="I156" s="20" t="n">
        <x:v>70328.86</x:v>
      </x:c>
      <x:c r="J156" s="20" t="n">
        <x:v>70328.86</x:v>
      </x:c>
      <x:c r="K156" s="10" t="str">
        <x:v>Realizado</x:v>
      </x:c>
      <x:c r="L156" s="10" t="str">
        <x:v>Contas a Receber</x:v>
      </x:c>
    </x:row>
    <x:row r="157" ht="18" customHeight="1">
      <x:c r="A157" s="10" t="str">
        <x:v>MOV000061</x:v>
      </x:c>
      <x:c r="B157" s="16" t="n">
        <x:v>45391.94569954861</x:v>
      </x:c>
      <x:c r="C157" s="10" t="str">
        <x:v>EMP002</x:v>
      </x:c>
      <x:c r="D157" s="10" t="str">
        <x:v>CTA003</x:v>
      </x:c>
      <x:c r="E157" s="10" t="str">
        <x:v>Saída</x:v>
      </x:c>
      <x:c r="F157" s="10" t="str">
        <x:v>CAT018</x:v>
      </x:c>
      <x:c r="G157" s="10" t="str">
        <x:v>Compra de materiais</x:v>
      </x:c>
      <x:c r="H157" s="10" t="str">
        <x:v>PAG00066</x:v>
      </x:c>
      <x:c r="I157" s="20" t="n">
        <x:v>71070.86</x:v>
      </x:c>
      <x:c r="J157" s="20" t="n">
        <x:v>-71070.86</x:v>
      </x:c>
      <x:c r="K157" s="10" t="str">
        <x:v>Realizado</x:v>
      </x:c>
      <x:c r="L157" s="10" t="str">
        <x:v>Contas a Pagar</x:v>
      </x:c>
    </x:row>
    <x:row r="158" ht="18" customHeight="1">
      <x:c r="A158" s="10" t="str">
        <x:v>MOV000446</x:v>
      </x:c>
      <x:c r="B158" s="16" t="n">
        <x:v>45391.98287130787</x:v>
      </x:c>
      <x:c r="C158" s="10" t="str">
        <x:v>EMP001</x:v>
      </x:c>
      <x:c r="D158" s="10" t="str">
        <x:v>CTA001</x:v>
      </x:c>
      <x:c r="E158" s="10" t="str">
        <x:v>Saída</x:v>
      </x:c>
      <x:c r="F158" s="10" t="str">
        <x:v>CAT007</x:v>
      </x:c>
      <x:c r="G158" s="10" t="str">
        <x:v>Prestação de serviços</x:v>
      </x:c>
      <x:c r="H158" s="10" t="str">
        <x:v>PAG00523</x:v>
      </x:c>
      <x:c r="I158" s="20" t="n">
        <x:v>13897.29</x:v>
      </x:c>
      <x:c r="J158" s="20" t="n">
        <x:v>-13897.29</x:v>
      </x:c>
      <x:c r="K158" s="10" t="str">
        <x:v>Realizado</x:v>
      </x:c>
      <x:c r="L158" s="10" t="str">
        <x:v>Contas a Pagar</x:v>
      </x:c>
    </x:row>
    <x:row r="159" ht="18" customHeight="1">
      <x:c r="A159" s="10" t="str">
        <x:v>MOV001147</x:v>
      </x:c>
      <x:c r="B159" s="16" t="n">
        <x:v>45392.41107638889</x:v>
      </x:c>
      <x:c r="C159" s="10" t="str">
        <x:v>EMP001</x:v>
      </x:c>
      <x:c r="D159" s="10" t="str">
        <x:v>CTA002</x:v>
      </x:c>
      <x:c r="E159" s="10" t="str">
        <x:v>Entrada</x:v>
      </x:c>
      <x:c r="F159" s="10" t="str">
        <x:v>CAT003</x:v>
      </x:c>
      <x:c r="G159" s="10" t="str">
        <x:v>Projeto especial</x:v>
      </x:c>
      <x:c r="H159" s="10" t="str">
        <x:v>REC00480</x:v>
      </x:c>
      <x:c r="I159" s="20" t="n">
        <x:v>141108.01</x:v>
      </x:c>
      <x:c r="J159" s="20" t="n">
        <x:v>141108.01</x:v>
      </x:c>
      <x:c r="K159" s="10" t="str">
        <x:v>Realizado</x:v>
      </x:c>
      <x:c r="L159" s="10" t="str">
        <x:v>Contas a Receber</x:v>
      </x:c>
    </x:row>
    <x:row r="160" ht="18" customHeight="1">
      <x:c r="A160" s="10" t="str">
        <x:v>MOV000420</x:v>
      </x:c>
      <x:c r="B160" s="16" t="n">
        <x:v>45392.86275832176</x:v>
      </x:c>
      <x:c r="C160" s="10" t="str">
        <x:v>EMP001</x:v>
      </x:c>
      <x:c r="D160" s="10" t="str">
        <x:v>CTA002</x:v>
      </x:c>
      <x:c r="E160" s="10" t="str">
        <x:v>Saída</x:v>
      </x:c>
      <x:c r="F160" s="10" t="str">
        <x:v>CAT017</x:v>
      </x:c>
      <x:c r="G160" s="10" t="str">
        <x:v>Contrato recorrente</x:v>
      </x:c>
      <x:c r="H160" s="10" t="str">
        <x:v>PAG00489</x:v>
      </x:c>
      <x:c r="I160" s="20" t="n">
        <x:v>74846.88</x:v>
      </x:c>
      <x:c r="J160" s="20" t="n">
        <x:v>-74846.88</x:v>
      </x:c>
      <x:c r="K160" s="10" t="str">
        <x:v>Realizado</x:v>
      </x:c>
      <x:c r="L160" s="10" t="str">
        <x:v>Contas a Pagar</x:v>
      </x:c>
    </x:row>
    <x:row r="161" ht="18" customHeight="1">
      <x:c r="A161" s="10" t="str">
        <x:v>MOV001038</x:v>
      </x:c>
      <x:c r="B161" s="16" t="n">
        <x:v>45393.27425174769</x:v>
      </x:c>
      <x:c r="C161" s="10" t="str">
        <x:v>EMP003</x:v>
      </x:c>
      <x:c r="D161" s="10" t="str">
        <x:v>CTA005</x:v>
      </x:c>
      <x:c r="E161" s="10" t="str">
        <x:v>Entrada</x:v>
      </x:c>
      <x:c r="F161" s="10" t="str">
        <x:v>CAT001</x:v>
      </x:c>
      <x:c r="G161" s="10" t="str">
        <x:v>Contrato mensal</x:v>
      </x:c>
      <x:c r="H161" s="10" t="str">
        <x:v>REC00348</x:v>
      </x:c>
      <x:c r="I161" s="20" t="n">
        <x:v>107113.55</x:v>
      </x:c>
      <x:c r="J161" s="20" t="n">
        <x:v>107113.55</x:v>
      </x:c>
      <x:c r="K161" s="10" t="str">
        <x:v>Realizado</x:v>
      </x:c>
      <x:c r="L161" s="10" t="str">
        <x:v>Contas a Receber</x:v>
      </x:c>
    </x:row>
    <x:row r="162" ht="18" customHeight="1">
      <x:c r="A162" s="10" t="str">
        <x:v>MOV000950</x:v>
      </x:c>
      <x:c r="B162" s="16" t="n">
        <x:v>45393.84064866898</x:v>
      </x:c>
      <x:c r="C162" s="10" t="str">
        <x:v>EMP001</x:v>
      </x:c>
      <x:c r="D162" s="10" t="str">
        <x:v>CTA002</x:v>
      </x:c>
      <x:c r="E162" s="10" t="str">
        <x:v>Entrada</x:v>
      </x:c>
      <x:c r="F162" s="10" t="str">
        <x:v>CAT004</x:v>
      </x:c>
      <x:c r="G162" s="10" t="str">
        <x:v>Prestação de serviços</x:v>
      </x:c>
      <x:c r="H162" s="10" t="str">
        <x:v>REC00231</x:v>
      </x:c>
      <x:c r="I162" s="20" t="n">
        <x:v>4639.33</x:v>
      </x:c>
      <x:c r="J162" s="20" t="n">
        <x:v>4639.33</x:v>
      </x:c>
      <x:c r="K162" s="10" t="str">
        <x:v>Realizado</x:v>
      </x:c>
      <x:c r="L162" s="10" t="str">
        <x:v>Contas a Receber</x:v>
      </x:c>
    </x:row>
    <x:row r="163" ht="18" customHeight="1">
      <x:c r="A163" s="10" t="str">
        <x:v>MOV001144</x:v>
      </x:c>
      <x:c r="B163" s="16" t="n">
        <x:v>45394.75553861111</x:v>
      </x:c>
      <x:c r="C163" s="10" t="str">
        <x:v>EMP002</x:v>
      </x:c>
      <x:c r="D163" s="10" t="str">
        <x:v>CTA003</x:v>
      </x:c>
      <x:c r="E163" s="10" t="str">
        <x:v>Entrada</x:v>
      </x:c>
      <x:c r="F163" s="10" t="str">
        <x:v>CAT001</x:v>
      </x:c>
      <x:c r="G163" s="10" t="str">
        <x:v>Venda de produtos</x:v>
      </x:c>
      <x:c r="H163" s="10" t="str">
        <x:v>REC00476</x:v>
      </x:c>
      <x:c r="I163" s="20" t="n">
        <x:v>85565.56</x:v>
      </x:c>
      <x:c r="J163" s="20" t="n">
        <x:v>85565.56</x:v>
      </x:c>
      <x:c r="K163" s="10" t="str">
        <x:v>Realizado</x:v>
      </x:c>
      <x:c r="L163" s="10" t="str">
        <x:v>Contas a Receber</x:v>
      </x:c>
    </x:row>
    <x:row r="164" ht="18" customHeight="1">
      <x:c r="A164" s="10" t="str">
        <x:v>MOV001467</x:v>
      </x:c>
      <x:c r="B164" s="16" t="n">
        <x:v>45394.998796203705</x:v>
      </x:c>
      <x:c r="C164" s="10" t="str">
        <x:v>EMP002</x:v>
      </x:c>
      <x:c r="D164" s="10" t="str">
        <x:v>CTA004</x:v>
      </x:c>
      <x:c r="E164" s="10" t="str">
        <x:v>Entrada</x:v>
      </x:c>
      <x:c r="F164" s="10" t="str">
        <x:v>CAT004</x:v>
      </x:c>
      <x:c r="G164" s="10" t="str">
        <x:v>Venda de produtos</x:v>
      </x:c>
      <x:c r="H164" s="10" t="str">
        <x:v>REC00864</x:v>
      </x:c>
      <x:c r="I164" s="20" t="n">
        <x:v>126522.94</x:v>
      </x:c>
      <x:c r="J164" s="20" t="n">
        <x:v>126522.94</x:v>
      </x:c>
      <x:c r="K164" s="10" t="str">
        <x:v>Realizado</x:v>
      </x:c>
      <x:c r="L164" s="10" t="str">
        <x:v>Contas a Receber</x:v>
      </x:c>
    </x:row>
    <x:row r="165" ht="18" customHeight="1">
      <x:c r="A165" s="10" t="str">
        <x:v>MOV000804</x:v>
      </x:c>
      <x:c r="B165" s="16" t="n">
        <x:v>45395.521213402775</x:v>
      </x:c>
      <x:c r="C165" s="10" t="str">
        <x:v>EMP003</x:v>
      </x:c>
      <x:c r="D165" s="10" t="str">
        <x:v>CTA006</x:v>
      </x:c>
      <x:c r="E165" s="10" t="str">
        <x:v>Entrada</x:v>
      </x:c>
      <x:c r="F165" s="10" t="str">
        <x:v>CAT002</x:v>
      </x:c>
      <x:c r="G165" s="10" t="str">
        <x:v>Projeto especial</x:v>
      </x:c>
      <x:c r="H165" s="10" t="str">
        <x:v>REC00063</x:v>
      </x:c>
      <x:c r="I165" s="20" t="n">
        <x:v>44287.22</x:v>
      </x:c>
      <x:c r="J165" s="20" t="n">
        <x:v>44287.22</x:v>
      </x:c>
      <x:c r="K165" s="10" t="str">
        <x:v>Realizado</x:v>
      </x:c>
      <x:c r="L165" s="10" t="str">
        <x:v>Contas a Receber</x:v>
      </x:c>
    </x:row>
    <x:row r="166" ht="18" customHeight="1">
      <x:c r="A166" s="10" t="str">
        <x:v>MOV000351</x:v>
      </x:c>
      <x:c r="B166" s="16" t="n">
        <x:v>45395.71307931713</x:v>
      </x:c>
      <x:c r="C166" s="10" t="str">
        <x:v>EMP001</x:v>
      </x:c>
      <x:c r="D166" s="10" t="str">
        <x:v>CTA002</x:v>
      </x:c>
      <x:c r="E166" s="10" t="str">
        <x:v>Saída</x:v>
      </x:c>
      <x:c r="F166" s="10" t="str">
        <x:v>CAT014</x:v>
      </x:c>
      <x:c r="G166" s="10" t="str">
        <x:v>Despesa operacional</x:v>
      </x:c>
      <x:c r="H166" s="10" t="str">
        <x:v>PAG00406</x:v>
      </x:c>
      <x:c r="I166" s="20" t="n">
        <x:v>24475.75</x:v>
      </x:c>
      <x:c r="J166" s="20" t="n">
        <x:v>-24475.75</x:v>
      </x:c>
      <x:c r="K166" s="10" t="str">
        <x:v>Realizado</x:v>
      </x:c>
      <x:c r="L166" s="10" t="str">
        <x:v>Contas a Pagar</x:v>
      </x:c>
    </x:row>
    <x:row r="167" ht="18" customHeight="1">
      <x:c r="A167" s="10" t="str">
        <x:v>MOV000825</x:v>
      </x:c>
      <x:c r="B167" s="16" t="n">
        <x:v>45396.396971041664</x:v>
      </x:c>
      <x:c r="C167" s="10" t="str">
        <x:v>EMP002</x:v>
      </x:c>
      <x:c r="D167" s="10" t="str">
        <x:v>CTA003</x:v>
      </x:c>
      <x:c r="E167" s="10" t="str">
        <x:v>Entrada</x:v>
      </x:c>
      <x:c r="F167" s="10" t="str">
        <x:v>CAT003</x:v>
      </x:c>
      <x:c r="G167" s="10" t="str">
        <x:v>Prestação de serviços</x:v>
      </x:c>
      <x:c r="H167" s="10" t="str">
        <x:v>REC00087</x:v>
      </x:c>
      <x:c r="I167" s="20" t="n">
        <x:v>2332.47</x:v>
      </x:c>
      <x:c r="J167" s="20" t="n">
        <x:v>2332.47</x:v>
      </x:c>
      <x:c r="K167" s="10" t="str">
        <x:v>Realizado</x:v>
      </x:c>
      <x:c r="L167" s="10" t="str">
        <x:v>Contas a Receber</x:v>
      </x:c>
    </x:row>
    <x:row r="168" ht="18" customHeight="1">
      <x:c r="A168" s="10" t="str">
        <x:v>MOV001524</x:v>
      </x:c>
      <x:c r="B168" s="16" t="n">
        <x:v>45397.057119398145</x:v>
      </x:c>
      <x:c r="C168" s="10" t="str">
        <x:v>EMP002</x:v>
      </x:c>
      <x:c r="D168" s="10" t="str">
        <x:v>CTA004</x:v>
      </x:c>
      <x:c r="E168" s="10" t="str">
        <x:v>Entrada</x:v>
      </x:c>
      <x:c r="F168" s="10" t="str">
        <x:v>CAT002</x:v>
      </x:c>
      <x:c r="G168" s="10" t="str">
        <x:v>Prestação de serviços</x:v>
      </x:c>
      <x:c r="H168" s="10" t="str">
        <x:v>REC00936</x:v>
      </x:c>
      <x:c r="I168" s="20" t="n">
        <x:v>34562.73</x:v>
      </x:c>
      <x:c r="J168" s="20" t="n">
        <x:v>34562.73</x:v>
      </x:c>
      <x:c r="K168" s="10" t="str">
        <x:v>Realizado</x:v>
      </x:c>
      <x:c r="L168" s="10" t="str">
        <x:v>Contas a Receber</x:v>
      </x:c>
    </x:row>
    <x:row r="169" ht="18" customHeight="1">
      <x:c r="A169" s="10" t="str">
        <x:v>MOV000821</x:v>
      </x:c>
      <x:c r="B169" s="16" t="n">
        <x:v>45397.13489116898</x:v>
      </x:c>
      <x:c r="C169" s="10" t="str">
        <x:v>EMP001</x:v>
      </x:c>
      <x:c r="D169" s="10" t="str">
        <x:v>CTA001</x:v>
      </x:c>
      <x:c r="E169" s="10" t="str">
        <x:v>Entrada</x:v>
      </x:c>
      <x:c r="F169" s="10" t="str">
        <x:v>CAT001</x:v>
      </x:c>
      <x:c r="G169" s="10" t="str">
        <x:v>Frete faturado</x:v>
      </x:c>
      <x:c r="H169" s="10" t="str">
        <x:v>REC00082</x:v>
      </x:c>
      <x:c r="I169" s="20" t="n">
        <x:v>2463.02</x:v>
      </x:c>
      <x:c r="J169" s="20" t="n">
        <x:v>2463.02</x:v>
      </x:c>
      <x:c r="K169" s="10" t="str">
        <x:v>Realizado</x:v>
      </x:c>
      <x:c r="L169" s="10" t="str">
        <x:v>Contas a Receber</x:v>
      </x:c>
    </x:row>
    <x:row r="170" ht="18" customHeight="1">
      <x:c r="A170" s="10" t="str">
        <x:v>MOV001446</x:v>
      </x:c>
      <x:c r="B170" s="16" t="n">
        <x:v>45397.55764446759</x:v>
      </x:c>
      <x:c r="C170" s="10" t="str">
        <x:v>EMP002</x:v>
      </x:c>
      <x:c r="D170" s="10" t="str">
        <x:v>CTA003</x:v>
      </x:c>
      <x:c r="E170" s="10" t="str">
        <x:v>Entrada</x:v>
      </x:c>
      <x:c r="F170" s="10" t="str">
        <x:v>CAT002</x:v>
      </x:c>
      <x:c r="G170" s="10" t="str">
        <x:v>Venda de produtos</x:v>
      </x:c>
      <x:c r="H170" s="10" t="str">
        <x:v>REC00838</x:v>
      </x:c>
      <x:c r="I170" s="20" t="n">
        <x:v>62230.63</x:v>
      </x:c>
      <x:c r="J170" s="20" t="n">
        <x:v>62230.63</x:v>
      </x:c>
      <x:c r="K170" s="10" t="str">
        <x:v>Realizado</x:v>
      </x:c>
      <x:c r="L170" s="10" t="str">
        <x:v>Contas a Receber</x:v>
      </x:c>
    </x:row>
    <x:row r="171" ht="18" customHeight="1">
      <x:c r="A171" s="10" t="str">
        <x:v>MOV001270</x:v>
      </x:c>
      <x:c r="B171" s="16" t="n">
        <x:v>45397.55851456019</x:v>
      </x:c>
      <x:c r="C171" s="10" t="str">
        <x:v>EMP003</x:v>
      </x:c>
      <x:c r="D171" s="10" t="str">
        <x:v>CTA006</x:v>
      </x:c>
      <x:c r="E171" s="10" t="str">
        <x:v>Entrada</x:v>
      </x:c>
      <x:c r="F171" s="10" t="str">
        <x:v>CAT003</x:v>
      </x:c>
      <x:c r="G171" s="10" t="str">
        <x:v>Venda de produtos</x:v>
      </x:c>
      <x:c r="H171" s="10" t="str">
        <x:v>REC00630</x:v>
      </x:c>
      <x:c r="I171" s="20" t="n">
        <x:v>46317.67</x:v>
      </x:c>
      <x:c r="J171" s="20" t="n">
        <x:v>46317.67</x:v>
      </x:c>
      <x:c r="K171" s="10" t="str">
        <x:v>Realizado</x:v>
      </x:c>
      <x:c r="L171" s="10" t="str">
        <x:v>Contas a Receber</x:v>
      </x:c>
    </x:row>
    <x:row r="172" ht="18" customHeight="1">
      <x:c r="A172" s="10" t="str">
        <x:v>MOV001085</x:v>
      </x:c>
      <x:c r="B172" s="16" t="n">
        <x:v>45397.84581438657</x:v>
      </x:c>
      <x:c r="C172" s="10" t="str">
        <x:v>EMP002</x:v>
      </x:c>
      <x:c r="D172" s="10" t="str">
        <x:v>CTA003</x:v>
      </x:c>
      <x:c r="E172" s="10" t="str">
        <x:v>Entrada</x:v>
      </x:c>
      <x:c r="F172" s="10" t="str">
        <x:v>CAT004</x:v>
      </x:c>
      <x:c r="G172" s="10" t="str">
        <x:v>Prestação de serviços</x:v>
      </x:c>
      <x:c r="H172" s="10" t="str">
        <x:v>REC00407</x:v>
      </x:c>
      <x:c r="I172" s="20" t="n">
        <x:v>22137.75</x:v>
      </x:c>
      <x:c r="J172" s="20" t="n">
        <x:v>22137.75</x:v>
      </x:c>
      <x:c r="K172" s="10" t="str">
        <x:v>Realizado</x:v>
      </x:c>
      <x:c r="L172" s="10" t="str">
        <x:v>Contas a Receber</x:v>
      </x:c>
    </x:row>
    <x:row r="173" ht="18" customHeight="1">
      <x:c r="A173" s="10" t="str">
        <x:v>MOV000811</x:v>
      </x:c>
      <x:c r="B173" s="16" t="n">
        <x:v>45398.018047708334</x:v>
      </x:c>
      <x:c r="C173" s="10" t="str">
        <x:v>EMP002</x:v>
      </x:c>
      <x:c r="D173" s="10" t="str">
        <x:v>CTA003</x:v>
      </x:c>
      <x:c r="E173" s="10" t="str">
        <x:v>Entrada</x:v>
      </x:c>
      <x:c r="F173" s="10" t="str">
        <x:v>CAT003</x:v>
      </x:c>
      <x:c r="G173" s="10" t="str">
        <x:v>Venda de produtos</x:v>
      </x:c>
      <x:c r="H173" s="10" t="str">
        <x:v>REC00070</x:v>
      </x:c>
      <x:c r="I173" s="20" t="n">
        <x:v>122498.17</x:v>
      </x:c>
      <x:c r="J173" s="20" t="n">
        <x:v>122498.17</x:v>
      </x:c>
      <x:c r="K173" s="10" t="str">
        <x:v>Realizado</x:v>
      </x:c>
      <x:c r="L173" s="10" t="str">
        <x:v>Contas a Receber</x:v>
      </x:c>
    </x:row>
    <x:row r="174" ht="18" customHeight="1">
      <x:c r="A174" s="10" t="str">
        <x:v>MOV001076</x:v>
      </x:c>
      <x:c r="B174" s="16" t="n">
        <x:v>45400.69730811343</x:v>
      </x:c>
      <x:c r="C174" s="10" t="str">
        <x:v>EMP001</x:v>
      </x:c>
      <x:c r="D174" s="10" t="str">
        <x:v>CTA001</x:v>
      </x:c>
      <x:c r="E174" s="10" t="str">
        <x:v>Entrada</x:v>
      </x:c>
      <x:c r="F174" s="10" t="str">
        <x:v>CAT003</x:v>
      </x:c>
      <x:c r="G174" s="10" t="str">
        <x:v>Prestação de serviços</x:v>
      </x:c>
      <x:c r="H174" s="10" t="str">
        <x:v>REC00397</x:v>
      </x:c>
      <x:c r="I174" s="20" t="n">
        <x:v>32572.05</x:v>
      </x:c>
      <x:c r="J174" s="20" t="n">
        <x:v>32572.05</x:v>
      </x:c>
      <x:c r="K174" s="10" t="str">
        <x:v>Realizado</x:v>
      </x:c>
      <x:c r="L174" s="10" t="str">
        <x:v>Contas a Receber</x:v>
      </x:c>
    </x:row>
    <x:row r="175" ht="18" customHeight="1">
      <x:c r="A175" s="10" t="str">
        <x:v>MOV000144</x:v>
      </x:c>
      <x:c r="B175" s="16" t="n">
        <x:v>45400.83394133102</x:v>
      </x:c>
      <x:c r="C175" s="10" t="str">
        <x:v>EMP001</x:v>
      </x:c>
      <x:c r="D175" s="10" t="str">
        <x:v>CTA002</x:v>
      </x:c>
      <x:c r="E175" s="10" t="str">
        <x:v>Saída</x:v>
      </x:c>
      <x:c r="F175" s="10" t="str">
        <x:v>CAT018</x:v>
      </x:c>
      <x:c r="G175" s="10" t="str">
        <x:v>Contrato recorrente</x:v>
      </x:c>
      <x:c r="H175" s="10" t="str">
        <x:v>PAG00165</x:v>
      </x:c>
      <x:c r="I175" s="20" t="n">
        <x:v>14543.11</x:v>
      </x:c>
      <x:c r="J175" s="20" t="n">
        <x:v>-14543.11</x:v>
      </x:c>
      <x:c r="K175" s="10" t="str">
        <x:v>Realizado</x:v>
      </x:c>
      <x:c r="L175" s="10" t="str">
        <x:v>Contas a Pagar</x:v>
      </x:c>
    </x:row>
    <x:row r="176" ht="18" customHeight="1">
      <x:c r="A176" s="10" t="str">
        <x:v>MOV000679</x:v>
      </x:c>
      <x:c r="B176" s="16" t="n">
        <x:v>45400.859495289355</x:v>
      </x:c>
      <x:c r="C176" s="10" t="str">
        <x:v>EMP003</x:v>
      </x:c>
      <x:c r="D176" s="10" t="str">
        <x:v>CTA005</x:v>
      </x:c>
      <x:c r="E176" s="10" t="str">
        <x:v>Saída</x:v>
      </x:c>
      <x:c r="F176" s="10" t="str">
        <x:v>CAT013</x:v>
      </x:c>
      <x:c r="G176" s="10" t="str">
        <x:v>Contrato recorrente</x:v>
      </x:c>
      <x:c r="H176" s="10" t="str">
        <x:v>PAG00806</x:v>
      </x:c>
      <x:c r="I176" s="20" t="n">
        <x:v>27852.66</x:v>
      </x:c>
      <x:c r="J176" s="20" t="n">
        <x:v>-27852.66</x:v>
      </x:c>
      <x:c r="K176" s="10" t="str">
        <x:v>Realizado</x:v>
      </x:c>
      <x:c r="L176" s="10" t="str">
        <x:v>Contas a Pagar</x:v>
      </x:c>
    </x:row>
    <x:row r="177" ht="18" customHeight="1">
      <x:c r="A177" s="10" t="str">
        <x:v>MOV000396</x:v>
      </x:c>
      <x:c r="B177" s="16" t="n">
        <x:v>45401.259549236114</x:v>
      </x:c>
      <x:c r="C177" s="10" t="str">
        <x:v>EMP003</x:v>
      </x:c>
      <x:c r="D177" s="10" t="str">
        <x:v>CTA005</x:v>
      </x:c>
      <x:c r="E177" s="10" t="str">
        <x:v>Saída</x:v>
      </x:c>
      <x:c r="F177" s="10" t="str">
        <x:v>CAT011</x:v>
      </x:c>
      <x:c r="G177" s="10" t="str">
        <x:v>Prestação de serviços</x:v>
      </x:c>
      <x:c r="H177" s="10" t="str">
        <x:v>PAG00461</x:v>
      </x:c>
      <x:c r="I177" s="20" t="n">
        <x:v>65784.79</x:v>
      </x:c>
      <x:c r="J177" s="20" t="n">
        <x:v>-65784.79</x:v>
      </x:c>
      <x:c r="K177" s="10" t="str">
        <x:v>Realizado</x:v>
      </x:c>
      <x:c r="L177" s="10" t="str">
        <x:v>Contas a Pagar</x:v>
      </x:c>
    </x:row>
    <x:row r="178" ht="18" customHeight="1">
      <x:c r="A178" s="10" t="str">
        <x:v>MOV000569</x:v>
      </x:c>
      <x:c r="B178" s="16" t="n">
        <x:v>45401.55897128472</x:v>
      </x:c>
      <x:c r="C178" s="10" t="str">
        <x:v>EMP002</x:v>
      </x:c>
      <x:c r="D178" s="10" t="str">
        <x:v>CTA004</x:v>
      </x:c>
      <x:c r="E178" s="10" t="str">
        <x:v>Saída</x:v>
      </x:c>
      <x:c r="F178" s="10" t="str">
        <x:v>CAT014</x:v>
      </x:c>
      <x:c r="G178" s="10" t="str">
        <x:v>Despesa operacional</x:v>
      </x:c>
      <x:c r="H178" s="10" t="str">
        <x:v>PAG00668</x:v>
      </x:c>
      <x:c r="I178" s="20" t="n">
        <x:v>103089.87</x:v>
      </x:c>
      <x:c r="J178" s="20" t="n">
        <x:v>-103089.87</x:v>
      </x:c>
      <x:c r="K178" s="10" t="str">
        <x:v>Realizado</x:v>
      </x:c>
      <x:c r="L178" s="10" t="str">
        <x:v>Contas a Pagar</x:v>
      </x:c>
    </x:row>
    <x:row r="179" ht="18" customHeight="1">
      <x:c r="A179" s="10" t="str">
        <x:v>MOV000146</x:v>
      </x:c>
      <x:c r="B179" s="16" t="n">
        <x:v>45402.08030299769</x:v>
      </x:c>
      <x:c r="C179" s="10" t="str">
        <x:v>EMP001</x:v>
      </x:c>
      <x:c r="D179" s="10" t="str">
        <x:v>CTA002</x:v>
      </x:c>
      <x:c r="E179" s="10" t="str">
        <x:v>Saída</x:v>
      </x:c>
      <x:c r="F179" s="10" t="str">
        <x:v>CAT016</x:v>
      </x:c>
      <x:c r="G179" s="10" t="str">
        <x:v>Prestação de serviços</x:v>
      </x:c>
      <x:c r="H179" s="10" t="str">
        <x:v>PAG00168</x:v>
      </x:c>
      <x:c r="I179" s="20" t="n">
        <x:v>99145.97</x:v>
      </x:c>
      <x:c r="J179" s="20" t="n">
        <x:v>-99145.97</x:v>
      </x:c>
      <x:c r="K179" s="10" t="str">
        <x:v>Realizado</x:v>
      </x:c>
      <x:c r="L179" s="10" t="str">
        <x:v>Contas a Pagar</x:v>
      </x:c>
    </x:row>
    <x:row r="180" ht="18" customHeight="1">
      <x:c r="A180" s="10" t="str">
        <x:v>MOV000491</x:v>
      </x:c>
      <x:c r="B180" s="16" t="n">
        <x:v>45402.77236701389</x:v>
      </x:c>
      <x:c r="C180" s="10" t="str">
        <x:v>EMP003</x:v>
      </x:c>
      <x:c r="D180" s="10" t="str">
        <x:v>CTA006</x:v>
      </x:c>
      <x:c r="E180" s="10" t="str">
        <x:v>Saída</x:v>
      </x:c>
      <x:c r="F180" s="10" t="str">
        <x:v>CAT017</x:v>
      </x:c>
      <x:c r="G180" s="10" t="str">
        <x:v>Tributos e taxas</x:v>
      </x:c>
      <x:c r="H180" s="10" t="str">
        <x:v>PAG00576</x:v>
      </x:c>
      <x:c r="I180" s="20" t="n">
        <x:v>14795.97</x:v>
      </x:c>
      <x:c r="J180" s="20" t="n">
        <x:v>-14795.97</x:v>
      </x:c>
      <x:c r="K180" s="10" t="str">
        <x:v>Realizado</x:v>
      </x:c>
      <x:c r="L180" s="10" t="str">
        <x:v>Contas a Pagar</x:v>
      </x:c>
    </x:row>
    <x:row r="181" ht="18" customHeight="1">
      <x:c r="A181" s="10" t="str">
        <x:v>MOV001051</x:v>
      </x:c>
      <x:c r="B181" s="16" t="n">
        <x:v>45402.79953413195</x:v>
      </x:c>
      <x:c r="C181" s="10" t="str">
        <x:v>EMP003</x:v>
      </x:c>
      <x:c r="D181" s="10" t="str">
        <x:v>CTA006</x:v>
      </x:c>
      <x:c r="E181" s="10" t="str">
        <x:v>Entrada</x:v>
      </x:c>
      <x:c r="F181" s="10" t="str">
        <x:v>CAT002</x:v>
      </x:c>
      <x:c r="G181" s="10" t="str">
        <x:v>Contrato mensal</x:v>
      </x:c>
      <x:c r="H181" s="10" t="str">
        <x:v>REC00362</x:v>
      </x:c>
      <x:c r="I181" s="20" t="n">
        <x:v>69602.66</x:v>
      </x:c>
      <x:c r="J181" s="20" t="n">
        <x:v>69602.66</x:v>
      </x:c>
      <x:c r="K181" s="10" t="str">
        <x:v>Realizado</x:v>
      </x:c>
      <x:c r="L181" s="10" t="str">
        <x:v>Contas a Receber</x:v>
      </x:c>
    </x:row>
    <x:row r="182" ht="18" customHeight="1">
      <x:c r="A182" s="10" t="str">
        <x:v>MOV000464</x:v>
      </x:c>
      <x:c r="B182" s="16" t="n">
        <x:v>45403.26343369213</x:v>
      </x:c>
      <x:c r="C182" s="10" t="str">
        <x:v>EMP003</x:v>
      </x:c>
      <x:c r="D182" s="10" t="str">
        <x:v>CTA005</x:v>
      </x:c>
      <x:c r="E182" s="10" t="str">
        <x:v>Saída</x:v>
      </x:c>
      <x:c r="F182" s="10" t="str">
        <x:v>CAT018</x:v>
      </x:c>
      <x:c r="G182" s="10" t="str">
        <x:v>Contrato recorrente</x:v>
      </x:c>
      <x:c r="H182" s="10" t="str">
        <x:v>PAG00545</x:v>
      </x:c>
      <x:c r="I182" s="20" t="n">
        <x:v>18277.6</x:v>
      </x:c>
      <x:c r="J182" s="20" t="n">
        <x:v>-18277.6</x:v>
      </x:c>
      <x:c r="K182" s="10" t="str">
        <x:v>Realizado</x:v>
      </x:c>
      <x:c r="L182" s="10" t="str">
        <x:v>Contas a Pagar</x:v>
      </x:c>
    </x:row>
    <x:row r="183" ht="18" customHeight="1">
      <x:c r="A183" s="10" t="str">
        <x:v>MOV001445</x:v>
      </x:c>
      <x:c r="B183" s="16" t="n">
        <x:v>45403.64686020833</x:v>
      </x:c>
      <x:c r="C183" s="10" t="str">
        <x:v>EMP001</x:v>
      </x:c>
      <x:c r="D183" s="10" t="str">
        <x:v>CTA002</x:v>
      </x:c>
      <x:c r="E183" s="10" t="str">
        <x:v>Entrada</x:v>
      </x:c>
      <x:c r="F183" s="10" t="str">
        <x:v>CAT003</x:v>
      </x:c>
      <x:c r="G183" s="10" t="str">
        <x:v>Contrato mensal</x:v>
      </x:c>
      <x:c r="H183" s="10" t="str">
        <x:v>REC00837</x:v>
      </x:c>
      <x:c r="I183" s="20" t="n">
        <x:v>43474.48</x:v>
      </x:c>
      <x:c r="J183" s="20" t="n">
        <x:v>43474.48</x:v>
      </x:c>
      <x:c r="K183" s="10" t="str">
        <x:v>Realizado</x:v>
      </x:c>
      <x:c r="L183" s="10" t="str">
        <x:v>Contas a Receber</x:v>
      </x:c>
    </x:row>
    <x:row r="184" ht="18" customHeight="1">
      <x:c r="A184" s="10" t="str">
        <x:v>MOV001262</x:v>
      </x:c>
      <x:c r="B184" s="16" t="n">
        <x:v>45403.66679490741</x:v>
      </x:c>
      <x:c r="C184" s="10" t="str">
        <x:v>EMP001</x:v>
      </x:c>
      <x:c r="D184" s="10" t="str">
        <x:v>CTA002</x:v>
      </x:c>
      <x:c r="E184" s="10" t="str">
        <x:v>Entrada</x:v>
      </x:c>
      <x:c r="F184" s="10" t="str">
        <x:v>CAT003</x:v>
      </x:c>
      <x:c r="G184" s="10" t="str">
        <x:v>Venda de produtos</x:v>
      </x:c>
      <x:c r="H184" s="10" t="str">
        <x:v>REC00618</x:v>
      </x:c>
      <x:c r="I184" s="20" t="n">
        <x:v>13386.47</x:v>
      </x:c>
      <x:c r="J184" s="20" t="n">
        <x:v>13386.47</x:v>
      </x:c>
      <x:c r="K184" s="10" t="str">
        <x:v>Realizado</x:v>
      </x:c>
      <x:c r="L184" s="10" t="str">
        <x:v>Contas a Receber</x:v>
      </x:c>
    </x:row>
    <x:row r="185" ht="18" customHeight="1">
      <x:c r="A185" s="10" t="str">
        <x:v>MOV000352</x:v>
      </x:c>
      <x:c r="B185" s="16" t="n">
        <x:v>45403.92319415509</x:v>
      </x:c>
      <x:c r="C185" s="10" t="str">
        <x:v>EMP001</x:v>
      </x:c>
      <x:c r="D185" s="10" t="str">
        <x:v>CTA002</x:v>
      </x:c>
      <x:c r="E185" s="10" t="str">
        <x:v>Saída</x:v>
      </x:c>
      <x:c r="F185" s="10" t="str">
        <x:v>CAT008</x:v>
      </x:c>
      <x:c r="G185" s="10" t="str">
        <x:v>Contrato recorrente</x:v>
      </x:c>
      <x:c r="H185" s="10" t="str">
        <x:v>PAG00407</x:v>
      </x:c>
      <x:c r="I185" s="20" t="n">
        <x:v>90452.28</x:v>
      </x:c>
      <x:c r="J185" s="20" t="n">
        <x:v>-90452.28</x:v>
      </x:c>
      <x:c r="K185" s="10" t="str">
        <x:v>Realizado</x:v>
      </x:c>
      <x:c r="L185" s="10" t="str">
        <x:v>Contas a Pagar</x:v>
      </x:c>
    </x:row>
    <x:row r="186" ht="18" customHeight="1">
      <x:c r="A186" s="10" t="str">
        <x:v>MOV000551</x:v>
      </x:c>
      <x:c r="B186" s="16" t="n">
        <x:v>45403.96179054398</x:v>
      </x:c>
      <x:c r="C186" s="10" t="str">
        <x:v>EMP001</x:v>
      </x:c>
      <x:c r="D186" s="10" t="str">
        <x:v>CTA001</x:v>
      </x:c>
      <x:c r="E186" s="10" t="str">
        <x:v>Saída</x:v>
      </x:c>
      <x:c r="F186" s="10" t="str">
        <x:v>CAT008</x:v>
      </x:c>
      <x:c r="G186" s="10" t="str">
        <x:v>Compra de materiais</x:v>
      </x:c>
      <x:c r="H186" s="10" t="str">
        <x:v>PAG00645</x:v>
      </x:c>
      <x:c r="I186" s="20" t="n">
        <x:v>1291.1</x:v>
      </x:c>
      <x:c r="J186" s="20" t="n">
        <x:v>-1291.1</x:v>
      </x:c>
      <x:c r="K186" s="10" t="str">
        <x:v>Realizado</x:v>
      </x:c>
      <x:c r="L186" s="10" t="str">
        <x:v>Contas a Pagar</x:v>
      </x:c>
    </x:row>
    <x:row r="187" ht="18" customHeight="1">
      <x:c r="A187" s="10" t="str">
        <x:v>MOV001323</x:v>
      </x:c>
      <x:c r="B187" s="16" t="n">
        <x:v>45404.01512494213</x:v>
      </x:c>
      <x:c r="C187" s="10" t="str">
        <x:v>EMP003</x:v>
      </x:c>
      <x:c r="D187" s="10" t="str">
        <x:v>CTA006</x:v>
      </x:c>
      <x:c r="E187" s="10" t="str">
        <x:v>Entrada</x:v>
      </x:c>
      <x:c r="F187" s="10" t="str">
        <x:v>CAT002</x:v>
      </x:c>
      <x:c r="G187" s="10" t="str">
        <x:v>Contrato mensal</x:v>
      </x:c>
      <x:c r="H187" s="10" t="str">
        <x:v>REC00687</x:v>
      </x:c>
      <x:c r="I187" s="20" t="n">
        <x:v>9289.55</x:v>
      </x:c>
      <x:c r="J187" s="20" t="n">
        <x:v>9289.55</x:v>
      </x:c>
      <x:c r="K187" s="10" t="str">
        <x:v>Realizado</x:v>
      </x:c>
      <x:c r="L187" s="10" t="str">
        <x:v>Contas a Receber</x:v>
      </x:c>
    </x:row>
    <x:row r="188" ht="18" customHeight="1">
      <x:c r="A188" s="10" t="str">
        <x:v>MOV001464</x:v>
      </x:c>
      <x:c r="B188" s="16" t="n">
        <x:v>45404.12223013889</x:v>
      </x:c>
      <x:c r="C188" s="10" t="str">
        <x:v>EMP001</x:v>
      </x:c>
      <x:c r="D188" s="10" t="str">
        <x:v>CTA002</x:v>
      </x:c>
      <x:c r="E188" s="10" t="str">
        <x:v>Entrada</x:v>
      </x:c>
      <x:c r="F188" s="10" t="str">
        <x:v>CAT004</x:v>
      </x:c>
      <x:c r="G188" s="10" t="str">
        <x:v>Projeto especial</x:v>
      </x:c>
      <x:c r="H188" s="10" t="str">
        <x:v>REC00861</x:v>
      </x:c>
      <x:c r="I188" s="20" t="n">
        <x:v>1161.23</x:v>
      </x:c>
      <x:c r="J188" s="20" t="n">
        <x:v>1161.23</x:v>
      </x:c>
      <x:c r="K188" s="10" t="str">
        <x:v>Realizado</x:v>
      </x:c>
      <x:c r="L188" s="10" t="str">
        <x:v>Contas a Receber</x:v>
      </x:c>
    </x:row>
    <x:row r="189" ht="18" customHeight="1">
      <x:c r="A189" s="10" t="str">
        <x:v>MOV000145</x:v>
      </x:c>
      <x:c r="B189" s="16" t="n">
        <x:v>45404.32086136574</x:v>
      </x:c>
      <x:c r="C189" s="10" t="str">
        <x:v>EMP002</x:v>
      </x:c>
      <x:c r="D189" s="10" t="str">
        <x:v>CTA004</x:v>
      </x:c>
      <x:c r="E189" s="10" t="str">
        <x:v>Saída</x:v>
      </x:c>
      <x:c r="F189" s="10" t="str">
        <x:v>CAT017</x:v>
      </x:c>
      <x:c r="G189" s="10" t="str">
        <x:v>Prestação de serviços</x:v>
      </x:c>
      <x:c r="H189" s="10" t="str">
        <x:v>PAG00166</x:v>
      </x:c>
      <x:c r="I189" s="20" t="n">
        <x:v>35524.31</x:v>
      </x:c>
      <x:c r="J189" s="20" t="n">
        <x:v>-35524.31</x:v>
      </x:c>
      <x:c r="K189" s="10" t="str">
        <x:v>Realizado</x:v>
      </x:c>
      <x:c r="L189" s="10" t="str">
        <x:v>Contas a Pagar</x:v>
      </x:c>
    </x:row>
    <x:row r="190" ht="18" customHeight="1">
      <x:c r="A190" s="10" t="str">
        <x:v>MOV000902</x:v>
      </x:c>
      <x:c r="B190" s="16" t="n">
        <x:v>45404.60216126157</x:v>
      </x:c>
      <x:c r="C190" s="10" t="str">
        <x:v>EMP001</x:v>
      </x:c>
      <x:c r="D190" s="10" t="str">
        <x:v>CTA002</x:v>
      </x:c>
      <x:c r="E190" s="10" t="str">
        <x:v>Entrada</x:v>
      </x:c>
      <x:c r="F190" s="10" t="str">
        <x:v>CAT001</x:v>
      </x:c>
      <x:c r="G190" s="10" t="str">
        <x:v>Contrato mensal</x:v>
      </x:c>
      <x:c r="H190" s="10" t="str">
        <x:v>REC00179</x:v>
      </x:c>
      <x:c r="I190" s="20" t="n">
        <x:v>14042.15</x:v>
      </x:c>
      <x:c r="J190" s="20" t="n">
        <x:v>14042.15</x:v>
      </x:c>
      <x:c r="K190" s="10" t="str">
        <x:v>Realizado</x:v>
      </x:c>
      <x:c r="L190" s="10" t="str">
        <x:v>Contas a Receber</x:v>
      </x:c>
    </x:row>
    <x:row r="191" ht="18" customHeight="1">
      <x:c r="A191" s="10" t="str">
        <x:v>MOV000317</x:v>
      </x:c>
      <x:c r="B191" s="16" t="n">
        <x:v>45404.88262077546</x:v>
      </x:c>
      <x:c r="C191" s="10" t="str">
        <x:v>EMP002</x:v>
      </x:c>
      <x:c r="D191" s="10" t="str">
        <x:v>CTA003</x:v>
      </x:c>
      <x:c r="E191" s="10" t="str">
        <x:v>Saída</x:v>
      </x:c>
      <x:c r="F191" s="10" t="str">
        <x:v>CAT016</x:v>
      </x:c>
      <x:c r="G191" s="10" t="str">
        <x:v>Despesa operacional</x:v>
      </x:c>
      <x:c r="H191" s="10" t="str">
        <x:v>PAG00367</x:v>
      </x:c>
      <x:c r="I191" s="20" t="n">
        <x:v>69654.39</x:v>
      </x:c>
      <x:c r="J191" s="20" t="n">
        <x:v>-69654.39</x:v>
      </x:c>
      <x:c r="K191" s="10" t="str">
        <x:v>Realizado</x:v>
      </x:c>
      <x:c r="L191" s="10" t="str">
        <x:v>Contas a Pagar</x:v>
      </x:c>
    </x:row>
    <x:row r="192" ht="18" customHeight="1">
      <x:c r="A192" s="10" t="str">
        <x:v>MOV000834</x:v>
      </x:c>
      <x:c r="B192" s="16" t="n">
        <x:v>45405.29524965278</x:v>
      </x:c>
      <x:c r="C192" s="10" t="str">
        <x:v>EMP001</x:v>
      </x:c>
      <x:c r="D192" s="10" t="str">
        <x:v>CTA002</x:v>
      </x:c>
      <x:c r="E192" s="10" t="str">
        <x:v>Entrada</x:v>
      </x:c>
      <x:c r="F192" s="10" t="str">
        <x:v>CAT004</x:v>
      </x:c>
      <x:c r="G192" s="10" t="str">
        <x:v>Contrato mensal</x:v>
      </x:c>
      <x:c r="H192" s="10" t="str">
        <x:v>REC00099</x:v>
      </x:c>
      <x:c r="I192" s="20" t="n">
        <x:v>45974.08</x:v>
      </x:c>
      <x:c r="J192" s="20" t="n">
        <x:v>45974.08</x:v>
      </x:c>
      <x:c r="K192" s="10" t="str">
        <x:v>Realizado</x:v>
      </x:c>
      <x:c r="L192" s="10" t="str">
        <x:v>Contas a Receber</x:v>
      </x:c>
    </x:row>
    <x:row r="193" ht="18" customHeight="1">
      <x:c r="A193" s="10" t="str">
        <x:v>MOV001153</x:v>
      </x:c>
      <x:c r="B193" s="16" t="n">
        <x:v>45406.52053069444</x:v>
      </x:c>
      <x:c r="C193" s="10" t="str">
        <x:v>EMP003</x:v>
      </x:c>
      <x:c r="D193" s="10" t="str">
        <x:v>CTA006</x:v>
      </x:c>
      <x:c r="E193" s="10" t="str">
        <x:v>Entrada</x:v>
      </x:c>
      <x:c r="F193" s="10" t="str">
        <x:v>CAT003</x:v>
      </x:c>
      <x:c r="G193" s="10" t="str">
        <x:v>Prestação de serviços</x:v>
      </x:c>
      <x:c r="H193" s="10" t="str">
        <x:v>REC00486</x:v>
      </x:c>
      <x:c r="I193" s="20" t="n">
        <x:v>118933.33</x:v>
      </x:c>
      <x:c r="J193" s="20" t="n">
        <x:v>118933.33</x:v>
      </x:c>
      <x:c r="K193" s="10" t="str">
        <x:v>Realizado</x:v>
      </x:c>
      <x:c r="L193" s="10" t="str">
        <x:v>Contas a Receber</x:v>
      </x:c>
    </x:row>
    <x:row r="194" ht="18" customHeight="1">
      <x:c r="A194" s="10" t="str">
        <x:v>MOV001561</x:v>
      </x:c>
      <x:c r="B194" s="16" t="n">
        <x:v>45406.54854494213</x:v>
      </x:c>
      <x:c r="C194" s="10" t="str">
        <x:v>EMP002</x:v>
      </x:c>
      <x:c r="D194" s="10" t="str">
        <x:v>CTA004</x:v>
      </x:c>
      <x:c r="E194" s="10" t="str">
        <x:v>Entrada</x:v>
      </x:c>
      <x:c r="F194" s="10" t="str">
        <x:v>CAT003</x:v>
      </x:c>
      <x:c r="G194" s="10" t="str">
        <x:v>Contrato mensal</x:v>
      </x:c>
      <x:c r="H194" s="10" t="str">
        <x:v>REC00981</x:v>
      </x:c>
      <x:c r="I194" s="20" t="n">
        <x:v>128403.43</x:v>
      </x:c>
      <x:c r="J194" s="20" t="n">
        <x:v>128403.43</x:v>
      </x:c>
      <x:c r="K194" s="10" t="str">
        <x:v>Realizado</x:v>
      </x:c>
      <x:c r="L194" s="10" t="str">
        <x:v>Contas a Receber</x:v>
      </x:c>
    </x:row>
    <x:row r="195" ht="18" customHeight="1">
      <x:c r="A195" s="10" t="str">
        <x:v>MOV001200</x:v>
      </x:c>
      <x:c r="B195" s="16" t="n">
        <x:v>45406.81162207176</x:v>
      </x:c>
      <x:c r="C195" s="10" t="str">
        <x:v>EMP001</x:v>
      </x:c>
      <x:c r="D195" s="10" t="str">
        <x:v>CTA002</x:v>
      </x:c>
      <x:c r="E195" s="10" t="str">
        <x:v>Entrada</x:v>
      </x:c>
      <x:c r="F195" s="10" t="str">
        <x:v>CAT004</x:v>
      </x:c>
      <x:c r="G195" s="10" t="str">
        <x:v>Venda de produtos</x:v>
      </x:c>
      <x:c r="H195" s="10" t="str">
        <x:v>REC00544</x:v>
      </x:c>
      <x:c r="I195" s="20" t="n">
        <x:v>3395.94</x:v>
      </x:c>
      <x:c r="J195" s="20" t="n">
        <x:v>3395.94</x:v>
      </x:c>
      <x:c r="K195" s="10" t="str">
        <x:v>Realizado</x:v>
      </x:c>
      <x:c r="L195" s="10" t="str">
        <x:v>Contas a Receber</x:v>
      </x:c>
    </x:row>
    <x:row r="196" ht="18" customHeight="1">
      <x:c r="A196" s="10" t="str">
        <x:v>MOV000843</x:v>
      </x:c>
      <x:c r="B196" s="16" t="n">
        <x:v>45406.90143559028</x:v>
      </x:c>
      <x:c r="C196" s="10" t="str">
        <x:v>EMP003</x:v>
      </x:c>
      <x:c r="D196" s="10" t="str">
        <x:v>CTA005</x:v>
      </x:c>
      <x:c r="E196" s="10" t="str">
        <x:v>Entrada</x:v>
      </x:c>
      <x:c r="F196" s="10" t="str">
        <x:v>CAT003</x:v>
      </x:c>
      <x:c r="G196" s="10" t="str">
        <x:v>Prestação de serviços</x:v>
      </x:c>
      <x:c r="H196" s="10" t="str">
        <x:v>REC00110</x:v>
      </x:c>
      <x:c r="I196" s="20" t="n">
        <x:v>7094.87</x:v>
      </x:c>
      <x:c r="J196" s="20" t="n">
        <x:v>7094.87</x:v>
      </x:c>
      <x:c r="K196" s="10" t="str">
        <x:v>Realizado</x:v>
      </x:c>
      <x:c r="L196" s="10" t="str">
        <x:v>Contas a Receber</x:v>
      </x:c>
    </x:row>
    <x:row r="197" ht="18" customHeight="1">
      <x:c r="A197" s="10" t="str">
        <x:v>MOV000276</x:v>
      </x:c>
      <x:c r="B197" s="16" t="n">
        <x:v>45406.967908032406</x:v>
      </x:c>
      <x:c r="C197" s="10" t="str">
        <x:v>EMP002</x:v>
      </x:c>
      <x:c r="D197" s="10" t="str">
        <x:v>CTA003</x:v>
      </x:c>
      <x:c r="E197" s="10" t="str">
        <x:v>Saída</x:v>
      </x:c>
      <x:c r="F197" s="10" t="str">
        <x:v>CAT016</x:v>
      </x:c>
      <x:c r="G197" s="10" t="str">
        <x:v>Despesa operacional</x:v>
      </x:c>
      <x:c r="H197" s="10" t="str">
        <x:v>PAG00320</x:v>
      </x:c>
      <x:c r="I197" s="20" t="n">
        <x:v>43405.63</x:v>
      </x:c>
      <x:c r="J197" s="20" t="n">
        <x:v>-43405.63</x:v>
      </x:c>
      <x:c r="K197" s="10" t="str">
        <x:v>Realizado</x:v>
      </x:c>
      <x:c r="L197" s="10" t="str">
        <x:v>Contas a Pagar</x:v>
      </x:c>
    </x:row>
    <x:row r="198" ht="18" customHeight="1">
      <x:c r="A198" s="10" t="str">
        <x:v>MOV001156</x:v>
      </x:c>
      <x:c r="B198" s="16" t="n">
        <x:v>45407.11592534722</x:v>
      </x:c>
      <x:c r="C198" s="10" t="str">
        <x:v>EMP001</x:v>
      </x:c>
      <x:c r="D198" s="10" t="str">
        <x:v>CTA001</x:v>
      </x:c>
      <x:c r="E198" s="10" t="str">
        <x:v>Entrada</x:v>
      </x:c>
      <x:c r="F198" s="10" t="str">
        <x:v>CAT003</x:v>
      </x:c>
      <x:c r="G198" s="10" t="str">
        <x:v>Frete faturado</x:v>
      </x:c>
      <x:c r="H198" s="10" t="str">
        <x:v>REC00489</x:v>
      </x:c>
      <x:c r="I198" s="20" t="n">
        <x:v>58687.23</x:v>
      </x:c>
      <x:c r="J198" s="20" t="n">
        <x:v>58687.23</x:v>
      </x:c>
      <x:c r="K198" s="10" t="str">
        <x:v>Realizado</x:v>
      </x:c>
      <x:c r="L198" s="10" t="str">
        <x:v>Contas a Receber</x:v>
      </x:c>
    </x:row>
    <x:row r="199" ht="18" customHeight="1">
      <x:c r="A199" s="10" t="str">
        <x:v>MOV001083</x:v>
      </x:c>
      <x:c r="B199" s="16" t="n">
        <x:v>45407.18496850695</x:v>
      </x:c>
      <x:c r="C199" s="10" t="str">
        <x:v>EMP002</x:v>
      </x:c>
      <x:c r="D199" s="10" t="str">
        <x:v>CTA003</x:v>
      </x:c>
      <x:c r="E199" s="10" t="str">
        <x:v>Entrada</x:v>
      </x:c>
      <x:c r="F199" s="10" t="str">
        <x:v>CAT003</x:v>
      </x:c>
      <x:c r="G199" s="10" t="str">
        <x:v>Projeto especial</x:v>
      </x:c>
      <x:c r="H199" s="10" t="str">
        <x:v>REC00404</x:v>
      </x:c>
      <x:c r="I199" s="20" t="n">
        <x:v>40690.54</x:v>
      </x:c>
      <x:c r="J199" s="20" t="n">
        <x:v>40690.54</x:v>
      </x:c>
      <x:c r="K199" s="10" t="str">
        <x:v>Realizado</x:v>
      </x:c>
      <x:c r="L199" s="10" t="str">
        <x:v>Contas a Receber</x:v>
      </x:c>
    </x:row>
    <x:row r="200" ht="18" customHeight="1">
      <x:c r="A200" s="10" t="str">
        <x:v>MOV000432</x:v>
      </x:c>
      <x:c r="B200" s="16" t="n">
        <x:v>45407.220966064815</x:v>
      </x:c>
      <x:c r="C200" s="10" t="str">
        <x:v>EMP001</x:v>
      </x:c>
      <x:c r="D200" s="10" t="str">
        <x:v>CTA002</x:v>
      </x:c>
      <x:c r="E200" s="10" t="str">
        <x:v>Saída</x:v>
      </x:c>
      <x:c r="F200" s="10" t="str">
        <x:v>CAT018</x:v>
      </x:c>
      <x:c r="G200" s="10" t="str">
        <x:v>Despesa operacional</x:v>
      </x:c>
      <x:c r="H200" s="10" t="str">
        <x:v>PAG00505</x:v>
      </x:c>
      <x:c r="I200" s="20" t="n">
        <x:v>20536.08</x:v>
      </x:c>
      <x:c r="J200" s="20" t="n">
        <x:v>-20536.08</x:v>
      </x:c>
      <x:c r="K200" s="10" t="str">
        <x:v>Realizado</x:v>
      </x:c>
      <x:c r="L200" s="10" t="str">
        <x:v>Contas a Pagar</x:v>
      </x:c>
    </x:row>
    <x:row r="201" ht="18" customHeight="1">
      <x:c r="A201" s="10" t="str">
        <x:v>MOV000948</x:v>
      </x:c>
      <x:c r="B201" s="16" t="n">
        <x:v>45407.576849791665</x:v>
      </x:c>
      <x:c r="C201" s="10" t="str">
        <x:v>EMP001</x:v>
      </x:c>
      <x:c r="D201" s="10" t="str">
        <x:v>CTA002</x:v>
      </x:c>
      <x:c r="E201" s="10" t="str">
        <x:v>Entrada</x:v>
      </x:c>
      <x:c r="F201" s="10" t="str">
        <x:v>CAT004</x:v>
      </x:c>
      <x:c r="G201" s="10" t="str">
        <x:v>Projeto especial</x:v>
      </x:c>
      <x:c r="H201" s="10" t="str">
        <x:v>REC00229</x:v>
      </x:c>
      <x:c r="I201" s="20" t="n">
        <x:v>67407.51</x:v>
      </x:c>
      <x:c r="J201" s="20" t="n">
        <x:v>67407.51</x:v>
      </x:c>
      <x:c r="K201" s="10" t="str">
        <x:v>Realizado</x:v>
      </x:c>
      <x:c r="L201" s="10" t="str">
        <x:v>Contas a Receber</x:v>
      </x:c>
    </x:row>
    <x:row r="202" ht="18" customHeight="1">
      <x:c r="A202" s="10" t="str">
        <x:v>MOV000207</x:v>
      </x:c>
      <x:c r="B202" s="16" t="n">
        <x:v>45408.06366854167</x:v>
      </x:c>
      <x:c r="C202" s="10" t="str">
        <x:v>EMP002</x:v>
      </x:c>
      <x:c r="D202" s="10" t="str">
        <x:v>CTA004</x:v>
      </x:c>
      <x:c r="E202" s="10" t="str">
        <x:v>Saída</x:v>
      </x:c>
      <x:c r="F202" s="10" t="str">
        <x:v>CAT014</x:v>
      </x:c>
      <x:c r="G202" s="10" t="str">
        <x:v>Tributos e taxas</x:v>
      </x:c>
      <x:c r="H202" s="10" t="str">
        <x:v>PAG00241</x:v>
      </x:c>
      <x:c r="I202" s="20" t="n">
        <x:v>107133.08</x:v>
      </x:c>
      <x:c r="J202" s="20" t="n">
        <x:v>-107133.08</x:v>
      </x:c>
      <x:c r="K202" s="10" t="str">
        <x:v>Realizado</x:v>
      </x:c>
      <x:c r="L202" s="10" t="str">
        <x:v>Contas a Pagar</x:v>
      </x:c>
    </x:row>
    <x:row r="203" ht="18" customHeight="1">
      <x:c r="A203" s="10" t="str">
        <x:v>MOV000624</x:v>
      </x:c>
      <x:c r="B203" s="16" t="n">
        <x:v>45408.31696909722</x:v>
      </x:c>
      <x:c r="C203" s="10" t="str">
        <x:v>EMP003</x:v>
      </x:c>
      <x:c r="D203" s="10" t="str">
        <x:v>CTA006</x:v>
      </x:c>
      <x:c r="E203" s="10" t="str">
        <x:v>Saída</x:v>
      </x:c>
      <x:c r="F203" s="10" t="str">
        <x:v>CAT007</x:v>
      </x:c>
      <x:c r="G203" s="10" t="str">
        <x:v>Tributos e taxas</x:v>
      </x:c>
      <x:c r="H203" s="10" t="str">
        <x:v>PAG00741</x:v>
      </x:c>
      <x:c r="I203" s="20" t="n">
        <x:v>38997.69</x:v>
      </x:c>
      <x:c r="J203" s="20" t="n">
        <x:v>-38997.69</x:v>
      </x:c>
      <x:c r="K203" s="10" t="str">
        <x:v>Realizado</x:v>
      </x:c>
      <x:c r="L203" s="10" t="str">
        <x:v>Contas a Pagar</x:v>
      </x:c>
    </x:row>
    <x:row r="204" ht="18" customHeight="1">
      <x:c r="A204" s="10" t="str">
        <x:v>MOV000475</x:v>
      </x:c>
      <x:c r="B204" s="16" t="n">
        <x:v>45408.421385601854</x:v>
      </x:c>
      <x:c r="C204" s="10" t="str">
        <x:v>EMP001</x:v>
      </x:c>
      <x:c r="D204" s="10" t="str">
        <x:v>CTA002</x:v>
      </x:c>
      <x:c r="E204" s="10" t="str">
        <x:v>Saída</x:v>
      </x:c>
      <x:c r="F204" s="10" t="str">
        <x:v>CAT014</x:v>
      </x:c>
      <x:c r="G204" s="10" t="str">
        <x:v>Despesa operacional</x:v>
      </x:c>
      <x:c r="H204" s="10" t="str">
        <x:v>PAG00557</x:v>
      </x:c>
      <x:c r="I204" s="20" t="n">
        <x:v>2763.98</x:v>
      </x:c>
      <x:c r="J204" s="20" t="n">
        <x:v>-2763.98</x:v>
      </x:c>
      <x:c r="K204" s="10" t="str">
        <x:v>Realizado</x:v>
      </x:c>
      <x:c r="L204" s="10" t="str">
        <x:v>Contas a Pagar</x:v>
      </x:c>
    </x:row>
    <x:row r="205" ht="18" customHeight="1">
      <x:c r="A205" s="10" t="str">
        <x:v>MOV000299</x:v>
      </x:c>
      <x:c r="B205" s="16" t="n">
        <x:v>45408.433538171295</x:v>
      </x:c>
      <x:c r="C205" s="10" t="str">
        <x:v>EMP002</x:v>
      </x:c>
      <x:c r="D205" s="10" t="str">
        <x:v>CTA003</x:v>
      </x:c>
      <x:c r="E205" s="10" t="str">
        <x:v>Saída</x:v>
      </x:c>
      <x:c r="F205" s="10" t="str">
        <x:v>CAT007</x:v>
      </x:c>
      <x:c r="G205" s="10" t="str">
        <x:v>Tributos e taxas</x:v>
      </x:c>
      <x:c r="H205" s="10" t="str">
        <x:v>PAG00347</x:v>
      </x:c>
      <x:c r="I205" s="20" t="n">
        <x:v>4410.77</x:v>
      </x:c>
      <x:c r="J205" s="20" t="n">
        <x:v>-4410.77</x:v>
      </x:c>
      <x:c r="K205" s="10" t="str">
        <x:v>Realizado</x:v>
      </x:c>
      <x:c r="L205" s="10" t="str">
        <x:v>Contas a Pagar</x:v>
      </x:c>
    </x:row>
    <x:row r="206" ht="18" customHeight="1">
      <x:c r="A206" s="10" t="str">
        <x:v>MOV001567</x:v>
      </x:c>
      <x:c r="B206" s="16" t="n">
        <x:v>45408.66190003472</x:v>
      </x:c>
      <x:c r="C206" s="10" t="str">
        <x:v>EMP002</x:v>
      </x:c>
      <x:c r="D206" s="10" t="str">
        <x:v>CTA003</x:v>
      </x:c>
      <x:c r="E206" s="10" t="str">
        <x:v>Entrada</x:v>
      </x:c>
      <x:c r="F206" s="10" t="str">
        <x:v>CAT003</x:v>
      </x:c>
      <x:c r="G206" s="10" t="str">
        <x:v>Venda de produtos</x:v>
      </x:c>
      <x:c r="H206" s="10" t="str">
        <x:v>REC00988</x:v>
      </x:c>
      <x:c r="I206" s="20" t="n">
        <x:v>6252.8</x:v>
      </x:c>
      <x:c r="J206" s="20" t="n">
        <x:v>6252.8</x:v>
      </x:c>
      <x:c r="K206" s="10" t="str">
        <x:v>Realizado</x:v>
      </x:c>
      <x:c r="L206" s="10" t="str">
        <x:v>Contas a Receber</x:v>
      </x:c>
    </x:row>
    <x:row r="207" ht="18" customHeight="1">
      <x:c r="A207" s="10" t="str">
        <x:v>MOV001249</x:v>
      </x:c>
      <x:c r="B207" s="16" t="n">
        <x:v>45409.36058266204</x:v>
      </x:c>
      <x:c r="C207" s="10" t="str">
        <x:v>EMP003</x:v>
      </x:c>
      <x:c r="D207" s="10" t="str">
        <x:v>CTA006</x:v>
      </x:c>
      <x:c r="E207" s="10" t="str">
        <x:v>Entrada</x:v>
      </x:c>
      <x:c r="F207" s="10" t="str">
        <x:v>CAT003</x:v>
      </x:c>
      <x:c r="G207" s="10" t="str">
        <x:v>Projeto especial</x:v>
      </x:c>
      <x:c r="H207" s="10" t="str">
        <x:v>REC00602</x:v>
      </x:c>
      <x:c r="I207" s="20" t="n">
        <x:v>101579.51</x:v>
      </x:c>
      <x:c r="J207" s="20" t="n">
        <x:v>101579.51</x:v>
      </x:c>
      <x:c r="K207" s="10" t="str">
        <x:v>Realizado</x:v>
      </x:c>
      <x:c r="L207" s="10" t="str">
        <x:v>Contas a Receber</x:v>
      </x:c>
    </x:row>
    <x:row r="208" ht="18" customHeight="1">
      <x:c r="A208" s="10" t="str">
        <x:v>MOV000481</x:v>
      </x:c>
      <x:c r="B208" s="16" t="n">
        <x:v>45409.83104486111</x:v>
      </x:c>
      <x:c r="C208" s="10" t="str">
        <x:v>EMP003</x:v>
      </x:c>
      <x:c r="D208" s="10" t="str">
        <x:v>CTA005</x:v>
      </x:c>
      <x:c r="E208" s="10" t="str">
        <x:v>Saída</x:v>
      </x:c>
      <x:c r="F208" s="10" t="str">
        <x:v>CAT013</x:v>
      </x:c>
      <x:c r="G208" s="10" t="str">
        <x:v>Compra de materiais</x:v>
      </x:c>
      <x:c r="H208" s="10" t="str">
        <x:v>PAG00565</x:v>
      </x:c>
      <x:c r="I208" s="20" t="n">
        <x:v>859.14</x:v>
      </x:c>
      <x:c r="J208" s="20" t="n">
        <x:v>-859.14</x:v>
      </x:c>
      <x:c r="K208" s="10" t="str">
        <x:v>Realizado</x:v>
      </x:c>
      <x:c r="L208" s="10" t="str">
        <x:v>Contas a Pagar</x:v>
      </x:c>
    </x:row>
    <x:row r="209" ht="18" customHeight="1">
      <x:c r="A209" s="10" t="str">
        <x:v>MOV001271</x:v>
      </x:c>
      <x:c r="B209" s="16" t="n">
        <x:v>45410.62534472222</x:v>
      </x:c>
      <x:c r="C209" s="10" t="str">
        <x:v>EMP001</x:v>
      </x:c>
      <x:c r="D209" s="10" t="str">
        <x:v>CTA001</x:v>
      </x:c>
      <x:c r="E209" s="10" t="str">
        <x:v>Entrada</x:v>
      </x:c>
      <x:c r="F209" s="10" t="str">
        <x:v>CAT002</x:v>
      </x:c>
      <x:c r="G209" s="10" t="str">
        <x:v>Venda de produtos</x:v>
      </x:c>
      <x:c r="H209" s="10" t="str">
        <x:v>REC00631</x:v>
      </x:c>
      <x:c r="I209" s="20" t="n">
        <x:v>106729.33</x:v>
      </x:c>
      <x:c r="J209" s="20" t="n">
        <x:v>106729.33</x:v>
      </x:c>
      <x:c r="K209" s="10" t="str">
        <x:v>Realizado</x:v>
      </x:c>
      <x:c r="L209" s="10" t="str">
        <x:v>Contas a Receber</x:v>
      </x:c>
    </x:row>
    <x:row r="210" ht="18" customHeight="1">
      <x:c r="A210" s="10" t="str">
        <x:v>MOV000755</x:v>
      </x:c>
      <x:c r="B210" s="16" t="n">
        <x:v>45410.88319515046</x:v>
      </x:c>
      <x:c r="C210" s="10" t="str">
        <x:v>EMP003</x:v>
      </x:c>
      <x:c r="D210" s="10" t="str">
        <x:v>CTA006</x:v>
      </x:c>
      <x:c r="E210" s="10" t="str">
        <x:v>Saída</x:v>
      </x:c>
      <x:c r="F210" s="10" t="str">
        <x:v>CAT016</x:v>
      </x:c>
      <x:c r="G210" s="10" t="str">
        <x:v>Prestação de serviços</x:v>
      </x:c>
      <x:c r="H210" s="10" t="str">
        <x:v>PAG00897</x:v>
      </x:c>
      <x:c r="I210" s="20" t="n">
        <x:v>3629.02</x:v>
      </x:c>
      <x:c r="J210" s="20" t="n">
        <x:v>-3629.02</x:v>
      </x:c>
      <x:c r="K210" s="10" t="str">
        <x:v>Realizado</x:v>
      </x:c>
      <x:c r="L210" s="10" t="str">
        <x:v>Contas a Pagar</x:v>
      </x:c>
    </x:row>
    <x:row r="211" ht="18" customHeight="1">
      <x:c r="A211" s="10" t="str">
        <x:v>MOV000150</x:v>
      </x:c>
      <x:c r="B211" s="16" t="n">
        <x:v>45411.13485603009</x:v>
      </x:c>
      <x:c r="C211" s="10" t="str">
        <x:v>EMP002</x:v>
      </x:c>
      <x:c r="D211" s="10" t="str">
        <x:v>CTA004</x:v>
      </x:c>
      <x:c r="E211" s="10" t="str">
        <x:v>Saída</x:v>
      </x:c>
      <x:c r="F211" s="10" t="str">
        <x:v>CAT011</x:v>
      </x:c>
      <x:c r="G211" s="10" t="str">
        <x:v>Tributos e taxas</x:v>
      </x:c>
      <x:c r="H211" s="10" t="str">
        <x:v>PAG00173</x:v>
      </x:c>
      <x:c r="I211" s="20" t="n">
        <x:v>62424.26</x:v>
      </x:c>
      <x:c r="J211" s="20" t="n">
        <x:v>-62424.26</x:v>
      </x:c>
      <x:c r="K211" s="10" t="str">
        <x:v>Realizado</x:v>
      </x:c>
      <x:c r="L211" s="10" t="str">
        <x:v>Contas a Pagar</x:v>
      </x:c>
    </x:row>
    <x:row r="212" ht="18" customHeight="1">
      <x:c r="A212" s="10" t="str">
        <x:v>MOV000108</x:v>
      </x:c>
      <x:c r="B212" s="16" t="n">
        <x:v>45411.14072599537</x:v>
      </x:c>
      <x:c r="C212" s="10" t="str">
        <x:v>EMP003</x:v>
      </x:c>
      <x:c r="D212" s="10" t="str">
        <x:v>CTA005</x:v>
      </x:c>
      <x:c r="E212" s="10" t="str">
        <x:v>Saída</x:v>
      </x:c>
      <x:c r="F212" s="10" t="str">
        <x:v>CAT017</x:v>
      </x:c>
      <x:c r="G212" s="10" t="str">
        <x:v>Prestação de serviços</x:v>
      </x:c>
      <x:c r="H212" s="10" t="str">
        <x:v>PAG00122</x:v>
      </x:c>
      <x:c r="I212" s="20" t="n">
        <x:v>16430.21</x:v>
      </x:c>
      <x:c r="J212" s="20" t="n">
        <x:v>-16430.21</x:v>
      </x:c>
      <x:c r="K212" s="10" t="str">
        <x:v>Realizado</x:v>
      </x:c>
      <x:c r="L212" s="10" t="str">
        <x:v>Contas a Pagar</x:v>
      </x:c>
    </x:row>
    <x:row r="213" ht="18" customHeight="1">
      <x:c r="A213" s="10" t="str">
        <x:v>MOV000079</x:v>
      </x:c>
      <x:c r="B213" s="16" t="n">
        <x:v>45411.15603037037</x:v>
      </x:c>
      <x:c r="C213" s="10" t="str">
        <x:v>EMP001</x:v>
      </x:c>
      <x:c r="D213" s="10" t="str">
        <x:v>CTA001</x:v>
      </x:c>
      <x:c r="E213" s="10" t="str">
        <x:v>Saída</x:v>
      </x:c>
      <x:c r="F213" s="10" t="str">
        <x:v>CAT009</x:v>
      </x:c>
      <x:c r="G213" s="10" t="str">
        <x:v>Compra de materiais</x:v>
      </x:c>
      <x:c r="H213" s="10" t="str">
        <x:v>PAG00089</x:v>
      </x:c>
      <x:c r="I213" s="20" t="n">
        <x:v>13989.52</x:v>
      </x:c>
      <x:c r="J213" s="20" t="n">
        <x:v>-13989.52</x:v>
      </x:c>
      <x:c r="K213" s="10" t="str">
        <x:v>Realizado</x:v>
      </x:c>
      <x:c r="L213" s="10" t="str">
        <x:v>Contas a Pagar</x:v>
      </x:c>
    </x:row>
    <x:row r="214" ht="18" customHeight="1">
      <x:c r="A214" s="10" t="str">
        <x:v>MOV001564</x:v>
      </x:c>
      <x:c r="B214" s="16" t="n">
        <x:v>45411.609763113425</x:v>
      </x:c>
      <x:c r="C214" s="10" t="str">
        <x:v>EMP003</x:v>
      </x:c>
      <x:c r="D214" s="10" t="str">
        <x:v>CTA006</x:v>
      </x:c>
      <x:c r="E214" s="10" t="str">
        <x:v>Entrada</x:v>
      </x:c>
      <x:c r="F214" s="10" t="str">
        <x:v>CAT004</x:v>
      </x:c>
      <x:c r="G214" s="10" t="str">
        <x:v>Frete faturado</x:v>
      </x:c>
      <x:c r="H214" s="10" t="str">
        <x:v>REC00985</x:v>
      </x:c>
      <x:c r="I214" s="20" t="n">
        <x:v>118057.16</x:v>
      </x:c>
      <x:c r="J214" s="20" t="n">
        <x:v>118057.16</x:v>
      </x:c>
      <x:c r="K214" s="10" t="str">
        <x:v>Realizado</x:v>
      </x:c>
      <x:c r="L214" s="10" t="str">
        <x:v>Contas a Receber</x:v>
      </x:c>
    </x:row>
    <x:row r="215" ht="18" customHeight="1">
      <x:c r="A215" s="10" t="str">
        <x:v>MOV001552</x:v>
      </x:c>
      <x:c r="B215" s="16" t="n">
        <x:v>45412.00610196759</x:v>
      </x:c>
      <x:c r="C215" s="10" t="str">
        <x:v>EMP002</x:v>
      </x:c>
      <x:c r="D215" s="10" t="str">
        <x:v>CTA004</x:v>
      </x:c>
      <x:c r="E215" s="10" t="str">
        <x:v>Entrada</x:v>
      </x:c>
      <x:c r="F215" s="10" t="str">
        <x:v>CAT001</x:v>
      </x:c>
      <x:c r="G215" s="10" t="str">
        <x:v>Contrato mensal</x:v>
      </x:c>
      <x:c r="H215" s="10" t="str">
        <x:v>REC00969</x:v>
      </x:c>
      <x:c r="I215" s="20" t="n">
        <x:v>10154.74</x:v>
      </x:c>
      <x:c r="J215" s="20" t="n">
        <x:v>10154.74</x:v>
      </x:c>
      <x:c r="K215" s="10" t="str">
        <x:v>Realizado</x:v>
      </x:c>
      <x:c r="L215" s="10" t="str">
        <x:v>Contas a Receber</x:v>
      </x:c>
    </x:row>
    <x:row r="216" ht="18" customHeight="1">
      <x:c r="A216" s="10" t="str">
        <x:v>MOV000202</x:v>
      </x:c>
      <x:c r="B216" s="16" t="n">
        <x:v>45412.233485717596</x:v>
      </x:c>
      <x:c r="C216" s="10" t="str">
        <x:v>EMP002</x:v>
      </x:c>
      <x:c r="D216" s="10" t="str">
        <x:v>CTA003</x:v>
      </x:c>
      <x:c r="E216" s="10" t="str">
        <x:v>Saída</x:v>
      </x:c>
      <x:c r="F216" s="10" t="str">
        <x:v>CAT013</x:v>
      </x:c>
      <x:c r="G216" s="10" t="str">
        <x:v>Tributos e taxas</x:v>
      </x:c>
      <x:c r="H216" s="10" t="str">
        <x:v>PAG00236</x:v>
      </x:c>
      <x:c r="I216" s="20" t="n">
        <x:v>86065.82</x:v>
      </x:c>
      <x:c r="J216" s="20" t="n">
        <x:v>-86065.82</x:v>
      </x:c>
      <x:c r="K216" s="10" t="str">
        <x:v>Realizado</x:v>
      </x:c>
      <x:c r="L216" s="10" t="str">
        <x:v>Contas a Pagar</x:v>
      </x:c>
    </x:row>
    <x:row r="217" ht="18" customHeight="1">
      <x:c r="A217" s="10" t="str">
        <x:v>MOV001434</x:v>
      </x:c>
      <x:c r="B217" s="16" t="n">
        <x:v>45412.52865862269</x:v>
      </x:c>
      <x:c r="C217" s="10" t="str">
        <x:v>EMP001</x:v>
      </x:c>
      <x:c r="D217" s="10" t="str">
        <x:v>CTA001</x:v>
      </x:c>
      <x:c r="E217" s="10" t="str">
        <x:v>Entrada</x:v>
      </x:c>
      <x:c r="F217" s="10" t="str">
        <x:v>CAT001</x:v>
      </x:c>
      <x:c r="G217" s="10" t="str">
        <x:v>Venda de produtos</x:v>
      </x:c>
      <x:c r="H217" s="10" t="str">
        <x:v>REC00824</x:v>
      </x:c>
      <x:c r="I217" s="20" t="n">
        <x:v>14913.77</x:v>
      </x:c>
      <x:c r="J217" s="20" t="n">
        <x:v>14913.77</x:v>
      </x:c>
      <x:c r="K217" s="10" t="str">
        <x:v>Realizado</x:v>
      </x:c>
      <x:c r="L217" s="10" t="str">
        <x:v>Contas a Receber</x:v>
      </x:c>
    </x:row>
    <x:row r="218" ht="18" customHeight="1">
      <x:c r="A218" s="10" t="str">
        <x:v>MOV001616</x:v>
      </x:c>
      <x:c r="B218" s="16" t="n">
        <x:v>45412.742711516206</x:v>
      </x:c>
      <x:c r="C218" s="10" t="str">
        <x:v>EMP003</x:v>
      </x:c>
      <x:c r="D218" s="10" t="str">
        <x:v>CTA005</x:v>
      </x:c>
      <x:c r="E218" s="10" t="str">
        <x:v>Entrada</x:v>
      </x:c>
      <x:c r="F218" s="10" t="str">
        <x:v>CAT001</x:v>
      </x:c>
      <x:c r="G218" s="10" t="str">
        <x:v>Venda de produtos</x:v>
      </x:c>
      <x:c r="H218" s="10" t="str">
        <x:v>REC01045</x:v>
      </x:c>
      <x:c r="I218" s="20" t="n">
        <x:v>96168.21</x:v>
      </x:c>
      <x:c r="J218" s="20" t="n">
        <x:v>96168.21</x:v>
      </x:c>
      <x:c r="K218" s="10" t="str">
        <x:v>Realizado</x:v>
      </x:c>
      <x:c r="L218" s="10" t="str">
        <x:v>Contas a Receber</x:v>
      </x:c>
    </x:row>
    <x:row r="219" ht="18" customHeight="1">
      <x:c r="A219" s="10" t="str">
        <x:v>MOV000863</x:v>
      </x:c>
      <x:c r="B219" s="16" t="n">
        <x:v>45412.96212119213</x:v>
      </x:c>
      <x:c r="C219" s="10" t="str">
        <x:v>EMP002</x:v>
      </x:c>
      <x:c r="D219" s="10" t="str">
        <x:v>CTA003</x:v>
      </x:c>
      <x:c r="E219" s="10" t="str">
        <x:v>Entrada</x:v>
      </x:c>
      <x:c r="F219" s="10" t="str">
        <x:v>CAT002</x:v>
      </x:c>
      <x:c r="G219" s="10" t="str">
        <x:v>Prestação de serviços</x:v>
      </x:c>
      <x:c r="H219" s="10" t="str">
        <x:v>REC00133</x:v>
      </x:c>
      <x:c r="I219" s="20" t="n">
        <x:v>26102.35</x:v>
      </x:c>
      <x:c r="J219" s="20" t="n">
        <x:v>26102.35</x:v>
      </x:c>
      <x:c r="K219" s="10" t="str">
        <x:v>Realizado</x:v>
      </x:c>
      <x:c r="L219" s="10" t="str">
        <x:v>Contas a Receber</x:v>
      </x:c>
    </x:row>
    <x:row r="220" ht="18" customHeight="1">
      <x:c r="A220" s="10" t="str">
        <x:v>MOV001206</x:v>
      </x:c>
      <x:c r="B220" s="16" t="n">
        <x:v>45413.94323802083</x:v>
      </x:c>
      <x:c r="C220" s="10" t="str">
        <x:v>EMP002</x:v>
      </x:c>
      <x:c r="D220" s="10" t="str">
        <x:v>CTA003</x:v>
      </x:c>
      <x:c r="E220" s="10" t="str">
        <x:v>Entrada</x:v>
      </x:c>
      <x:c r="F220" s="10" t="str">
        <x:v>CAT003</x:v>
      </x:c>
      <x:c r="G220" s="10" t="str">
        <x:v>Contrato mensal</x:v>
      </x:c>
      <x:c r="H220" s="10" t="str">
        <x:v>REC00551</x:v>
      </x:c>
      <x:c r="I220" s="20" t="n">
        <x:v>31578.02</x:v>
      </x:c>
      <x:c r="J220" s="20" t="n">
        <x:v>31578.02</x:v>
      </x:c>
      <x:c r="K220" s="10" t="str">
        <x:v>Realizado</x:v>
      </x:c>
      <x:c r="L220" s="10" t="str">
        <x:v>Contas a Receber</x:v>
      </x:c>
    </x:row>
    <x:row r="221" ht="18" customHeight="1">
      <x:c r="A221" s="10" t="str">
        <x:v>MOV001354</x:v>
      </x:c>
      <x:c r="B221" s="16" t="n">
        <x:v>45414.222743969905</x:v>
      </x:c>
      <x:c r="C221" s="10" t="str">
        <x:v>EMP001</x:v>
      </x:c>
      <x:c r="D221" s="10" t="str">
        <x:v>CTA002</x:v>
      </x:c>
      <x:c r="E221" s="10" t="str">
        <x:v>Entrada</x:v>
      </x:c>
      <x:c r="F221" s="10" t="str">
        <x:v>CAT003</x:v>
      </x:c>
      <x:c r="G221" s="10" t="str">
        <x:v>Projeto especial</x:v>
      </x:c>
      <x:c r="H221" s="10" t="str">
        <x:v>REC00723</x:v>
      </x:c>
      <x:c r="I221" s="20" t="n">
        <x:v>60621.8</x:v>
      </x:c>
      <x:c r="J221" s="20" t="n">
        <x:v>60621.8</x:v>
      </x:c>
      <x:c r="K221" s="10" t="str">
        <x:v>Realizado</x:v>
      </x:c>
      <x:c r="L221" s="10" t="str">
        <x:v>Contas a Receber</x:v>
      </x:c>
    </x:row>
    <x:row r="222" ht="18" customHeight="1">
      <x:c r="A222" s="10" t="str">
        <x:v>MOV000671</x:v>
      </x:c>
      <x:c r="B222" s="16" t="n">
        <x:v>45415.37805204861</x:v>
      </x:c>
      <x:c r="C222" s="10" t="str">
        <x:v>EMP002</x:v>
      </x:c>
      <x:c r="D222" s="10" t="str">
        <x:v>CTA004</x:v>
      </x:c>
      <x:c r="E222" s="10" t="str">
        <x:v>Saída</x:v>
      </x:c>
      <x:c r="F222" s="10" t="str">
        <x:v>CAT014</x:v>
      </x:c>
      <x:c r="G222" s="10" t="str">
        <x:v>Contrato recorrente</x:v>
      </x:c>
      <x:c r="H222" s="10" t="str">
        <x:v>PAG00798</x:v>
      </x:c>
      <x:c r="I222" s="20" t="n">
        <x:v>110993.02</x:v>
      </x:c>
      <x:c r="J222" s="20" t="n">
        <x:v>-110993.02</x:v>
      </x:c>
      <x:c r="K222" s="10" t="str">
        <x:v>Realizado</x:v>
      </x:c>
      <x:c r="L222" s="10" t="str">
        <x:v>Contas a Pagar</x:v>
      </x:c>
    </x:row>
    <x:row r="223" ht="18" customHeight="1">
      <x:c r="A223" s="10" t="str">
        <x:v>MOV000623</x:v>
      </x:c>
      <x:c r="B223" s="16" t="n">
        <x:v>45415.39424579861</x:v>
      </x:c>
      <x:c r="C223" s="10" t="str">
        <x:v>EMP002</x:v>
      </x:c>
      <x:c r="D223" s="10" t="str">
        <x:v>CTA004</x:v>
      </x:c>
      <x:c r="E223" s="10" t="str">
        <x:v>Saída</x:v>
      </x:c>
      <x:c r="F223" s="10" t="str">
        <x:v>CAT009</x:v>
      </x:c>
      <x:c r="G223" s="10" t="str">
        <x:v>Tributos e taxas</x:v>
      </x:c>
      <x:c r="H223" s="10" t="str">
        <x:v>PAG00739</x:v>
      </x:c>
      <x:c r="I223" s="20" t="n">
        <x:v>56726.16</x:v>
      </x:c>
      <x:c r="J223" s="20" t="n">
        <x:v>-56726.16</x:v>
      </x:c>
      <x:c r="K223" s="10" t="str">
        <x:v>Realizado</x:v>
      </x:c>
      <x:c r="L223" s="10" t="str">
        <x:v>Contas a Pagar</x:v>
      </x:c>
    </x:row>
    <x:row r="224" ht="18" customHeight="1">
      <x:c r="A224" s="10" t="str">
        <x:v>MOV000985</x:v>
      </x:c>
      <x:c r="B224" s="16" t="n">
        <x:v>45415.42149114583</x:v>
      </x:c>
      <x:c r="C224" s="10" t="str">
        <x:v>EMP001</x:v>
      </x:c>
      <x:c r="D224" s="10" t="str">
        <x:v>CTA001</x:v>
      </x:c>
      <x:c r="E224" s="10" t="str">
        <x:v>Entrada</x:v>
      </x:c>
      <x:c r="F224" s="10" t="str">
        <x:v>CAT003</x:v>
      </x:c>
      <x:c r="G224" s="10" t="str">
        <x:v>Frete faturado</x:v>
      </x:c>
      <x:c r="H224" s="10" t="str">
        <x:v>REC00281</x:v>
      </x:c>
      <x:c r="I224" s="20" t="n">
        <x:v>6680.58</x:v>
      </x:c>
      <x:c r="J224" s="20" t="n">
        <x:v>6680.58</x:v>
      </x:c>
      <x:c r="K224" s="10" t="str">
        <x:v>Realizado</x:v>
      </x:c>
      <x:c r="L224" s="10" t="str">
        <x:v>Contas a Receber</x:v>
      </x:c>
    </x:row>
    <x:row r="225" ht="18" customHeight="1">
      <x:c r="A225" s="10" t="str">
        <x:v>MOV001639</x:v>
      </x:c>
      <x:c r="B225" s="16" t="n">
        <x:v>45416.1904919213</x:v>
      </x:c>
      <x:c r="C225" s="10" t="str">
        <x:v>EMP001</x:v>
      </x:c>
      <x:c r="D225" s="10" t="str">
        <x:v>CTA001</x:v>
      </x:c>
      <x:c r="E225" s="10" t="str">
        <x:v>Entrada</x:v>
      </x:c>
      <x:c r="F225" s="10" t="str">
        <x:v>CAT002</x:v>
      </x:c>
      <x:c r="G225" s="10" t="str">
        <x:v>Frete faturado</x:v>
      </x:c>
      <x:c r="H225" s="10" t="str">
        <x:v>REC01074</x:v>
      </x:c>
      <x:c r="I225" s="20" t="n">
        <x:v>2135.61</x:v>
      </x:c>
      <x:c r="J225" s="20" t="n">
        <x:v>2135.61</x:v>
      </x:c>
      <x:c r="K225" s="10" t="str">
        <x:v>Realizado</x:v>
      </x:c>
      <x:c r="L225" s="10" t="str">
        <x:v>Contas a Receber</x:v>
      </x:c>
    </x:row>
    <x:row r="226" ht="18" customHeight="1">
      <x:c r="A226" s="10" t="str">
        <x:v>MOV000208</x:v>
      </x:c>
      <x:c r="B226" s="16" t="n">
        <x:v>45416.92326606481</x:v>
      </x:c>
      <x:c r="C226" s="10" t="str">
        <x:v>EMP002</x:v>
      </x:c>
      <x:c r="D226" s="10" t="str">
        <x:v>CTA004</x:v>
      </x:c>
      <x:c r="E226" s="10" t="str">
        <x:v>Saída</x:v>
      </x:c>
      <x:c r="F226" s="10" t="str">
        <x:v>CAT005</x:v>
      </x:c>
      <x:c r="G226" s="10" t="str">
        <x:v>Prestação de serviços</x:v>
      </x:c>
      <x:c r="H226" s="10" t="str">
        <x:v>PAG00242</x:v>
      </x:c>
      <x:c r="I226" s="20" t="n">
        <x:v>6877.25</x:v>
      </x:c>
      <x:c r="J226" s="20" t="n">
        <x:v>-6877.25</x:v>
      </x:c>
      <x:c r="K226" s="10" t="str">
        <x:v>Realizado</x:v>
      </x:c>
      <x:c r="L226" s="10" t="str">
        <x:v>Contas a Pagar</x:v>
      </x:c>
    </x:row>
    <x:row r="227" ht="18" customHeight="1">
      <x:c r="A227" s="10" t="str">
        <x:v>MOV000940</x:v>
      </x:c>
      <x:c r="B227" s="16" t="n">
        <x:v>45417.15729210648</x:v>
      </x:c>
      <x:c r="C227" s="10" t="str">
        <x:v>EMP003</x:v>
      </x:c>
      <x:c r="D227" s="10" t="str">
        <x:v>CTA006</x:v>
      </x:c>
      <x:c r="E227" s="10" t="str">
        <x:v>Entrada</x:v>
      </x:c>
      <x:c r="F227" s="10" t="str">
        <x:v>CAT003</x:v>
      </x:c>
      <x:c r="G227" s="10" t="str">
        <x:v>Frete faturado</x:v>
      </x:c>
      <x:c r="H227" s="10" t="str">
        <x:v>REC00221</x:v>
      </x:c>
      <x:c r="I227" s="20" t="n">
        <x:v>142456.89</x:v>
      </x:c>
      <x:c r="J227" s="20" t="n">
        <x:v>142456.89</x:v>
      </x:c>
      <x:c r="K227" s="10" t="str">
        <x:v>Realizado</x:v>
      </x:c>
      <x:c r="L227" s="10" t="str">
        <x:v>Contas a Receber</x:v>
      </x:c>
    </x:row>
    <x:row r="228" ht="18" customHeight="1">
      <x:c r="A228" s="10" t="str">
        <x:v>MOV000325</x:v>
      </x:c>
      <x:c r="B228" s="16" t="n">
        <x:v>45417.774208055554</x:v>
      </x:c>
      <x:c r="C228" s="10" t="str">
        <x:v>EMP001</x:v>
      </x:c>
      <x:c r="D228" s="10" t="str">
        <x:v>CTA002</x:v>
      </x:c>
      <x:c r="E228" s="10" t="str">
        <x:v>Saída</x:v>
      </x:c>
      <x:c r="F228" s="10" t="str">
        <x:v>CAT017</x:v>
      </x:c>
      <x:c r="G228" s="10" t="str">
        <x:v>Contrato recorrente</x:v>
      </x:c>
      <x:c r="H228" s="10" t="str">
        <x:v>PAG00378</x:v>
      </x:c>
      <x:c r="I228" s="20" t="n">
        <x:v>107117.73</x:v>
      </x:c>
      <x:c r="J228" s="20" t="n">
        <x:v>-107117.73</x:v>
      </x:c>
      <x:c r="K228" s="10" t="str">
        <x:v>Realizado</x:v>
      </x:c>
      <x:c r="L228" s="10" t="str">
        <x:v>Contas a Pagar</x:v>
      </x:c>
    </x:row>
    <x:row r="229" ht="18" customHeight="1">
      <x:c r="A229" s="10" t="str">
        <x:v>MOV000603</x:v>
      </x:c>
      <x:c r="B229" s="16" t="n">
        <x:v>45418.50840599537</x:v>
      </x:c>
      <x:c r="C229" s="10" t="str">
        <x:v>EMP002</x:v>
      </x:c>
      <x:c r="D229" s="10" t="str">
        <x:v>CTA003</x:v>
      </x:c>
      <x:c r="E229" s="10" t="str">
        <x:v>Saída</x:v>
      </x:c>
      <x:c r="F229" s="10" t="str">
        <x:v>CAT018</x:v>
      </x:c>
      <x:c r="G229" s="10" t="str">
        <x:v>Contrato recorrente</x:v>
      </x:c>
      <x:c r="H229" s="10" t="str">
        <x:v>PAG00714</x:v>
      </x:c>
      <x:c r="I229" s="20" t="n">
        <x:v>75529.11</x:v>
      </x:c>
      <x:c r="J229" s="20" t="n">
        <x:v>-75529.11</x:v>
      </x:c>
      <x:c r="K229" s="10" t="str">
        <x:v>Realizado</x:v>
      </x:c>
      <x:c r="L229" s="10" t="str">
        <x:v>Contas a Pagar</x:v>
      </x:c>
    </x:row>
    <x:row r="230" ht="18" customHeight="1">
      <x:c r="A230" s="10" t="str">
        <x:v>MOV001343</x:v>
      </x:c>
      <x:c r="B230" s="16" t="n">
        <x:v>45418.71514193287</x:v>
      </x:c>
      <x:c r="C230" s="10" t="str">
        <x:v>EMP003</x:v>
      </x:c>
      <x:c r="D230" s="10" t="str">
        <x:v>CTA006</x:v>
      </x:c>
      <x:c r="E230" s="10" t="str">
        <x:v>Entrada</x:v>
      </x:c>
      <x:c r="F230" s="10" t="str">
        <x:v>CAT002</x:v>
      </x:c>
      <x:c r="G230" s="10" t="str">
        <x:v>Venda de produtos</x:v>
      </x:c>
      <x:c r="H230" s="10" t="str">
        <x:v>REC00710</x:v>
      </x:c>
      <x:c r="I230" s="20" t="n">
        <x:v>7743.44</x:v>
      </x:c>
      <x:c r="J230" s="20" t="n">
        <x:v>7743.44</x:v>
      </x:c>
      <x:c r="K230" s="10" t="str">
        <x:v>Realizado</x:v>
      </x:c>
      <x:c r="L230" s="10" t="str">
        <x:v>Contas a Receber</x:v>
      </x:c>
    </x:row>
    <x:row r="231" ht="18" customHeight="1">
      <x:c r="A231" s="10" t="str">
        <x:v>MOV001395</x:v>
      </x:c>
      <x:c r="B231" s="16" t="n">
        <x:v>45419.27236016204</x:v>
      </x:c>
      <x:c r="C231" s="10" t="str">
        <x:v>EMP001</x:v>
      </x:c>
      <x:c r="D231" s="10" t="str">
        <x:v>CTA001</x:v>
      </x:c>
      <x:c r="E231" s="10" t="str">
        <x:v>Entrada</x:v>
      </x:c>
      <x:c r="F231" s="10" t="str">
        <x:v>CAT001</x:v>
      </x:c>
      <x:c r="G231" s="10" t="str">
        <x:v>Prestação de serviços</x:v>
      </x:c>
      <x:c r="H231" s="10" t="str">
        <x:v>REC00775</x:v>
      </x:c>
      <x:c r="I231" s="20" t="n">
        <x:v>13307.05</x:v>
      </x:c>
      <x:c r="J231" s="20" t="n">
        <x:v>13307.05</x:v>
      </x:c>
      <x:c r="K231" s="10" t="str">
        <x:v>Realizado</x:v>
      </x:c>
      <x:c r="L231" s="10" t="str">
        <x:v>Contas a Receber</x:v>
      </x:c>
    </x:row>
    <x:row r="232" ht="18" customHeight="1">
      <x:c r="A232" s="10" t="str">
        <x:v>MOV000038</x:v>
      </x:c>
      <x:c r="B232" s="16" t="n">
        <x:v>45420.55076493056</x:v>
      </x:c>
      <x:c r="C232" s="10" t="str">
        <x:v>EMP002</x:v>
      </x:c>
      <x:c r="D232" s="10" t="str">
        <x:v>CTA004</x:v>
      </x:c>
      <x:c r="E232" s="10" t="str">
        <x:v>Saída</x:v>
      </x:c>
      <x:c r="F232" s="10" t="str">
        <x:v>CAT011</x:v>
      </x:c>
      <x:c r="G232" s="10" t="str">
        <x:v>Tributos e taxas</x:v>
      </x:c>
      <x:c r="H232" s="10" t="str">
        <x:v>PAG00038</x:v>
      </x:c>
      <x:c r="I232" s="20" t="n">
        <x:v>6504.1</x:v>
      </x:c>
      <x:c r="J232" s="20" t="n">
        <x:v>-6504.1</x:v>
      </x:c>
      <x:c r="K232" s="10" t="str">
        <x:v>Realizado</x:v>
      </x:c>
      <x:c r="L232" s="10" t="str">
        <x:v>Contas a Pagar</x:v>
      </x:c>
    </x:row>
    <x:row r="233" ht="18" customHeight="1">
      <x:c r="A233" s="10" t="str">
        <x:v>MOV000926</x:v>
      </x:c>
      <x:c r="B233" s="16" t="n">
        <x:v>45420.79689212963</x:v>
      </x:c>
      <x:c r="C233" s="10" t="str">
        <x:v>EMP002</x:v>
      </x:c>
      <x:c r="D233" s="10" t="str">
        <x:v>CTA004</x:v>
      </x:c>
      <x:c r="E233" s="10" t="str">
        <x:v>Entrada</x:v>
      </x:c>
      <x:c r="F233" s="10" t="str">
        <x:v>CAT002</x:v>
      </x:c>
      <x:c r="G233" s="10" t="str">
        <x:v>Contrato mensal</x:v>
      </x:c>
      <x:c r="H233" s="10" t="str">
        <x:v>REC00204</x:v>
      </x:c>
      <x:c r="I233" s="20" t="n">
        <x:v>122629.23</x:v>
      </x:c>
      <x:c r="J233" s="20" t="n">
        <x:v>122629.23</x:v>
      </x:c>
      <x:c r="K233" s="10" t="str">
        <x:v>Realizado</x:v>
      </x:c>
      <x:c r="L233" s="10" t="str">
        <x:v>Contas a Receber</x:v>
      </x:c>
    </x:row>
    <x:row r="234" ht="18" customHeight="1">
      <x:c r="A234" s="10" t="str">
        <x:v>MOV001379</x:v>
      </x:c>
      <x:c r="B234" s="16" t="n">
        <x:v>45421.55357326389</x:v>
      </x:c>
      <x:c r="C234" s="10" t="str">
        <x:v>EMP001</x:v>
      </x:c>
      <x:c r="D234" s="10" t="str">
        <x:v>CTA002</x:v>
      </x:c>
      <x:c r="E234" s="10" t="str">
        <x:v>Entrada</x:v>
      </x:c>
      <x:c r="F234" s="10" t="str">
        <x:v>CAT002</x:v>
      </x:c>
      <x:c r="G234" s="10" t="str">
        <x:v>Contrato mensal</x:v>
      </x:c>
      <x:c r="H234" s="10" t="str">
        <x:v>REC00752</x:v>
      </x:c>
      <x:c r="I234" s="20" t="n">
        <x:v>4816.44</x:v>
      </x:c>
      <x:c r="J234" s="20" t="n">
        <x:v>4816.44</x:v>
      </x:c>
      <x:c r="K234" s="10" t="str">
        <x:v>Realizado</x:v>
      </x:c>
      <x:c r="L234" s="10" t="str">
        <x:v>Contas a Receber</x:v>
      </x:c>
    </x:row>
    <x:row r="235" ht="18" customHeight="1">
      <x:c r="A235" s="10" t="str">
        <x:v>MOV000560</x:v>
      </x:c>
      <x:c r="B235" s="16" t="n">
        <x:v>45421.60710380787</x:v>
      </x:c>
      <x:c r="C235" s="10" t="str">
        <x:v>EMP003</x:v>
      </x:c>
      <x:c r="D235" s="10" t="str">
        <x:v>CTA006</x:v>
      </x:c>
      <x:c r="E235" s="10" t="str">
        <x:v>Saída</x:v>
      </x:c>
      <x:c r="F235" s="10" t="str">
        <x:v>CAT012</x:v>
      </x:c>
      <x:c r="G235" s="10" t="str">
        <x:v>Despesa operacional</x:v>
      </x:c>
      <x:c r="H235" s="10" t="str">
        <x:v>PAG00656</x:v>
      </x:c>
      <x:c r="I235" s="20" t="n">
        <x:v>39927.92</x:v>
      </x:c>
      <x:c r="J235" s="20" t="n">
        <x:v>-39927.92</x:v>
      </x:c>
      <x:c r="K235" s="10" t="str">
        <x:v>Realizado</x:v>
      </x:c>
      <x:c r="L235" s="10" t="str">
        <x:v>Contas a Pagar</x:v>
      </x:c>
    </x:row>
    <x:row r="236" ht="18" customHeight="1">
      <x:c r="A236" s="10" t="str">
        <x:v>MOV000127</x:v>
      </x:c>
      <x:c r="B236" s="16" t="n">
        <x:v>45421.72362070602</x:v>
      </x:c>
      <x:c r="C236" s="10" t="str">
        <x:v>EMP001</x:v>
      </x:c>
      <x:c r="D236" s="10" t="str">
        <x:v>CTA002</x:v>
      </x:c>
      <x:c r="E236" s="10" t="str">
        <x:v>Saída</x:v>
      </x:c>
      <x:c r="F236" s="10" t="str">
        <x:v>CAT014</x:v>
      </x:c>
      <x:c r="G236" s="10" t="str">
        <x:v>Compra de materiais</x:v>
      </x:c>
      <x:c r="H236" s="10" t="str">
        <x:v>PAG00147</x:v>
      </x:c>
      <x:c r="I236" s="20" t="n">
        <x:v>74144.5</x:v>
      </x:c>
      <x:c r="J236" s="20" t="n">
        <x:v>-74144.5</x:v>
      </x:c>
      <x:c r="K236" s="10" t="str">
        <x:v>Realizado</x:v>
      </x:c>
      <x:c r="L236" s="10" t="str">
        <x:v>Contas a Pagar</x:v>
      </x:c>
    </x:row>
    <x:row r="237" ht="18" customHeight="1">
      <x:c r="A237" s="10" t="str">
        <x:v>MOV000370</x:v>
      </x:c>
      <x:c r="B237" s="16" t="n">
        <x:v>45421.74351619213</x:v>
      </x:c>
      <x:c r="C237" s="10" t="str">
        <x:v>EMP003</x:v>
      </x:c>
      <x:c r="D237" s="10" t="str">
        <x:v>CTA006</x:v>
      </x:c>
      <x:c r="E237" s="10" t="str">
        <x:v>Saída</x:v>
      </x:c>
      <x:c r="F237" s="10" t="str">
        <x:v>CAT017</x:v>
      </x:c>
      <x:c r="G237" s="10" t="str">
        <x:v>Contrato recorrente</x:v>
      </x:c>
      <x:c r="H237" s="10" t="str">
        <x:v>PAG00430</x:v>
      </x:c>
      <x:c r="I237" s="20" t="n">
        <x:v>21343.97</x:v>
      </x:c>
      <x:c r="J237" s="20" t="n">
        <x:v>-21343.97</x:v>
      </x:c>
      <x:c r="K237" s="10" t="str">
        <x:v>Realizado</x:v>
      </x:c>
      <x:c r="L237" s="10" t="str">
        <x:v>Contas a Pagar</x:v>
      </x:c>
    </x:row>
    <x:row r="238" ht="18" customHeight="1">
      <x:c r="A238" s="10" t="str">
        <x:v>MOV000928</x:v>
      </x:c>
      <x:c r="B238" s="16" t="n">
        <x:v>45421.768533055554</x:v>
      </x:c>
      <x:c r="C238" s="10" t="str">
        <x:v>EMP001</x:v>
      </x:c>
      <x:c r="D238" s="10" t="str">
        <x:v>CTA001</x:v>
      </x:c>
      <x:c r="E238" s="10" t="str">
        <x:v>Entrada</x:v>
      </x:c>
      <x:c r="F238" s="10" t="str">
        <x:v>CAT004</x:v>
      </x:c>
      <x:c r="G238" s="10" t="str">
        <x:v>Venda de produtos</x:v>
      </x:c>
      <x:c r="H238" s="10" t="str">
        <x:v>REC00207</x:v>
      </x:c>
      <x:c r="I238" s="20" t="n">
        <x:v>4927.14</x:v>
      </x:c>
      <x:c r="J238" s="20" t="n">
        <x:v>4927.14</x:v>
      </x:c>
      <x:c r="K238" s="10" t="str">
        <x:v>Realizado</x:v>
      </x:c>
      <x:c r="L238" s="10" t="str">
        <x:v>Contas a Receber</x:v>
      </x:c>
    </x:row>
    <x:row r="239" ht="18" customHeight="1">
      <x:c r="A239" s="10" t="str">
        <x:v>MOV001021</x:v>
      </x:c>
      <x:c r="B239" s="16" t="n">
        <x:v>45422.48527046297</x:v>
      </x:c>
      <x:c r="C239" s="10" t="str">
        <x:v>EMP001</x:v>
      </x:c>
      <x:c r="D239" s="10" t="str">
        <x:v>CTA001</x:v>
      </x:c>
      <x:c r="E239" s="10" t="str">
        <x:v>Entrada</x:v>
      </x:c>
      <x:c r="F239" s="10" t="str">
        <x:v>CAT001</x:v>
      </x:c>
      <x:c r="G239" s="10" t="str">
        <x:v>Projeto especial</x:v>
      </x:c>
      <x:c r="H239" s="10" t="str">
        <x:v>REC00325</x:v>
      </x:c>
      <x:c r="I239" s="20" t="n">
        <x:v>49266.97</x:v>
      </x:c>
      <x:c r="J239" s="20" t="n">
        <x:v>49266.97</x:v>
      </x:c>
      <x:c r="K239" s="10" t="str">
        <x:v>Realizado</x:v>
      </x:c>
      <x:c r="L239" s="10" t="str">
        <x:v>Contas a Receber</x:v>
      </x:c>
    </x:row>
    <x:row r="240" ht="18" customHeight="1">
      <x:c r="A240" s="10" t="str">
        <x:v>MOV001608</x:v>
      </x:c>
      <x:c r="B240" s="16" t="n">
        <x:v>45422.9799090625</x:v>
      </x:c>
      <x:c r="C240" s="10" t="str">
        <x:v>EMP002</x:v>
      </x:c>
      <x:c r="D240" s="10" t="str">
        <x:v>CTA004</x:v>
      </x:c>
      <x:c r="E240" s="10" t="str">
        <x:v>Entrada</x:v>
      </x:c>
      <x:c r="F240" s="10" t="str">
        <x:v>CAT003</x:v>
      </x:c>
      <x:c r="G240" s="10" t="str">
        <x:v>Frete faturado</x:v>
      </x:c>
      <x:c r="H240" s="10" t="str">
        <x:v>REC01036</x:v>
      </x:c>
      <x:c r="I240" s="20" t="n">
        <x:v>117783.88</x:v>
      </x:c>
      <x:c r="J240" s="20" t="n">
        <x:v>117783.88</x:v>
      </x:c>
      <x:c r="K240" s="10" t="str">
        <x:v>Realizado</x:v>
      </x:c>
      <x:c r="L240" s="10" t="str">
        <x:v>Contas a Receber</x:v>
      </x:c>
    </x:row>
    <x:row r="241" ht="18" customHeight="1">
      <x:c r="A241" s="10" t="str">
        <x:v>MOV000827</x:v>
      </x:c>
      <x:c r="B241" s="16" t="n">
        <x:v>45423.02548202546</x:v>
      </x:c>
      <x:c r="C241" s="10" t="str">
        <x:v>EMP002</x:v>
      </x:c>
      <x:c r="D241" s="10" t="str">
        <x:v>CTA004</x:v>
      </x:c>
      <x:c r="E241" s="10" t="str">
        <x:v>Entrada</x:v>
      </x:c>
      <x:c r="F241" s="10" t="str">
        <x:v>CAT004</x:v>
      </x:c>
      <x:c r="G241" s="10" t="str">
        <x:v>Venda de produtos</x:v>
      </x:c>
      <x:c r="H241" s="10" t="str">
        <x:v>REC00089</x:v>
      </x:c>
      <x:c r="I241" s="20" t="n">
        <x:v>23363.26</x:v>
      </x:c>
      <x:c r="J241" s="20" t="n">
        <x:v>23363.26</x:v>
      </x:c>
      <x:c r="K241" s="10" t="str">
        <x:v>Realizado</x:v>
      </x:c>
      <x:c r="L241" s="10" t="str">
        <x:v>Contas a Receber</x:v>
      </x:c>
    </x:row>
    <x:row r="242" ht="18" customHeight="1">
      <x:c r="A242" s="10" t="str">
        <x:v>MOV000674</x:v>
      </x:c>
      <x:c r="B242" s="16" t="n">
        <x:v>45423.24791913194</x:v>
      </x:c>
      <x:c r="C242" s="10" t="str">
        <x:v>EMP001</x:v>
      </x:c>
      <x:c r="D242" s="10" t="str">
        <x:v>CTA002</x:v>
      </x:c>
      <x:c r="E242" s="10" t="str">
        <x:v>Saída</x:v>
      </x:c>
      <x:c r="F242" s="10" t="str">
        <x:v>CAT017</x:v>
      </x:c>
      <x:c r="G242" s="10" t="str">
        <x:v>Prestação de serviços</x:v>
      </x:c>
      <x:c r="H242" s="10" t="str">
        <x:v>PAG00801</x:v>
      </x:c>
      <x:c r="I242" s="20" t="n">
        <x:v>76072.26</x:v>
      </x:c>
      <x:c r="J242" s="20" t="n">
        <x:v>-76072.26</x:v>
      </x:c>
      <x:c r="K242" s="10" t="str">
        <x:v>Realizado</x:v>
      </x:c>
      <x:c r="L242" s="10" t="str">
        <x:v>Contas a Pagar</x:v>
      </x:c>
    </x:row>
    <x:row r="243" ht="18" customHeight="1">
      <x:c r="A243" s="10" t="str">
        <x:v>MOV001595</x:v>
      </x:c>
      <x:c r="B243" s="16" t="n">
        <x:v>45423.283010555555</x:v>
      </x:c>
      <x:c r="C243" s="10" t="str">
        <x:v>EMP001</x:v>
      </x:c>
      <x:c r="D243" s="10" t="str">
        <x:v>CTA001</x:v>
      </x:c>
      <x:c r="E243" s="10" t="str">
        <x:v>Entrada</x:v>
      </x:c>
      <x:c r="F243" s="10" t="str">
        <x:v>CAT001</x:v>
      </x:c>
      <x:c r="G243" s="10" t="str">
        <x:v>Contrato mensal</x:v>
      </x:c>
      <x:c r="H243" s="10" t="str">
        <x:v>REC01022</x:v>
      </x:c>
      <x:c r="I243" s="20" t="n">
        <x:v>9273.99</x:v>
      </x:c>
      <x:c r="J243" s="20" t="n">
        <x:v>9273.99</x:v>
      </x:c>
      <x:c r="K243" s="10" t="str">
        <x:v>Realizado</x:v>
      </x:c>
      <x:c r="L243" s="10" t="str">
        <x:v>Contas a Receber</x:v>
      </x:c>
    </x:row>
    <x:row r="244" ht="18" customHeight="1">
      <x:c r="A244" s="10" t="str">
        <x:v>MOV000769</x:v>
      </x:c>
      <x:c r="B244" s="16" t="n">
        <x:v>45423.62707945602</x:v>
      </x:c>
      <x:c r="C244" s="10" t="str">
        <x:v>EMP001</x:v>
      </x:c>
      <x:c r="D244" s="10" t="str">
        <x:v>CTA001</x:v>
      </x:c>
      <x:c r="E244" s="10" t="str">
        <x:v>Entrada</x:v>
      </x:c>
      <x:c r="F244" s="10" t="str">
        <x:v>CAT003</x:v>
      </x:c>
      <x:c r="G244" s="10" t="str">
        <x:v>Venda de produtos</x:v>
      </x:c>
      <x:c r="H244" s="10" t="str">
        <x:v>REC00018</x:v>
      </x:c>
      <x:c r="I244" s="20" t="n">
        <x:v>139452.91</x:v>
      </x:c>
      <x:c r="J244" s="20" t="n">
        <x:v>139452.91</x:v>
      </x:c>
      <x:c r="K244" s="10" t="str">
        <x:v>Realizado</x:v>
      </x:c>
      <x:c r="L244" s="10" t="str">
        <x:v>Contas a Receber</x:v>
      </x:c>
    </x:row>
    <x:row r="245" ht="18" customHeight="1">
      <x:c r="A245" s="10" t="str">
        <x:v>MOV001533</x:v>
      </x:c>
      <x:c r="B245" s="16" t="n">
        <x:v>45424.16499686342</x:v>
      </x:c>
      <x:c r="C245" s="10" t="str">
        <x:v>EMP001</x:v>
      </x:c>
      <x:c r="D245" s="10" t="str">
        <x:v>CTA001</x:v>
      </x:c>
      <x:c r="E245" s="10" t="str">
        <x:v>Entrada</x:v>
      </x:c>
      <x:c r="F245" s="10" t="str">
        <x:v>CAT003</x:v>
      </x:c>
      <x:c r="G245" s="10" t="str">
        <x:v>Venda de produtos</x:v>
      </x:c>
      <x:c r="H245" s="10" t="str">
        <x:v>REC00946</x:v>
      </x:c>
      <x:c r="I245" s="20" t="n">
        <x:v>43479.31</x:v>
      </x:c>
      <x:c r="J245" s="20" t="n">
        <x:v>43479.31</x:v>
      </x:c>
      <x:c r="K245" s="10" t="str">
        <x:v>Realizado</x:v>
      </x:c>
      <x:c r="L245" s="10" t="str">
        <x:v>Contas a Receber</x:v>
      </x:c>
    </x:row>
    <x:row r="246" ht="18" customHeight="1">
      <x:c r="A246" s="10" t="str">
        <x:v>MOV001518</x:v>
      </x:c>
      <x:c r="B246" s="16" t="n">
        <x:v>45424.33736278935</x:v>
      </x:c>
      <x:c r="C246" s="10" t="str">
        <x:v>EMP002</x:v>
      </x:c>
      <x:c r="D246" s="10" t="str">
        <x:v>CTA004</x:v>
      </x:c>
      <x:c r="E246" s="10" t="str">
        <x:v>Entrada</x:v>
      </x:c>
      <x:c r="F246" s="10" t="str">
        <x:v>CAT001</x:v>
      </x:c>
      <x:c r="G246" s="10" t="str">
        <x:v>Projeto especial</x:v>
      </x:c>
      <x:c r="H246" s="10" t="str">
        <x:v>REC00930</x:v>
      </x:c>
      <x:c r="I246" s="20" t="n">
        <x:v>18663.55</x:v>
      </x:c>
      <x:c r="J246" s="20" t="n">
        <x:v>18663.55</x:v>
      </x:c>
      <x:c r="K246" s="10" t="str">
        <x:v>Realizado</x:v>
      </x:c>
      <x:c r="L246" s="10" t="str">
        <x:v>Contas a Receber</x:v>
      </x:c>
    </x:row>
    <x:row r="247" ht="18" customHeight="1">
      <x:c r="A247" s="10" t="str">
        <x:v>MOV000749</x:v>
      </x:c>
      <x:c r="B247" s="16" t="n">
        <x:v>45425.396560416666</x:v>
      </x:c>
      <x:c r="C247" s="10" t="str">
        <x:v>EMP001</x:v>
      </x:c>
      <x:c r="D247" s="10" t="str">
        <x:v>CTA002</x:v>
      </x:c>
      <x:c r="E247" s="10" t="str">
        <x:v>Saída</x:v>
      </x:c>
      <x:c r="F247" s="10" t="str">
        <x:v>CAT011</x:v>
      </x:c>
      <x:c r="G247" s="10" t="str">
        <x:v>Prestação de serviços</x:v>
      </x:c>
      <x:c r="H247" s="10" t="str">
        <x:v>PAG00890</x:v>
      </x:c>
      <x:c r="I247" s="20" t="n">
        <x:v>12647.27</x:v>
      </x:c>
      <x:c r="J247" s="20" t="n">
        <x:v>-12647.27</x:v>
      </x:c>
      <x:c r="K247" s="10" t="str">
        <x:v>Realizado</x:v>
      </x:c>
      <x:c r="L247" s="10" t="str">
        <x:v>Contas a Pagar</x:v>
      </x:c>
    </x:row>
    <x:row r="248" ht="18" customHeight="1">
      <x:c r="A248" s="10" t="str">
        <x:v>MOV001315</x:v>
      </x:c>
      <x:c r="B248" s="16" t="n">
        <x:v>45426.98423365741</x:v>
      </x:c>
      <x:c r="C248" s="10" t="str">
        <x:v>EMP001</x:v>
      </x:c>
      <x:c r="D248" s="10" t="str">
        <x:v>CTA002</x:v>
      </x:c>
      <x:c r="E248" s="10" t="str">
        <x:v>Entrada</x:v>
      </x:c>
      <x:c r="F248" s="10" t="str">
        <x:v>CAT001</x:v>
      </x:c>
      <x:c r="G248" s="10" t="str">
        <x:v>Frete faturado</x:v>
      </x:c>
      <x:c r="H248" s="10" t="str">
        <x:v>REC00678</x:v>
      </x:c>
      <x:c r="I248" s="20" t="n">
        <x:v>106305.63</x:v>
      </x:c>
      <x:c r="J248" s="20" t="n">
        <x:v>106305.63</x:v>
      </x:c>
      <x:c r="K248" s="10" t="str">
        <x:v>Realizado</x:v>
      </x:c>
      <x:c r="L248" s="10" t="str">
        <x:v>Contas a Receber</x:v>
      </x:c>
    </x:row>
    <x:row r="249" ht="18" customHeight="1">
      <x:c r="A249" s="10" t="str">
        <x:v>MOV001575</x:v>
      </x:c>
      <x:c r="B249" s="16" t="n">
        <x:v>45427.24455818287</x:v>
      </x:c>
      <x:c r="C249" s="10" t="str">
        <x:v>EMP002</x:v>
      </x:c>
      <x:c r="D249" s="10" t="str">
        <x:v>CTA004</x:v>
      </x:c>
      <x:c r="E249" s="10" t="str">
        <x:v>Entrada</x:v>
      </x:c>
      <x:c r="F249" s="10" t="str">
        <x:v>CAT004</x:v>
      </x:c>
      <x:c r="G249" s="10" t="str">
        <x:v>Prestação de serviços</x:v>
      </x:c>
      <x:c r="H249" s="10" t="str">
        <x:v>REC00997</x:v>
      </x:c>
      <x:c r="I249" s="20" t="n">
        <x:v>84108.89</x:v>
      </x:c>
      <x:c r="J249" s="20" t="n">
        <x:v>84108.89</x:v>
      </x:c>
      <x:c r="K249" s="10" t="str">
        <x:v>Realizado</x:v>
      </x:c>
      <x:c r="L249" s="10" t="str">
        <x:v>Contas a Receber</x:v>
      </x:c>
    </x:row>
    <x:row r="250" ht="18" customHeight="1">
      <x:c r="A250" s="10" t="str">
        <x:v>MOV000205</x:v>
      </x:c>
      <x:c r="B250" s="16" t="n">
        <x:v>45427.95919574074</x:v>
      </x:c>
      <x:c r="C250" s="10" t="str">
        <x:v>EMP002</x:v>
      </x:c>
      <x:c r="D250" s="10" t="str">
        <x:v>CTA004</x:v>
      </x:c>
      <x:c r="E250" s="10" t="str">
        <x:v>Saída</x:v>
      </x:c>
      <x:c r="F250" s="10" t="str">
        <x:v>CAT011</x:v>
      </x:c>
      <x:c r="G250" s="10" t="str">
        <x:v>Compra de materiais</x:v>
      </x:c>
      <x:c r="H250" s="10" t="str">
        <x:v>PAG00239</x:v>
      </x:c>
      <x:c r="I250" s="20" t="n">
        <x:v>81254.53</x:v>
      </x:c>
      <x:c r="J250" s="20" t="n">
        <x:v>-81254.53</x:v>
      </x:c>
      <x:c r="K250" s="10" t="str">
        <x:v>Realizado</x:v>
      </x:c>
      <x:c r="L250" s="10" t="str">
        <x:v>Contas a Pagar</x:v>
      </x:c>
    </x:row>
    <x:row r="251" ht="18" customHeight="1">
      <x:c r="A251" s="10" t="str">
        <x:v>MOV000833</x:v>
      </x:c>
      <x:c r="B251" s="16" t="n">
        <x:v>45428.20365025463</x:v>
      </x:c>
      <x:c r="C251" s="10" t="str">
        <x:v>EMP001</x:v>
      </x:c>
      <x:c r="D251" s="10" t="str">
        <x:v>CTA001</x:v>
      </x:c>
      <x:c r="E251" s="10" t="str">
        <x:v>Entrada</x:v>
      </x:c>
      <x:c r="F251" s="10" t="str">
        <x:v>CAT003</x:v>
      </x:c>
      <x:c r="G251" s="10" t="str">
        <x:v>Prestação de serviços</x:v>
      </x:c>
      <x:c r="H251" s="10" t="str">
        <x:v>REC00098</x:v>
      </x:c>
      <x:c r="I251" s="20" t="n">
        <x:v>108281.67</x:v>
      </x:c>
      <x:c r="J251" s="20" t="n">
        <x:v>108281.67</x:v>
      </x:c>
      <x:c r="K251" s="10" t="str">
        <x:v>Realizado</x:v>
      </x:c>
      <x:c r="L251" s="10" t="str">
        <x:v>Contas a Receber</x:v>
      </x:c>
    </x:row>
    <x:row r="252" ht="18" customHeight="1">
      <x:c r="A252" s="10" t="str">
        <x:v>MOV000315</x:v>
      </x:c>
      <x:c r="B252" s="16" t="n">
        <x:v>45428.307176608796</x:v>
      </x:c>
      <x:c r="C252" s="10" t="str">
        <x:v>EMP001</x:v>
      </x:c>
      <x:c r="D252" s="10" t="str">
        <x:v>CTA001</x:v>
      </x:c>
      <x:c r="E252" s="10" t="str">
        <x:v>Saída</x:v>
      </x:c>
      <x:c r="F252" s="10" t="str">
        <x:v>CAT015</x:v>
      </x:c>
      <x:c r="G252" s="10" t="str">
        <x:v>Compra de materiais</x:v>
      </x:c>
      <x:c r="H252" s="10" t="str">
        <x:v>PAG00365</x:v>
      </x:c>
      <x:c r="I252" s="20" t="n">
        <x:v>19444.89</x:v>
      </x:c>
      <x:c r="J252" s="20" t="n">
        <x:v>-19444.89</x:v>
      </x:c>
      <x:c r="K252" s="10" t="str">
        <x:v>Realizado</x:v>
      </x:c>
      <x:c r="L252" s="10" t="str">
        <x:v>Contas a Pagar</x:v>
      </x:c>
    </x:row>
    <x:row r="253" ht="18" customHeight="1">
      <x:c r="A253" s="10" t="str">
        <x:v>MOV000028</x:v>
      </x:c>
      <x:c r="B253" s="16" t="n">
        <x:v>45428.57208515047</x:v>
      </x:c>
      <x:c r="C253" s="10" t="str">
        <x:v>EMP001</x:v>
      </x:c>
      <x:c r="D253" s="10" t="str">
        <x:v>CTA001</x:v>
      </x:c>
      <x:c r="E253" s="10" t="str">
        <x:v>Saída</x:v>
      </x:c>
      <x:c r="F253" s="10" t="str">
        <x:v>CAT013</x:v>
      </x:c>
      <x:c r="G253" s="10" t="str">
        <x:v>Contrato recorrente</x:v>
      </x:c>
      <x:c r="H253" s="10" t="str">
        <x:v>PAG00028</x:v>
      </x:c>
      <x:c r="I253" s="20" t="n">
        <x:v>46150.29</x:v>
      </x:c>
      <x:c r="J253" s="20" t="n">
        <x:v>-46150.29</x:v>
      </x:c>
      <x:c r="K253" s="10" t="str">
        <x:v>Realizado</x:v>
      </x:c>
      <x:c r="L253" s="10" t="str">
        <x:v>Contas a Pagar</x:v>
      </x:c>
    </x:row>
    <x:row r="254" ht="18" customHeight="1">
      <x:c r="A254" s="10" t="str">
        <x:v>MOV001526</x:v>
      </x:c>
      <x:c r="B254" s="16" t="n">
        <x:v>45428.82188099537</x:v>
      </x:c>
      <x:c r="C254" s="10" t="str">
        <x:v>EMP002</x:v>
      </x:c>
      <x:c r="D254" s="10" t="str">
        <x:v>CTA004</x:v>
      </x:c>
      <x:c r="E254" s="10" t="str">
        <x:v>Entrada</x:v>
      </x:c>
      <x:c r="F254" s="10" t="str">
        <x:v>CAT001</x:v>
      </x:c>
      <x:c r="G254" s="10" t="str">
        <x:v>Contrato mensal</x:v>
      </x:c>
      <x:c r="H254" s="10" t="str">
        <x:v>REC00938</x:v>
      </x:c>
      <x:c r="I254" s="20" t="n">
        <x:v>77766.64</x:v>
      </x:c>
      <x:c r="J254" s="20" t="n">
        <x:v>77766.64</x:v>
      </x:c>
      <x:c r="K254" s="10" t="str">
        <x:v>Realizado</x:v>
      </x:c>
      <x:c r="L254" s="10" t="str">
        <x:v>Contas a Receber</x:v>
      </x:c>
    </x:row>
    <x:row r="255" ht="18" customHeight="1">
      <x:c r="A255" s="10" t="str">
        <x:v>MOV000455</x:v>
      </x:c>
      <x:c r="B255" s="16" t="n">
        <x:v>45428.98525158565</x:v>
      </x:c>
      <x:c r="C255" s="10" t="str">
        <x:v>EMP001</x:v>
      </x:c>
      <x:c r="D255" s="10" t="str">
        <x:v>CTA001</x:v>
      </x:c>
      <x:c r="E255" s="10" t="str">
        <x:v>Saída</x:v>
      </x:c>
      <x:c r="F255" s="10" t="str">
        <x:v>CAT011</x:v>
      </x:c>
      <x:c r="G255" s="10" t="str">
        <x:v>Prestação de serviços</x:v>
      </x:c>
      <x:c r="H255" s="10" t="str">
        <x:v>PAG00534</x:v>
      </x:c>
      <x:c r="I255" s="20" t="n">
        <x:v>3046.18</x:v>
      </x:c>
      <x:c r="J255" s="20" t="n">
        <x:v>-3046.18</x:v>
      </x:c>
      <x:c r="K255" s="10" t="str">
        <x:v>Realizado</x:v>
      </x:c>
      <x:c r="L255" s="10" t="str">
        <x:v>Contas a Pagar</x:v>
      </x:c>
    </x:row>
    <x:row r="256" ht="18" customHeight="1">
      <x:c r="A256" s="10" t="str">
        <x:v>MOV001439</x:v>
      </x:c>
      <x:c r="B256" s="16" t="n">
        <x:v>45430.66833746528</x:v>
      </x:c>
      <x:c r="C256" s="10" t="str">
        <x:v>EMP003</x:v>
      </x:c>
      <x:c r="D256" s="10" t="str">
        <x:v>CTA005</x:v>
      </x:c>
      <x:c r="E256" s="10" t="str">
        <x:v>Entrada</x:v>
      </x:c>
      <x:c r="F256" s="10" t="str">
        <x:v>CAT001</x:v>
      </x:c>
      <x:c r="G256" s="10" t="str">
        <x:v>Projeto especial</x:v>
      </x:c>
      <x:c r="H256" s="10" t="str">
        <x:v>REC00830</x:v>
      </x:c>
      <x:c r="I256" s="20" t="n">
        <x:v>3033.87</x:v>
      </x:c>
      <x:c r="J256" s="20" t="n">
        <x:v>3033.87</x:v>
      </x:c>
      <x:c r="K256" s="10" t="str">
        <x:v>Realizado</x:v>
      </x:c>
      <x:c r="L256" s="10" t="str">
        <x:v>Contas a Receber</x:v>
      </x:c>
    </x:row>
    <x:row r="257" ht="18" customHeight="1">
      <x:c r="A257" s="10" t="str">
        <x:v>MOV000752</x:v>
      </x:c>
      <x:c r="B257" s="16" t="n">
        <x:v>45430.759351354165</x:v>
      </x:c>
      <x:c r="C257" s="10" t="str">
        <x:v>EMP002</x:v>
      </x:c>
      <x:c r="D257" s="10" t="str">
        <x:v>CTA004</x:v>
      </x:c>
      <x:c r="E257" s="10" t="str">
        <x:v>Saída</x:v>
      </x:c>
      <x:c r="F257" s="10" t="str">
        <x:v>CAT018</x:v>
      </x:c>
      <x:c r="G257" s="10" t="str">
        <x:v>Compra de materiais</x:v>
      </x:c>
      <x:c r="H257" s="10" t="str">
        <x:v>PAG00893</x:v>
      </x:c>
      <x:c r="I257" s="20" t="n">
        <x:v>107028.76</x:v>
      </x:c>
      <x:c r="J257" s="20" t="n">
        <x:v>-107028.76</x:v>
      </x:c>
      <x:c r="K257" s="10" t="str">
        <x:v>Realizado</x:v>
      </x:c>
      <x:c r="L257" s="10" t="str">
        <x:v>Contas a Pagar</x:v>
      </x:c>
    </x:row>
    <x:row r="258" ht="18" customHeight="1">
      <x:c r="A258" s="10" t="str">
        <x:v>MOV001360</x:v>
      </x:c>
      <x:c r="B258" s="16" t="n">
        <x:v>45431.02753811343</x:v>
      </x:c>
      <x:c r="C258" s="10" t="str">
        <x:v>EMP002</x:v>
      </x:c>
      <x:c r="D258" s="10" t="str">
        <x:v>CTA003</x:v>
      </x:c>
      <x:c r="E258" s="10" t="str">
        <x:v>Entrada</x:v>
      </x:c>
      <x:c r="F258" s="10" t="str">
        <x:v>CAT002</x:v>
      </x:c>
      <x:c r="G258" s="10" t="str">
        <x:v>Projeto especial</x:v>
      </x:c>
      <x:c r="H258" s="10" t="str">
        <x:v>REC00729</x:v>
      </x:c>
      <x:c r="I258" s="20" t="n">
        <x:v>68638.01</x:v>
      </x:c>
      <x:c r="J258" s="20" t="n">
        <x:v>68638.01</x:v>
      </x:c>
      <x:c r="K258" s="10" t="str">
        <x:v>Realizado</x:v>
      </x:c>
      <x:c r="L258" s="10" t="str">
        <x:v>Contas a Receber</x:v>
      </x:c>
    </x:row>
    <x:row r="259" ht="18" customHeight="1">
      <x:c r="A259" s="10" t="str">
        <x:v>MOV001375</x:v>
      </x:c>
      <x:c r="B259" s="16" t="n">
        <x:v>45431.35475815972</x:v>
      </x:c>
      <x:c r="C259" s="10" t="str">
        <x:v>EMP003</x:v>
      </x:c>
      <x:c r="D259" s="10" t="str">
        <x:v>CTA005</x:v>
      </x:c>
      <x:c r="E259" s="10" t="str">
        <x:v>Entrada</x:v>
      </x:c>
      <x:c r="F259" s="10" t="str">
        <x:v>CAT001</x:v>
      </x:c>
      <x:c r="G259" s="10" t="str">
        <x:v>Venda de produtos</x:v>
      </x:c>
      <x:c r="H259" s="10" t="str">
        <x:v>REC00746</x:v>
      </x:c>
      <x:c r="I259" s="20" t="n">
        <x:v>71389.43</x:v>
      </x:c>
      <x:c r="J259" s="20" t="n">
        <x:v>71389.43</x:v>
      </x:c>
      <x:c r="K259" s="10" t="str">
        <x:v>Realizado</x:v>
      </x:c>
      <x:c r="L259" s="10" t="str">
        <x:v>Contas a Receber</x:v>
      </x:c>
    </x:row>
    <x:row r="260" ht="18" customHeight="1">
      <x:c r="A260" s="10" t="str">
        <x:v>MOV000107</x:v>
      </x:c>
      <x:c r="B260" s="16" t="n">
        <x:v>45431.39989680555</x:v>
      </x:c>
      <x:c r="C260" s="10" t="str">
        <x:v>EMP003</x:v>
      </x:c>
      <x:c r="D260" s="10" t="str">
        <x:v>CTA006</x:v>
      </x:c>
      <x:c r="E260" s="10" t="str">
        <x:v>Saída</x:v>
      </x:c>
      <x:c r="F260" s="10" t="str">
        <x:v>CAT010</x:v>
      </x:c>
      <x:c r="G260" s="10" t="str">
        <x:v>Prestação de serviços</x:v>
      </x:c>
      <x:c r="H260" s="10" t="str">
        <x:v>PAG00119</x:v>
      </x:c>
      <x:c r="I260" s="20" t="n">
        <x:v>10507.32</x:v>
      </x:c>
      <x:c r="J260" s="20" t="n">
        <x:v>-10507.32</x:v>
      </x:c>
      <x:c r="K260" s="10" t="str">
        <x:v>Realizado</x:v>
      </x:c>
      <x:c r="L260" s="10" t="str">
        <x:v>Contas a Pagar</x:v>
      </x:c>
    </x:row>
    <x:row r="261" ht="18" customHeight="1">
      <x:c r="A261" s="10" t="str">
        <x:v>MOV001033</x:v>
      </x:c>
      <x:c r="B261" s="16" t="n">
        <x:v>45431.43565987269</x:v>
      </x:c>
      <x:c r="C261" s="10" t="str">
        <x:v>EMP002</x:v>
      </x:c>
      <x:c r="D261" s="10" t="str">
        <x:v>CTA003</x:v>
      </x:c>
      <x:c r="E261" s="10" t="str">
        <x:v>Entrada</x:v>
      </x:c>
      <x:c r="F261" s="10" t="str">
        <x:v>CAT004</x:v>
      </x:c>
      <x:c r="G261" s="10" t="str">
        <x:v>Prestação de serviços</x:v>
      </x:c>
      <x:c r="H261" s="10" t="str">
        <x:v>REC00339</x:v>
      </x:c>
      <x:c r="I261" s="20" t="n">
        <x:v>51656.88</x:v>
      </x:c>
      <x:c r="J261" s="20" t="n">
        <x:v>51656.88</x:v>
      </x:c>
      <x:c r="K261" s="10" t="str">
        <x:v>Realizado</x:v>
      </x:c>
      <x:c r="L261" s="10" t="str">
        <x:v>Contas a Receber</x:v>
      </x:c>
    </x:row>
    <x:row r="262" ht="18" customHeight="1">
      <x:c r="A262" s="10" t="str">
        <x:v>MOV000136</x:v>
      </x:c>
      <x:c r="B262" s="16" t="n">
        <x:v>45431.47641335648</x:v>
      </x:c>
      <x:c r="C262" s="10" t="str">
        <x:v>EMP001</x:v>
      </x:c>
      <x:c r="D262" s="10" t="str">
        <x:v>CTA002</x:v>
      </x:c>
      <x:c r="E262" s="10" t="str">
        <x:v>Saída</x:v>
      </x:c>
      <x:c r="F262" s="10" t="str">
        <x:v>CAT015</x:v>
      </x:c>
      <x:c r="G262" s="10" t="str">
        <x:v>Despesa operacional</x:v>
      </x:c>
      <x:c r="H262" s="10" t="str">
        <x:v>PAG00157</x:v>
      </x:c>
      <x:c r="I262" s="20" t="n">
        <x:v>21578.23</x:v>
      </x:c>
      <x:c r="J262" s="20" t="n">
        <x:v>-21578.23</x:v>
      </x:c>
      <x:c r="K262" s="10" t="str">
        <x:v>Realizado</x:v>
      </x:c>
      <x:c r="L262" s="10" t="str">
        <x:v>Contas a Pagar</x:v>
      </x:c>
    </x:row>
    <x:row r="263" ht="18" customHeight="1">
      <x:c r="A263" s="10" t="str">
        <x:v>MOV001179</x:v>
      </x:c>
      <x:c r="B263" s="16" t="n">
        <x:v>45431.93512599537</x:v>
      </x:c>
      <x:c r="C263" s="10" t="str">
        <x:v>EMP003</x:v>
      </x:c>
      <x:c r="D263" s="10" t="str">
        <x:v>CTA006</x:v>
      </x:c>
      <x:c r="E263" s="10" t="str">
        <x:v>Entrada</x:v>
      </x:c>
      <x:c r="F263" s="10" t="str">
        <x:v>CAT003</x:v>
      </x:c>
      <x:c r="G263" s="10" t="str">
        <x:v>Prestação de serviços</x:v>
      </x:c>
      <x:c r="H263" s="10" t="str">
        <x:v>REC00516</x:v>
      </x:c>
      <x:c r="I263" s="20" t="n">
        <x:v>24464.6</x:v>
      </x:c>
      <x:c r="J263" s="20" t="n">
        <x:v>24464.6</x:v>
      </x:c>
      <x:c r="K263" s="10" t="str">
        <x:v>Realizado</x:v>
      </x:c>
      <x:c r="L263" s="10" t="str">
        <x:v>Contas a Receber</x:v>
      </x:c>
    </x:row>
    <x:row r="264" ht="18" customHeight="1">
      <x:c r="A264" s="10" t="str">
        <x:v>MOV000681</x:v>
      </x:c>
      <x:c r="B264" s="16" t="n">
        <x:v>45431.9609340625</x:v>
      </x:c>
      <x:c r="C264" s="10" t="str">
        <x:v>EMP003</x:v>
      </x:c>
      <x:c r="D264" s="10" t="str">
        <x:v>CTA006</x:v>
      </x:c>
      <x:c r="E264" s="10" t="str">
        <x:v>Saída</x:v>
      </x:c>
      <x:c r="F264" s="10" t="str">
        <x:v>CAT016</x:v>
      </x:c>
      <x:c r="G264" s="10" t="str">
        <x:v>Contrato recorrente</x:v>
      </x:c>
      <x:c r="H264" s="10" t="str">
        <x:v>PAG00809</x:v>
      </x:c>
      <x:c r="I264" s="20" t="n">
        <x:v>83446.98</x:v>
      </x:c>
      <x:c r="J264" s="20" t="n">
        <x:v>-83446.98</x:v>
      </x:c>
      <x:c r="K264" s="10" t="str">
        <x:v>Realizado</x:v>
      </x:c>
      <x:c r="L264" s="10" t="str">
        <x:v>Contas a Pagar</x:v>
      </x:c>
    </x:row>
    <x:row r="265" ht="18" customHeight="1">
      <x:c r="A265" s="10" t="str">
        <x:v>MOV001298</x:v>
      </x:c>
      <x:c r="B265" s="16" t="n">
        <x:v>45432.25998086805</x:v>
      </x:c>
      <x:c r="C265" s="10" t="str">
        <x:v>EMP002</x:v>
      </x:c>
      <x:c r="D265" s="10" t="str">
        <x:v>CTA004</x:v>
      </x:c>
      <x:c r="E265" s="10" t="str">
        <x:v>Entrada</x:v>
      </x:c>
      <x:c r="F265" s="10" t="str">
        <x:v>CAT002</x:v>
      </x:c>
      <x:c r="G265" s="10" t="str">
        <x:v>Projeto especial</x:v>
      </x:c>
      <x:c r="H265" s="10" t="str">
        <x:v>REC00660</x:v>
      </x:c>
      <x:c r="I265" s="20" t="n">
        <x:v>108777.76</x:v>
      </x:c>
      <x:c r="J265" s="20" t="n">
        <x:v>108777.76</x:v>
      </x:c>
      <x:c r="K265" s="10" t="str">
        <x:v>Realizado</x:v>
      </x:c>
      <x:c r="L265" s="10" t="str">
        <x:v>Contas a Receber</x:v>
      </x:c>
    </x:row>
    <x:row r="266" ht="18" customHeight="1">
      <x:c r="A266" s="10" t="str">
        <x:v>MOV000291</x:v>
      </x:c>
      <x:c r="B266" s="16" t="n">
        <x:v>45432.86343748843</x:v>
      </x:c>
      <x:c r="C266" s="10" t="str">
        <x:v>EMP001</x:v>
      </x:c>
      <x:c r="D266" s="10" t="str">
        <x:v>CTA002</x:v>
      </x:c>
      <x:c r="E266" s="10" t="str">
        <x:v>Saída</x:v>
      </x:c>
      <x:c r="F266" s="10" t="str">
        <x:v>CAT016</x:v>
      </x:c>
      <x:c r="G266" s="10" t="str">
        <x:v>Contrato recorrente</x:v>
      </x:c>
      <x:c r="H266" s="10" t="str">
        <x:v>PAG00337</x:v>
      </x:c>
      <x:c r="I266" s="20" t="n">
        <x:v>740.94</x:v>
      </x:c>
      <x:c r="J266" s="20" t="n">
        <x:v>-740.94</x:v>
      </x:c>
      <x:c r="K266" s="10" t="str">
        <x:v>Realizado</x:v>
      </x:c>
      <x:c r="L266" s="10" t="str">
        <x:v>Contas a Pagar</x:v>
      </x:c>
    </x:row>
    <x:row r="267" ht="18" customHeight="1">
      <x:c r="A267" s="10" t="str">
        <x:v>MOV000182</x:v>
      </x:c>
      <x:c r="B267" s="16" t="n">
        <x:v>45433.261969050924</x:v>
      </x:c>
      <x:c r="C267" s="10" t="str">
        <x:v>EMP001</x:v>
      </x:c>
      <x:c r="D267" s="10" t="str">
        <x:v>CTA002</x:v>
      </x:c>
      <x:c r="E267" s="10" t="str">
        <x:v>Saída</x:v>
      </x:c>
      <x:c r="F267" s="10" t="str">
        <x:v>CAT013</x:v>
      </x:c>
      <x:c r="G267" s="10" t="str">
        <x:v>Tributos e taxas</x:v>
      </x:c>
      <x:c r="H267" s="10" t="str">
        <x:v>PAG00213</x:v>
      </x:c>
      <x:c r="I267" s="20" t="n">
        <x:v>10435.94</x:v>
      </x:c>
      <x:c r="J267" s="20" t="n">
        <x:v>-10435.94</x:v>
      </x:c>
      <x:c r="K267" s="10" t="str">
        <x:v>Realizado</x:v>
      </x:c>
      <x:c r="L267" s="10" t="str">
        <x:v>Contas a Pagar</x:v>
      </x:c>
    </x:row>
    <x:row r="268" ht="18" customHeight="1">
      <x:c r="A268" s="10" t="str">
        <x:v>MOV001121</x:v>
      </x:c>
      <x:c r="B268" s="16" t="n">
        <x:v>45433.361075347224</x:v>
      </x:c>
      <x:c r="C268" s="10" t="str">
        <x:v>EMP001</x:v>
      </x:c>
      <x:c r="D268" s="10" t="str">
        <x:v>CTA001</x:v>
      </x:c>
      <x:c r="E268" s="10" t="str">
        <x:v>Entrada</x:v>
      </x:c>
      <x:c r="F268" s="10" t="str">
        <x:v>CAT002</x:v>
      </x:c>
      <x:c r="G268" s="10" t="str">
        <x:v>Venda de produtos</x:v>
      </x:c>
      <x:c r="H268" s="10" t="str">
        <x:v>REC00450</x:v>
      </x:c>
      <x:c r="I268" s="20" t="n">
        <x:v>142810.39</x:v>
      </x:c>
      <x:c r="J268" s="20" t="n">
        <x:v>142810.39</x:v>
      </x:c>
      <x:c r="K268" s="10" t="str">
        <x:v>Realizado</x:v>
      </x:c>
      <x:c r="L268" s="10" t="str">
        <x:v>Contas a Receber</x:v>
      </x:c>
    </x:row>
    <x:row r="269" ht="18" customHeight="1">
      <x:c r="A269" s="10" t="str">
        <x:v>MOV000920</x:v>
      </x:c>
      <x:c r="B269" s="16" t="n">
        <x:v>45433.65394549769</x:v>
      </x:c>
      <x:c r="C269" s="10" t="str">
        <x:v>EMP001</x:v>
      </x:c>
      <x:c r="D269" s="10" t="str">
        <x:v>CTA002</x:v>
      </x:c>
      <x:c r="E269" s="10" t="str">
        <x:v>Entrada</x:v>
      </x:c>
      <x:c r="F269" s="10" t="str">
        <x:v>CAT003</x:v>
      </x:c>
      <x:c r="G269" s="10" t="str">
        <x:v>Projeto especial</x:v>
      </x:c>
      <x:c r="H269" s="10" t="str">
        <x:v>REC00198</x:v>
      </x:c>
      <x:c r="I269" s="20" t="n">
        <x:v>104052.63</x:v>
      </x:c>
      <x:c r="J269" s="20" t="n">
        <x:v>104052.63</x:v>
      </x:c>
      <x:c r="K269" s="10" t="str">
        <x:v>Realizado</x:v>
      </x:c>
      <x:c r="L269" s="10" t="str">
        <x:v>Contas a Receber</x:v>
      </x:c>
    </x:row>
    <x:row r="270" ht="18" customHeight="1">
      <x:c r="A270" s="10" t="str">
        <x:v>MOV000084</x:v>
      </x:c>
      <x:c r="B270" s="16" t="n">
        <x:v>45433.688523854165</x:v>
      </x:c>
      <x:c r="C270" s="10" t="str">
        <x:v>EMP003</x:v>
      </x:c>
      <x:c r="D270" s="10" t="str">
        <x:v>CTA005</x:v>
      </x:c>
      <x:c r="E270" s="10" t="str">
        <x:v>Saída</x:v>
      </x:c>
      <x:c r="F270" s="10" t="str">
        <x:v>CAT017</x:v>
      </x:c>
      <x:c r="G270" s="10" t="str">
        <x:v>Tributos e taxas</x:v>
      </x:c>
      <x:c r="H270" s="10" t="str">
        <x:v>PAG00095</x:v>
      </x:c>
      <x:c r="I270" s="20" t="n">
        <x:v>6885.16</x:v>
      </x:c>
      <x:c r="J270" s="20" t="n">
        <x:v>-6885.16</x:v>
      </x:c>
      <x:c r="K270" s="10" t="str">
        <x:v>Realizado</x:v>
      </x:c>
      <x:c r="L270" s="10" t="str">
        <x:v>Contas a Pagar</x:v>
      </x:c>
    </x:row>
    <x:row r="271" ht="18" customHeight="1">
      <x:c r="A271" s="10" t="str">
        <x:v>MOV000139</x:v>
      </x:c>
      <x:c r="B271" s="16" t="n">
        <x:v>45433.790857395834</x:v>
      </x:c>
      <x:c r="C271" s="10" t="str">
        <x:v>EMP001</x:v>
      </x:c>
      <x:c r="D271" s="10" t="str">
        <x:v>CTA001</x:v>
      </x:c>
      <x:c r="E271" s="10" t="str">
        <x:v>Saída</x:v>
      </x:c>
      <x:c r="F271" s="10" t="str">
        <x:v>CAT007</x:v>
      </x:c>
      <x:c r="G271" s="10" t="str">
        <x:v>Contrato recorrente</x:v>
      </x:c>
      <x:c r="H271" s="10" t="str">
        <x:v>PAG00160</x:v>
      </x:c>
      <x:c r="I271" s="20" t="n">
        <x:v>40268.59</x:v>
      </x:c>
      <x:c r="J271" s="20" t="n">
        <x:v>-40268.59</x:v>
      </x:c>
      <x:c r="K271" s="10" t="str">
        <x:v>Realizado</x:v>
      </x:c>
      <x:c r="L271" s="10" t="str">
        <x:v>Contas a Pagar</x:v>
      </x:c>
    </x:row>
    <x:row r="272" ht="18" customHeight="1">
      <x:c r="A272" s="10" t="str">
        <x:v>MOV000845</x:v>
      </x:c>
      <x:c r="B272" s="16" t="n">
        <x:v>45434.06036289352</x:v>
      </x:c>
      <x:c r="C272" s="10" t="str">
        <x:v>EMP003</x:v>
      </x:c>
      <x:c r="D272" s="10" t="str">
        <x:v>CTA005</x:v>
      </x:c>
      <x:c r="E272" s="10" t="str">
        <x:v>Entrada</x:v>
      </x:c>
      <x:c r="F272" s="10" t="str">
        <x:v>CAT003</x:v>
      </x:c>
      <x:c r="G272" s="10" t="str">
        <x:v>Contrato mensal</x:v>
      </x:c>
      <x:c r="H272" s="10" t="str">
        <x:v>REC00113</x:v>
      </x:c>
      <x:c r="I272" s="20" t="n">
        <x:v>60676.21</x:v>
      </x:c>
      <x:c r="J272" s="20" t="n">
        <x:v>60676.21</x:v>
      </x:c>
      <x:c r="K272" s="10" t="str">
        <x:v>Realizado</x:v>
      </x:c>
      <x:c r="L272" s="10" t="str">
        <x:v>Contas a Receber</x:v>
      </x:c>
    </x:row>
    <x:row r="273" ht="18" customHeight="1">
      <x:c r="A273" s="10" t="str">
        <x:v>MOV001027</x:v>
      </x:c>
      <x:c r="B273" s="16" t="n">
        <x:v>45434.764348032404</x:v>
      </x:c>
      <x:c r="C273" s="10" t="str">
        <x:v>EMP003</x:v>
      </x:c>
      <x:c r="D273" s="10" t="str">
        <x:v>CTA005</x:v>
      </x:c>
      <x:c r="E273" s="10" t="str">
        <x:v>Entrada</x:v>
      </x:c>
      <x:c r="F273" s="10" t="str">
        <x:v>CAT002</x:v>
      </x:c>
      <x:c r="G273" s="10" t="str">
        <x:v>Frete faturado</x:v>
      </x:c>
      <x:c r="H273" s="10" t="str">
        <x:v>REC00331</x:v>
      </x:c>
      <x:c r="I273" s="20" t="n">
        <x:v>9671.68</x:v>
      </x:c>
      <x:c r="J273" s="20" t="n">
        <x:v>9671.68</x:v>
      </x:c>
      <x:c r="K273" s="10" t="str">
        <x:v>Realizado</x:v>
      </x:c>
      <x:c r="L273" s="10" t="str">
        <x:v>Contas a Receber</x:v>
      </x:c>
    </x:row>
    <x:row r="274" ht="18" customHeight="1">
      <x:c r="A274" s="10" t="str">
        <x:v>MOV000181</x:v>
      </x:c>
      <x:c r="B274" s="16" t="n">
        <x:v>45434.90944568287</x:v>
      </x:c>
      <x:c r="C274" s="10" t="str">
        <x:v>EMP001</x:v>
      </x:c>
      <x:c r="D274" s="10" t="str">
        <x:v>CTA002</x:v>
      </x:c>
      <x:c r="E274" s="10" t="str">
        <x:v>Saída</x:v>
      </x:c>
      <x:c r="F274" s="10" t="str">
        <x:v>CAT015</x:v>
      </x:c>
      <x:c r="G274" s="10" t="str">
        <x:v>Despesa operacional</x:v>
      </x:c>
      <x:c r="H274" s="10" t="str">
        <x:v>PAG00212</x:v>
      </x:c>
      <x:c r="I274" s="20" t="n">
        <x:v>11460.92</x:v>
      </x:c>
      <x:c r="J274" s="20" t="n">
        <x:v>-11460.92</x:v>
      </x:c>
      <x:c r="K274" s="10" t="str">
        <x:v>Realizado</x:v>
      </x:c>
      <x:c r="L274" s="10" t="str">
        <x:v>Contas a Pagar</x:v>
      </x:c>
    </x:row>
    <x:row r="275" ht="18" customHeight="1">
      <x:c r="A275" s="10" t="str">
        <x:v>MOV000907</x:v>
      </x:c>
      <x:c r="B275" s="16" t="n">
        <x:v>45435.18132699074</x:v>
      </x:c>
      <x:c r="C275" s="10" t="str">
        <x:v>EMP002</x:v>
      </x:c>
      <x:c r="D275" s="10" t="str">
        <x:v>CTA004</x:v>
      </x:c>
      <x:c r="E275" s="10" t="str">
        <x:v>Entrada</x:v>
      </x:c>
      <x:c r="F275" s="10" t="str">
        <x:v>CAT003</x:v>
      </x:c>
      <x:c r="G275" s="10" t="str">
        <x:v>Venda de produtos</x:v>
      </x:c>
      <x:c r="H275" s="10" t="str">
        <x:v>REC00184</x:v>
      </x:c>
      <x:c r="I275" s="20" t="n">
        <x:v>51331.21</x:v>
      </x:c>
      <x:c r="J275" s="20" t="n">
        <x:v>51331.21</x:v>
      </x:c>
      <x:c r="K275" s="10" t="str">
        <x:v>Realizado</x:v>
      </x:c>
      <x:c r="L275" s="10" t="str">
        <x:v>Contas a Receber</x:v>
      </x:c>
    </x:row>
    <x:row r="276" ht="18" customHeight="1">
      <x:c r="A276" s="10" t="str">
        <x:v>MOV000224</x:v>
      </x:c>
      <x:c r="B276" s="16" t="n">
        <x:v>45436.05208291666</x:v>
      </x:c>
      <x:c r="C276" s="10" t="str">
        <x:v>EMP001</x:v>
      </x:c>
      <x:c r="D276" s="10" t="str">
        <x:v>CTA001</x:v>
      </x:c>
      <x:c r="E276" s="10" t="str">
        <x:v>Saída</x:v>
      </x:c>
      <x:c r="F276" s="10" t="str">
        <x:v>CAT009</x:v>
      </x:c>
      <x:c r="G276" s="10" t="str">
        <x:v>Despesa operacional</x:v>
      </x:c>
      <x:c r="H276" s="10" t="str">
        <x:v>PAG00262</x:v>
      </x:c>
      <x:c r="I276" s="20" t="n">
        <x:v>19610.94</x:v>
      </x:c>
      <x:c r="J276" s="20" t="n">
        <x:v>-19610.94</x:v>
      </x:c>
      <x:c r="K276" s="10" t="str">
        <x:v>Realizado</x:v>
      </x:c>
      <x:c r="L276" s="10" t="str">
        <x:v>Contas a Pagar</x:v>
      </x:c>
    </x:row>
    <x:row r="277" ht="18" customHeight="1">
      <x:c r="A277" s="10" t="str">
        <x:v>MOV001203</x:v>
      </x:c>
      <x:c r="B277" s="16" t="n">
        <x:v>45436.293652546294</x:v>
      </x:c>
      <x:c r="C277" s="10" t="str">
        <x:v>EMP001</x:v>
      </x:c>
      <x:c r="D277" s="10" t="str">
        <x:v>CTA001</x:v>
      </x:c>
      <x:c r="E277" s="10" t="str">
        <x:v>Entrada</x:v>
      </x:c>
      <x:c r="F277" s="10" t="str">
        <x:v>CAT003</x:v>
      </x:c>
      <x:c r="G277" s="10" t="str">
        <x:v>Venda de produtos</x:v>
      </x:c>
      <x:c r="H277" s="10" t="str">
        <x:v>REC00548</x:v>
      </x:c>
      <x:c r="I277" s="20" t="n">
        <x:v>37083.4</x:v>
      </x:c>
      <x:c r="J277" s="20" t="n">
        <x:v>37083.4</x:v>
      </x:c>
      <x:c r="K277" s="10" t="str">
        <x:v>Realizado</x:v>
      </x:c>
      <x:c r="L277" s="10" t="str">
        <x:v>Contas a Receber</x:v>
      </x:c>
    </x:row>
    <x:row r="278" ht="18" customHeight="1">
      <x:c r="A278" s="10" t="str">
        <x:v>MOV000791</x:v>
      </x:c>
      <x:c r="B278" s="16" t="n">
        <x:v>45436.66442664352</x:v>
      </x:c>
      <x:c r="C278" s="10" t="str">
        <x:v>EMP002</x:v>
      </x:c>
      <x:c r="D278" s="10" t="str">
        <x:v>CTA003</x:v>
      </x:c>
      <x:c r="E278" s="10" t="str">
        <x:v>Entrada</x:v>
      </x:c>
      <x:c r="F278" s="10" t="str">
        <x:v>CAT002</x:v>
      </x:c>
      <x:c r="G278" s="10" t="str">
        <x:v>Contrato mensal</x:v>
      </x:c>
      <x:c r="H278" s="10" t="str">
        <x:v>REC00047</x:v>
      </x:c>
      <x:c r="I278" s="20" t="n">
        <x:v>30182.68</x:v>
      </x:c>
      <x:c r="J278" s="20" t="n">
        <x:v>30182.68</x:v>
      </x:c>
      <x:c r="K278" s="10" t="str">
        <x:v>Realizado</x:v>
      </x:c>
      <x:c r="L278" s="10" t="str">
        <x:v>Contas a Receber</x:v>
      </x:c>
    </x:row>
    <x:row r="279" ht="18" customHeight="1">
      <x:c r="A279" s="10" t="str">
        <x:v>MOV000133</x:v>
      </x:c>
      <x:c r="B279" s="16" t="n">
        <x:v>45436.673062361115</x:v>
      </x:c>
      <x:c r="C279" s="10" t="str">
        <x:v>EMP001</x:v>
      </x:c>
      <x:c r="D279" s="10" t="str">
        <x:v>CTA001</x:v>
      </x:c>
      <x:c r="E279" s="10" t="str">
        <x:v>Saída</x:v>
      </x:c>
      <x:c r="F279" s="10" t="str">
        <x:v>CAT007</x:v>
      </x:c>
      <x:c r="G279" s="10" t="str">
        <x:v>Contrato recorrente</x:v>
      </x:c>
      <x:c r="H279" s="10" t="str">
        <x:v>PAG00154</x:v>
      </x:c>
      <x:c r="I279" s="20" t="n">
        <x:v>16132.55</x:v>
      </x:c>
      <x:c r="J279" s="20" t="n">
        <x:v>-16132.55</x:v>
      </x:c>
      <x:c r="K279" s="10" t="str">
        <x:v>Realizado</x:v>
      </x:c>
      <x:c r="L279" s="10" t="str">
        <x:v>Contas a Pagar</x:v>
      </x:c>
    </x:row>
    <x:row r="280" ht="18" customHeight="1">
      <x:c r="A280" s="10" t="str">
        <x:v>MOV000762</x:v>
      </x:c>
      <x:c r="B280" s="16" t="n">
        <x:v>45437.32498858796</x:v>
      </x:c>
      <x:c r="C280" s="10" t="str">
        <x:v>EMP002</x:v>
      </x:c>
      <x:c r="D280" s="10" t="str">
        <x:v>CTA003</x:v>
      </x:c>
      <x:c r="E280" s="10" t="str">
        <x:v>Entrada</x:v>
      </x:c>
      <x:c r="F280" s="10" t="str">
        <x:v>CAT002</x:v>
      </x:c>
      <x:c r="G280" s="10" t="str">
        <x:v>Prestação de serviços</x:v>
      </x:c>
      <x:c r="H280" s="10" t="str">
        <x:v>REC00005</x:v>
      </x:c>
      <x:c r="I280" s="20" t="n">
        <x:v>4716.82</x:v>
      </x:c>
      <x:c r="J280" s="20" t="n">
        <x:v>4716.82</x:v>
      </x:c>
      <x:c r="K280" s="10" t="str">
        <x:v>Realizado</x:v>
      </x:c>
      <x:c r="L280" s="10" t="str">
        <x:v>Contas a Receber</x:v>
      </x:c>
    </x:row>
    <x:row r="281" ht="18" customHeight="1">
      <x:c r="A281" s="10" t="str">
        <x:v>MOV000329</x:v>
      </x:c>
      <x:c r="B281" s="16" t="n">
        <x:v>45437.80412537037</x:v>
      </x:c>
      <x:c r="C281" s="10" t="str">
        <x:v>EMP002</x:v>
      </x:c>
      <x:c r="D281" s="10" t="str">
        <x:v>CTA003</x:v>
      </x:c>
      <x:c r="E281" s="10" t="str">
        <x:v>Saída</x:v>
      </x:c>
      <x:c r="F281" s="10" t="str">
        <x:v>CAT009</x:v>
      </x:c>
      <x:c r="G281" s="10" t="str">
        <x:v>Compra de materiais</x:v>
      </x:c>
      <x:c r="H281" s="10" t="str">
        <x:v>PAG00382</x:v>
      </x:c>
      <x:c r="I281" s="20" t="n">
        <x:v>18066.1</x:v>
      </x:c>
      <x:c r="J281" s="20" t="n">
        <x:v>-18066.1</x:v>
      </x:c>
      <x:c r="K281" s="10" t="str">
        <x:v>Realizado</x:v>
      </x:c>
      <x:c r="L281" s="10" t="str">
        <x:v>Contas a Pagar</x:v>
      </x:c>
    </x:row>
    <x:row r="282" ht="18" customHeight="1">
      <x:c r="A282" s="10" t="str">
        <x:v>MOV000510</x:v>
      </x:c>
      <x:c r="B282" s="16" t="n">
        <x:v>45438.93031315972</x:v>
      </x:c>
      <x:c r="C282" s="10" t="str">
        <x:v>EMP003</x:v>
      </x:c>
      <x:c r="D282" s="10" t="str">
        <x:v>CTA006</x:v>
      </x:c>
      <x:c r="E282" s="10" t="str">
        <x:v>Saída</x:v>
      </x:c>
      <x:c r="F282" s="10" t="str">
        <x:v>CAT013</x:v>
      </x:c>
      <x:c r="G282" s="10" t="str">
        <x:v>Prestação de serviços</x:v>
      </x:c>
      <x:c r="H282" s="10" t="str">
        <x:v>PAG00600</x:v>
      </x:c>
      <x:c r="I282" s="20" t="n">
        <x:v>40289.91</x:v>
      </x:c>
      <x:c r="J282" s="20" t="n">
        <x:v>-40289.91</x:v>
      </x:c>
      <x:c r="K282" s="10" t="str">
        <x:v>Realizado</x:v>
      </x:c>
      <x:c r="L282" s="10" t="str">
        <x:v>Contas a Pagar</x:v>
      </x:c>
    </x:row>
    <x:row r="283" ht="18" customHeight="1">
      <x:c r="A283" s="10" t="str">
        <x:v>MOV000594</x:v>
      </x:c>
      <x:c r="B283" s="16" t="n">
        <x:v>45439.0829581713</x:v>
      </x:c>
      <x:c r="C283" s="10" t="str">
        <x:v>EMP002</x:v>
      </x:c>
      <x:c r="D283" s="10" t="str">
        <x:v>CTA003</x:v>
      </x:c>
      <x:c r="E283" s="10" t="str">
        <x:v>Saída</x:v>
      </x:c>
      <x:c r="F283" s="10" t="str">
        <x:v>CAT011</x:v>
      </x:c>
      <x:c r="G283" s="10" t="str">
        <x:v>Contrato recorrente</x:v>
      </x:c>
      <x:c r="H283" s="10" t="str">
        <x:v>PAG00700</x:v>
      </x:c>
      <x:c r="I283" s="20" t="n">
        <x:v>651.4</x:v>
      </x:c>
      <x:c r="J283" s="20" t="n">
        <x:v>-651.4</x:v>
      </x:c>
      <x:c r="K283" s="10" t="str">
        <x:v>Realizado</x:v>
      </x:c>
      <x:c r="L283" s="10" t="str">
        <x:v>Contas a Pagar</x:v>
      </x:c>
    </x:row>
    <x:row r="284" ht="18" customHeight="1">
      <x:c r="A284" s="10" t="str">
        <x:v>MOV000083</x:v>
      </x:c>
      <x:c r="B284" s="16" t="n">
        <x:v>45439.608365844906</x:v>
      </x:c>
      <x:c r="C284" s="10" t="str">
        <x:v>EMP003</x:v>
      </x:c>
      <x:c r="D284" s="10" t="str">
        <x:v>CTA005</x:v>
      </x:c>
      <x:c r="E284" s="10" t="str">
        <x:v>Saída</x:v>
      </x:c>
      <x:c r="F284" s="10" t="str">
        <x:v>CAT012</x:v>
      </x:c>
      <x:c r="G284" s="10" t="str">
        <x:v>Prestação de serviços</x:v>
      </x:c>
      <x:c r="H284" s="10" t="str">
        <x:v>PAG00094</x:v>
      </x:c>
      <x:c r="I284" s="20" t="n">
        <x:v>13387.53</x:v>
      </x:c>
      <x:c r="J284" s="20" t="n">
        <x:v>-13387.53</x:v>
      </x:c>
      <x:c r="K284" s="10" t="str">
        <x:v>Realizado</x:v>
      </x:c>
      <x:c r="L284" s="10" t="str">
        <x:v>Contas a Pagar</x:v>
      </x:c>
    </x:row>
    <x:row r="285" ht="18" customHeight="1">
      <x:c r="A285" s="10" t="str">
        <x:v>MOV000776</x:v>
      </x:c>
      <x:c r="B285" s="16" t="n">
        <x:v>45439.62061116898</x:v>
      </x:c>
      <x:c r="C285" s="10" t="str">
        <x:v>EMP002</x:v>
      </x:c>
      <x:c r="D285" s="10" t="str">
        <x:v>CTA003</x:v>
      </x:c>
      <x:c r="E285" s="10" t="str">
        <x:v>Entrada</x:v>
      </x:c>
      <x:c r="F285" s="10" t="str">
        <x:v>CAT004</x:v>
      </x:c>
      <x:c r="G285" s="10" t="str">
        <x:v>Venda de produtos</x:v>
      </x:c>
      <x:c r="H285" s="10" t="str">
        <x:v>REC00028</x:v>
      </x:c>
      <x:c r="I285" s="20" t="n">
        <x:v>11478.27</x:v>
      </x:c>
      <x:c r="J285" s="20" t="n">
        <x:v>11478.27</x:v>
      </x:c>
      <x:c r="K285" s="10" t="str">
        <x:v>Realizado</x:v>
      </x:c>
      <x:c r="L285" s="10" t="str">
        <x:v>Contas a Receber</x:v>
      </x:c>
    </x:row>
    <x:row r="286" ht="18" customHeight="1">
      <x:c r="A286" s="10" t="str">
        <x:v>MOV000040</x:v>
      </x:c>
      <x:c r="B286" s="16" t="n">
        <x:v>45441.26126827546</x:v>
      </x:c>
      <x:c r="C286" s="10" t="str">
        <x:v>EMP003</x:v>
      </x:c>
      <x:c r="D286" s="10" t="str">
        <x:v>CTA006</x:v>
      </x:c>
      <x:c r="E286" s="10" t="str">
        <x:v>Saída</x:v>
      </x:c>
      <x:c r="F286" s="10" t="str">
        <x:v>CAT007</x:v>
      </x:c>
      <x:c r="G286" s="10" t="str">
        <x:v>Despesa operacional</x:v>
      </x:c>
      <x:c r="H286" s="10" t="str">
        <x:v>PAG00040</x:v>
      </x:c>
      <x:c r="I286" s="20" t="n">
        <x:v>3215.6</x:v>
      </x:c>
      <x:c r="J286" s="20" t="n">
        <x:v>-3215.6</x:v>
      </x:c>
      <x:c r="K286" s="10" t="str">
        <x:v>Realizado</x:v>
      </x:c>
      <x:c r="L286" s="10" t="str">
        <x:v>Contas a Pagar</x:v>
      </x:c>
    </x:row>
    <x:row r="287" ht="18" customHeight="1">
      <x:c r="A287" s="10" t="str">
        <x:v>MOV000413</x:v>
      </x:c>
      <x:c r="B287" s="16" t="n">
        <x:v>45442.943198796296</x:v>
      </x:c>
      <x:c r="C287" s="10" t="str">
        <x:v>EMP001</x:v>
      </x:c>
      <x:c r="D287" s="10" t="str">
        <x:v>CTA001</x:v>
      </x:c>
      <x:c r="E287" s="10" t="str">
        <x:v>Saída</x:v>
      </x:c>
      <x:c r="F287" s="10" t="str">
        <x:v>CAT005</x:v>
      </x:c>
      <x:c r="G287" s="10" t="str">
        <x:v>Tributos e taxas</x:v>
      </x:c>
      <x:c r="H287" s="10" t="str">
        <x:v>PAG00481</x:v>
      </x:c>
      <x:c r="I287" s="20" t="n">
        <x:v>13644.1</x:v>
      </x:c>
      <x:c r="J287" s="20" t="n">
        <x:v>-13644.1</x:v>
      </x:c>
      <x:c r="K287" s="10" t="str">
        <x:v>Realizado</x:v>
      </x:c>
      <x:c r="L287" s="10" t="str">
        <x:v>Contas a Pagar</x:v>
      </x:c>
    </x:row>
    <x:row r="288" ht="18" customHeight="1">
      <x:c r="A288" s="10" t="str">
        <x:v>MOV001478</x:v>
      </x:c>
      <x:c r="B288" s="16" t="n">
        <x:v>45443.15968302084</x:v>
      </x:c>
      <x:c r="C288" s="10" t="str">
        <x:v>EMP002</x:v>
      </x:c>
      <x:c r="D288" s="10" t="str">
        <x:v>CTA003</x:v>
      </x:c>
      <x:c r="E288" s="10" t="str">
        <x:v>Entrada</x:v>
      </x:c>
      <x:c r="F288" s="10" t="str">
        <x:v>CAT002</x:v>
      </x:c>
      <x:c r="G288" s="10" t="str">
        <x:v>Frete faturado</x:v>
      </x:c>
      <x:c r="H288" s="10" t="str">
        <x:v>REC00878</x:v>
      </x:c>
      <x:c r="I288" s="20" t="n">
        <x:v>79931.79</x:v>
      </x:c>
      <x:c r="J288" s="20" t="n">
        <x:v>79931.79</x:v>
      </x:c>
      <x:c r="K288" s="10" t="str">
        <x:v>Realizado</x:v>
      </x:c>
      <x:c r="L288" s="10" t="str">
        <x:v>Contas a Receber</x:v>
      </x:c>
    </x:row>
    <x:row r="289" ht="18" customHeight="1">
      <x:c r="A289" s="10" t="str">
        <x:v>MOV000767</x:v>
      </x:c>
      <x:c r="B289" s="16" t="n">
        <x:v>45443.42932162037</x:v>
      </x:c>
      <x:c r="C289" s="10" t="str">
        <x:v>EMP002</x:v>
      </x:c>
      <x:c r="D289" s="10" t="str">
        <x:v>CTA004</x:v>
      </x:c>
      <x:c r="E289" s="10" t="str">
        <x:v>Entrada</x:v>
      </x:c>
      <x:c r="F289" s="10" t="str">
        <x:v>CAT001</x:v>
      </x:c>
      <x:c r="G289" s="10" t="str">
        <x:v>Venda de produtos</x:v>
      </x:c>
      <x:c r="H289" s="10" t="str">
        <x:v>REC00012</x:v>
      </x:c>
      <x:c r="I289" s="20" t="n">
        <x:v>114060.21</x:v>
      </x:c>
      <x:c r="J289" s="20" t="n">
        <x:v>114060.21</x:v>
      </x:c>
      <x:c r="K289" s="10" t="str">
        <x:v>Realizado</x:v>
      </x:c>
      <x:c r="L289" s="10" t="str">
        <x:v>Contas a Receber</x:v>
      </x:c>
    </x:row>
    <x:row r="290" ht="18" customHeight="1">
      <x:c r="A290" s="10" t="str">
        <x:v>MOV000673</x:v>
      </x:c>
      <x:c r="B290" s="16" t="n">
        <x:v>45443.752257569446</x:v>
      </x:c>
      <x:c r="C290" s="10" t="str">
        <x:v>EMP003</x:v>
      </x:c>
      <x:c r="D290" s="10" t="str">
        <x:v>CTA006</x:v>
      </x:c>
      <x:c r="E290" s="10" t="str">
        <x:v>Saída</x:v>
      </x:c>
      <x:c r="F290" s="10" t="str">
        <x:v>CAT017</x:v>
      </x:c>
      <x:c r="G290" s="10" t="str">
        <x:v>Compra de materiais</x:v>
      </x:c>
      <x:c r="H290" s="10" t="str">
        <x:v>PAG00800</x:v>
      </x:c>
      <x:c r="I290" s="20" t="n">
        <x:v>1275.44</x:v>
      </x:c>
      <x:c r="J290" s="20" t="n">
        <x:v>-1275.44</x:v>
      </x:c>
      <x:c r="K290" s="10" t="str">
        <x:v>Realizado</x:v>
      </x:c>
      <x:c r="L290" s="10" t="str">
        <x:v>Contas a Pagar</x:v>
      </x:c>
    </x:row>
    <x:row r="291" ht="18" customHeight="1">
      <x:c r="A291" s="10" t="str">
        <x:v>MOV000055</x:v>
      </x:c>
      <x:c r="B291" s="16" t="n">
        <x:v>45443.801453125</x:v>
      </x:c>
      <x:c r="C291" s="10" t="str">
        <x:v>EMP002</x:v>
      </x:c>
      <x:c r="D291" s="10" t="str">
        <x:v>CTA004</x:v>
      </x:c>
      <x:c r="E291" s="10" t="str">
        <x:v>Saída</x:v>
      </x:c>
      <x:c r="F291" s="10" t="str">
        <x:v>CAT014</x:v>
      </x:c>
      <x:c r="G291" s="10" t="str">
        <x:v>Compra de materiais</x:v>
      </x:c>
      <x:c r="H291" s="10" t="str">
        <x:v>PAG00056</x:v>
      </x:c>
      <x:c r="I291" s="20" t="n">
        <x:v>43463.63</x:v>
      </x:c>
      <x:c r="J291" s="20" t="n">
        <x:v>-43463.63</x:v>
      </x:c>
      <x:c r="K291" s="10" t="str">
        <x:v>Realizado</x:v>
      </x:c>
      <x:c r="L291" s="10" t="str">
        <x:v>Contas a Pagar</x:v>
      </x:c>
    </x:row>
    <x:row r="292" ht="18" customHeight="1">
      <x:c r="A292" s="10" t="str">
        <x:v>MOV000981</x:v>
      </x:c>
      <x:c r="B292" s="16" t="n">
        <x:v>45443.839180358795</x:v>
      </x:c>
      <x:c r="C292" s="10" t="str">
        <x:v>EMP003</x:v>
      </x:c>
      <x:c r="D292" s="10" t="str">
        <x:v>CTA006</x:v>
      </x:c>
      <x:c r="E292" s="10" t="str">
        <x:v>Entrada</x:v>
      </x:c>
      <x:c r="F292" s="10" t="str">
        <x:v>CAT004</x:v>
      </x:c>
      <x:c r="G292" s="10" t="str">
        <x:v>Prestação de serviços</x:v>
      </x:c>
      <x:c r="H292" s="10" t="str">
        <x:v>REC00276</x:v>
      </x:c>
      <x:c r="I292" s="20" t="n">
        <x:v>5655.77</x:v>
      </x:c>
      <x:c r="J292" s="20" t="n">
        <x:v>5655.77</x:v>
      </x:c>
      <x:c r="K292" s="10" t="str">
        <x:v>Realizado</x:v>
      </x:c>
      <x:c r="L292" s="10" t="str">
        <x:v>Contas a Receber</x:v>
      </x:c>
    </x:row>
    <x:row r="293" ht="18" customHeight="1">
      <x:c r="A293" s="10" t="str">
        <x:v>MOV001447</x:v>
      </x:c>
      <x:c r="B293" s="16" t="n">
        <x:v>45444.17615184028</x:v>
      </x:c>
      <x:c r="C293" s="10" t="str">
        <x:v>EMP002</x:v>
      </x:c>
      <x:c r="D293" s="10" t="str">
        <x:v>CTA004</x:v>
      </x:c>
      <x:c r="E293" s="10" t="str">
        <x:v>Entrada</x:v>
      </x:c>
      <x:c r="F293" s="10" t="str">
        <x:v>CAT003</x:v>
      </x:c>
      <x:c r="G293" s="10" t="str">
        <x:v>Projeto especial</x:v>
      </x:c>
      <x:c r="H293" s="10" t="str">
        <x:v>REC00840</x:v>
      </x:c>
      <x:c r="I293" s="20" t="n">
        <x:v>98836.91</x:v>
      </x:c>
      <x:c r="J293" s="20" t="n">
        <x:v>98836.91</x:v>
      </x:c>
      <x:c r="K293" s="10" t="str">
        <x:v>Realizado</x:v>
      </x:c>
      <x:c r="L293" s="10" t="str">
        <x:v>Contas a Receber</x:v>
      </x:c>
    </x:row>
    <x:row r="294" ht="18" customHeight="1">
      <x:c r="A294" s="10" t="str">
        <x:v>MOV000779</x:v>
      </x:c>
      <x:c r="B294" s="16" t="n">
        <x:v>45444.27091677083</x:v>
      </x:c>
      <x:c r="C294" s="10" t="str">
        <x:v>EMP001</x:v>
      </x:c>
      <x:c r="D294" s="10" t="str">
        <x:v>CTA001</x:v>
      </x:c>
      <x:c r="E294" s="10" t="str">
        <x:v>Entrada</x:v>
      </x:c>
      <x:c r="F294" s="10" t="str">
        <x:v>CAT001</x:v>
      </x:c>
      <x:c r="G294" s="10" t="str">
        <x:v>Venda de produtos</x:v>
      </x:c>
      <x:c r="H294" s="10" t="str">
        <x:v>REC00032</x:v>
      </x:c>
      <x:c r="I294" s="20" t="n">
        <x:v>54107.85</x:v>
      </x:c>
      <x:c r="J294" s="20" t="n">
        <x:v>54107.85</x:v>
      </x:c>
      <x:c r="K294" s="10" t="str">
        <x:v>Realizado</x:v>
      </x:c>
      <x:c r="L294" s="10" t="str">
        <x:v>Contas a Receber</x:v>
      </x:c>
    </x:row>
    <x:row r="295" ht="18" customHeight="1">
      <x:c r="A295" s="10" t="str">
        <x:v>MOV000970</x:v>
      </x:c>
      <x:c r="B295" s="16" t="n">
        <x:v>45445.17021005787</x:v>
      </x:c>
      <x:c r="C295" s="10" t="str">
        <x:v>EMP002</x:v>
      </x:c>
      <x:c r="D295" s="10" t="str">
        <x:v>CTA003</x:v>
      </x:c>
      <x:c r="E295" s="10" t="str">
        <x:v>Entrada</x:v>
      </x:c>
      <x:c r="F295" s="10" t="str">
        <x:v>CAT001</x:v>
      </x:c>
      <x:c r="G295" s="10" t="str">
        <x:v>Contrato mensal</x:v>
      </x:c>
      <x:c r="H295" s="10" t="str">
        <x:v>REC00260</x:v>
      </x:c>
      <x:c r="I295" s="20" t="n">
        <x:v>4643.5</x:v>
      </x:c>
      <x:c r="J295" s="20" t="n">
        <x:v>4643.5</x:v>
      </x:c>
      <x:c r="K295" s="10" t="str">
        <x:v>Realizado</x:v>
      </x:c>
      <x:c r="L295" s="10" t="str">
        <x:v>Contas a Receber</x:v>
      </x:c>
    </x:row>
    <x:row r="296" ht="18" customHeight="1">
      <x:c r="A296" s="10" t="str">
        <x:v>MOV000775</x:v>
      </x:c>
      <x:c r="B296" s="16" t="n">
        <x:v>45445.608196319445</x:v>
      </x:c>
      <x:c r="C296" s="10" t="str">
        <x:v>EMP002</x:v>
      </x:c>
      <x:c r="D296" s="10" t="str">
        <x:v>CTA003</x:v>
      </x:c>
      <x:c r="E296" s="10" t="str">
        <x:v>Entrada</x:v>
      </x:c>
      <x:c r="F296" s="10" t="str">
        <x:v>CAT001</x:v>
      </x:c>
      <x:c r="G296" s="10" t="str">
        <x:v>Prestação de serviços</x:v>
      </x:c>
      <x:c r="H296" s="10" t="str">
        <x:v>REC00025</x:v>
      </x:c>
      <x:c r="I296" s="20" t="n">
        <x:v>23019.01</x:v>
      </x:c>
      <x:c r="J296" s="20" t="n">
        <x:v>23019.01</x:v>
      </x:c>
      <x:c r="K296" s="10" t="str">
        <x:v>Realizado</x:v>
      </x:c>
      <x:c r="L296" s="10" t="str">
        <x:v>Contas a Receber</x:v>
      </x:c>
    </x:row>
    <x:row r="297" ht="18" customHeight="1">
      <x:c r="A297" s="10" t="str">
        <x:v>MOV000141</x:v>
      </x:c>
      <x:c r="B297" s="16" t="n">
        <x:v>45445.869504675924</x:v>
      </x:c>
      <x:c r="C297" s="10" t="str">
        <x:v>EMP003</x:v>
      </x:c>
      <x:c r="D297" s="10" t="str">
        <x:v>CTA005</x:v>
      </x:c>
      <x:c r="E297" s="10" t="str">
        <x:v>Saída</x:v>
      </x:c>
      <x:c r="F297" s="10" t="str">
        <x:v>CAT015</x:v>
      </x:c>
      <x:c r="G297" s="10" t="str">
        <x:v>Contrato recorrente</x:v>
      </x:c>
      <x:c r="H297" s="10" t="str">
        <x:v>PAG00162</x:v>
      </x:c>
      <x:c r="I297" s="20" t="n">
        <x:v>44170.8</x:v>
      </x:c>
      <x:c r="J297" s="20" t="n">
        <x:v>-44170.8</x:v>
      </x:c>
      <x:c r="K297" s="10" t="str">
        <x:v>Realizado</x:v>
      </x:c>
      <x:c r="L297" s="10" t="str">
        <x:v>Contas a Pagar</x:v>
      </x:c>
    </x:row>
    <x:row r="298" ht="18" customHeight="1">
      <x:c r="A298" s="10" t="str">
        <x:v>MOV000231</x:v>
      </x:c>
      <x:c r="B298" s="16" t="n">
        <x:v>45446.072318530096</x:v>
      </x:c>
      <x:c r="C298" s="10" t="str">
        <x:v>EMP001</x:v>
      </x:c>
      <x:c r="D298" s="10" t="str">
        <x:v>CTA001</x:v>
      </x:c>
      <x:c r="E298" s="10" t="str">
        <x:v>Saída</x:v>
      </x:c>
      <x:c r="F298" s="10" t="str">
        <x:v>CAT018</x:v>
      </x:c>
      <x:c r="G298" s="10" t="str">
        <x:v>Compra de materiais</x:v>
      </x:c>
      <x:c r="H298" s="10" t="str">
        <x:v>PAG00271</x:v>
      </x:c>
      <x:c r="I298" s="20" t="n">
        <x:v>114232.2</x:v>
      </x:c>
      <x:c r="J298" s="20" t="n">
        <x:v>-114232.2</x:v>
      </x:c>
      <x:c r="K298" s="10" t="str">
        <x:v>Realizado</x:v>
      </x:c>
      <x:c r="L298" s="10" t="str">
        <x:v>Contas a Pagar</x:v>
      </x:c>
    </x:row>
    <x:row r="299" ht="18" customHeight="1">
      <x:c r="A299" s="10" t="str">
        <x:v>MOV000547</x:v>
      </x:c>
      <x:c r="B299" s="16" t="n">
        <x:v>45446.12395908565</x:v>
      </x:c>
      <x:c r="C299" s="10" t="str">
        <x:v>EMP002</x:v>
      </x:c>
      <x:c r="D299" s="10" t="str">
        <x:v>CTA004</x:v>
      </x:c>
      <x:c r="E299" s="10" t="str">
        <x:v>Saída</x:v>
      </x:c>
      <x:c r="F299" s="10" t="str">
        <x:v>CAT010</x:v>
      </x:c>
      <x:c r="G299" s="10" t="str">
        <x:v>Compra de materiais</x:v>
      </x:c>
      <x:c r="H299" s="10" t="str">
        <x:v>PAG00641</x:v>
      </x:c>
      <x:c r="I299" s="20" t="n">
        <x:v>7882.2</x:v>
      </x:c>
      <x:c r="J299" s="20" t="n">
        <x:v>-7882.2</x:v>
      </x:c>
      <x:c r="K299" s="10" t="str">
        <x:v>Realizado</x:v>
      </x:c>
      <x:c r="L299" s="10" t="str">
        <x:v>Contas a Pagar</x:v>
      </x:c>
    </x:row>
    <x:row r="300" ht="18" customHeight="1">
      <x:c r="A300" s="10" t="str">
        <x:v>MOV000273</x:v>
      </x:c>
      <x:c r="B300" s="16" t="n">
        <x:v>45446.77557028935</x:v>
      </x:c>
      <x:c r="C300" s="10" t="str">
        <x:v>EMP001</x:v>
      </x:c>
      <x:c r="D300" s="10" t="str">
        <x:v>CTA001</x:v>
      </x:c>
      <x:c r="E300" s="10" t="str">
        <x:v>Saída</x:v>
      </x:c>
      <x:c r="F300" s="10" t="str">
        <x:v>CAT009</x:v>
      </x:c>
      <x:c r="G300" s="10" t="str">
        <x:v>Contrato recorrente</x:v>
      </x:c>
      <x:c r="H300" s="10" t="str">
        <x:v>PAG00317</x:v>
      </x:c>
      <x:c r="I300" s="20" t="n">
        <x:v>11992.55</x:v>
      </x:c>
      <x:c r="J300" s="20" t="n">
        <x:v>-11992.55</x:v>
      </x:c>
      <x:c r="K300" s="10" t="str">
        <x:v>Realizado</x:v>
      </x:c>
      <x:c r="L300" s="10" t="str">
        <x:v>Contas a Pagar</x:v>
      </x:c>
    </x:row>
    <x:row r="301" ht="18" customHeight="1">
      <x:c r="A301" s="10" t="str">
        <x:v>MOV001458</x:v>
      </x:c>
      <x:c r="B301" s="16" t="n">
        <x:v>45447.137357465275</x:v>
      </x:c>
      <x:c r="C301" s="10" t="str">
        <x:v>EMP001</x:v>
      </x:c>
      <x:c r="D301" s="10" t="str">
        <x:v>CTA001</x:v>
      </x:c>
      <x:c r="E301" s="10" t="str">
        <x:v>Entrada</x:v>
      </x:c>
      <x:c r="F301" s="10" t="str">
        <x:v>CAT002</x:v>
      </x:c>
      <x:c r="G301" s="10" t="str">
        <x:v>Prestação de serviços</x:v>
      </x:c>
      <x:c r="H301" s="10" t="str">
        <x:v>REC00854</x:v>
      </x:c>
      <x:c r="I301" s="20" t="n">
        <x:v>108027.96</x:v>
      </x:c>
      <x:c r="J301" s="20" t="n">
        <x:v>108027.96</x:v>
      </x:c>
      <x:c r="K301" s="10" t="str">
        <x:v>Realizado</x:v>
      </x:c>
      <x:c r="L301" s="10" t="str">
        <x:v>Contas a Receber</x:v>
      </x:c>
    </x:row>
    <x:row r="302" ht="18" customHeight="1">
      <x:c r="A302" s="10" t="str">
        <x:v>MOV000237</x:v>
      </x:c>
      <x:c r="B302" s="16" t="n">
        <x:v>45448.01647974537</x:v>
      </x:c>
      <x:c r="C302" s="10" t="str">
        <x:v>EMP002</x:v>
      </x:c>
      <x:c r="D302" s="10" t="str">
        <x:v>CTA003</x:v>
      </x:c>
      <x:c r="E302" s="10" t="str">
        <x:v>Saída</x:v>
      </x:c>
      <x:c r="F302" s="10" t="str">
        <x:v>CAT007</x:v>
      </x:c>
      <x:c r="G302" s="10" t="str">
        <x:v>Contrato recorrente</x:v>
      </x:c>
      <x:c r="H302" s="10" t="str">
        <x:v>PAG00277</x:v>
      </x:c>
      <x:c r="I302" s="20" t="n">
        <x:v>9982.3</x:v>
      </x:c>
      <x:c r="J302" s="20" t="n">
        <x:v>-9982.3</x:v>
      </x:c>
      <x:c r="K302" s="10" t="str">
        <x:v>Realizado</x:v>
      </x:c>
      <x:c r="L302" s="10" t="str">
        <x:v>Contas a Pagar</x:v>
      </x:c>
    </x:row>
    <x:row r="303" ht="18" customHeight="1">
      <x:c r="A303" s="10" t="str">
        <x:v>MOV001124</x:v>
      </x:c>
      <x:c r="B303" s="16" t="n">
        <x:v>45448.85596501157</x:v>
      </x:c>
      <x:c r="C303" s="10" t="str">
        <x:v>EMP002</x:v>
      </x:c>
      <x:c r="D303" s="10" t="str">
        <x:v>CTA003</x:v>
      </x:c>
      <x:c r="E303" s="10" t="str">
        <x:v>Entrada</x:v>
      </x:c>
      <x:c r="F303" s="10" t="str">
        <x:v>CAT003</x:v>
      </x:c>
      <x:c r="G303" s="10" t="str">
        <x:v>Contrato mensal</x:v>
      </x:c>
      <x:c r="H303" s="10" t="str">
        <x:v>REC00453</x:v>
      </x:c>
      <x:c r="I303" s="20" t="n">
        <x:v>112546.53</x:v>
      </x:c>
      <x:c r="J303" s="20" t="n">
        <x:v>112546.53</x:v>
      </x:c>
      <x:c r="K303" s="10" t="str">
        <x:v>Realizado</x:v>
      </x:c>
      <x:c r="L303" s="10" t="str">
        <x:v>Contas a Receber</x:v>
      </x:c>
    </x:row>
    <x:row r="304" ht="18" customHeight="1">
      <x:c r="A304" s="10" t="str">
        <x:v>MOV000159</x:v>
      </x:c>
      <x:c r="B304" s="16" t="n">
        <x:v>45449.07631480324</x:v>
      </x:c>
      <x:c r="C304" s="10" t="str">
        <x:v>EMP003</x:v>
      </x:c>
      <x:c r="D304" s="10" t="str">
        <x:v>CTA006</x:v>
      </x:c>
      <x:c r="E304" s="10" t="str">
        <x:v>Saída</x:v>
      </x:c>
      <x:c r="F304" s="10" t="str">
        <x:v>CAT010</x:v>
      </x:c>
      <x:c r="G304" s="10" t="str">
        <x:v>Despesa operacional</x:v>
      </x:c>
      <x:c r="H304" s="10" t="str">
        <x:v>PAG00185</x:v>
      </x:c>
      <x:c r="I304" s="20" t="n">
        <x:v>20677.15</x:v>
      </x:c>
      <x:c r="J304" s="20" t="n">
        <x:v>-20677.15</x:v>
      </x:c>
      <x:c r="K304" s="10" t="str">
        <x:v>Realizado</x:v>
      </x:c>
      <x:c r="L304" s="10" t="str">
        <x:v>Contas a Pagar</x:v>
      </x:c>
    </x:row>
    <x:row r="305" ht="18" customHeight="1">
      <x:c r="A305" s="10" t="str">
        <x:v>MOV001175</x:v>
      </x:c>
      <x:c r="B305" s="16" t="n">
        <x:v>45449.43164967593</x:v>
      </x:c>
      <x:c r="C305" s="10" t="str">
        <x:v>EMP003</x:v>
      </x:c>
      <x:c r="D305" s="10" t="str">
        <x:v>CTA006</x:v>
      </x:c>
      <x:c r="E305" s="10" t="str">
        <x:v>Entrada</x:v>
      </x:c>
      <x:c r="F305" s="10" t="str">
        <x:v>CAT003</x:v>
      </x:c>
      <x:c r="G305" s="10" t="str">
        <x:v>Projeto especial</x:v>
      </x:c>
      <x:c r="H305" s="10" t="str">
        <x:v>REC00511</x:v>
      </x:c>
      <x:c r="I305" s="20" t="n">
        <x:v>2064.88</x:v>
      </x:c>
      <x:c r="J305" s="20" t="n">
        <x:v>2064.88</x:v>
      </x:c>
      <x:c r="K305" s="10" t="str">
        <x:v>Realizado</x:v>
      </x:c>
      <x:c r="L305" s="10" t="str">
        <x:v>Contas a Receber</x:v>
      </x:c>
    </x:row>
    <x:row r="306" ht="18" customHeight="1">
      <x:c r="A306" s="10" t="str">
        <x:v>MOV000805</x:v>
      </x:c>
      <x:c r="B306" s="16" t="n">
        <x:v>45449.617635393515</x:v>
      </x:c>
      <x:c r="C306" s="10" t="str">
        <x:v>EMP003</x:v>
      </x:c>
      <x:c r="D306" s="10" t="str">
        <x:v>CTA006</x:v>
      </x:c>
      <x:c r="E306" s="10" t="str">
        <x:v>Entrada</x:v>
      </x:c>
      <x:c r="F306" s="10" t="str">
        <x:v>CAT004</x:v>
      </x:c>
      <x:c r="G306" s="10" t="str">
        <x:v>Frete faturado</x:v>
      </x:c>
      <x:c r="H306" s="10" t="str">
        <x:v>REC00064</x:v>
      </x:c>
      <x:c r="I306" s="20" t="n">
        <x:v>125918.81</x:v>
      </x:c>
      <x:c r="J306" s="20" t="n">
        <x:v>125918.81</x:v>
      </x:c>
      <x:c r="K306" s="10" t="str">
        <x:v>Realizado</x:v>
      </x:c>
      <x:c r="L306" s="10" t="str">
        <x:v>Contas a Receber</x:v>
      </x:c>
    </x:row>
    <x:row r="307" ht="18" customHeight="1">
      <x:c r="A307" s="10" t="str">
        <x:v>MOV001273</x:v>
      </x:c>
      <x:c r="B307" s="16" t="n">
        <x:v>45449.674312800926</x:v>
      </x:c>
      <x:c r="C307" s="10" t="str">
        <x:v>EMP003</x:v>
      </x:c>
      <x:c r="D307" s="10" t="str">
        <x:v>CTA006</x:v>
      </x:c>
      <x:c r="E307" s="10" t="str">
        <x:v>Entrada</x:v>
      </x:c>
      <x:c r="F307" s="10" t="str">
        <x:v>CAT004</x:v>
      </x:c>
      <x:c r="G307" s="10" t="str">
        <x:v>Frete faturado</x:v>
      </x:c>
      <x:c r="H307" s="10" t="str">
        <x:v>REC00633</x:v>
      </x:c>
      <x:c r="I307" s="20" t="n">
        <x:v>74184.85</x:v>
      </x:c>
      <x:c r="J307" s="20" t="n">
        <x:v>74184.85</x:v>
      </x:c>
      <x:c r="K307" s="10" t="str">
        <x:v>Realizado</x:v>
      </x:c>
      <x:c r="L307" s="10" t="str">
        <x:v>Contas a Receber</x:v>
      </x:c>
    </x:row>
    <x:row r="308" ht="18" customHeight="1">
      <x:c r="A308" s="10" t="str">
        <x:v>MOV001633</x:v>
      </x:c>
      <x:c r="B308" s="16" t="n">
        <x:v>45450.04639094907</x:v>
      </x:c>
      <x:c r="C308" s="10" t="str">
        <x:v>EMP003</x:v>
      </x:c>
      <x:c r="D308" s="10" t="str">
        <x:v>CTA006</x:v>
      </x:c>
      <x:c r="E308" s="10" t="str">
        <x:v>Entrada</x:v>
      </x:c>
      <x:c r="F308" s="10" t="str">
        <x:v>CAT002</x:v>
      </x:c>
      <x:c r="G308" s="10" t="str">
        <x:v>Contrato mensal</x:v>
      </x:c>
      <x:c r="H308" s="10" t="str">
        <x:v>REC01066</x:v>
      </x:c>
      <x:c r="I308" s="20" t="n">
        <x:v>34253.52</x:v>
      </x:c>
      <x:c r="J308" s="20" t="n">
        <x:v>34253.52</x:v>
      </x:c>
      <x:c r="K308" s="10" t="str">
        <x:v>Realizado</x:v>
      </x:c>
      <x:c r="L308" s="10" t="str">
        <x:v>Contas a Receber</x:v>
      </x:c>
    </x:row>
    <x:row r="309" ht="18" customHeight="1">
      <x:c r="A309" s="10" t="str">
        <x:v>MOV001530</x:v>
      </x:c>
      <x:c r="B309" s="16" t="n">
        <x:v>45450.24554815972</x:v>
      </x:c>
      <x:c r="C309" s="10" t="str">
        <x:v>EMP003</x:v>
      </x:c>
      <x:c r="D309" s="10" t="str">
        <x:v>CTA006</x:v>
      </x:c>
      <x:c r="E309" s="10" t="str">
        <x:v>Entrada</x:v>
      </x:c>
      <x:c r="F309" s="10" t="str">
        <x:v>CAT002</x:v>
      </x:c>
      <x:c r="G309" s="10" t="str">
        <x:v>Projeto especial</x:v>
      </x:c>
      <x:c r="H309" s="10" t="str">
        <x:v>REC00943</x:v>
      </x:c>
      <x:c r="I309" s="20" t="n">
        <x:v>1671.98</x:v>
      </x:c>
      <x:c r="J309" s="20" t="n">
        <x:v>1671.98</x:v>
      </x:c>
      <x:c r="K309" s="10" t="str">
        <x:v>Realizado</x:v>
      </x:c>
      <x:c r="L309" s="10" t="str">
        <x:v>Contas a Receber</x:v>
      </x:c>
    </x:row>
    <x:row r="310" ht="18" customHeight="1">
      <x:c r="A310" s="10" t="str">
        <x:v>MOV000094</x:v>
      </x:c>
      <x:c r="B310" s="16" t="n">
        <x:v>45450.34883628472</x:v>
      </x:c>
      <x:c r="C310" s="10" t="str">
        <x:v>EMP001</x:v>
      </x:c>
      <x:c r="D310" s="10" t="str">
        <x:v>CTA001</x:v>
      </x:c>
      <x:c r="E310" s="10" t="str">
        <x:v>Saída</x:v>
      </x:c>
      <x:c r="F310" s="10" t="str">
        <x:v>CAT018</x:v>
      </x:c>
      <x:c r="G310" s="10" t="str">
        <x:v>Compra de materiais</x:v>
      </x:c>
      <x:c r="H310" s="10" t="str">
        <x:v>PAG00105</x:v>
      </x:c>
      <x:c r="I310" s="20" t="n">
        <x:v>53288.83</x:v>
      </x:c>
      <x:c r="J310" s="20" t="n">
        <x:v>-53288.83</x:v>
      </x:c>
      <x:c r="K310" s="10" t="str">
        <x:v>Realizado</x:v>
      </x:c>
      <x:c r="L310" s="10" t="str">
        <x:v>Contas a Pagar</x:v>
      </x:c>
    </x:row>
    <x:row r="311" ht="18" customHeight="1">
      <x:c r="A311" s="10" t="str">
        <x:v>MOV001500</x:v>
      </x:c>
      <x:c r="B311" s="16" t="n">
        <x:v>45450.93264212963</x:v>
      </x:c>
      <x:c r="C311" s="10" t="str">
        <x:v>EMP002</x:v>
      </x:c>
      <x:c r="D311" s="10" t="str">
        <x:v>CTA004</x:v>
      </x:c>
      <x:c r="E311" s="10" t="str">
        <x:v>Entrada</x:v>
      </x:c>
      <x:c r="F311" s="10" t="str">
        <x:v>CAT003</x:v>
      </x:c>
      <x:c r="G311" s="10" t="str">
        <x:v>Prestação de serviços</x:v>
      </x:c>
      <x:c r="H311" s="10" t="str">
        <x:v>REC00907</x:v>
      </x:c>
      <x:c r="I311" s="20" t="n">
        <x:v>29071</x:v>
      </x:c>
      <x:c r="J311" s="20" t="n">
        <x:v>29071</x:v>
      </x:c>
      <x:c r="K311" s="10" t="str">
        <x:v>Realizado</x:v>
      </x:c>
      <x:c r="L311" s="10" t="str">
        <x:v>Contas a Receber</x:v>
      </x:c>
    </x:row>
    <x:row r="312" ht="18" customHeight="1">
      <x:c r="A312" s="10" t="str">
        <x:v>MOV000369</x:v>
      </x:c>
      <x:c r="B312" s="16" t="n">
        <x:v>45451.21403984954</x:v>
      </x:c>
      <x:c r="C312" s="10" t="str">
        <x:v>EMP003</x:v>
      </x:c>
      <x:c r="D312" s="10" t="str">
        <x:v>CTA005</x:v>
      </x:c>
      <x:c r="E312" s="10" t="str">
        <x:v>Saída</x:v>
      </x:c>
      <x:c r="F312" s="10" t="str">
        <x:v>CAT013</x:v>
      </x:c>
      <x:c r="G312" s="10" t="str">
        <x:v>Prestação de serviços</x:v>
      </x:c>
      <x:c r="H312" s="10" t="str">
        <x:v>PAG00429</x:v>
      </x:c>
      <x:c r="I312" s="20" t="n">
        <x:v>52751.97</x:v>
      </x:c>
      <x:c r="J312" s="20" t="n">
        <x:v>-52751.97</x:v>
      </x:c>
      <x:c r="K312" s="10" t="str">
        <x:v>Realizado</x:v>
      </x:c>
      <x:c r="L312" s="10" t="str">
        <x:v>Contas a Pagar</x:v>
      </x:c>
    </x:row>
    <x:row r="313" ht="18" customHeight="1">
      <x:c r="A313" s="10" t="str">
        <x:v>MOV001073</x:v>
      </x:c>
      <x:c r="B313" s="16" t="n">
        <x:v>45451.49442145833</x:v>
      </x:c>
      <x:c r="C313" s="10" t="str">
        <x:v>EMP002</x:v>
      </x:c>
      <x:c r="D313" s="10" t="str">
        <x:v>CTA003</x:v>
      </x:c>
      <x:c r="E313" s="10" t="str">
        <x:v>Entrada</x:v>
      </x:c>
      <x:c r="F313" s="10" t="str">
        <x:v>CAT004</x:v>
      </x:c>
      <x:c r="G313" s="10" t="str">
        <x:v>Prestação de serviços</x:v>
      </x:c>
      <x:c r="H313" s="10" t="str">
        <x:v>REC00394</x:v>
      </x:c>
      <x:c r="I313" s="20" t="n">
        <x:v>53919.08</x:v>
      </x:c>
      <x:c r="J313" s="20" t="n">
        <x:v>53919.08</x:v>
      </x:c>
      <x:c r="K313" s="10" t="str">
        <x:v>Realizado</x:v>
      </x:c>
      <x:c r="L313" s="10" t="str">
        <x:v>Contas a Receber</x:v>
      </x:c>
    </x:row>
    <x:row r="314" ht="18" customHeight="1">
      <x:c r="A314" s="10" t="str">
        <x:v>MOV001615</x:v>
      </x:c>
      <x:c r="B314" s="16" t="n">
        <x:v>45451.66693204861</x:v>
      </x:c>
      <x:c r="C314" s="10" t="str">
        <x:v>EMP002</x:v>
      </x:c>
      <x:c r="D314" s="10" t="str">
        <x:v>CTA003</x:v>
      </x:c>
      <x:c r="E314" s="10" t="str">
        <x:v>Entrada</x:v>
      </x:c>
      <x:c r="F314" s="10" t="str">
        <x:v>CAT003</x:v>
      </x:c>
      <x:c r="G314" s="10" t="str">
        <x:v>Venda de produtos</x:v>
      </x:c>
      <x:c r="H314" s="10" t="str">
        <x:v>REC01044</x:v>
      </x:c>
      <x:c r="I314" s="20" t="n">
        <x:v>11272.89</x:v>
      </x:c>
      <x:c r="J314" s="20" t="n">
        <x:v>11272.89</x:v>
      </x:c>
      <x:c r="K314" s="10" t="str">
        <x:v>Realizado</x:v>
      </x:c>
      <x:c r="L314" s="10" t="str">
        <x:v>Contas a Receber</x:v>
      </x:c>
    </x:row>
    <x:row r="315" ht="18" customHeight="1">
      <x:c r="A315" s="10" t="str">
        <x:v>MOV000896</x:v>
      </x:c>
      <x:c r="B315" s="16" t="n">
        <x:v>45453.26144475694</x:v>
      </x:c>
      <x:c r="C315" s="10" t="str">
        <x:v>EMP002</x:v>
      </x:c>
      <x:c r="D315" s="10" t="str">
        <x:v>CTA003</x:v>
      </x:c>
      <x:c r="E315" s="10" t="str">
        <x:v>Entrada</x:v>
      </x:c>
      <x:c r="F315" s="10" t="str">
        <x:v>CAT004</x:v>
      </x:c>
      <x:c r="G315" s="10" t="str">
        <x:v>Venda de produtos</x:v>
      </x:c>
      <x:c r="H315" s="10" t="str">
        <x:v>REC00173</x:v>
      </x:c>
      <x:c r="I315" s="20" t="n">
        <x:v>5287.57</x:v>
      </x:c>
      <x:c r="J315" s="20" t="n">
        <x:v>5287.57</x:v>
      </x:c>
      <x:c r="K315" s="10" t="str">
        <x:v>Realizado</x:v>
      </x:c>
      <x:c r="L315" s="10" t="str">
        <x:v>Contas a Receber</x:v>
      </x:c>
    </x:row>
    <x:row r="316" ht="18" customHeight="1">
      <x:c r="A316" s="10" t="str">
        <x:v>MOV000201</x:v>
      </x:c>
      <x:c r="B316" s="16" t="n">
        <x:v>45453.34895423611</x:v>
      </x:c>
      <x:c r="C316" s="10" t="str">
        <x:v>EMP003</x:v>
      </x:c>
      <x:c r="D316" s="10" t="str">
        <x:v>CTA006</x:v>
      </x:c>
      <x:c r="E316" s="10" t="str">
        <x:v>Saída</x:v>
      </x:c>
      <x:c r="F316" s="10" t="str">
        <x:v>CAT018</x:v>
      </x:c>
      <x:c r="G316" s="10" t="str">
        <x:v>Despesa operacional</x:v>
      </x:c>
      <x:c r="H316" s="10" t="str">
        <x:v>PAG00234</x:v>
      </x:c>
      <x:c r="I316" s="20" t="n">
        <x:v>104711.86</x:v>
      </x:c>
      <x:c r="J316" s="20" t="n">
        <x:v>-104711.86</x:v>
      </x:c>
      <x:c r="K316" s="10" t="str">
        <x:v>Realizado</x:v>
      </x:c>
      <x:c r="L316" s="10" t="str">
        <x:v>Contas a Pagar</x:v>
      </x:c>
    </x:row>
    <x:row r="317" ht="18" customHeight="1">
      <x:c r="A317" s="10" t="str">
        <x:v>MOV000587</x:v>
      </x:c>
      <x:c r="B317" s="16" t="n">
        <x:v>45453.37536107639</x:v>
      </x:c>
      <x:c r="C317" s="10" t="str">
        <x:v>EMP002</x:v>
      </x:c>
      <x:c r="D317" s="10" t="str">
        <x:v>CTA004</x:v>
      </x:c>
      <x:c r="E317" s="10" t="str">
        <x:v>Saída</x:v>
      </x:c>
      <x:c r="F317" s="10" t="str">
        <x:v>CAT018</x:v>
      </x:c>
      <x:c r="G317" s="10" t="str">
        <x:v>Prestação de serviços</x:v>
      </x:c>
      <x:c r="H317" s="10" t="str">
        <x:v>PAG00690</x:v>
      </x:c>
      <x:c r="I317" s="20" t="n">
        <x:v>53815.26</x:v>
      </x:c>
      <x:c r="J317" s="20" t="n">
        <x:v>-53815.26</x:v>
      </x:c>
      <x:c r="K317" s="10" t="str">
        <x:v>Realizado</x:v>
      </x:c>
      <x:c r="L317" s="10" t="str">
        <x:v>Contas a Pagar</x:v>
      </x:c>
    </x:row>
    <x:row r="318" ht="18" customHeight="1">
      <x:c r="A318" s="10" t="str">
        <x:v>MOV001410</x:v>
      </x:c>
      <x:c r="B318" s="16" t="n">
        <x:v>45454.21208604167</x:v>
      </x:c>
      <x:c r="C318" s="10" t="str">
        <x:v>EMP002</x:v>
      </x:c>
      <x:c r="D318" s="10" t="str">
        <x:v>CTA004</x:v>
      </x:c>
      <x:c r="E318" s="10" t="str">
        <x:v>Entrada</x:v>
      </x:c>
      <x:c r="F318" s="10" t="str">
        <x:v>CAT003</x:v>
      </x:c>
      <x:c r="G318" s="10" t="str">
        <x:v>Projeto especial</x:v>
      </x:c>
      <x:c r="H318" s="10" t="str">
        <x:v>REC00792</x:v>
      </x:c>
      <x:c r="I318" s="20" t="n">
        <x:v>2145.7</x:v>
      </x:c>
      <x:c r="J318" s="20" t="n">
        <x:v>2145.7</x:v>
      </x:c>
      <x:c r="K318" s="10" t="str">
        <x:v>Realizado</x:v>
      </x:c>
      <x:c r="L318" s="10" t="str">
        <x:v>Contas a Receber</x:v>
      </x:c>
    </x:row>
    <x:row r="319" ht="18" customHeight="1">
      <x:c r="A319" s="10" t="str">
        <x:v>MOV000204</x:v>
      </x:c>
      <x:c r="B319" s="16" t="n">
        <x:v>45454.39245796296</x:v>
      </x:c>
      <x:c r="C319" s="10" t="str">
        <x:v>EMP003</x:v>
      </x:c>
      <x:c r="D319" s="10" t="str">
        <x:v>CTA006</x:v>
      </x:c>
      <x:c r="E319" s="10" t="str">
        <x:v>Saída</x:v>
      </x:c>
      <x:c r="F319" s="10" t="str">
        <x:v>CAT012</x:v>
      </x:c>
      <x:c r="G319" s="10" t="str">
        <x:v>Prestação de serviços</x:v>
      </x:c>
      <x:c r="H319" s="10" t="str">
        <x:v>PAG00238</x:v>
      </x:c>
      <x:c r="I319" s="20" t="n">
        <x:v>2261.59</x:v>
      </x:c>
      <x:c r="J319" s="20" t="n">
        <x:v>-2261.59</x:v>
      </x:c>
      <x:c r="K319" s="10" t="str">
        <x:v>Realizado</x:v>
      </x:c>
      <x:c r="L319" s="10" t="str">
        <x:v>Contas a Pagar</x:v>
      </x:c>
    </x:row>
    <x:row r="320" ht="18" customHeight="1">
      <x:c r="A320" s="10" t="str">
        <x:v>MOV001101</x:v>
      </x:c>
      <x:c r="B320" s="16" t="n">
        <x:v>45455.02758574074</x:v>
      </x:c>
      <x:c r="C320" s="10" t="str">
        <x:v>EMP002</x:v>
      </x:c>
      <x:c r="D320" s="10" t="str">
        <x:v>CTA004</x:v>
      </x:c>
      <x:c r="E320" s="10" t="str">
        <x:v>Entrada</x:v>
      </x:c>
      <x:c r="F320" s="10" t="str">
        <x:v>CAT004</x:v>
      </x:c>
      <x:c r="G320" s="10" t="str">
        <x:v>Frete faturado</x:v>
      </x:c>
      <x:c r="H320" s="10" t="str">
        <x:v>REC00427</x:v>
      </x:c>
      <x:c r="I320" s="20" t="n">
        <x:v>119563.4</x:v>
      </x:c>
      <x:c r="J320" s="20" t="n">
        <x:v>119563.4</x:v>
      </x:c>
      <x:c r="K320" s="10" t="str">
        <x:v>Realizado</x:v>
      </x:c>
      <x:c r="L320" s="10" t="str">
        <x:v>Contas a Receber</x:v>
      </x:c>
    </x:row>
    <x:row r="321" ht="18" customHeight="1">
      <x:c r="A321" s="10" t="str">
        <x:v>MOV000645</x:v>
      </x:c>
      <x:c r="B321" s="16" t="n">
        <x:v>45455.03540980324</x:v>
      </x:c>
      <x:c r="C321" s="10" t="str">
        <x:v>EMP001</x:v>
      </x:c>
      <x:c r="D321" s="10" t="str">
        <x:v>CTA002</x:v>
      </x:c>
      <x:c r="E321" s="10" t="str">
        <x:v>Saída</x:v>
      </x:c>
      <x:c r="F321" s="10" t="str">
        <x:v>CAT013</x:v>
      </x:c>
      <x:c r="G321" s="10" t="str">
        <x:v>Contrato recorrente</x:v>
      </x:c>
      <x:c r="H321" s="10" t="str">
        <x:v>PAG00765</x:v>
      </x:c>
      <x:c r="I321" s="20" t="n">
        <x:v>43796.44</x:v>
      </x:c>
      <x:c r="J321" s="20" t="n">
        <x:v>-43796.44</x:v>
      </x:c>
      <x:c r="K321" s="10" t="str">
        <x:v>Realizado</x:v>
      </x:c>
      <x:c r="L321" s="10" t="str">
        <x:v>Contas a Pagar</x:v>
      </x:c>
    </x:row>
    <x:row r="322" ht="18" customHeight="1">
      <x:c r="A322" s="10" t="str">
        <x:v>MOV000883</x:v>
      </x:c>
      <x:c r="B322" s="16" t="n">
        <x:v>45455.286824270835</x:v>
      </x:c>
      <x:c r="C322" s="10" t="str">
        <x:v>EMP001</x:v>
      </x:c>
      <x:c r="D322" s="10" t="str">
        <x:v>CTA002</x:v>
      </x:c>
      <x:c r="E322" s="10" t="str">
        <x:v>Entrada</x:v>
      </x:c>
      <x:c r="F322" s="10" t="str">
        <x:v>CAT004</x:v>
      </x:c>
      <x:c r="G322" s="10" t="str">
        <x:v>Prestação de serviços</x:v>
      </x:c>
      <x:c r="H322" s="10" t="str">
        <x:v>REC00155</x:v>
      </x:c>
      <x:c r="I322" s="20" t="n">
        <x:v>17669.97</x:v>
      </x:c>
      <x:c r="J322" s="20" t="n">
        <x:v>17669.97</x:v>
      </x:c>
      <x:c r="K322" s="10" t="str">
        <x:v>Realizado</x:v>
      </x:c>
      <x:c r="L322" s="10" t="str">
        <x:v>Contas a Receber</x:v>
      </x:c>
    </x:row>
    <x:row r="323" ht="18" customHeight="1">
      <x:c r="A323" s="10" t="str">
        <x:v>MOV000168</x:v>
      </x:c>
      <x:c r="B323" s="16" t="n">
        <x:v>45455.8610694213</x:v>
      </x:c>
      <x:c r="C323" s="10" t="str">
        <x:v>EMP001</x:v>
      </x:c>
      <x:c r="D323" s="10" t="str">
        <x:v>CTA002</x:v>
      </x:c>
      <x:c r="E323" s="10" t="str">
        <x:v>Saída</x:v>
      </x:c>
      <x:c r="F323" s="10" t="str">
        <x:v>CAT008</x:v>
      </x:c>
      <x:c r="G323" s="10" t="str">
        <x:v>Tributos e taxas</x:v>
      </x:c>
      <x:c r="H323" s="10" t="str">
        <x:v>PAG00197</x:v>
      </x:c>
      <x:c r="I323" s="20" t="n">
        <x:v>26187.35</x:v>
      </x:c>
      <x:c r="J323" s="20" t="n">
        <x:v>-26187.35</x:v>
      </x:c>
      <x:c r="K323" s="10" t="str">
        <x:v>Realizado</x:v>
      </x:c>
      <x:c r="L323" s="10" t="str">
        <x:v>Contas a Pagar</x:v>
      </x:c>
    </x:row>
    <x:row r="324" ht="18" customHeight="1">
      <x:c r="A324" s="10" t="str">
        <x:v>MOV000539</x:v>
      </x:c>
      <x:c r="B324" s="16" t="n">
        <x:v>45457.693854212965</x:v>
      </x:c>
      <x:c r="C324" s="10" t="str">
        <x:v>EMP002</x:v>
      </x:c>
      <x:c r="D324" s="10" t="str">
        <x:v>CTA004</x:v>
      </x:c>
      <x:c r="E324" s="10" t="str">
        <x:v>Saída</x:v>
      </x:c>
      <x:c r="F324" s="10" t="str">
        <x:v>CAT010</x:v>
      </x:c>
      <x:c r="G324" s="10" t="str">
        <x:v>Compra de materiais</x:v>
      </x:c>
      <x:c r="H324" s="10" t="str">
        <x:v>PAG00631</x:v>
      </x:c>
      <x:c r="I324" s="20" t="n">
        <x:v>1472.77</x:v>
      </x:c>
      <x:c r="J324" s="20" t="n">
        <x:v>-1472.77</x:v>
      </x:c>
      <x:c r="K324" s="10" t="str">
        <x:v>Realizado</x:v>
      </x:c>
      <x:c r="L324" s="10" t="str">
        <x:v>Contas a Pagar</x:v>
      </x:c>
    </x:row>
    <x:row r="325" ht="18" customHeight="1">
      <x:c r="A325" s="10" t="str">
        <x:v>MOV000937</x:v>
      </x:c>
      <x:c r="B325" s="16" t="n">
        <x:v>45457.864582685186</x:v>
      </x:c>
      <x:c r="C325" s="10" t="str">
        <x:v>EMP001</x:v>
      </x:c>
      <x:c r="D325" s="10" t="str">
        <x:v>CTA001</x:v>
      </x:c>
      <x:c r="E325" s="10" t="str">
        <x:v>Entrada</x:v>
      </x:c>
      <x:c r="F325" s="10" t="str">
        <x:v>CAT002</x:v>
      </x:c>
      <x:c r="G325" s="10" t="str">
        <x:v>Contrato mensal</x:v>
      </x:c>
      <x:c r="H325" s="10" t="str">
        <x:v>REC00218</x:v>
      </x:c>
      <x:c r="I325" s="20" t="n">
        <x:v>841.88</x:v>
      </x:c>
      <x:c r="J325" s="20" t="n">
        <x:v>841.88</x:v>
      </x:c>
      <x:c r="K325" s="10" t="str">
        <x:v>Realizado</x:v>
      </x:c>
      <x:c r="L325" s="10" t="str">
        <x:v>Contas a Receber</x:v>
      </x:c>
    </x:row>
    <x:row r="326" ht="18" customHeight="1">
      <x:c r="A326" s="10" t="str">
        <x:v>MOV001470</x:v>
      </x:c>
      <x:c r="B326" s="16" t="n">
        <x:v>45457.90338894676</x:v>
      </x:c>
      <x:c r="C326" s="10" t="str">
        <x:v>EMP003</x:v>
      </x:c>
      <x:c r="D326" s="10" t="str">
        <x:v>CTA005</x:v>
      </x:c>
      <x:c r="E326" s="10" t="str">
        <x:v>Entrada</x:v>
      </x:c>
      <x:c r="F326" s="10" t="str">
        <x:v>CAT002</x:v>
      </x:c>
      <x:c r="G326" s="10" t="str">
        <x:v>Prestação de serviços</x:v>
      </x:c>
      <x:c r="H326" s="10" t="str">
        <x:v>REC00868</x:v>
      </x:c>
      <x:c r="I326" s="20" t="n">
        <x:v>107279.62</x:v>
      </x:c>
      <x:c r="J326" s="20" t="n">
        <x:v>107279.62</x:v>
      </x:c>
      <x:c r="K326" s="10" t="str">
        <x:v>Realizado</x:v>
      </x:c>
      <x:c r="L326" s="10" t="str">
        <x:v>Contas a Receber</x:v>
      </x:c>
    </x:row>
    <x:row r="327" ht="18" customHeight="1">
      <x:c r="A327" s="10" t="str">
        <x:v>MOV000796</x:v>
      </x:c>
      <x:c r="B327" s="16" t="n">
        <x:v>45457.93188041667</x:v>
      </x:c>
      <x:c r="C327" s="10" t="str">
        <x:v>EMP001</x:v>
      </x:c>
      <x:c r="D327" s="10" t="str">
        <x:v>CTA002</x:v>
      </x:c>
      <x:c r="E327" s="10" t="str">
        <x:v>Entrada</x:v>
      </x:c>
      <x:c r="F327" s="10" t="str">
        <x:v>CAT002</x:v>
      </x:c>
      <x:c r="G327" s="10" t="str">
        <x:v>Projeto especial</x:v>
      </x:c>
      <x:c r="H327" s="10" t="str">
        <x:v>REC00053</x:v>
      </x:c>
      <x:c r="I327" s="20" t="n">
        <x:v>47360.64</x:v>
      </x:c>
      <x:c r="J327" s="20" t="n">
        <x:v>47360.64</x:v>
      </x:c>
      <x:c r="K327" s="10" t="str">
        <x:v>Realizado</x:v>
      </x:c>
      <x:c r="L327" s="10" t="str">
        <x:v>Contas a Receber</x:v>
      </x:c>
    </x:row>
    <x:row r="328" ht="18" customHeight="1">
      <x:c r="A328" s="10" t="str">
        <x:v>MOV001205</x:v>
      </x:c>
      <x:c r="B328" s="16" t="n">
        <x:v>45458.20096408565</x:v>
      </x:c>
      <x:c r="C328" s="10" t="str">
        <x:v>EMP003</x:v>
      </x:c>
      <x:c r="D328" s="10" t="str">
        <x:v>CTA005</x:v>
      </x:c>
      <x:c r="E328" s="10" t="str">
        <x:v>Entrada</x:v>
      </x:c>
      <x:c r="F328" s="10" t="str">
        <x:v>CAT004</x:v>
      </x:c>
      <x:c r="G328" s="10" t="str">
        <x:v>Frete faturado</x:v>
      </x:c>
      <x:c r="H328" s="10" t="str">
        <x:v>REC00550</x:v>
      </x:c>
      <x:c r="I328" s="20" t="n">
        <x:v>121913.09</x:v>
      </x:c>
      <x:c r="J328" s="20" t="n">
        <x:v>121913.09</x:v>
      </x:c>
      <x:c r="K328" s="10" t="str">
        <x:v>Realizado</x:v>
      </x:c>
      <x:c r="L328" s="10" t="str">
        <x:v>Contas a Receber</x:v>
      </x:c>
    </x:row>
    <x:row r="329" ht="18" customHeight="1">
      <x:c r="A329" s="10" t="str">
        <x:v>MOV001069</x:v>
      </x:c>
      <x:c r="B329" s="16" t="n">
        <x:v>45458.48105056713</x:v>
      </x:c>
      <x:c r="C329" s="10" t="str">
        <x:v>EMP001</x:v>
      </x:c>
      <x:c r="D329" s="10" t="str">
        <x:v>CTA002</x:v>
      </x:c>
      <x:c r="E329" s="10" t="str">
        <x:v>Entrada</x:v>
      </x:c>
      <x:c r="F329" s="10" t="str">
        <x:v>CAT002</x:v>
      </x:c>
      <x:c r="G329" s="10" t="str">
        <x:v>Contrato mensal</x:v>
      </x:c>
      <x:c r="H329" s="10" t="str">
        <x:v>REC00389</x:v>
      </x:c>
      <x:c r="I329" s="20" t="n">
        <x:v>136736.95</x:v>
      </x:c>
      <x:c r="J329" s="20" t="n">
        <x:v>136736.95</x:v>
      </x:c>
      <x:c r="K329" s="10" t="str">
        <x:v>Realizado</x:v>
      </x:c>
      <x:c r="L329" s="10" t="str">
        <x:v>Contas a Receber</x:v>
      </x:c>
    </x:row>
    <x:row r="330" ht="18" customHeight="1">
      <x:c r="A330" s="10" t="str">
        <x:v>MOV000567</x:v>
      </x:c>
      <x:c r="B330" s="16" t="n">
        <x:v>45458.57251741898</x:v>
      </x:c>
      <x:c r="C330" s="10" t="str">
        <x:v>EMP001</x:v>
      </x:c>
      <x:c r="D330" s="10" t="str">
        <x:v>CTA001</x:v>
      </x:c>
      <x:c r="E330" s="10" t="str">
        <x:v>Saída</x:v>
      </x:c>
      <x:c r="F330" s="10" t="str">
        <x:v>CAT016</x:v>
      </x:c>
      <x:c r="G330" s="10" t="str">
        <x:v>Compra de materiais</x:v>
      </x:c>
      <x:c r="H330" s="10" t="str">
        <x:v>PAG00664</x:v>
      </x:c>
      <x:c r="I330" s="20" t="n">
        <x:v>10115.33</x:v>
      </x:c>
      <x:c r="J330" s="20" t="n">
        <x:v>-10115.33</x:v>
      </x:c>
      <x:c r="K330" s="10" t="str">
        <x:v>Realizado</x:v>
      </x:c>
      <x:c r="L330" s="10" t="str">
        <x:v>Contas a Pagar</x:v>
      </x:c>
    </x:row>
    <x:row r="331" ht="18" customHeight="1">
      <x:c r="A331" s="10" t="str">
        <x:v>MOV000339</x:v>
      </x:c>
      <x:c r="B331" s="16" t="n">
        <x:v>45460.6688171412</x:v>
      </x:c>
      <x:c r="C331" s="10" t="str">
        <x:v>EMP001</x:v>
      </x:c>
      <x:c r="D331" s="10" t="str">
        <x:v>CTA001</x:v>
      </x:c>
      <x:c r="E331" s="10" t="str">
        <x:v>Saída</x:v>
      </x:c>
      <x:c r="F331" s="10" t="str">
        <x:v>CAT015</x:v>
      </x:c>
      <x:c r="G331" s="10" t="str">
        <x:v>Despesa operacional</x:v>
      </x:c>
      <x:c r="H331" s="10" t="str">
        <x:v>PAG00392</x:v>
      </x:c>
      <x:c r="I331" s="20" t="n">
        <x:v>4162.51</x:v>
      </x:c>
      <x:c r="J331" s="20" t="n">
        <x:v>-4162.51</x:v>
      </x:c>
      <x:c r="K331" s="10" t="str">
        <x:v>Realizado</x:v>
      </x:c>
      <x:c r="L331" s="10" t="str">
        <x:v>Contas a Pagar</x:v>
      </x:c>
    </x:row>
    <x:row r="332" ht="18" customHeight="1">
      <x:c r="A332" s="10" t="str">
        <x:v>MOV001074</x:v>
      </x:c>
      <x:c r="B332" s="16" t="n">
        <x:v>45460.915204930556</x:v>
      </x:c>
      <x:c r="C332" s="10" t="str">
        <x:v>EMP003</x:v>
      </x:c>
      <x:c r="D332" s="10" t="str">
        <x:v>CTA006</x:v>
      </x:c>
      <x:c r="E332" s="10" t="str">
        <x:v>Entrada</x:v>
      </x:c>
      <x:c r="F332" s="10" t="str">
        <x:v>CAT002</x:v>
      </x:c>
      <x:c r="G332" s="10" t="str">
        <x:v>Contrato mensal</x:v>
      </x:c>
      <x:c r="H332" s="10" t="str">
        <x:v>REC00395</x:v>
      </x:c>
      <x:c r="I332" s="20" t="n">
        <x:v>37977.25</x:v>
      </x:c>
      <x:c r="J332" s="20" t="n">
        <x:v>37977.25</x:v>
      </x:c>
      <x:c r="K332" s="10" t="str">
        <x:v>Realizado</x:v>
      </x:c>
      <x:c r="L332" s="10" t="str">
        <x:v>Contas a Receber</x:v>
      </x:c>
    </x:row>
    <x:row r="333" ht="18" customHeight="1">
      <x:c r="A333" s="10" t="str">
        <x:v>MOV000050</x:v>
      </x:c>
      <x:c r="B333" s="16" t="n">
        <x:v>45461.197535625</x:v>
      </x:c>
      <x:c r="C333" s="10" t="str">
        <x:v>EMP003</x:v>
      </x:c>
      <x:c r="D333" s="10" t="str">
        <x:v>CTA006</x:v>
      </x:c>
      <x:c r="E333" s="10" t="str">
        <x:v>Saída</x:v>
      </x:c>
      <x:c r="F333" s="10" t="str">
        <x:v>CAT016</x:v>
      </x:c>
      <x:c r="G333" s="10" t="str">
        <x:v>Despesa operacional</x:v>
      </x:c>
      <x:c r="H333" s="10" t="str">
        <x:v>PAG00051</x:v>
      </x:c>
      <x:c r="I333" s="20" t="n">
        <x:v>4105.02</x:v>
      </x:c>
      <x:c r="J333" s="20" t="n">
        <x:v>-4105.02</x:v>
      </x:c>
      <x:c r="K333" s="10" t="str">
        <x:v>Realizado</x:v>
      </x:c>
      <x:c r="L333" s="10" t="str">
        <x:v>Contas a Pagar</x:v>
      </x:c>
    </x:row>
    <x:row r="334" ht="18" customHeight="1">
      <x:c r="A334" s="10" t="str">
        <x:v>MOV001296</x:v>
      </x:c>
      <x:c r="B334" s="16" t="n">
        <x:v>45461.6709871412</x:v>
      </x:c>
      <x:c r="C334" s="10" t="str">
        <x:v>EMP003</x:v>
      </x:c>
      <x:c r="D334" s="10" t="str">
        <x:v>CTA005</x:v>
      </x:c>
      <x:c r="E334" s="10" t="str">
        <x:v>Entrada</x:v>
      </x:c>
      <x:c r="F334" s="10" t="str">
        <x:v>CAT002</x:v>
      </x:c>
      <x:c r="G334" s="10" t="str">
        <x:v>Venda de produtos</x:v>
      </x:c>
      <x:c r="H334" s="10" t="str">
        <x:v>REC00658</x:v>
      </x:c>
      <x:c r="I334" s="20" t="n">
        <x:v>4020.2</x:v>
      </x:c>
      <x:c r="J334" s="20" t="n">
        <x:v>4020.2</x:v>
      </x:c>
      <x:c r="K334" s="10" t="str">
        <x:v>Realizado</x:v>
      </x:c>
      <x:c r="L334" s="10" t="str">
        <x:v>Contas a Receber</x:v>
      </x:c>
    </x:row>
    <x:row r="335" ht="18" customHeight="1">
      <x:c r="A335" s="10" t="str">
        <x:v>MOV000478</x:v>
      </x:c>
      <x:c r="B335" s="16" t="n">
        <x:v>45461.830559456015</x:v>
      </x:c>
      <x:c r="C335" s="10" t="str">
        <x:v>EMP003</x:v>
      </x:c>
      <x:c r="D335" s="10" t="str">
        <x:v>CTA005</x:v>
      </x:c>
      <x:c r="E335" s="10" t="str">
        <x:v>Saída</x:v>
      </x:c>
      <x:c r="F335" s="10" t="str">
        <x:v>CAT011</x:v>
      </x:c>
      <x:c r="G335" s="10" t="str">
        <x:v>Prestação de serviços</x:v>
      </x:c>
      <x:c r="H335" s="10" t="str">
        <x:v>PAG00561</x:v>
      </x:c>
      <x:c r="I335" s="20" t="n">
        <x:v>53744.13</x:v>
      </x:c>
      <x:c r="J335" s="20" t="n">
        <x:v>-53744.13</x:v>
      </x:c>
      <x:c r="K335" s="10" t="str">
        <x:v>Realizado</x:v>
      </x:c>
      <x:c r="L335" s="10" t="str">
        <x:v>Contas a Pagar</x:v>
      </x:c>
    </x:row>
    <x:row r="336" ht="18" customHeight="1">
      <x:c r="A336" s="10" t="str">
        <x:v>MOV001479</x:v>
      </x:c>
      <x:c r="B336" s="16" t="n">
        <x:v>45461.93546047454</x:v>
      </x:c>
      <x:c r="C336" s="10" t="str">
        <x:v>EMP001</x:v>
      </x:c>
      <x:c r="D336" s="10" t="str">
        <x:v>CTA001</x:v>
      </x:c>
      <x:c r="E336" s="10" t="str">
        <x:v>Entrada</x:v>
      </x:c>
      <x:c r="F336" s="10" t="str">
        <x:v>CAT003</x:v>
      </x:c>
      <x:c r="G336" s="10" t="str">
        <x:v>Venda de produtos</x:v>
      </x:c>
      <x:c r="H336" s="10" t="str">
        <x:v>REC00879</x:v>
      </x:c>
      <x:c r="I336" s="20" t="n">
        <x:v>145094.33</x:v>
      </x:c>
      <x:c r="J336" s="20" t="n">
        <x:v>145094.33</x:v>
      </x:c>
      <x:c r="K336" s="10" t="str">
        <x:v>Realizado</x:v>
      </x:c>
      <x:c r="L336" s="10" t="str">
        <x:v>Contas a Receber</x:v>
      </x:c>
    </x:row>
    <x:row r="337" ht="18" customHeight="1">
      <x:c r="A337" s="10" t="str">
        <x:v>MOV000899</x:v>
      </x:c>
      <x:c r="B337" s="16" t="n">
        <x:v>45462.66834363426</x:v>
      </x:c>
      <x:c r="C337" s="10" t="str">
        <x:v>EMP002</x:v>
      </x:c>
      <x:c r="D337" s="10" t="str">
        <x:v>CTA004</x:v>
      </x:c>
      <x:c r="E337" s="10" t="str">
        <x:v>Entrada</x:v>
      </x:c>
      <x:c r="F337" s="10" t="str">
        <x:v>CAT001</x:v>
      </x:c>
      <x:c r="G337" s="10" t="str">
        <x:v>Prestação de serviços</x:v>
      </x:c>
      <x:c r="H337" s="10" t="str">
        <x:v>REC00176</x:v>
      </x:c>
      <x:c r="I337" s="20" t="n">
        <x:v>91503.7</x:v>
      </x:c>
      <x:c r="J337" s="20" t="n">
        <x:v>91503.7</x:v>
      </x:c>
      <x:c r="K337" s="10" t="str">
        <x:v>Realizado</x:v>
      </x:c>
      <x:c r="L337" s="10" t="str">
        <x:v>Contas a Receber</x:v>
      </x:c>
    </x:row>
    <x:row r="338" ht="18" customHeight="1">
      <x:c r="A338" s="10" t="str">
        <x:v>MOV000816</x:v>
      </x:c>
      <x:c r="B338" s="16" t="n">
        <x:v>45462.67980440972</x:v>
      </x:c>
      <x:c r="C338" s="10" t="str">
        <x:v>EMP002</x:v>
      </x:c>
      <x:c r="D338" s="10" t="str">
        <x:v>CTA004</x:v>
      </x:c>
      <x:c r="E338" s="10" t="str">
        <x:v>Entrada</x:v>
      </x:c>
      <x:c r="F338" s="10" t="str">
        <x:v>CAT003</x:v>
      </x:c>
      <x:c r="G338" s="10" t="str">
        <x:v>Contrato mensal</x:v>
      </x:c>
      <x:c r="H338" s="10" t="str">
        <x:v>REC00077</x:v>
      </x:c>
      <x:c r="I338" s="20" t="n">
        <x:v>108711.85</x:v>
      </x:c>
      <x:c r="J338" s="20" t="n">
        <x:v>108711.85</x:v>
      </x:c>
      <x:c r="K338" s="10" t="str">
        <x:v>Realizado</x:v>
      </x:c>
      <x:c r="L338" s="10" t="str">
        <x:v>Contas a Receber</x:v>
      </x:c>
    </x:row>
    <x:row r="339" ht="18" customHeight="1">
      <x:c r="A339" s="10" t="str">
        <x:v>MOV000121</x:v>
      </x:c>
      <x:c r="B339" s="16" t="n">
        <x:v>45462.8433384838</x:v>
      </x:c>
      <x:c r="C339" s="10" t="str">
        <x:v>EMP003</x:v>
      </x:c>
      <x:c r="D339" s="10" t="str">
        <x:v>CTA006</x:v>
      </x:c>
      <x:c r="E339" s="10" t="str">
        <x:v>Saída</x:v>
      </x:c>
      <x:c r="F339" s="10" t="str">
        <x:v>CAT018</x:v>
      </x:c>
      <x:c r="G339" s="10" t="str">
        <x:v>Compra de materiais</x:v>
      </x:c>
      <x:c r="H339" s="10" t="str">
        <x:v>PAG00141</x:v>
      </x:c>
      <x:c r="I339" s="20" t="n">
        <x:v>45090.46</x:v>
      </x:c>
      <x:c r="J339" s="20" t="n">
        <x:v>-45090.46</x:v>
      </x:c>
      <x:c r="K339" s="10" t="str">
        <x:v>Realizado</x:v>
      </x:c>
      <x:c r="L339" s="10" t="str">
        <x:v>Contas a Pagar</x:v>
      </x:c>
    </x:row>
    <x:row r="340" ht="18" customHeight="1">
      <x:c r="A340" s="10" t="str">
        <x:v>MOV000849</x:v>
      </x:c>
      <x:c r="B340" s="16" t="n">
        <x:v>45463.312514074074</x:v>
      </x:c>
      <x:c r="C340" s="10" t="str">
        <x:v>EMP002</x:v>
      </x:c>
      <x:c r="D340" s="10" t="str">
        <x:v>CTA004</x:v>
      </x:c>
      <x:c r="E340" s="10" t="str">
        <x:v>Entrada</x:v>
      </x:c>
      <x:c r="F340" s="10" t="str">
        <x:v>CAT001</x:v>
      </x:c>
      <x:c r="G340" s="10" t="str">
        <x:v>Frete faturado</x:v>
      </x:c>
      <x:c r="H340" s="10" t="str">
        <x:v>REC00118</x:v>
      </x:c>
      <x:c r="I340" s="20" t="n">
        <x:v>17902.55</x:v>
      </x:c>
      <x:c r="J340" s="20" t="n">
        <x:v>17902.55</x:v>
      </x:c>
      <x:c r="K340" s="10" t="str">
        <x:v>Realizado</x:v>
      </x:c>
      <x:c r="L340" s="10" t="str">
        <x:v>Contas a Receber</x:v>
      </x:c>
    </x:row>
    <x:row r="341" ht="18" customHeight="1">
      <x:c r="A341" s="10" t="str">
        <x:v>MOV001332</x:v>
      </x:c>
      <x:c r="B341" s="16" t="n">
        <x:v>45463.50308609954</x:v>
      </x:c>
      <x:c r="C341" s="10" t="str">
        <x:v>EMP002</x:v>
      </x:c>
      <x:c r="D341" s="10" t="str">
        <x:v>CTA003</x:v>
      </x:c>
      <x:c r="E341" s="10" t="str">
        <x:v>Entrada</x:v>
      </x:c>
      <x:c r="F341" s="10" t="str">
        <x:v>CAT004</x:v>
      </x:c>
      <x:c r="G341" s="10" t="str">
        <x:v>Contrato mensal</x:v>
      </x:c>
      <x:c r="H341" s="10" t="str">
        <x:v>REC00698</x:v>
      </x:c>
      <x:c r="I341" s="20" t="n">
        <x:v>43695.69</x:v>
      </x:c>
      <x:c r="J341" s="20" t="n">
        <x:v>43695.69</x:v>
      </x:c>
      <x:c r="K341" s="10" t="str">
        <x:v>Realizado</x:v>
      </x:c>
      <x:c r="L341" s="10" t="str">
        <x:v>Contas a Receber</x:v>
      </x:c>
    </x:row>
    <x:row r="342" ht="18" customHeight="1">
      <x:c r="A342" s="10" t="str">
        <x:v>MOV001280</x:v>
      </x:c>
      <x:c r="B342" s="16" t="n">
        <x:v>45463.52414282408</x:v>
      </x:c>
      <x:c r="C342" s="10" t="str">
        <x:v>EMP003</x:v>
      </x:c>
      <x:c r="D342" s="10" t="str">
        <x:v>CTA005</x:v>
      </x:c>
      <x:c r="E342" s="10" t="str">
        <x:v>Entrada</x:v>
      </x:c>
      <x:c r="F342" s="10" t="str">
        <x:v>CAT001</x:v>
      </x:c>
      <x:c r="G342" s="10" t="str">
        <x:v>Venda de produtos</x:v>
      </x:c>
      <x:c r="H342" s="10" t="str">
        <x:v>REC00640</x:v>
      </x:c>
      <x:c r="I342" s="20" t="n">
        <x:v>60277.57</x:v>
      </x:c>
      <x:c r="J342" s="20" t="n">
        <x:v>60277.57</x:v>
      </x:c>
      <x:c r="K342" s="10" t="str">
        <x:v>Realizado</x:v>
      </x:c>
      <x:c r="L342" s="10" t="str">
        <x:v>Contas a Receber</x:v>
      </x:c>
    </x:row>
    <x:row r="343" ht="18" customHeight="1">
      <x:c r="A343" s="10" t="str">
        <x:v>MOV000064</x:v>
      </x:c>
      <x:c r="B343" s="16" t="n">
        <x:v>45464.36066832176</x:v>
      </x:c>
      <x:c r="C343" s="10" t="str">
        <x:v>EMP002</x:v>
      </x:c>
      <x:c r="D343" s="10" t="str">
        <x:v>CTA004</x:v>
      </x:c>
      <x:c r="E343" s="10" t="str">
        <x:v>Saída</x:v>
      </x:c>
      <x:c r="F343" s="10" t="str">
        <x:v>CAT006</x:v>
      </x:c>
      <x:c r="G343" s="10" t="str">
        <x:v>Contrato recorrente</x:v>
      </x:c>
      <x:c r="H343" s="10" t="str">
        <x:v>PAG00070</x:v>
      </x:c>
      <x:c r="I343" s="20" t="n">
        <x:v>641.61</x:v>
      </x:c>
      <x:c r="J343" s="20" t="n">
        <x:v>-641.61</x:v>
      </x:c>
      <x:c r="K343" s="10" t="str">
        <x:v>Realizado</x:v>
      </x:c>
      <x:c r="L343" s="10" t="str">
        <x:v>Contas a Pagar</x:v>
      </x:c>
    </x:row>
    <x:row r="344" ht="18" customHeight="1">
      <x:c r="A344" s="10" t="str">
        <x:v>MOV000309</x:v>
      </x:c>
      <x:c r="B344" s="16" t="n">
        <x:v>45464.376628252314</x:v>
      </x:c>
      <x:c r="C344" s="10" t="str">
        <x:v>EMP003</x:v>
      </x:c>
      <x:c r="D344" s="10" t="str">
        <x:v>CTA005</x:v>
      </x:c>
      <x:c r="E344" s="10" t="str">
        <x:v>Saída</x:v>
      </x:c>
      <x:c r="F344" s="10" t="str">
        <x:v>CAT013</x:v>
      </x:c>
      <x:c r="G344" s="10" t="str">
        <x:v>Despesa operacional</x:v>
      </x:c>
      <x:c r="H344" s="10" t="str">
        <x:v>PAG00358</x:v>
      </x:c>
      <x:c r="I344" s="20" t="n">
        <x:v>105126</x:v>
      </x:c>
      <x:c r="J344" s="20" t="n">
        <x:v>-105126</x:v>
      </x:c>
      <x:c r="K344" s="10" t="str">
        <x:v>Realizado</x:v>
      </x:c>
      <x:c r="L344" s="10" t="str">
        <x:v>Contas a Pagar</x:v>
      </x:c>
    </x:row>
    <x:row r="345" ht="18" customHeight="1">
      <x:c r="A345" s="10" t="str">
        <x:v>MOV001471</x:v>
      </x:c>
      <x:c r="B345" s="16" t="n">
        <x:v>45464.62585945602</x:v>
      </x:c>
      <x:c r="C345" s="10" t="str">
        <x:v>EMP001</x:v>
      </x:c>
      <x:c r="D345" s="10" t="str">
        <x:v>CTA001</x:v>
      </x:c>
      <x:c r="E345" s="10" t="str">
        <x:v>Entrada</x:v>
      </x:c>
      <x:c r="F345" s="10" t="str">
        <x:v>CAT003</x:v>
      </x:c>
      <x:c r="G345" s="10" t="str">
        <x:v>Contrato mensal</x:v>
      </x:c>
      <x:c r="H345" s="10" t="str">
        <x:v>REC00870</x:v>
      </x:c>
      <x:c r="I345" s="20" t="n">
        <x:v>124024.17</x:v>
      </x:c>
      <x:c r="J345" s="20" t="n">
        <x:v>124024.17</x:v>
      </x:c>
      <x:c r="K345" s="10" t="str">
        <x:v>Realizado</x:v>
      </x:c>
      <x:c r="L345" s="10" t="str">
        <x:v>Contas a Receber</x:v>
      </x:c>
    </x:row>
    <x:row r="346" ht="18" customHeight="1">
      <x:c r="A346" s="10" t="str">
        <x:v>MOV001045</x:v>
      </x:c>
      <x:c r="B346" s="16" t="n">
        <x:v>45465.019161041666</x:v>
      </x:c>
      <x:c r="C346" s="10" t="str">
        <x:v>EMP002</x:v>
      </x:c>
      <x:c r="D346" s="10" t="str">
        <x:v>CTA003</x:v>
      </x:c>
      <x:c r="E346" s="10" t="str">
        <x:v>Entrada</x:v>
      </x:c>
      <x:c r="F346" s="10" t="str">
        <x:v>CAT003</x:v>
      </x:c>
      <x:c r="G346" s="10" t="str">
        <x:v>Venda de produtos</x:v>
      </x:c>
      <x:c r="H346" s="10" t="str">
        <x:v>REC00356</x:v>
      </x:c>
      <x:c r="I346" s="20" t="n">
        <x:v>38083.5</x:v>
      </x:c>
      <x:c r="J346" s="20" t="n">
        <x:v>38083.5</x:v>
      </x:c>
      <x:c r="K346" s="10" t="str">
        <x:v>Realizado</x:v>
      </x:c>
      <x:c r="L346" s="10" t="str">
        <x:v>Contas a Receber</x:v>
      </x:c>
    </x:row>
    <x:row r="347" ht="18" customHeight="1">
      <x:c r="A347" s="10" t="str">
        <x:v>MOV000106</x:v>
      </x:c>
      <x:c r="B347" s="16" t="n">
        <x:v>45466.28353587963</x:v>
      </x:c>
      <x:c r="C347" s="10" t="str">
        <x:v>EMP002</x:v>
      </x:c>
      <x:c r="D347" s="10" t="str">
        <x:v>CTA003</x:v>
      </x:c>
      <x:c r="E347" s="10" t="str">
        <x:v>Saída</x:v>
      </x:c>
      <x:c r="F347" s="10" t="str">
        <x:v>CAT012</x:v>
      </x:c>
      <x:c r="G347" s="10" t="str">
        <x:v>Prestação de serviços</x:v>
      </x:c>
      <x:c r="H347" s="10" t="str">
        <x:v>PAG00118</x:v>
      </x:c>
      <x:c r="I347" s="20" t="n">
        <x:v>75621.78</x:v>
      </x:c>
      <x:c r="J347" s="20" t="n">
        <x:v>-75621.78</x:v>
      </x:c>
      <x:c r="K347" s="10" t="str">
        <x:v>Realizado</x:v>
      </x:c>
      <x:c r="L347" s="10" t="str">
        <x:v>Contas a Pagar</x:v>
      </x:c>
    </x:row>
    <x:row r="348" ht="18" customHeight="1">
      <x:c r="A348" s="10" t="str">
        <x:v>MOV000771</x:v>
      </x:c>
      <x:c r="B348" s="16" t="n">
        <x:v>45466.57477226852</x:v>
      </x:c>
      <x:c r="C348" s="10" t="str">
        <x:v>EMP002</x:v>
      </x:c>
      <x:c r="D348" s="10" t="str">
        <x:v>CTA003</x:v>
      </x:c>
      <x:c r="E348" s="10" t="str">
        <x:v>Entrada</x:v>
      </x:c>
      <x:c r="F348" s="10" t="str">
        <x:v>CAT004</x:v>
      </x:c>
      <x:c r="G348" s="10" t="str">
        <x:v>Frete faturado</x:v>
      </x:c>
      <x:c r="H348" s="10" t="str">
        <x:v>REC00020</x:v>
      </x:c>
      <x:c r="I348" s="20" t="n">
        <x:v>1422.41</x:v>
      </x:c>
      <x:c r="J348" s="20" t="n">
        <x:v>1422.41</x:v>
      </x:c>
      <x:c r="K348" s="10" t="str">
        <x:v>Realizado</x:v>
      </x:c>
      <x:c r="L348" s="10" t="str">
        <x:v>Contas a Receber</x:v>
      </x:c>
    </x:row>
    <x:row r="349" ht="18" customHeight="1">
      <x:c r="A349" s="10" t="str">
        <x:v>MOV001487</x:v>
      </x:c>
      <x:c r="B349" s="16" t="n">
        <x:v>45467.21919792824</x:v>
      </x:c>
      <x:c r="C349" s="10" t="str">
        <x:v>EMP003</x:v>
      </x:c>
      <x:c r="D349" s="10" t="str">
        <x:v>CTA006</x:v>
      </x:c>
      <x:c r="E349" s="10" t="str">
        <x:v>Entrada</x:v>
      </x:c>
      <x:c r="F349" s="10" t="str">
        <x:v>CAT002</x:v>
      </x:c>
      <x:c r="G349" s="10" t="str">
        <x:v>Venda de produtos</x:v>
      </x:c>
      <x:c r="H349" s="10" t="str">
        <x:v>REC00891</x:v>
      </x:c>
      <x:c r="I349" s="20" t="n">
        <x:v>144108.35</x:v>
      </x:c>
      <x:c r="J349" s="20" t="n">
        <x:v>144108.35</x:v>
      </x:c>
      <x:c r="K349" s="10" t="str">
        <x:v>Realizado</x:v>
      </x:c>
      <x:c r="L349" s="10" t="str">
        <x:v>Contas a Receber</x:v>
      </x:c>
    </x:row>
    <x:row r="350" ht="18" customHeight="1">
      <x:c r="A350" s="10" t="str">
        <x:v>MOV000803</x:v>
      </x:c>
      <x:c r="B350" s="16" t="n">
        <x:v>45467.62786320602</x:v>
      </x:c>
      <x:c r="C350" s="10" t="str">
        <x:v>EMP003</x:v>
      </x:c>
      <x:c r="D350" s="10" t="str">
        <x:v>CTA005</x:v>
      </x:c>
      <x:c r="E350" s="10" t="str">
        <x:v>Entrada</x:v>
      </x:c>
      <x:c r="F350" s="10" t="str">
        <x:v>CAT004</x:v>
      </x:c>
      <x:c r="G350" s="10" t="str">
        <x:v>Projeto especial</x:v>
      </x:c>
      <x:c r="H350" s="10" t="str">
        <x:v>REC00062</x:v>
      </x:c>
      <x:c r="I350" s="20" t="n">
        <x:v>1253.51</x:v>
      </x:c>
      <x:c r="J350" s="20" t="n">
        <x:v>1253.51</x:v>
      </x:c>
      <x:c r="K350" s="10" t="str">
        <x:v>Realizado</x:v>
      </x:c>
      <x:c r="L350" s="10" t="str">
        <x:v>Contas a Receber</x:v>
      </x:c>
    </x:row>
    <x:row r="351" ht="18" customHeight="1">
      <x:c r="A351" s="10" t="str">
        <x:v>MOV001643</x:v>
      </x:c>
      <x:c r="B351" s="16" t="n">
        <x:v>45467.79064824074</x:v>
      </x:c>
      <x:c r="C351" s="10" t="str">
        <x:v>EMP003</x:v>
      </x:c>
      <x:c r="D351" s="10" t="str">
        <x:v>CTA006</x:v>
      </x:c>
      <x:c r="E351" s="10" t="str">
        <x:v>Entrada</x:v>
      </x:c>
      <x:c r="F351" s="10" t="str">
        <x:v>CAT004</x:v>
      </x:c>
      <x:c r="G351" s="10" t="str">
        <x:v>Frete faturado</x:v>
      </x:c>
      <x:c r="H351" s="10" t="str">
        <x:v>REC01080</x:v>
      </x:c>
      <x:c r="I351" s="20" t="n">
        <x:v>22460.49</x:v>
      </x:c>
      <x:c r="J351" s="20" t="n">
        <x:v>22460.49</x:v>
      </x:c>
      <x:c r="K351" s="10" t="str">
        <x:v>Realizado</x:v>
      </x:c>
      <x:c r="L351" s="10" t="str">
        <x:v>Contas a Receber</x:v>
      </x:c>
    </x:row>
    <x:row r="352" ht="18" customHeight="1">
      <x:c r="A352" s="10" t="str">
        <x:v>MOV001537</x:v>
      </x:c>
      <x:c r="B352" s="16" t="n">
        <x:v>45467.87326903935</x:v>
      </x:c>
      <x:c r="C352" s="10" t="str">
        <x:v>EMP001</x:v>
      </x:c>
      <x:c r="D352" s="10" t="str">
        <x:v>CTA002</x:v>
      </x:c>
      <x:c r="E352" s="10" t="str">
        <x:v>Entrada</x:v>
      </x:c>
      <x:c r="F352" s="10" t="str">
        <x:v>CAT002</x:v>
      </x:c>
      <x:c r="G352" s="10" t="str">
        <x:v>Prestação de serviços</x:v>
      </x:c>
      <x:c r="H352" s="10" t="str">
        <x:v>REC00953</x:v>
      </x:c>
      <x:c r="I352" s="20" t="n">
        <x:v>1497.57</x:v>
      </x:c>
      <x:c r="J352" s="20" t="n">
        <x:v>1497.57</x:v>
      </x:c>
      <x:c r="K352" s="10" t="str">
        <x:v>Realizado</x:v>
      </x:c>
      <x:c r="L352" s="10" t="str">
        <x:v>Contas a Receber</x:v>
      </x:c>
    </x:row>
    <x:row r="353" ht="18" customHeight="1">
      <x:c r="A353" s="10" t="str">
        <x:v>MOV001197</x:v>
      </x:c>
      <x:c r="B353" s="16" t="n">
        <x:v>45468.98315857639</x:v>
      </x:c>
      <x:c r="C353" s="10" t="str">
        <x:v>EMP003</x:v>
      </x:c>
      <x:c r="D353" s="10" t="str">
        <x:v>CTA006</x:v>
      </x:c>
      <x:c r="E353" s="10" t="str">
        <x:v>Entrada</x:v>
      </x:c>
      <x:c r="F353" s="10" t="str">
        <x:v>CAT003</x:v>
      </x:c>
      <x:c r="G353" s="10" t="str">
        <x:v>Prestação de serviços</x:v>
      </x:c>
      <x:c r="H353" s="10" t="str">
        <x:v>REC00540</x:v>
      </x:c>
      <x:c r="I353" s="20" t="n">
        <x:v>38035.56</x:v>
      </x:c>
      <x:c r="J353" s="20" t="n">
        <x:v>38035.56</x:v>
      </x:c>
      <x:c r="K353" s="10" t="str">
        <x:v>Realizado</x:v>
      </x:c>
      <x:c r="L353" s="10" t="str">
        <x:v>Contas a Receber</x:v>
      </x:c>
    </x:row>
    <x:row r="354" ht="18" customHeight="1">
      <x:c r="A354" s="10" t="str">
        <x:v>MOV000184</x:v>
      </x:c>
      <x:c r="B354" s="16" t="n">
        <x:v>45469.231580451386</x:v>
      </x:c>
      <x:c r="C354" s="10" t="str">
        <x:v>EMP001</x:v>
      </x:c>
      <x:c r="D354" s="10" t="str">
        <x:v>CTA002</x:v>
      </x:c>
      <x:c r="E354" s="10" t="str">
        <x:v>Saída</x:v>
      </x:c>
      <x:c r="F354" s="10" t="str">
        <x:v>CAT013</x:v>
      </x:c>
      <x:c r="G354" s="10" t="str">
        <x:v>Tributos e taxas</x:v>
      </x:c>
      <x:c r="H354" s="10" t="str">
        <x:v>PAG00215</x:v>
      </x:c>
      <x:c r="I354" s="20" t="n">
        <x:v>53854.58</x:v>
      </x:c>
      <x:c r="J354" s="20" t="n">
        <x:v>-53854.58</x:v>
      </x:c>
      <x:c r="K354" s="10" t="str">
        <x:v>Realizado</x:v>
      </x:c>
      <x:c r="L354" s="10" t="str">
        <x:v>Contas a Pagar</x:v>
      </x:c>
    </x:row>
    <x:row r="355" ht="18" customHeight="1">
      <x:c r="A355" s="10" t="str">
        <x:v>MOV001283</x:v>
      </x:c>
      <x:c r="B355" s="16" t="n">
        <x:v>45469.29390484954</x:v>
      </x:c>
      <x:c r="C355" s="10" t="str">
        <x:v>EMP002</x:v>
      </x:c>
      <x:c r="D355" s="10" t="str">
        <x:v>CTA004</x:v>
      </x:c>
      <x:c r="E355" s="10" t="str">
        <x:v>Entrada</x:v>
      </x:c>
      <x:c r="F355" s="10" t="str">
        <x:v>CAT003</x:v>
      </x:c>
      <x:c r="G355" s="10" t="str">
        <x:v>Contrato mensal</x:v>
      </x:c>
      <x:c r="H355" s="10" t="str">
        <x:v>REC00643</x:v>
      </x:c>
      <x:c r="I355" s="20" t="n">
        <x:v>36929.4</x:v>
      </x:c>
      <x:c r="J355" s="20" t="n">
        <x:v>36929.4</x:v>
      </x:c>
      <x:c r="K355" s="10" t="str">
        <x:v>Realizado</x:v>
      </x:c>
      <x:c r="L355" s="10" t="str">
        <x:v>Contas a Receber</x:v>
      </x:c>
    </x:row>
    <x:row r="356" ht="18" customHeight="1">
      <x:c r="A356" s="10" t="str">
        <x:v>MOV000030</x:v>
      </x:c>
      <x:c r="B356" s="16" t="n">
        <x:v>45469.811534872686</x:v>
      </x:c>
      <x:c r="C356" s="10" t="str">
        <x:v>EMP002</x:v>
      </x:c>
      <x:c r="D356" s="10" t="str">
        <x:v>CTA003</x:v>
      </x:c>
      <x:c r="E356" s="10" t="str">
        <x:v>Saída</x:v>
      </x:c>
      <x:c r="F356" s="10" t="str">
        <x:v>CAT012</x:v>
      </x:c>
      <x:c r="G356" s="10" t="str">
        <x:v>Prestação de serviços</x:v>
      </x:c>
      <x:c r="H356" s="10" t="str">
        <x:v>PAG00030</x:v>
      </x:c>
      <x:c r="I356" s="20" t="n">
        <x:v>33566.12</x:v>
      </x:c>
      <x:c r="J356" s="20" t="n">
        <x:v>-33566.12</x:v>
      </x:c>
      <x:c r="K356" s="10" t="str">
        <x:v>Realizado</x:v>
      </x:c>
      <x:c r="L356" s="10" t="str">
        <x:v>Contas a Pagar</x:v>
      </x:c>
    </x:row>
    <x:row r="357" ht="18" customHeight="1">
      <x:c r="A357" s="10" t="str">
        <x:v>MOV000580</x:v>
      </x:c>
      <x:c r="B357" s="16" t="n">
        <x:v>45470.0683937963</x:v>
      </x:c>
      <x:c r="C357" s="10" t="str">
        <x:v>EMP001</x:v>
      </x:c>
      <x:c r="D357" s="10" t="str">
        <x:v>CTA001</x:v>
      </x:c>
      <x:c r="E357" s="10" t="str">
        <x:v>Saída</x:v>
      </x:c>
      <x:c r="F357" s="10" t="str">
        <x:v>CAT010</x:v>
      </x:c>
      <x:c r="G357" s="10" t="str">
        <x:v>Contrato recorrente</x:v>
      </x:c>
      <x:c r="H357" s="10" t="str">
        <x:v>PAG00682</x:v>
      </x:c>
      <x:c r="I357" s="20" t="n">
        <x:v>30466.42</x:v>
      </x:c>
      <x:c r="J357" s="20" t="n">
        <x:v>-30466.42</x:v>
      </x:c>
      <x:c r="K357" s="10" t="str">
        <x:v>Realizado</x:v>
      </x:c>
      <x:c r="L357" s="10" t="str">
        <x:v>Contas a Pagar</x:v>
      </x:c>
    </x:row>
    <x:row r="358" ht="18" customHeight="1">
      <x:c r="A358" s="10" t="str">
        <x:v>MOV000807</x:v>
      </x:c>
      <x:c r="B358" s="16" t="n">
        <x:v>45470.07106814815</x:v>
      </x:c>
      <x:c r="C358" s="10" t="str">
        <x:v>EMP001</x:v>
      </x:c>
      <x:c r="D358" s="10" t="str">
        <x:v>CTA001</x:v>
      </x:c>
      <x:c r="E358" s="10" t="str">
        <x:v>Entrada</x:v>
      </x:c>
      <x:c r="F358" s="10" t="str">
        <x:v>CAT001</x:v>
      </x:c>
      <x:c r="G358" s="10" t="str">
        <x:v>Contrato mensal</x:v>
      </x:c>
      <x:c r="H358" s="10" t="str">
        <x:v>REC00066</x:v>
      </x:c>
      <x:c r="I358" s="20" t="n">
        <x:v>73120.98</x:v>
      </x:c>
      <x:c r="J358" s="20" t="n">
        <x:v>73120.98</x:v>
      </x:c>
      <x:c r="K358" s="10" t="str">
        <x:v>Realizado</x:v>
      </x:c>
      <x:c r="L358" s="10" t="str">
        <x:v>Contas a Receber</x:v>
      </x:c>
    </x:row>
    <x:row r="359" ht="18" customHeight="1">
      <x:c r="A359" s="10" t="str">
        <x:v>MOV000718</x:v>
      </x:c>
      <x:c r="B359" s="16" t="n">
        <x:v>45470.11285761574</x:v>
      </x:c>
      <x:c r="C359" s="10" t="str">
        <x:v>EMP002</x:v>
      </x:c>
      <x:c r="D359" s="10" t="str">
        <x:v>CTA004</x:v>
      </x:c>
      <x:c r="E359" s="10" t="str">
        <x:v>Saída</x:v>
      </x:c>
      <x:c r="F359" s="10" t="str">
        <x:v>CAT012</x:v>
      </x:c>
      <x:c r="G359" s="10" t="str">
        <x:v>Compra de materiais</x:v>
      </x:c>
      <x:c r="H359" s="10" t="str">
        <x:v>PAG00852</x:v>
      </x:c>
      <x:c r="I359" s="20" t="n">
        <x:v>50003.05</x:v>
      </x:c>
      <x:c r="J359" s="20" t="n">
        <x:v>-50003.05</x:v>
      </x:c>
      <x:c r="K359" s="10" t="str">
        <x:v>Realizado</x:v>
      </x:c>
      <x:c r="L359" s="10" t="str">
        <x:v>Contas a Pagar</x:v>
      </x:c>
    </x:row>
    <x:row r="360" ht="18" customHeight="1">
      <x:c r="A360" s="10" t="str">
        <x:v>MOV000408</x:v>
      </x:c>
      <x:c r="B360" s="16" t="n">
        <x:v>45470.30368290509</x:v>
      </x:c>
      <x:c r="C360" s="10" t="str">
        <x:v>EMP001</x:v>
      </x:c>
      <x:c r="D360" s="10" t="str">
        <x:v>CTA002</x:v>
      </x:c>
      <x:c r="E360" s="10" t="str">
        <x:v>Saída</x:v>
      </x:c>
      <x:c r="F360" s="10" t="str">
        <x:v>CAT013</x:v>
      </x:c>
      <x:c r="G360" s="10" t="str">
        <x:v>Tributos e taxas</x:v>
      </x:c>
      <x:c r="H360" s="10" t="str">
        <x:v>PAG00475</x:v>
      </x:c>
      <x:c r="I360" s="20" t="n">
        <x:v>67458.02</x:v>
      </x:c>
      <x:c r="J360" s="20" t="n">
        <x:v>-67458.02</x:v>
      </x:c>
      <x:c r="K360" s="10" t="str">
        <x:v>Realizado</x:v>
      </x:c>
      <x:c r="L360" s="10" t="str">
        <x:v>Contas a Pagar</x:v>
      </x:c>
    </x:row>
    <x:row r="361" ht="18" customHeight="1">
      <x:c r="A361" s="10" t="str">
        <x:v>MOV000380</x:v>
      </x:c>
      <x:c r="B361" s="16" t="n">
        <x:v>45470.43594137731</x:v>
      </x:c>
      <x:c r="C361" s="10" t="str">
        <x:v>EMP003</x:v>
      </x:c>
      <x:c r="D361" s="10" t="str">
        <x:v>CTA005</x:v>
      </x:c>
      <x:c r="E361" s="10" t="str">
        <x:v>Saída</x:v>
      </x:c>
      <x:c r="F361" s="10" t="str">
        <x:v>CAT005</x:v>
      </x:c>
      <x:c r="G361" s="10" t="str">
        <x:v>Contrato recorrente</x:v>
      </x:c>
      <x:c r="H361" s="10" t="str">
        <x:v>PAG00441</x:v>
      </x:c>
      <x:c r="I361" s="20" t="n">
        <x:v>108471.99</x:v>
      </x:c>
      <x:c r="J361" s="20" t="n">
        <x:v>-108471.99</x:v>
      </x:c>
      <x:c r="K361" s="10" t="str">
        <x:v>Realizado</x:v>
      </x:c>
      <x:c r="L361" s="10" t="str">
        <x:v>Contas a Pagar</x:v>
      </x:c>
    </x:row>
    <x:row r="362" ht="18" customHeight="1">
      <x:c r="A362" s="10" t="str">
        <x:v>MOV000565</x:v>
      </x:c>
      <x:c r="B362" s="16" t="n">
        <x:v>45471.87248859954</x:v>
      </x:c>
      <x:c r="C362" s="10" t="str">
        <x:v>EMP002</x:v>
      </x:c>
      <x:c r="D362" s="10" t="str">
        <x:v>CTA004</x:v>
      </x:c>
      <x:c r="E362" s="10" t="str">
        <x:v>Saída</x:v>
      </x:c>
      <x:c r="F362" s="10" t="str">
        <x:v>CAT017</x:v>
      </x:c>
      <x:c r="G362" s="10" t="str">
        <x:v>Compra de materiais</x:v>
      </x:c>
      <x:c r="H362" s="10" t="str">
        <x:v>PAG00662</x:v>
      </x:c>
      <x:c r="I362" s="20" t="n">
        <x:v>9450.68</x:v>
      </x:c>
      <x:c r="J362" s="20" t="n">
        <x:v>-9450.68</x:v>
      </x:c>
      <x:c r="K362" s="10" t="str">
        <x:v>Realizado</x:v>
      </x:c>
      <x:c r="L362" s="10" t="str">
        <x:v>Contas a Pagar</x:v>
      </x:c>
    </x:row>
    <x:row r="363" ht="18" customHeight="1">
      <x:c r="A363" s="10" t="str">
        <x:v>MOV000262</x:v>
      </x:c>
      <x:c r="B363" s="16" t="n">
        <x:v>45471.93703353009</x:v>
      </x:c>
      <x:c r="C363" s="10" t="str">
        <x:v>EMP003</x:v>
      </x:c>
      <x:c r="D363" s="10" t="str">
        <x:v>CTA005</x:v>
      </x:c>
      <x:c r="E363" s="10" t="str">
        <x:v>Saída</x:v>
      </x:c>
      <x:c r="F363" s="10" t="str">
        <x:v>CAT009</x:v>
      </x:c>
      <x:c r="G363" s="10" t="str">
        <x:v>Despesa operacional</x:v>
      </x:c>
      <x:c r="H363" s="10" t="str">
        <x:v>PAG00305</x:v>
      </x:c>
      <x:c r="I363" s="20" t="n">
        <x:v>1172.93</x:v>
      </x:c>
      <x:c r="J363" s="20" t="n">
        <x:v>-1172.93</x:v>
      </x:c>
      <x:c r="K363" s="10" t="str">
        <x:v>Realizado</x:v>
      </x:c>
      <x:c r="L363" s="10" t="str">
        <x:v>Contas a Pagar</x:v>
      </x:c>
    </x:row>
    <x:row r="364" ht="18" customHeight="1">
      <x:c r="A364" s="10" t="str">
        <x:v>MOV000901</x:v>
      </x:c>
      <x:c r="B364" s="16" t="n">
        <x:v>45472.30912636574</x:v>
      </x:c>
      <x:c r="C364" s="10" t="str">
        <x:v>EMP001</x:v>
      </x:c>
      <x:c r="D364" s="10" t="str">
        <x:v>CTA001</x:v>
      </x:c>
      <x:c r="E364" s="10" t="str">
        <x:v>Entrada</x:v>
      </x:c>
      <x:c r="F364" s="10" t="str">
        <x:v>CAT002</x:v>
      </x:c>
      <x:c r="G364" s="10" t="str">
        <x:v>Venda de produtos</x:v>
      </x:c>
      <x:c r="H364" s="10" t="str">
        <x:v>REC00178</x:v>
      </x:c>
      <x:c r="I364" s="20" t="n">
        <x:v>71443.59</x:v>
      </x:c>
      <x:c r="J364" s="20" t="n">
        <x:v>71443.59</x:v>
      </x:c>
      <x:c r="K364" s="10" t="str">
        <x:v>Realizado</x:v>
      </x:c>
      <x:c r="L364" s="10" t="str">
        <x:v>Contas a Receber</x:v>
      </x:c>
    </x:row>
    <x:row r="365" ht="18" customHeight="1">
      <x:c r="A365" s="10" t="str">
        <x:v>MOV001586</x:v>
      </x:c>
      <x:c r="B365" s="16" t="n">
        <x:v>45472.66612054398</x:v>
      </x:c>
      <x:c r="C365" s="10" t="str">
        <x:v>EMP001</x:v>
      </x:c>
      <x:c r="D365" s="10" t="str">
        <x:v>CTA002</x:v>
      </x:c>
      <x:c r="E365" s="10" t="str">
        <x:v>Entrada</x:v>
      </x:c>
      <x:c r="F365" s="10" t="str">
        <x:v>CAT001</x:v>
      </x:c>
      <x:c r="G365" s="10" t="str">
        <x:v>Venda de produtos</x:v>
      </x:c>
      <x:c r="H365" s="10" t="str">
        <x:v>REC01012</x:v>
      </x:c>
      <x:c r="I365" s="20" t="n">
        <x:v>14329.01</x:v>
      </x:c>
      <x:c r="J365" s="20" t="n">
        <x:v>14329.01</x:v>
      </x:c>
      <x:c r="K365" s="10" t="str">
        <x:v>Realizado</x:v>
      </x:c>
      <x:c r="L365" s="10" t="str">
        <x:v>Contas a Receber</x:v>
      </x:c>
    </x:row>
    <x:row r="366" ht="18" customHeight="1">
      <x:c r="A366" s="10" t="str">
        <x:v>MOV000680</x:v>
      </x:c>
      <x:c r="B366" s="16" t="n">
        <x:v>45473.2043240625</x:v>
      </x:c>
      <x:c r="C366" s="10" t="str">
        <x:v>EMP003</x:v>
      </x:c>
      <x:c r="D366" s="10" t="str">
        <x:v>CTA006</x:v>
      </x:c>
      <x:c r="E366" s="10" t="str">
        <x:v>Saída</x:v>
      </x:c>
      <x:c r="F366" s="10" t="str">
        <x:v>CAT016</x:v>
      </x:c>
      <x:c r="G366" s="10" t="str">
        <x:v>Contrato recorrente</x:v>
      </x:c>
      <x:c r="H366" s="10" t="str">
        <x:v>PAG00808</x:v>
      </x:c>
      <x:c r="I366" s="20" t="n">
        <x:v>26108.91</x:v>
      </x:c>
      <x:c r="J366" s="20" t="n">
        <x:v>-26108.91</x:v>
      </x:c>
      <x:c r="K366" s="10" t="str">
        <x:v>Realizado</x:v>
      </x:c>
      <x:c r="L366" s="10" t="str">
        <x:v>Contas a Pagar</x:v>
      </x:c>
    </x:row>
    <x:row r="367" ht="18" customHeight="1">
      <x:c r="A367" s="10" t="str">
        <x:v>MOV000879</x:v>
      </x:c>
      <x:c r="B367" s="16" t="n">
        <x:v>45473.39435858796</x:v>
      </x:c>
      <x:c r="C367" s="10" t="str">
        <x:v>EMP001</x:v>
      </x:c>
      <x:c r="D367" s="10" t="str">
        <x:v>CTA001</x:v>
      </x:c>
      <x:c r="E367" s="10" t="str">
        <x:v>Entrada</x:v>
      </x:c>
      <x:c r="F367" s="10" t="str">
        <x:v>CAT001</x:v>
      </x:c>
      <x:c r="G367" s="10" t="str">
        <x:v>Projeto especial</x:v>
      </x:c>
      <x:c r="H367" s="10" t="str">
        <x:v>REC00150</x:v>
      </x:c>
      <x:c r="I367" s="20" t="n">
        <x:v>103592.52</x:v>
      </x:c>
      <x:c r="J367" s="20" t="n">
        <x:v>103592.52</x:v>
      </x:c>
      <x:c r="K367" s="10" t="str">
        <x:v>Realizado</x:v>
      </x:c>
      <x:c r="L367" s="10" t="str">
        <x:v>Contas a Receber</x:v>
      </x:c>
    </x:row>
    <x:row r="368" ht="18" customHeight="1">
      <x:c r="A368" s="10" t="str">
        <x:v>MOV000693</x:v>
      </x:c>
      <x:c r="B368" s="16" t="n">
        <x:v>45473.689906875</x:v>
      </x:c>
      <x:c r="C368" s="10" t="str">
        <x:v>EMP001</x:v>
      </x:c>
      <x:c r="D368" s="10" t="str">
        <x:v>CTA001</x:v>
      </x:c>
      <x:c r="E368" s="10" t="str">
        <x:v>Saída</x:v>
      </x:c>
      <x:c r="F368" s="10" t="str">
        <x:v>CAT017</x:v>
      </x:c>
      <x:c r="G368" s="10" t="str">
        <x:v>Tributos e taxas</x:v>
      </x:c>
      <x:c r="H368" s="10" t="str">
        <x:v>PAG00823</x:v>
      </x:c>
      <x:c r="I368" s="20" t="n">
        <x:v>5768.38</x:v>
      </x:c>
      <x:c r="J368" s="20" t="n">
        <x:v>-5768.38</x:v>
      </x:c>
      <x:c r="K368" s="10" t="str">
        <x:v>Realizado</x:v>
      </x:c>
      <x:c r="L368" s="10" t="str">
        <x:v>Contas a Pagar</x:v>
      </x:c>
    </x:row>
    <x:row r="369" ht="18" customHeight="1">
      <x:c r="A369" s="10" t="str">
        <x:v>MOV001582</x:v>
      </x:c>
      <x:c r="B369" s="16" t="n">
        <x:v>45474.56237693287</x:v>
      </x:c>
      <x:c r="C369" s="10" t="str">
        <x:v>EMP003</x:v>
      </x:c>
      <x:c r="D369" s="10" t="str">
        <x:v>CTA006</x:v>
      </x:c>
      <x:c r="E369" s="10" t="str">
        <x:v>Entrada</x:v>
      </x:c>
      <x:c r="F369" s="10" t="str">
        <x:v>CAT003</x:v>
      </x:c>
      <x:c r="G369" s="10" t="str">
        <x:v>Prestação de serviços</x:v>
      </x:c>
      <x:c r="H369" s="10" t="str">
        <x:v>REC01006</x:v>
      </x:c>
      <x:c r="I369" s="20" t="n">
        <x:v>856.72</x:v>
      </x:c>
      <x:c r="J369" s="20" t="n">
        <x:v>856.72</x:v>
      </x:c>
      <x:c r="K369" s="10" t="str">
        <x:v>Realizado</x:v>
      </x:c>
      <x:c r="L369" s="10" t="str">
        <x:v>Contas a Receber</x:v>
      </x:c>
    </x:row>
    <x:row r="370" ht="18" customHeight="1">
      <x:c r="A370" s="10" t="str">
        <x:v>MOV000697</x:v>
      </x:c>
      <x:c r="B370" s="16" t="n">
        <x:v>45474.862012997684</x:v>
      </x:c>
      <x:c r="C370" s="10" t="str">
        <x:v>EMP002</x:v>
      </x:c>
      <x:c r="D370" s="10" t="str">
        <x:v>CTA003</x:v>
      </x:c>
      <x:c r="E370" s="10" t="str">
        <x:v>Saída</x:v>
      </x:c>
      <x:c r="F370" s="10" t="str">
        <x:v>CAT009</x:v>
      </x:c>
      <x:c r="G370" s="10" t="str">
        <x:v>Prestação de serviços</x:v>
      </x:c>
      <x:c r="H370" s="10" t="str">
        <x:v>PAG00827</x:v>
      </x:c>
      <x:c r="I370" s="20" t="n">
        <x:v>57521.07</x:v>
      </x:c>
      <x:c r="J370" s="20" t="n">
        <x:v>-57521.07</x:v>
      </x:c>
      <x:c r="K370" s="10" t="str">
        <x:v>Realizado</x:v>
      </x:c>
      <x:c r="L370" s="10" t="str">
        <x:v>Contas a Pagar</x:v>
      </x:c>
    </x:row>
    <x:row r="371" ht="18" customHeight="1">
      <x:c r="A371" s="10" t="str">
        <x:v>MOV000864</x:v>
      </x:c>
      <x:c r="B371" s="16" t="n">
        <x:v>45475.04234334491</x:v>
      </x:c>
      <x:c r="C371" s="10" t="str">
        <x:v>EMP002</x:v>
      </x:c>
      <x:c r="D371" s="10" t="str">
        <x:v>CTA003</x:v>
      </x:c>
      <x:c r="E371" s="10" t="str">
        <x:v>Entrada</x:v>
      </x:c>
      <x:c r="F371" s="10" t="str">
        <x:v>CAT003</x:v>
      </x:c>
      <x:c r="G371" s="10" t="str">
        <x:v>Contrato mensal</x:v>
      </x:c>
      <x:c r="H371" s="10" t="str">
        <x:v>REC00134</x:v>
      </x:c>
      <x:c r="I371" s="20" t="n">
        <x:v>98337.24</x:v>
      </x:c>
      <x:c r="J371" s="20" t="n">
        <x:v>98337.24</x:v>
      </x:c>
      <x:c r="K371" s="10" t="str">
        <x:v>Realizado</x:v>
      </x:c>
      <x:c r="L371" s="10" t="str">
        <x:v>Contas a Receber</x:v>
      </x:c>
    </x:row>
    <x:row r="372" ht="18" customHeight="1">
      <x:c r="A372" s="10" t="str">
        <x:v>MOV001554</x:v>
      </x:c>
      <x:c r="B372" s="16" t="n">
        <x:v>45475.26784119213</x:v>
      </x:c>
      <x:c r="C372" s="10" t="str">
        <x:v>EMP003</x:v>
      </x:c>
      <x:c r="D372" s="10" t="str">
        <x:v>CTA005</x:v>
      </x:c>
      <x:c r="E372" s="10" t="str">
        <x:v>Entrada</x:v>
      </x:c>
      <x:c r="F372" s="10" t="str">
        <x:v>CAT002</x:v>
      </x:c>
      <x:c r="G372" s="10" t="str">
        <x:v>Contrato mensal</x:v>
      </x:c>
      <x:c r="H372" s="10" t="str">
        <x:v>REC00972</x:v>
      </x:c>
      <x:c r="I372" s="20" t="n">
        <x:v>132543.16</x:v>
      </x:c>
      <x:c r="J372" s="20" t="n">
        <x:v>132543.16</x:v>
      </x:c>
      <x:c r="K372" s="10" t="str">
        <x:v>Realizado</x:v>
      </x:c>
      <x:c r="L372" s="10" t="str">
        <x:v>Contas a Receber</x:v>
      </x:c>
    </x:row>
    <x:row r="373" ht="18" customHeight="1">
      <x:c r="A373" s="10" t="str">
        <x:v>MOV000720</x:v>
      </x:c>
      <x:c r="B373" s="16" t="n">
        <x:v>45475.287209664355</x:v>
      </x:c>
      <x:c r="C373" s="10" t="str">
        <x:v>EMP002</x:v>
      </x:c>
      <x:c r="D373" s="10" t="str">
        <x:v>CTA004</x:v>
      </x:c>
      <x:c r="E373" s="10" t="str">
        <x:v>Saída</x:v>
      </x:c>
      <x:c r="F373" s="10" t="str">
        <x:v>CAT009</x:v>
      </x:c>
      <x:c r="G373" s="10" t="str">
        <x:v>Prestação de serviços</x:v>
      </x:c>
      <x:c r="H373" s="10" t="str">
        <x:v>PAG00854</x:v>
      </x:c>
      <x:c r="I373" s="20" t="n">
        <x:v>24188.4</x:v>
      </x:c>
      <x:c r="J373" s="20" t="n">
        <x:v>-24188.4</x:v>
      </x:c>
      <x:c r="K373" s="10" t="str">
        <x:v>Realizado</x:v>
      </x:c>
      <x:c r="L373" s="10" t="str">
        <x:v>Contas a Pagar</x:v>
      </x:c>
    </x:row>
    <x:row r="374" ht="18" customHeight="1">
      <x:c r="A374" s="10" t="str">
        <x:v>MOV001172</x:v>
      </x:c>
      <x:c r="B374" s="16" t="n">
        <x:v>45475.99535236111</x:v>
      </x:c>
      <x:c r="C374" s="10" t="str">
        <x:v>EMP003</x:v>
      </x:c>
      <x:c r="D374" s="10" t="str">
        <x:v>CTA005</x:v>
      </x:c>
      <x:c r="E374" s="10" t="str">
        <x:v>Entrada</x:v>
      </x:c>
      <x:c r="F374" s="10" t="str">
        <x:v>CAT001</x:v>
      </x:c>
      <x:c r="G374" s="10" t="str">
        <x:v>Venda de produtos</x:v>
      </x:c>
      <x:c r="H374" s="10" t="str">
        <x:v>REC00507</x:v>
      </x:c>
      <x:c r="I374" s="20" t="n">
        <x:v>12464.74</x:v>
      </x:c>
      <x:c r="J374" s="20" t="n">
        <x:v>12464.74</x:v>
      </x:c>
      <x:c r="K374" s="10" t="str">
        <x:v>Realizado</x:v>
      </x:c>
      <x:c r="L374" s="10" t="str">
        <x:v>Contas a Receber</x:v>
      </x:c>
    </x:row>
    <x:row r="375" ht="18" customHeight="1">
      <x:c r="A375" s="10" t="str">
        <x:v>MOV000814</x:v>
      </x:c>
      <x:c r="B375" s="16" t="n">
        <x:v>45476.01162024306</x:v>
      </x:c>
      <x:c r="C375" s="10" t="str">
        <x:v>EMP002</x:v>
      </x:c>
      <x:c r="D375" s="10" t="str">
        <x:v>CTA004</x:v>
      </x:c>
      <x:c r="E375" s="10" t="str">
        <x:v>Entrada</x:v>
      </x:c>
      <x:c r="F375" s="10" t="str">
        <x:v>CAT003</x:v>
      </x:c>
      <x:c r="G375" s="10" t="str">
        <x:v>Venda de produtos</x:v>
      </x:c>
      <x:c r="H375" s="10" t="str">
        <x:v>REC00074</x:v>
      </x:c>
      <x:c r="I375" s="20" t="n">
        <x:v>124517.6</x:v>
      </x:c>
      <x:c r="J375" s="20" t="n">
        <x:v>124517.6</x:v>
      </x:c>
      <x:c r="K375" s="10" t="str">
        <x:v>Realizado</x:v>
      </x:c>
      <x:c r="L375" s="10" t="str">
        <x:v>Contas a Receber</x:v>
      </x:c>
    </x:row>
    <x:row r="376" ht="18" customHeight="1">
      <x:c r="A376" s="10" t="str">
        <x:v>MOV000512</x:v>
      </x:c>
      <x:c r="B376" s="16" t="n">
        <x:v>45476.08658548611</x:v>
      </x:c>
      <x:c r="C376" s="10" t="str">
        <x:v>EMP001</x:v>
      </x:c>
      <x:c r="D376" s="10" t="str">
        <x:v>CTA002</x:v>
      </x:c>
      <x:c r="E376" s="10" t="str">
        <x:v>Saída</x:v>
      </x:c>
      <x:c r="F376" s="10" t="str">
        <x:v>CAT011</x:v>
      </x:c>
      <x:c r="G376" s="10" t="str">
        <x:v>Prestação de serviços</x:v>
      </x:c>
      <x:c r="H376" s="10" t="str">
        <x:v>PAG00602</x:v>
      </x:c>
      <x:c r="I376" s="20" t="n">
        <x:v>4311.5</x:v>
      </x:c>
      <x:c r="J376" s="20" t="n">
        <x:v>-4311.5</x:v>
      </x:c>
      <x:c r="K376" s="10" t="str">
        <x:v>Realizado</x:v>
      </x:c>
      <x:c r="L376" s="10" t="str">
        <x:v>Contas a Pagar</x:v>
      </x:c>
    </x:row>
    <x:row r="377" ht="18" customHeight="1">
      <x:c r="A377" s="10" t="str">
        <x:v>MOV001551</x:v>
      </x:c>
      <x:c r="B377" s="16" t="n">
        <x:v>45476.108940555554</x:v>
      </x:c>
      <x:c r="C377" s="10" t="str">
        <x:v>EMP001</x:v>
      </x:c>
      <x:c r="D377" s="10" t="str">
        <x:v>CTA001</x:v>
      </x:c>
      <x:c r="E377" s="10" t="str">
        <x:v>Entrada</x:v>
      </x:c>
      <x:c r="F377" s="10" t="str">
        <x:v>CAT003</x:v>
      </x:c>
      <x:c r="G377" s="10" t="str">
        <x:v>Projeto especial</x:v>
      </x:c>
      <x:c r="H377" s="10" t="str">
        <x:v>REC00968</x:v>
      </x:c>
      <x:c r="I377" s="20" t="n">
        <x:v>118078.58</x:v>
      </x:c>
      <x:c r="J377" s="20" t="n">
        <x:v>118078.58</x:v>
      </x:c>
      <x:c r="K377" s="10" t="str">
        <x:v>Realizado</x:v>
      </x:c>
      <x:c r="L377" s="10" t="str">
        <x:v>Contas a Receber</x:v>
      </x:c>
    </x:row>
    <x:row r="378" ht="18" customHeight="1">
      <x:c r="A378" s="10" t="str">
        <x:v>MOV000170</x:v>
      </x:c>
      <x:c r="B378" s="16" t="n">
        <x:v>45476.1758871412</x:v>
      </x:c>
      <x:c r="C378" s="10" t="str">
        <x:v>EMP003</x:v>
      </x:c>
      <x:c r="D378" s="10" t="str">
        <x:v>CTA005</x:v>
      </x:c>
      <x:c r="E378" s="10" t="str">
        <x:v>Saída</x:v>
      </x:c>
      <x:c r="F378" s="10" t="str">
        <x:v>CAT005</x:v>
      </x:c>
      <x:c r="G378" s="10" t="str">
        <x:v>Tributos e taxas</x:v>
      </x:c>
      <x:c r="H378" s="10" t="str">
        <x:v>PAG00200</x:v>
      </x:c>
      <x:c r="I378" s="20" t="n">
        <x:v>40780.25</x:v>
      </x:c>
      <x:c r="J378" s="20" t="n">
        <x:v>-40780.25</x:v>
      </x:c>
      <x:c r="K378" s="10" t="str">
        <x:v>Realizado</x:v>
      </x:c>
      <x:c r="L378" s="10" t="str">
        <x:v>Contas a Pagar</x:v>
      </x:c>
    </x:row>
    <x:row r="379" ht="18" customHeight="1">
      <x:c r="A379" s="10" t="str">
        <x:v>MOV000582</x:v>
      </x:c>
      <x:c r="B379" s="16" t="n">
        <x:v>45476.58246498842</x:v>
      </x:c>
      <x:c r="C379" s="10" t="str">
        <x:v>EMP002</x:v>
      </x:c>
      <x:c r="D379" s="10" t="str">
        <x:v>CTA004</x:v>
      </x:c>
      <x:c r="E379" s="10" t="str">
        <x:v>Saída</x:v>
      </x:c>
      <x:c r="F379" s="10" t="str">
        <x:v>CAT009</x:v>
      </x:c>
      <x:c r="G379" s="10" t="str">
        <x:v>Prestação de serviços</x:v>
      </x:c>
      <x:c r="H379" s="10" t="str">
        <x:v>PAG00685</x:v>
      </x:c>
      <x:c r="I379" s="20" t="n">
        <x:v>14907.98</x:v>
      </x:c>
      <x:c r="J379" s="20" t="n">
        <x:v>-14907.98</x:v>
      </x:c>
      <x:c r="K379" s="10" t="str">
        <x:v>Realizado</x:v>
      </x:c>
      <x:c r="L379" s="10" t="str">
        <x:v>Contas a Pagar</x:v>
      </x:c>
    </x:row>
    <x:row r="380" ht="18" customHeight="1">
      <x:c r="A380" s="10" t="str">
        <x:v>MOV000719</x:v>
      </x:c>
      <x:c r="B380" s="16" t="n">
        <x:v>45476.82129020833</x:v>
      </x:c>
      <x:c r="C380" s="10" t="str">
        <x:v>EMP001</x:v>
      </x:c>
      <x:c r="D380" s="10" t="str">
        <x:v>CTA001</x:v>
      </x:c>
      <x:c r="E380" s="10" t="str">
        <x:v>Saída</x:v>
      </x:c>
      <x:c r="F380" s="10" t="str">
        <x:v>CAT005</x:v>
      </x:c>
      <x:c r="G380" s="10" t="str">
        <x:v>Tributos e taxas</x:v>
      </x:c>
      <x:c r="H380" s="10" t="str">
        <x:v>PAG00853</x:v>
      </x:c>
      <x:c r="I380" s="20" t="n">
        <x:v>16344.42</x:v>
      </x:c>
      <x:c r="J380" s="20" t="n">
        <x:v>-16344.42</x:v>
      </x:c>
      <x:c r="K380" s="10" t="str">
        <x:v>Realizado</x:v>
      </x:c>
      <x:c r="L380" s="10" t="str">
        <x:v>Contas a Pagar</x:v>
      </x:c>
    </x:row>
    <x:row r="381" ht="18" customHeight="1">
      <x:c r="A381" s="10" t="str">
        <x:v>MOV000289</x:v>
      </x:c>
      <x:c r="B381" s="16" t="n">
        <x:v>45476.97198699074</x:v>
      </x:c>
      <x:c r="C381" s="10" t="str">
        <x:v>EMP003</x:v>
      </x:c>
      <x:c r="D381" s="10" t="str">
        <x:v>CTA005</x:v>
      </x:c>
      <x:c r="E381" s="10" t="str">
        <x:v>Saída</x:v>
      </x:c>
      <x:c r="F381" s="10" t="str">
        <x:v>CAT010</x:v>
      </x:c>
      <x:c r="G381" s="10" t="str">
        <x:v>Tributos e taxas</x:v>
      </x:c>
      <x:c r="H381" s="10" t="str">
        <x:v>PAG00335</x:v>
      </x:c>
      <x:c r="I381" s="20" t="n">
        <x:v>22193.04</x:v>
      </x:c>
      <x:c r="J381" s="20" t="n">
        <x:v>-22193.04</x:v>
      </x:c>
      <x:c r="K381" s="10" t="str">
        <x:v>Realizado</x:v>
      </x:c>
      <x:c r="L381" s="10" t="str">
        <x:v>Contas a Pagar</x:v>
      </x:c>
    </x:row>
    <x:row r="382" ht="18" customHeight="1">
      <x:c r="A382" s="10" t="str">
        <x:v>MOV000666</x:v>
      </x:c>
      <x:c r="B382" s="16" t="n">
        <x:v>45477.62046050926</x:v>
      </x:c>
      <x:c r="C382" s="10" t="str">
        <x:v>EMP001</x:v>
      </x:c>
      <x:c r="D382" s="10" t="str">
        <x:v>CTA002</x:v>
      </x:c>
      <x:c r="E382" s="10" t="str">
        <x:v>Saída</x:v>
      </x:c>
      <x:c r="F382" s="10" t="str">
        <x:v>CAT009</x:v>
      </x:c>
      <x:c r="G382" s="10" t="str">
        <x:v>Despesa operacional</x:v>
      </x:c>
      <x:c r="H382" s="10" t="str">
        <x:v>PAG00791</x:v>
      </x:c>
      <x:c r="I382" s="20" t="n">
        <x:v>25327.52</x:v>
      </x:c>
      <x:c r="J382" s="20" t="n">
        <x:v>-25327.52</x:v>
      </x:c>
      <x:c r="K382" s="10" t="str">
        <x:v>Realizado</x:v>
      </x:c>
      <x:c r="L382" s="10" t="str">
        <x:v>Contas a Pagar</x:v>
      </x:c>
    </x:row>
    <x:row r="383" ht="18" customHeight="1">
      <x:c r="A383" s="10" t="str">
        <x:v>MOV000381</x:v>
      </x:c>
      <x:c r="B383" s="16" t="n">
        <x:v>45477.73322841435</x:v>
      </x:c>
      <x:c r="C383" s="10" t="str">
        <x:v>EMP001</x:v>
      </x:c>
      <x:c r="D383" s="10" t="str">
        <x:v>CTA001</x:v>
      </x:c>
      <x:c r="E383" s="10" t="str">
        <x:v>Saída</x:v>
      </x:c>
      <x:c r="F383" s="10" t="str">
        <x:v>CAT006</x:v>
      </x:c>
      <x:c r="G383" s="10" t="str">
        <x:v>Compra de materiais</x:v>
      </x:c>
      <x:c r="H383" s="10" t="str">
        <x:v>PAG00442</x:v>
      </x:c>
      <x:c r="I383" s="20" t="n">
        <x:v>72930.25</x:v>
      </x:c>
      <x:c r="J383" s="20" t="n">
        <x:v>-72930.25</x:v>
      </x:c>
      <x:c r="K383" s="10" t="str">
        <x:v>Realizado</x:v>
      </x:c>
      <x:c r="L383" s="10" t="str">
        <x:v>Contas a Pagar</x:v>
      </x:c>
    </x:row>
    <x:row r="384" ht="18" customHeight="1">
      <x:c r="A384" s="10" t="str">
        <x:v>MOV001531</x:v>
      </x:c>
      <x:c r="B384" s="16" t="n">
        <x:v>45478.2469091088</x:v>
      </x:c>
      <x:c r="C384" s="10" t="str">
        <x:v>EMP003</x:v>
      </x:c>
      <x:c r="D384" s="10" t="str">
        <x:v>CTA006</x:v>
      </x:c>
      <x:c r="E384" s="10" t="str">
        <x:v>Entrada</x:v>
      </x:c>
      <x:c r="F384" s="10" t="str">
        <x:v>CAT004</x:v>
      </x:c>
      <x:c r="G384" s="10" t="str">
        <x:v>Venda de produtos</x:v>
      </x:c>
      <x:c r="H384" s="10" t="str">
        <x:v>REC00944</x:v>
      </x:c>
      <x:c r="I384" s="20" t="n">
        <x:v>47827.5</x:v>
      </x:c>
      <x:c r="J384" s="20" t="n">
        <x:v>47827.5</x:v>
      </x:c>
      <x:c r="K384" s="10" t="str">
        <x:v>Realizado</x:v>
      </x:c>
      <x:c r="L384" s="10" t="str">
        <x:v>Contas a Receber</x:v>
      </x:c>
    </x:row>
    <x:row r="385" ht="18" customHeight="1">
      <x:c r="A385" s="10" t="str">
        <x:v>MOV000066</x:v>
      </x:c>
      <x:c r="B385" s="16" t="n">
        <x:v>45478.61364362269</x:v>
      </x:c>
      <x:c r="C385" s="10" t="str">
        <x:v>EMP001</x:v>
      </x:c>
      <x:c r="D385" s="10" t="str">
        <x:v>CTA002</x:v>
      </x:c>
      <x:c r="E385" s="10" t="str">
        <x:v>Saída</x:v>
      </x:c>
      <x:c r="F385" s="10" t="str">
        <x:v>CAT008</x:v>
      </x:c>
      <x:c r="G385" s="10" t="str">
        <x:v>Tributos e taxas</x:v>
      </x:c>
      <x:c r="H385" s="10" t="str">
        <x:v>PAG00072</x:v>
      </x:c>
      <x:c r="I385" s="20" t="n">
        <x:v>79630.45</x:v>
      </x:c>
      <x:c r="J385" s="20" t="n">
        <x:v>-79630.45</x:v>
      </x:c>
      <x:c r="K385" s="10" t="str">
        <x:v>Realizado</x:v>
      </x:c>
      <x:c r="L385" s="10" t="str">
        <x:v>Contas a Pagar</x:v>
      </x:c>
    </x:row>
    <x:row r="386" ht="18" customHeight="1">
      <x:c r="A386" s="10" t="str">
        <x:v>MOV000423</x:v>
      </x:c>
      <x:c r="B386" s="16" t="n">
        <x:v>45478.79425456018</x:v>
      </x:c>
      <x:c r="C386" s="10" t="str">
        <x:v>EMP003</x:v>
      </x:c>
      <x:c r="D386" s="10" t="str">
        <x:v>CTA006</x:v>
      </x:c>
      <x:c r="E386" s="10" t="str">
        <x:v>Saída</x:v>
      </x:c>
      <x:c r="F386" s="10" t="str">
        <x:v>CAT007</x:v>
      </x:c>
      <x:c r="G386" s="10" t="str">
        <x:v>Despesa operacional</x:v>
      </x:c>
      <x:c r="H386" s="10" t="str">
        <x:v>PAG00495</x:v>
      </x:c>
      <x:c r="I386" s="20" t="n">
        <x:v>604.17</x:v>
      </x:c>
      <x:c r="J386" s="20" t="n">
        <x:v>-604.17</x:v>
      </x:c>
      <x:c r="K386" s="10" t="str">
        <x:v>Realizado</x:v>
      </x:c>
      <x:c r="L386" s="10" t="str">
        <x:v>Contas a Pagar</x:v>
      </x:c>
    </x:row>
    <x:row r="387" ht="18" customHeight="1">
      <x:c r="A387" s="10" t="str">
        <x:v>MOV000783</x:v>
      </x:c>
      <x:c r="B387" s="16" t="n">
        <x:v>45478.86809384259</x:v>
      </x:c>
      <x:c r="C387" s="10" t="str">
        <x:v>EMP001</x:v>
      </x:c>
      <x:c r="D387" s="10" t="str">
        <x:v>CTA001</x:v>
      </x:c>
      <x:c r="E387" s="10" t="str">
        <x:v>Entrada</x:v>
      </x:c>
      <x:c r="F387" s="10" t="str">
        <x:v>CAT002</x:v>
      </x:c>
      <x:c r="G387" s="10" t="str">
        <x:v>Venda de produtos</x:v>
      </x:c>
      <x:c r="H387" s="10" t="str">
        <x:v>REC00038</x:v>
      </x:c>
      <x:c r="I387" s="20" t="n">
        <x:v>8542.47</x:v>
      </x:c>
      <x:c r="J387" s="20" t="n">
        <x:v>8542.47</x:v>
      </x:c>
      <x:c r="K387" s="10" t="str">
        <x:v>Realizado</x:v>
      </x:c>
      <x:c r="L387" s="10" t="str">
        <x:v>Contas a Receber</x:v>
      </x:c>
    </x:row>
    <x:row r="388" ht="18" customHeight="1">
      <x:c r="A388" s="10" t="str">
        <x:v>MOV001538</x:v>
      </x:c>
      <x:c r="B388" s="16" t="n">
        <x:v>45479.49668615741</x:v>
      </x:c>
      <x:c r="C388" s="10" t="str">
        <x:v>EMP001</x:v>
      </x:c>
      <x:c r="D388" s="10" t="str">
        <x:v>CTA002</x:v>
      </x:c>
      <x:c r="E388" s="10" t="str">
        <x:v>Entrada</x:v>
      </x:c>
      <x:c r="F388" s="10" t="str">
        <x:v>CAT002</x:v>
      </x:c>
      <x:c r="G388" s="10" t="str">
        <x:v>Prestação de serviços</x:v>
      </x:c>
      <x:c r="H388" s="10" t="str">
        <x:v>REC00954</x:v>
      </x:c>
      <x:c r="I388" s="20" t="n">
        <x:v>9786.84</x:v>
      </x:c>
      <x:c r="J388" s="20" t="n">
        <x:v>9786.84</x:v>
      </x:c>
      <x:c r="K388" s="10" t="str">
        <x:v>Realizado</x:v>
      </x:c>
      <x:c r="L388" s="10" t="str">
        <x:v>Contas a Receber</x:v>
      </x:c>
    </x:row>
    <x:row r="389" ht="18" customHeight="1">
      <x:c r="A389" s="10" t="str">
        <x:v>MOV000724</x:v>
      </x:c>
      <x:c r="B389" s="16" t="n">
        <x:v>45481.41889893518</x:v>
      </x:c>
      <x:c r="C389" s="10" t="str">
        <x:v>EMP001</x:v>
      </x:c>
      <x:c r="D389" s="10" t="str">
        <x:v>CTA001</x:v>
      </x:c>
      <x:c r="E389" s="10" t="str">
        <x:v>Saída</x:v>
      </x:c>
      <x:c r="F389" s="10" t="str">
        <x:v>CAT012</x:v>
      </x:c>
      <x:c r="G389" s="10" t="str">
        <x:v>Tributos e taxas</x:v>
      </x:c>
      <x:c r="H389" s="10" t="str">
        <x:v>PAG00858</x:v>
      </x:c>
      <x:c r="I389" s="20" t="n">
        <x:v>6667.03</x:v>
      </x:c>
      <x:c r="J389" s="20" t="n">
        <x:v>-6667.03</x:v>
      </x:c>
      <x:c r="K389" s="10" t="str">
        <x:v>Realizado</x:v>
      </x:c>
      <x:c r="L389" s="10" t="str">
        <x:v>Contas a Pagar</x:v>
      </x:c>
    </x:row>
    <x:row r="390" ht="18" customHeight="1">
      <x:c r="A390" s="10" t="str">
        <x:v>MOV001444</x:v>
      </x:c>
      <x:c r="B390" s="16" t="n">
        <x:v>45481.9186008912</x:v>
      </x:c>
      <x:c r="C390" s="10" t="str">
        <x:v>EMP003</x:v>
      </x:c>
      <x:c r="D390" s="10" t="str">
        <x:v>CTA006</x:v>
      </x:c>
      <x:c r="E390" s="10" t="str">
        <x:v>Entrada</x:v>
      </x:c>
      <x:c r="F390" s="10" t="str">
        <x:v>CAT004</x:v>
      </x:c>
      <x:c r="G390" s="10" t="str">
        <x:v>Prestação de serviços</x:v>
      </x:c>
      <x:c r="H390" s="10" t="str">
        <x:v>REC00836</x:v>
      </x:c>
      <x:c r="I390" s="20" t="n">
        <x:v>14339.4</x:v>
      </x:c>
      <x:c r="J390" s="20" t="n">
        <x:v>14339.4</x:v>
      </x:c>
      <x:c r="K390" s="10" t="str">
        <x:v>Realizado</x:v>
      </x:c>
      <x:c r="L390" s="10" t="str">
        <x:v>Contas a Receber</x:v>
      </x:c>
    </x:row>
    <x:row r="391" ht="18" customHeight="1">
      <x:c r="A391" s="10" t="str">
        <x:v>MOV000831</x:v>
      </x:c>
      <x:c r="B391" s="16" t="n">
        <x:v>45482.04701504629</x:v>
      </x:c>
      <x:c r="C391" s="10" t="str">
        <x:v>EMP003</x:v>
      </x:c>
      <x:c r="D391" s="10" t="str">
        <x:v>CTA005</x:v>
      </x:c>
      <x:c r="E391" s="10" t="str">
        <x:v>Entrada</x:v>
      </x:c>
      <x:c r="F391" s="10" t="str">
        <x:v>CAT001</x:v>
      </x:c>
      <x:c r="G391" s="10" t="str">
        <x:v>Contrato mensal</x:v>
      </x:c>
      <x:c r="H391" s="10" t="str">
        <x:v>REC00094</x:v>
      </x:c>
      <x:c r="I391" s="20" t="n">
        <x:v>128176.83</x:v>
      </x:c>
      <x:c r="J391" s="20" t="n">
        <x:v>128176.83</x:v>
      </x:c>
      <x:c r="K391" s="10" t="str">
        <x:v>Realizado</x:v>
      </x:c>
      <x:c r="L391" s="10" t="str">
        <x:v>Contas a Receber</x:v>
      </x:c>
    </x:row>
    <x:row r="392" ht="18" customHeight="1">
      <x:c r="A392" s="10" t="str">
        <x:v>MOV000559</x:v>
      </x:c>
      <x:c r="B392" s="16" t="n">
        <x:v>45482.684248969905</x:v>
      </x:c>
      <x:c r="C392" s="10" t="str">
        <x:v>EMP003</x:v>
      </x:c>
      <x:c r="D392" s="10" t="str">
        <x:v>CTA005</x:v>
      </x:c>
      <x:c r="E392" s="10" t="str">
        <x:v>Saída</x:v>
      </x:c>
      <x:c r="F392" s="10" t="str">
        <x:v>CAT018</x:v>
      </x:c>
      <x:c r="G392" s="10" t="str">
        <x:v>Tributos e taxas</x:v>
      </x:c>
      <x:c r="H392" s="10" t="str">
        <x:v>PAG00654</x:v>
      </x:c>
      <x:c r="I392" s="20" t="n">
        <x:v>603.56</x:v>
      </x:c>
      <x:c r="J392" s="20" t="n">
        <x:v>-603.56</x:v>
      </x:c>
      <x:c r="K392" s="10" t="str">
        <x:v>Realizado</x:v>
      </x:c>
      <x:c r="L392" s="10" t="str">
        <x:v>Contas a Pagar</x:v>
      </x:c>
    </x:row>
    <x:row r="393" ht="18" customHeight="1">
      <x:c r="A393" s="10" t="str">
        <x:v>MOV000283</x:v>
      </x:c>
      <x:c r="B393" s="16" t="n">
        <x:v>45482.684453773145</x:v>
      </x:c>
      <x:c r="C393" s="10" t="str">
        <x:v>EMP001</x:v>
      </x:c>
      <x:c r="D393" s="10" t="str">
        <x:v>CTA002</x:v>
      </x:c>
      <x:c r="E393" s="10" t="str">
        <x:v>Saída</x:v>
      </x:c>
      <x:c r="F393" s="10" t="str">
        <x:v>CAT010</x:v>
      </x:c>
      <x:c r="G393" s="10" t="str">
        <x:v>Prestação de serviços</x:v>
      </x:c>
      <x:c r="H393" s="10" t="str">
        <x:v>PAG00329</x:v>
      </x:c>
      <x:c r="I393" s="20" t="n">
        <x:v>67167.14</x:v>
      </x:c>
      <x:c r="J393" s="20" t="n">
        <x:v>-67167.14</x:v>
      </x:c>
      <x:c r="K393" s="10" t="str">
        <x:v>Realizado</x:v>
      </x:c>
      <x:c r="L393" s="10" t="str">
        <x:v>Contas a Pagar</x:v>
      </x:c>
    </x:row>
    <x:row r="394" ht="18" customHeight="1">
      <x:c r="A394" s="10" t="str">
        <x:v>MOV001130</x:v>
      </x:c>
      <x:c r="B394" s="16" t="n">
        <x:v>45483.20946556713</x:v>
      </x:c>
      <x:c r="C394" s="10" t="str">
        <x:v>EMP003</x:v>
      </x:c>
      <x:c r="D394" s="10" t="str">
        <x:v>CTA005</x:v>
      </x:c>
      <x:c r="E394" s="10" t="str">
        <x:v>Entrada</x:v>
      </x:c>
      <x:c r="F394" s="10" t="str">
        <x:v>CAT001</x:v>
      </x:c>
      <x:c r="G394" s="10" t="str">
        <x:v>Projeto especial</x:v>
      </x:c>
      <x:c r="H394" s="10" t="str">
        <x:v>REC00461</x:v>
      </x:c>
      <x:c r="I394" s="20" t="n">
        <x:v>126535.52</x:v>
      </x:c>
      <x:c r="J394" s="20" t="n">
        <x:v>126535.52</x:v>
      </x:c>
      <x:c r="K394" s="10" t="str">
        <x:v>Realizado</x:v>
      </x:c>
      <x:c r="L394" s="10" t="str">
        <x:v>Contas a Receber</x:v>
      </x:c>
    </x:row>
    <x:row r="395" ht="18" customHeight="1">
      <x:c r="A395" s="10" t="str">
        <x:v>MOV001622</x:v>
      </x:c>
      <x:c r="B395" s="16" t="n">
        <x:v>45483.80703902778</x:v>
      </x:c>
      <x:c r="C395" s="10" t="str">
        <x:v>EMP001</x:v>
      </x:c>
      <x:c r="D395" s="10" t="str">
        <x:v>CTA001</x:v>
      </x:c>
      <x:c r="E395" s="10" t="str">
        <x:v>Entrada</x:v>
      </x:c>
      <x:c r="F395" s="10" t="str">
        <x:v>CAT003</x:v>
      </x:c>
      <x:c r="G395" s="10" t="str">
        <x:v>Venda de produtos</x:v>
      </x:c>
      <x:c r="H395" s="10" t="str">
        <x:v>REC01052</x:v>
      </x:c>
      <x:c r="I395" s="20" t="n">
        <x:v>3620.3</x:v>
      </x:c>
      <x:c r="J395" s="20" t="n">
        <x:v>3620.3</x:v>
      </x:c>
      <x:c r="K395" s="10" t="str">
        <x:v>Realizado</x:v>
      </x:c>
      <x:c r="L395" s="10" t="str">
        <x:v>Contas a Receber</x:v>
      </x:c>
    </x:row>
    <x:row r="396" ht="18" customHeight="1">
      <x:c r="A396" s="10" t="str">
        <x:v>MOV001403</x:v>
      </x:c>
      <x:c r="B396" s="16" t="n">
        <x:v>45483.99836082176</x:v>
      </x:c>
      <x:c r="C396" s="10" t="str">
        <x:v>EMP001</x:v>
      </x:c>
      <x:c r="D396" s="10" t="str">
        <x:v>CTA002</x:v>
      </x:c>
      <x:c r="E396" s="10" t="str">
        <x:v>Entrada</x:v>
      </x:c>
      <x:c r="F396" s="10" t="str">
        <x:v>CAT002</x:v>
      </x:c>
      <x:c r="G396" s="10" t="str">
        <x:v>Venda de produtos</x:v>
      </x:c>
      <x:c r="H396" s="10" t="str">
        <x:v>REC00783</x:v>
      </x:c>
      <x:c r="I396" s="20" t="n">
        <x:v>59881.66</x:v>
      </x:c>
      <x:c r="J396" s="20" t="n">
        <x:v>59881.66</x:v>
      </x:c>
      <x:c r="K396" s="10" t="str">
        <x:v>Realizado</x:v>
      </x:c>
      <x:c r="L396" s="10" t="str">
        <x:v>Contas a Receber</x:v>
      </x:c>
    </x:row>
    <x:row r="397" ht="18" customHeight="1">
      <x:c r="A397" s="10" t="str">
        <x:v>MOV000992</x:v>
      </x:c>
      <x:c r="B397" s="16" t="n">
        <x:v>45484.707044016206</x:v>
      </x:c>
      <x:c r="C397" s="10" t="str">
        <x:v>EMP003</x:v>
      </x:c>
      <x:c r="D397" s="10" t="str">
        <x:v>CTA005</x:v>
      </x:c>
      <x:c r="E397" s="10" t="str">
        <x:v>Entrada</x:v>
      </x:c>
      <x:c r="F397" s="10" t="str">
        <x:v>CAT002</x:v>
      </x:c>
      <x:c r="G397" s="10" t="str">
        <x:v>Projeto especial</x:v>
      </x:c>
      <x:c r="H397" s="10" t="str">
        <x:v>REC00290</x:v>
      </x:c>
      <x:c r="I397" s="20" t="n">
        <x:v>3411.06</x:v>
      </x:c>
      <x:c r="J397" s="20" t="n">
        <x:v>3411.06</x:v>
      </x:c>
      <x:c r="K397" s="10" t="str">
        <x:v>Realizado</x:v>
      </x:c>
      <x:c r="L397" s="10" t="str">
        <x:v>Contas a Receber</x:v>
      </x:c>
    </x:row>
    <x:row r="398" ht="18" customHeight="1">
      <x:c r="A398" s="10" t="str">
        <x:v>MOV001546</x:v>
      </x:c>
      <x:c r="B398" s="16" t="n">
        <x:v>45485.23902582176</x:v>
      </x:c>
      <x:c r="C398" s="10" t="str">
        <x:v>EMP003</x:v>
      </x:c>
      <x:c r="D398" s="10" t="str">
        <x:v>CTA006</x:v>
      </x:c>
      <x:c r="E398" s="10" t="str">
        <x:v>Entrada</x:v>
      </x:c>
      <x:c r="F398" s="10" t="str">
        <x:v>CAT002</x:v>
      </x:c>
      <x:c r="G398" s="10" t="str">
        <x:v>Frete faturado</x:v>
      </x:c>
      <x:c r="H398" s="10" t="str">
        <x:v>REC00963</x:v>
      </x:c>
      <x:c r="I398" s="20" t="n">
        <x:v>31831.04</x:v>
      </x:c>
      <x:c r="J398" s="20" t="n">
        <x:v>31831.04</x:v>
      </x:c>
      <x:c r="K398" s="10" t="str">
        <x:v>Realizado</x:v>
      </x:c>
      <x:c r="L398" s="10" t="str">
        <x:v>Contas a Receber</x:v>
      </x:c>
    </x:row>
    <x:row r="399" ht="18" customHeight="1">
      <x:c r="A399" s="10" t="str">
        <x:v>MOV001261</x:v>
      </x:c>
      <x:c r="B399" s="16" t="n">
        <x:v>45485.49461996528</x:v>
      </x:c>
      <x:c r="C399" s="10" t="str">
        <x:v>EMP001</x:v>
      </x:c>
      <x:c r="D399" s="10" t="str">
        <x:v>CTA002</x:v>
      </x:c>
      <x:c r="E399" s="10" t="str">
        <x:v>Entrada</x:v>
      </x:c>
      <x:c r="F399" s="10" t="str">
        <x:v>CAT001</x:v>
      </x:c>
      <x:c r="G399" s="10" t="str">
        <x:v>Prestação de serviços</x:v>
      </x:c>
      <x:c r="H399" s="10" t="str">
        <x:v>REC00617</x:v>
      </x:c>
      <x:c r="I399" s="20" t="n">
        <x:v>15212.46</x:v>
      </x:c>
      <x:c r="J399" s="20" t="n">
        <x:v>15212.46</x:v>
      </x:c>
      <x:c r="K399" s="10" t="str">
        <x:v>Realizado</x:v>
      </x:c>
      <x:c r="L399" s="10" t="str">
        <x:v>Contas a Receber</x:v>
      </x:c>
    </x:row>
    <x:row r="400" ht="18" customHeight="1">
      <x:c r="A400" s="10" t="str">
        <x:v>MOV000911</x:v>
      </x:c>
      <x:c r="B400" s="16" t="n">
        <x:v>45485.556946516204</x:v>
      </x:c>
      <x:c r="C400" s="10" t="str">
        <x:v>EMP001</x:v>
      </x:c>
      <x:c r="D400" s="10" t="str">
        <x:v>CTA002</x:v>
      </x:c>
      <x:c r="E400" s="10" t="str">
        <x:v>Entrada</x:v>
      </x:c>
      <x:c r="F400" s="10" t="str">
        <x:v>CAT001</x:v>
      </x:c>
      <x:c r="G400" s="10" t="str">
        <x:v>Prestação de serviços</x:v>
      </x:c>
      <x:c r="H400" s="10" t="str">
        <x:v>REC00189</x:v>
      </x:c>
      <x:c r="I400" s="20" t="n">
        <x:v>113169.67</x:v>
      </x:c>
      <x:c r="J400" s="20" t="n">
        <x:v>113169.67</x:v>
      </x:c>
      <x:c r="K400" s="10" t="str">
        <x:v>Realizado</x:v>
      </x:c>
      <x:c r="L400" s="10" t="str">
        <x:v>Contas a Receber</x:v>
      </x:c>
    </x:row>
    <x:row r="401" ht="18" customHeight="1">
      <x:c r="A401" s="10" t="str">
        <x:v>MOV000401</x:v>
      </x:c>
      <x:c r="B401" s="16" t="n">
        <x:v>45485.799685578706</x:v>
      </x:c>
      <x:c r="C401" s="10" t="str">
        <x:v>EMP003</x:v>
      </x:c>
      <x:c r="D401" s="10" t="str">
        <x:v>CTA006</x:v>
      </x:c>
      <x:c r="E401" s="10" t="str">
        <x:v>Saída</x:v>
      </x:c>
      <x:c r="F401" s="10" t="str">
        <x:v>CAT017</x:v>
      </x:c>
      <x:c r="G401" s="10" t="str">
        <x:v>Compra de materiais</x:v>
      </x:c>
      <x:c r="H401" s="10" t="str">
        <x:v>PAG00467</x:v>
      </x:c>
      <x:c r="I401" s="20" t="n">
        <x:v>71354.34</x:v>
      </x:c>
      <x:c r="J401" s="20" t="n">
        <x:v>-71354.34</x:v>
      </x:c>
      <x:c r="K401" s="10" t="str">
        <x:v>Realizado</x:v>
      </x:c>
      <x:c r="L401" s="10" t="str">
        <x:v>Contas a Pagar</x:v>
      </x:c>
    </x:row>
    <x:row r="402" ht="18" customHeight="1">
      <x:c r="A402" s="10" t="str">
        <x:v>MOV001196</x:v>
      </x:c>
      <x:c r="B402" s="16" t="n">
        <x:v>45486.01832549769</x:v>
      </x:c>
      <x:c r="C402" s="10" t="str">
        <x:v>EMP002</x:v>
      </x:c>
      <x:c r="D402" s="10" t="str">
        <x:v>CTA003</x:v>
      </x:c>
      <x:c r="E402" s="10" t="str">
        <x:v>Entrada</x:v>
      </x:c>
      <x:c r="F402" s="10" t="str">
        <x:v>CAT004</x:v>
      </x:c>
      <x:c r="G402" s="10" t="str">
        <x:v>Frete faturado</x:v>
      </x:c>
      <x:c r="H402" s="10" t="str">
        <x:v>REC00539</x:v>
      </x:c>
      <x:c r="I402" s="20" t="n">
        <x:v>14496.34</x:v>
      </x:c>
      <x:c r="J402" s="20" t="n">
        <x:v>14496.34</x:v>
      </x:c>
      <x:c r="K402" s="10" t="str">
        <x:v>Realizado</x:v>
      </x:c>
      <x:c r="L402" s="10" t="str">
        <x:v>Contas a Receber</x:v>
      </x:c>
    </x:row>
    <x:row r="403" ht="18" customHeight="1">
      <x:c r="A403" s="10" t="str">
        <x:v>MOV000554</x:v>
      </x:c>
      <x:c r="B403" s="16" t="n">
        <x:v>45486.459699039355</x:v>
      </x:c>
      <x:c r="C403" s="10" t="str">
        <x:v>EMP001</x:v>
      </x:c>
      <x:c r="D403" s="10" t="str">
        <x:v>CTA002</x:v>
      </x:c>
      <x:c r="E403" s="10" t="str">
        <x:v>Saída</x:v>
      </x:c>
      <x:c r="F403" s="10" t="str">
        <x:v>CAT010</x:v>
      </x:c>
      <x:c r="G403" s="10" t="str">
        <x:v>Contrato recorrente</x:v>
      </x:c>
      <x:c r="H403" s="10" t="str">
        <x:v>PAG00648</x:v>
      </x:c>
      <x:c r="I403" s="20" t="n">
        <x:v>60717.58</x:v>
      </x:c>
      <x:c r="J403" s="20" t="n">
        <x:v>-60717.58</x:v>
      </x:c>
      <x:c r="K403" s="10" t="str">
        <x:v>Realizado</x:v>
      </x:c>
      <x:c r="L403" s="10" t="str">
        <x:v>Contas a Pagar</x:v>
      </x:c>
    </x:row>
    <x:row r="404" ht="18" customHeight="1">
      <x:c r="A404" s="10" t="str">
        <x:v>MOV001361</x:v>
      </x:c>
      <x:c r="B404" s="16" t="n">
        <x:v>45487.074179166666</x:v>
      </x:c>
      <x:c r="C404" s="10" t="str">
        <x:v>EMP002</x:v>
      </x:c>
      <x:c r="D404" s="10" t="str">
        <x:v>CTA003</x:v>
      </x:c>
      <x:c r="E404" s="10" t="str">
        <x:v>Entrada</x:v>
      </x:c>
      <x:c r="F404" s="10" t="str">
        <x:v>CAT002</x:v>
      </x:c>
      <x:c r="G404" s="10" t="str">
        <x:v>Prestação de serviços</x:v>
      </x:c>
      <x:c r="H404" s="10" t="str">
        <x:v>REC00730</x:v>
      </x:c>
      <x:c r="I404" s="20" t="n">
        <x:v>83960.92</x:v>
      </x:c>
      <x:c r="J404" s="20" t="n">
        <x:v>83960.92</x:v>
      </x:c>
      <x:c r="K404" s="10" t="str">
        <x:v>Realizado</x:v>
      </x:c>
      <x:c r="L404" s="10" t="str">
        <x:v>Contas a Receber</x:v>
      </x:c>
    </x:row>
    <x:row r="405" ht="18" customHeight="1">
      <x:c r="A405" s="10" t="str">
        <x:v>MOV000575</x:v>
      </x:c>
      <x:c r="B405" s="16" t="n">
        <x:v>45487.81751840278</x:v>
      </x:c>
      <x:c r="C405" s="10" t="str">
        <x:v>EMP003</x:v>
      </x:c>
      <x:c r="D405" s="10" t="str">
        <x:v>CTA006</x:v>
      </x:c>
      <x:c r="E405" s="10" t="str">
        <x:v>Saída</x:v>
      </x:c>
      <x:c r="F405" s="10" t="str">
        <x:v>CAT017</x:v>
      </x:c>
      <x:c r="G405" s="10" t="str">
        <x:v>Compra de materiais</x:v>
      </x:c>
      <x:c r="H405" s="10" t="str">
        <x:v>PAG00676</x:v>
      </x:c>
      <x:c r="I405" s="20" t="n">
        <x:v>10291.69</x:v>
      </x:c>
      <x:c r="J405" s="20" t="n">
        <x:v>-10291.69</x:v>
      </x:c>
      <x:c r="K405" s="10" t="str">
        <x:v>Realizado</x:v>
      </x:c>
      <x:c r="L405" s="10" t="str">
        <x:v>Contas a Pagar</x:v>
      </x:c>
    </x:row>
    <x:row r="406" ht="18" customHeight="1">
      <x:c r="A406" s="10" t="str">
        <x:v>MOV001573</x:v>
      </x:c>
      <x:c r="B406" s="16" t="n">
        <x:v>45488.261631469904</x:v>
      </x:c>
      <x:c r="C406" s="10" t="str">
        <x:v>EMP001</x:v>
      </x:c>
      <x:c r="D406" s="10" t="str">
        <x:v>CTA001</x:v>
      </x:c>
      <x:c r="E406" s="10" t="str">
        <x:v>Entrada</x:v>
      </x:c>
      <x:c r="F406" s="10" t="str">
        <x:v>CAT001</x:v>
      </x:c>
      <x:c r="G406" s="10" t="str">
        <x:v>Projeto especial</x:v>
      </x:c>
      <x:c r="H406" s="10" t="str">
        <x:v>REC00995</x:v>
      </x:c>
      <x:c r="I406" s="20" t="n">
        <x:v>140700.73</x:v>
      </x:c>
      <x:c r="J406" s="20" t="n">
        <x:v>140700.73</x:v>
      </x:c>
      <x:c r="K406" s="10" t="str">
        <x:v>Realizado</x:v>
      </x:c>
      <x:c r="L406" s="10" t="str">
        <x:v>Contas a Receber</x:v>
      </x:c>
    </x:row>
    <x:row r="407" ht="18" customHeight="1">
      <x:c r="A407" s="10" t="str">
        <x:v>MOV001213</x:v>
      </x:c>
      <x:c r="B407" s="16" t="n">
        <x:v>45488.41073725694</x:v>
      </x:c>
      <x:c r="C407" s="10" t="str">
        <x:v>EMP003</x:v>
      </x:c>
      <x:c r="D407" s="10" t="str">
        <x:v>CTA005</x:v>
      </x:c>
      <x:c r="E407" s="10" t="str">
        <x:v>Entrada</x:v>
      </x:c>
      <x:c r="F407" s="10" t="str">
        <x:v>CAT001</x:v>
      </x:c>
      <x:c r="G407" s="10" t="str">
        <x:v>Contrato mensal</x:v>
      </x:c>
      <x:c r="H407" s="10" t="str">
        <x:v>REC00561</x:v>
      </x:c>
      <x:c r="I407" s="20" t="n">
        <x:v>51198.35</x:v>
      </x:c>
      <x:c r="J407" s="20" t="n">
        <x:v>51198.35</x:v>
      </x:c>
      <x:c r="K407" s="10" t="str">
        <x:v>Realizado</x:v>
      </x:c>
      <x:c r="L407" s="10" t="str">
        <x:v>Contas a Receber</x:v>
      </x:c>
    </x:row>
    <x:row r="408" ht="18" customHeight="1">
      <x:c r="A408" s="10" t="str">
        <x:v>MOV000343</x:v>
      </x:c>
      <x:c r="B408" s="16" t="n">
        <x:v>45488.48956019676</x:v>
      </x:c>
      <x:c r="C408" s="10" t="str">
        <x:v>EMP001</x:v>
      </x:c>
      <x:c r="D408" s="10" t="str">
        <x:v>CTA001</x:v>
      </x:c>
      <x:c r="E408" s="10" t="str">
        <x:v>Saída</x:v>
      </x:c>
      <x:c r="F408" s="10" t="str">
        <x:v>CAT010</x:v>
      </x:c>
      <x:c r="G408" s="10" t="str">
        <x:v>Contrato recorrente</x:v>
      </x:c>
      <x:c r="H408" s="10" t="str">
        <x:v>PAG00397</x:v>
      </x:c>
      <x:c r="I408" s="20" t="n">
        <x:v>15611.85</x:v>
      </x:c>
      <x:c r="J408" s="20" t="n">
        <x:v>-15611.85</x:v>
      </x:c>
      <x:c r="K408" s="10" t="str">
        <x:v>Realizado</x:v>
      </x:c>
      <x:c r="L408" s="10" t="str">
        <x:v>Contas a Pagar</x:v>
      </x:c>
    </x:row>
    <x:row r="409" ht="18" customHeight="1">
      <x:c r="A409" s="10" t="str">
        <x:v>MOV001204</x:v>
      </x:c>
      <x:c r="B409" s="16" t="n">
        <x:v>45488.54128415509</x:v>
      </x:c>
      <x:c r="C409" s="10" t="str">
        <x:v>EMP001</x:v>
      </x:c>
      <x:c r="D409" s="10" t="str">
        <x:v>CTA002</x:v>
      </x:c>
      <x:c r="E409" s="10" t="str">
        <x:v>Entrada</x:v>
      </x:c>
      <x:c r="F409" s="10" t="str">
        <x:v>CAT003</x:v>
      </x:c>
      <x:c r="G409" s="10" t="str">
        <x:v>Projeto especial</x:v>
      </x:c>
      <x:c r="H409" s="10" t="str">
        <x:v>REC00549</x:v>
      </x:c>
      <x:c r="I409" s="20" t="n">
        <x:v>14418.66</x:v>
      </x:c>
      <x:c r="J409" s="20" t="n">
        <x:v>14418.66</x:v>
      </x:c>
      <x:c r="K409" s="10" t="str">
        <x:v>Realizado</x:v>
      </x:c>
      <x:c r="L409" s="10" t="str">
        <x:v>Contas a Receber</x:v>
      </x:c>
    </x:row>
    <x:row r="410" ht="18" customHeight="1">
      <x:c r="A410" s="10" t="str">
        <x:v>MOV000817</x:v>
      </x:c>
      <x:c r="B410" s="16" t="n">
        <x:v>45488.580731712966</x:v>
      </x:c>
      <x:c r="C410" s="10" t="str">
        <x:v>EMP002</x:v>
      </x:c>
      <x:c r="D410" s="10" t="str">
        <x:v>CTA004</x:v>
      </x:c>
      <x:c r="E410" s="10" t="str">
        <x:v>Entrada</x:v>
      </x:c>
      <x:c r="F410" s="10" t="str">
        <x:v>CAT003</x:v>
      </x:c>
      <x:c r="G410" s="10" t="str">
        <x:v>Frete faturado</x:v>
      </x:c>
      <x:c r="H410" s="10" t="str">
        <x:v>REC00078</x:v>
      </x:c>
      <x:c r="I410" s="20" t="n">
        <x:v>1788.11</x:v>
      </x:c>
      <x:c r="J410" s="20" t="n">
        <x:v>1788.11</x:v>
      </x:c>
      <x:c r="K410" s="10" t="str">
        <x:v>Realizado</x:v>
      </x:c>
      <x:c r="L410" s="10" t="str">
        <x:v>Contas a Receber</x:v>
      </x:c>
    </x:row>
    <x:row r="411" ht="18" customHeight="1">
      <x:c r="A411" s="10" t="str">
        <x:v>MOV000440</x:v>
      </x:c>
      <x:c r="B411" s="16" t="n">
        <x:v>45488.63831487268</x:v>
      </x:c>
      <x:c r="C411" s="10" t="str">
        <x:v>EMP002</x:v>
      </x:c>
      <x:c r="D411" s="10" t="str">
        <x:v>CTA004</x:v>
      </x:c>
      <x:c r="E411" s="10" t="str">
        <x:v>Saída</x:v>
      </x:c>
      <x:c r="F411" s="10" t="str">
        <x:v>CAT018</x:v>
      </x:c>
      <x:c r="G411" s="10" t="str">
        <x:v>Prestação de serviços</x:v>
      </x:c>
      <x:c r="H411" s="10" t="str">
        <x:v>PAG00514</x:v>
      </x:c>
      <x:c r="I411" s="20" t="n">
        <x:v>35585.6</x:v>
      </x:c>
      <x:c r="J411" s="20" t="n">
        <x:v>-35585.6</x:v>
      </x:c>
      <x:c r="K411" s="10" t="str">
        <x:v>Realizado</x:v>
      </x:c>
      <x:c r="L411" s="10" t="str">
        <x:v>Contas a Pagar</x:v>
      </x:c>
    </x:row>
    <x:row r="412" ht="18" customHeight="1">
      <x:c r="A412" s="10" t="str">
        <x:v>MOV001178</x:v>
      </x:c>
      <x:c r="B412" s="16" t="n">
        <x:v>45489.93139155093</x:v>
      </x:c>
      <x:c r="C412" s="10" t="str">
        <x:v>EMP001</x:v>
      </x:c>
      <x:c r="D412" s="10" t="str">
        <x:v>CTA001</x:v>
      </x:c>
      <x:c r="E412" s="10" t="str">
        <x:v>Entrada</x:v>
      </x:c>
      <x:c r="F412" s="10" t="str">
        <x:v>CAT004</x:v>
      </x:c>
      <x:c r="G412" s="10" t="str">
        <x:v>Frete faturado</x:v>
      </x:c>
      <x:c r="H412" s="10" t="str">
        <x:v>REC00515</x:v>
      </x:c>
      <x:c r="I412" s="20" t="n">
        <x:v>62136.05</x:v>
      </x:c>
      <x:c r="J412" s="20" t="n">
        <x:v>62136.05</x:v>
      </x:c>
      <x:c r="K412" s="10" t="str">
        <x:v>Realizado</x:v>
      </x:c>
      <x:c r="L412" s="10" t="str">
        <x:v>Contas a Receber</x:v>
      </x:c>
    </x:row>
    <x:row r="413" ht="18" customHeight="1">
      <x:c r="A413" s="10" t="str">
        <x:v>MOV000914</x:v>
      </x:c>
      <x:c r="B413" s="16" t="n">
        <x:v>45490.25182586806</x:v>
      </x:c>
      <x:c r="C413" s="10" t="str">
        <x:v>EMP003</x:v>
      </x:c>
      <x:c r="D413" s="10" t="str">
        <x:v>CTA006</x:v>
      </x:c>
      <x:c r="E413" s="10" t="str">
        <x:v>Entrada</x:v>
      </x:c>
      <x:c r="F413" s="10" t="str">
        <x:v>CAT003</x:v>
      </x:c>
      <x:c r="G413" s="10" t="str">
        <x:v>Frete faturado</x:v>
      </x:c>
      <x:c r="H413" s="10" t="str">
        <x:v>REC00192</x:v>
      </x:c>
      <x:c r="I413" s="20" t="n">
        <x:v>61207.94</x:v>
      </x:c>
      <x:c r="J413" s="20" t="n">
        <x:v>61207.94</x:v>
      </x:c>
      <x:c r="K413" s="10" t="str">
        <x:v>Realizado</x:v>
      </x:c>
      <x:c r="L413" s="10" t="str">
        <x:v>Contas a Receber</x:v>
      </x:c>
    </x:row>
    <x:row r="414" ht="18" customHeight="1">
      <x:c r="A414" s="10" t="str">
        <x:v>MOV000909</x:v>
      </x:c>
      <x:c r="B414" s="16" t="n">
        <x:v>45490.28834170139</x:v>
      </x:c>
      <x:c r="C414" s="10" t="str">
        <x:v>EMP001</x:v>
      </x:c>
      <x:c r="D414" s="10" t="str">
        <x:v>CTA002</x:v>
      </x:c>
      <x:c r="E414" s="10" t="str">
        <x:v>Entrada</x:v>
      </x:c>
      <x:c r="F414" s="10" t="str">
        <x:v>CAT004</x:v>
      </x:c>
      <x:c r="G414" s="10" t="str">
        <x:v>Frete faturado</x:v>
      </x:c>
      <x:c r="H414" s="10" t="str">
        <x:v>REC00187</x:v>
      </x:c>
      <x:c r="I414" s="20" t="n">
        <x:v>30466.64</x:v>
      </x:c>
      <x:c r="J414" s="20" t="n">
        <x:v>30466.64</x:v>
      </x:c>
      <x:c r="K414" s="10" t="str">
        <x:v>Realizado</x:v>
      </x:c>
      <x:c r="L414" s="10" t="str">
        <x:v>Contas a Receber</x:v>
      </x:c>
    </x:row>
    <x:row r="415" ht="18" customHeight="1">
      <x:c r="A415" s="10" t="str">
        <x:v>MOV001017</x:v>
      </x:c>
      <x:c r="B415" s="16" t="n">
        <x:v>45490.389355405096</x:v>
      </x:c>
      <x:c r="C415" s="10" t="str">
        <x:v>EMP003</x:v>
      </x:c>
      <x:c r="D415" s="10" t="str">
        <x:v>CTA006</x:v>
      </x:c>
      <x:c r="E415" s="10" t="str">
        <x:v>Entrada</x:v>
      </x:c>
      <x:c r="F415" s="10" t="str">
        <x:v>CAT004</x:v>
      </x:c>
      <x:c r="G415" s="10" t="str">
        <x:v>Prestação de serviços</x:v>
      </x:c>
      <x:c r="H415" s="10" t="str">
        <x:v>REC00320</x:v>
      </x:c>
      <x:c r="I415" s="20" t="n">
        <x:v>10237.19</x:v>
      </x:c>
      <x:c r="J415" s="20" t="n">
        <x:v>10237.19</x:v>
      </x:c>
      <x:c r="K415" s="10" t="str">
        <x:v>Realizado</x:v>
      </x:c>
      <x:c r="L415" s="10" t="str">
        <x:v>Contas a Receber</x:v>
      </x:c>
    </x:row>
    <x:row r="416" ht="18" customHeight="1">
      <x:c r="A416" s="10" t="str">
        <x:v>MOV000972</x:v>
      </x:c>
      <x:c r="B416" s="16" t="n">
        <x:v>45490.771648622685</x:v>
      </x:c>
      <x:c r="C416" s="10" t="str">
        <x:v>EMP001</x:v>
      </x:c>
      <x:c r="D416" s="10" t="str">
        <x:v>CTA001</x:v>
      </x:c>
      <x:c r="E416" s="10" t="str">
        <x:v>Entrada</x:v>
      </x:c>
      <x:c r="F416" s="10" t="str">
        <x:v>CAT001</x:v>
      </x:c>
      <x:c r="G416" s="10" t="str">
        <x:v>Projeto especial</x:v>
      </x:c>
      <x:c r="H416" s="10" t="str">
        <x:v>REC00264</x:v>
      </x:c>
      <x:c r="I416" s="20" t="n">
        <x:v>32954.62</x:v>
      </x:c>
      <x:c r="J416" s="20" t="n">
        <x:v>32954.62</x:v>
      </x:c>
      <x:c r="K416" s="10" t="str">
        <x:v>Realizado</x:v>
      </x:c>
      <x:c r="L416" s="10" t="str">
        <x:v>Contas a Receber</x:v>
      </x:c>
    </x:row>
    <x:row r="417" ht="18" customHeight="1">
      <x:c r="A417" s="10" t="str">
        <x:v>MOV001600</x:v>
      </x:c>
      <x:c r="B417" s="16" t="n">
        <x:v>45490.84828563657</x:v>
      </x:c>
      <x:c r="C417" s="10" t="str">
        <x:v>EMP003</x:v>
      </x:c>
      <x:c r="D417" s="10" t="str">
        <x:v>CTA006</x:v>
      </x:c>
      <x:c r="E417" s="10" t="str">
        <x:v>Entrada</x:v>
      </x:c>
      <x:c r="F417" s="10" t="str">
        <x:v>CAT003</x:v>
      </x:c>
      <x:c r="G417" s="10" t="str">
        <x:v>Venda de produtos</x:v>
      </x:c>
      <x:c r="H417" s="10" t="str">
        <x:v>REC01028</x:v>
      </x:c>
      <x:c r="I417" s="20" t="n">
        <x:v>1383.14</x:v>
      </x:c>
      <x:c r="J417" s="20" t="n">
        <x:v>1383.14</x:v>
      </x:c>
      <x:c r="K417" s="10" t="str">
        <x:v>Realizado</x:v>
      </x:c>
      <x:c r="L417" s="10" t="str">
        <x:v>Contas a Receber</x:v>
      </x:c>
    </x:row>
    <x:row r="418" ht="18" customHeight="1">
      <x:c r="A418" s="10" t="str">
        <x:v>MOV001106</x:v>
      </x:c>
      <x:c r="B418" s="16" t="n">
        <x:v>45491.02578659722</x:v>
      </x:c>
      <x:c r="C418" s="10" t="str">
        <x:v>EMP001</x:v>
      </x:c>
      <x:c r="D418" s="10" t="str">
        <x:v>CTA002</x:v>
      </x:c>
      <x:c r="E418" s="10" t="str">
        <x:v>Entrada</x:v>
      </x:c>
      <x:c r="F418" s="10" t="str">
        <x:v>CAT004</x:v>
      </x:c>
      <x:c r="G418" s="10" t="str">
        <x:v>Prestação de serviços</x:v>
      </x:c>
      <x:c r="H418" s="10" t="str">
        <x:v>REC00432</x:v>
      </x:c>
      <x:c r="I418" s="20" t="n">
        <x:v>7029.67</x:v>
      </x:c>
      <x:c r="J418" s="20" t="n">
        <x:v>7029.67</x:v>
      </x:c>
      <x:c r="K418" s="10" t="str">
        <x:v>Realizado</x:v>
      </x:c>
      <x:c r="L418" s="10" t="str">
        <x:v>Contas a Receber</x:v>
      </x:c>
    </x:row>
    <x:row r="419" ht="18" customHeight="1">
      <x:c r="A419" s="10" t="str">
        <x:v>MOV000636</x:v>
      </x:c>
      <x:c r="B419" s="16" t="n">
        <x:v>45491.20126900463</x:v>
      </x:c>
      <x:c r="C419" s="10" t="str">
        <x:v>EMP003</x:v>
      </x:c>
      <x:c r="D419" s="10" t="str">
        <x:v>CTA005</x:v>
      </x:c>
      <x:c r="E419" s="10" t="str">
        <x:v>Saída</x:v>
      </x:c>
      <x:c r="F419" s="10" t="str">
        <x:v>CAT010</x:v>
      </x:c>
      <x:c r="G419" s="10" t="str">
        <x:v>Prestação de serviços</x:v>
      </x:c>
      <x:c r="H419" s="10" t="str">
        <x:v>PAG00754</x:v>
      </x:c>
      <x:c r="I419" s="20" t="n">
        <x:v>78248.31</x:v>
      </x:c>
      <x:c r="J419" s="20" t="n">
        <x:v>-78248.31</x:v>
      </x:c>
      <x:c r="K419" s="10" t="str">
        <x:v>Realizado</x:v>
      </x:c>
      <x:c r="L419" s="10" t="str">
        <x:v>Contas a Pagar</x:v>
      </x:c>
    </x:row>
    <x:row r="420" ht="18" customHeight="1">
      <x:c r="A420" s="10" t="str">
        <x:v>MOV000037</x:v>
      </x:c>
      <x:c r="B420" s="16" t="n">
        <x:v>45491.44506885417</x:v>
      </x:c>
      <x:c r="C420" s="10" t="str">
        <x:v>EMP003</x:v>
      </x:c>
      <x:c r="D420" s="10" t="str">
        <x:v>CTA005</x:v>
      </x:c>
      <x:c r="E420" s="10" t="str">
        <x:v>Saída</x:v>
      </x:c>
      <x:c r="F420" s="10" t="str">
        <x:v>CAT005</x:v>
      </x:c>
      <x:c r="G420" s="10" t="str">
        <x:v>Tributos e taxas</x:v>
      </x:c>
      <x:c r="H420" s="10" t="str">
        <x:v>PAG00037</x:v>
      </x:c>
      <x:c r="I420" s="20" t="n">
        <x:v>73323.49</x:v>
      </x:c>
      <x:c r="J420" s="20" t="n">
        <x:v>-73323.49</x:v>
      </x:c>
      <x:c r="K420" s="10" t="str">
        <x:v>Realizado</x:v>
      </x:c>
      <x:c r="L420" s="10" t="str">
        <x:v>Contas a Pagar</x:v>
      </x:c>
    </x:row>
    <x:row r="421" ht="18" customHeight="1">
      <x:c r="A421" s="10" t="str">
        <x:v>MOV000368</x:v>
      </x:c>
      <x:c r="B421" s="16" t="n">
        <x:v>45492.467950150465</x:v>
      </x:c>
      <x:c r="C421" s="10" t="str">
        <x:v>EMP002</x:v>
      </x:c>
      <x:c r="D421" s="10" t="str">
        <x:v>CTA003</x:v>
      </x:c>
      <x:c r="E421" s="10" t="str">
        <x:v>Saída</x:v>
      </x:c>
      <x:c r="F421" s="10" t="str">
        <x:v>CAT014</x:v>
      </x:c>
      <x:c r="G421" s="10" t="str">
        <x:v>Despesa operacional</x:v>
      </x:c>
      <x:c r="H421" s="10" t="str">
        <x:v>PAG00428</x:v>
      </x:c>
      <x:c r="I421" s="20" t="n">
        <x:v>26311.92</x:v>
      </x:c>
      <x:c r="J421" s="20" t="n">
        <x:v>-26311.92</x:v>
      </x:c>
      <x:c r="K421" s="10" t="str">
        <x:v>Realizado</x:v>
      </x:c>
      <x:c r="L421" s="10" t="str">
        <x:v>Contas a Pagar</x:v>
      </x:c>
    </x:row>
    <x:row r="422" ht="18" customHeight="1">
      <x:c r="A422" s="10" t="str">
        <x:v>MOV000704</x:v>
      </x:c>
      <x:c r="B422" s="16" t="n">
        <x:v>45492.76732290509</x:v>
      </x:c>
      <x:c r="C422" s="10" t="str">
        <x:v>EMP003</x:v>
      </x:c>
      <x:c r="D422" s="10" t="str">
        <x:v>CTA005</x:v>
      </x:c>
      <x:c r="E422" s="10" t="str">
        <x:v>Saída</x:v>
      </x:c>
      <x:c r="F422" s="10" t="str">
        <x:v>CAT012</x:v>
      </x:c>
      <x:c r="G422" s="10" t="str">
        <x:v>Contrato recorrente</x:v>
      </x:c>
      <x:c r="H422" s="10" t="str">
        <x:v>PAG00836</x:v>
      </x:c>
      <x:c r="I422" s="20" t="n">
        <x:v>713.63</x:v>
      </x:c>
      <x:c r="J422" s="20" t="n">
        <x:v>-713.63</x:v>
      </x:c>
      <x:c r="K422" s="10" t="str">
        <x:v>Realizado</x:v>
      </x:c>
      <x:c r="L422" s="10" t="str">
        <x:v>Contas a Pagar</x:v>
      </x:c>
    </x:row>
    <x:row r="423" ht="18" customHeight="1">
      <x:c r="A423" s="10" t="str">
        <x:v>MOV000601</x:v>
      </x:c>
      <x:c r="B423" s="16" t="n">
        <x:v>45492.81020943287</x:v>
      </x:c>
      <x:c r="C423" s="10" t="str">
        <x:v>EMP003</x:v>
      </x:c>
      <x:c r="D423" s="10" t="str">
        <x:v>CTA006</x:v>
      </x:c>
      <x:c r="E423" s="10" t="str">
        <x:v>Saída</x:v>
      </x:c>
      <x:c r="F423" s="10" t="str">
        <x:v>CAT012</x:v>
      </x:c>
      <x:c r="G423" s="10" t="str">
        <x:v>Despesa operacional</x:v>
      </x:c>
      <x:c r="H423" s="10" t="str">
        <x:v>PAG00711</x:v>
      </x:c>
      <x:c r="I423" s="20" t="n">
        <x:v>6137.8</x:v>
      </x:c>
      <x:c r="J423" s="20" t="n">
        <x:v>-6137.8</x:v>
      </x:c>
      <x:c r="K423" s="10" t="str">
        <x:v>Realizado</x:v>
      </x:c>
      <x:c r="L423" s="10" t="str">
        <x:v>Contas a Pagar</x:v>
      </x:c>
    </x:row>
    <x:row r="424" ht="18" customHeight="1">
      <x:c r="A424" s="10" t="str">
        <x:v>MOV000149</x:v>
      </x:c>
      <x:c r="B424" s="16" t="n">
        <x:v>45493.748425046295</x:v>
      </x:c>
      <x:c r="C424" s="10" t="str">
        <x:v>EMP001</x:v>
      </x:c>
      <x:c r="D424" s="10" t="str">
        <x:v>CTA001</x:v>
      </x:c>
      <x:c r="E424" s="10" t="str">
        <x:v>Saída</x:v>
      </x:c>
      <x:c r="F424" s="10" t="str">
        <x:v>CAT017</x:v>
      </x:c>
      <x:c r="G424" s="10" t="str">
        <x:v>Compra de materiais</x:v>
      </x:c>
      <x:c r="H424" s="10" t="str">
        <x:v>PAG00172</x:v>
      </x:c>
      <x:c r="I424" s="20" t="n">
        <x:v>5868.94</x:v>
      </x:c>
      <x:c r="J424" s="20" t="n">
        <x:v>-5868.94</x:v>
      </x:c>
      <x:c r="K424" s="10" t="str">
        <x:v>Realizado</x:v>
      </x:c>
      <x:c r="L424" s="10" t="str">
        <x:v>Contas a Pagar</x:v>
      </x:c>
    </x:row>
    <x:row r="425" ht="18" customHeight="1">
      <x:c r="A425" s="10" t="str">
        <x:v>MOV000105</x:v>
      </x:c>
      <x:c r="B425" s="16" t="n">
        <x:v>45493.91571111111</x:v>
      </x:c>
      <x:c r="C425" s="10" t="str">
        <x:v>EMP001</x:v>
      </x:c>
      <x:c r="D425" s="10" t="str">
        <x:v>CTA002</x:v>
      </x:c>
      <x:c r="E425" s="10" t="str">
        <x:v>Saída</x:v>
      </x:c>
      <x:c r="F425" s="10" t="str">
        <x:v>CAT015</x:v>
      </x:c>
      <x:c r="G425" s="10" t="str">
        <x:v>Despesa operacional</x:v>
      </x:c>
      <x:c r="H425" s="10" t="str">
        <x:v>PAG00117</x:v>
      </x:c>
      <x:c r="I425" s="20" t="n">
        <x:v>107142.22</x:v>
      </x:c>
      <x:c r="J425" s="20" t="n">
        <x:v>-107142.22</x:v>
      </x:c>
      <x:c r="K425" s="10" t="str">
        <x:v>Realizado</x:v>
      </x:c>
      <x:c r="L425" s="10" t="str">
        <x:v>Contas a Pagar</x:v>
      </x:c>
    </x:row>
    <x:row r="426" ht="18" customHeight="1">
      <x:c r="A426" s="10" t="str">
        <x:v>MOV001324</x:v>
      </x:c>
      <x:c r="B426" s="16" t="n">
        <x:v>45494.27388893518</x:v>
      </x:c>
      <x:c r="C426" s="10" t="str">
        <x:v>EMP001</x:v>
      </x:c>
      <x:c r="D426" s="10" t="str">
        <x:v>CTA001</x:v>
      </x:c>
      <x:c r="E426" s="10" t="str">
        <x:v>Entrada</x:v>
      </x:c>
      <x:c r="F426" s="10" t="str">
        <x:v>CAT003</x:v>
      </x:c>
      <x:c r="G426" s="10" t="str">
        <x:v>Contrato mensal</x:v>
      </x:c>
      <x:c r="H426" s="10" t="str">
        <x:v>REC00688</x:v>
      </x:c>
      <x:c r="I426" s="20" t="n">
        <x:v>7648.37</x:v>
      </x:c>
      <x:c r="J426" s="20" t="n">
        <x:v>7648.37</x:v>
      </x:c>
      <x:c r="K426" s="10" t="str">
        <x:v>Realizado</x:v>
      </x:c>
      <x:c r="L426" s="10" t="str">
        <x:v>Contas a Receber</x:v>
      </x:c>
    </x:row>
    <x:row r="427" ht="18" customHeight="1">
      <x:c r="A427" s="10" t="str">
        <x:v>MOV000880</x:v>
      </x:c>
      <x:c r="B427" s="16" t="n">
        <x:v>45494.44130561343</x:v>
      </x:c>
      <x:c r="C427" s="10" t="str">
        <x:v>EMP002</x:v>
      </x:c>
      <x:c r="D427" s="10" t="str">
        <x:v>CTA004</x:v>
      </x:c>
      <x:c r="E427" s="10" t="str">
        <x:v>Entrada</x:v>
      </x:c>
      <x:c r="F427" s="10" t="str">
        <x:v>CAT004</x:v>
      </x:c>
      <x:c r="G427" s="10" t="str">
        <x:v>Venda de produtos</x:v>
      </x:c>
      <x:c r="H427" s="10" t="str">
        <x:v>REC00151</x:v>
      </x:c>
      <x:c r="I427" s="20" t="n">
        <x:v>66852.38</x:v>
      </x:c>
      <x:c r="J427" s="20" t="n">
        <x:v>66852.38</x:v>
      </x:c>
      <x:c r="K427" s="10" t="str">
        <x:v>Realizado</x:v>
      </x:c>
      <x:c r="L427" s="10" t="str">
        <x:v>Contas a Receber</x:v>
      </x:c>
    </x:row>
    <x:row r="428" ht="18" customHeight="1">
      <x:c r="A428" s="10" t="str">
        <x:v>MOV000155</x:v>
      </x:c>
      <x:c r="B428" s="16" t="n">
        <x:v>45494.52665399305</x:v>
      </x:c>
      <x:c r="C428" s="10" t="str">
        <x:v>EMP003</x:v>
      </x:c>
      <x:c r="D428" s="10" t="str">
        <x:v>CTA005</x:v>
      </x:c>
      <x:c r="E428" s="10" t="str">
        <x:v>Saída</x:v>
      </x:c>
      <x:c r="F428" s="10" t="str">
        <x:v>CAT008</x:v>
      </x:c>
      <x:c r="G428" s="10" t="str">
        <x:v>Tributos e taxas</x:v>
      </x:c>
      <x:c r="H428" s="10" t="str">
        <x:v>PAG00181</x:v>
      </x:c>
      <x:c r="I428" s="20" t="n">
        <x:v>1283.35</x:v>
      </x:c>
      <x:c r="J428" s="20" t="n">
        <x:v>-1283.35</x:v>
      </x:c>
      <x:c r="K428" s="10" t="str">
        <x:v>Realizado</x:v>
      </x:c>
      <x:c r="L428" s="10" t="str">
        <x:v>Contas a Pagar</x:v>
      </x:c>
    </x:row>
    <x:row r="429" ht="18" customHeight="1">
      <x:c r="A429" s="10" t="str">
        <x:v>MOV000615</x:v>
      </x:c>
      <x:c r="B429" s="16" t="n">
        <x:v>45494.60872844907</x:v>
      </x:c>
      <x:c r="C429" s="10" t="str">
        <x:v>EMP002</x:v>
      </x:c>
      <x:c r="D429" s="10" t="str">
        <x:v>CTA003</x:v>
      </x:c>
      <x:c r="E429" s="10" t="str">
        <x:v>Saída</x:v>
      </x:c>
      <x:c r="F429" s="10" t="str">
        <x:v>CAT012</x:v>
      </x:c>
      <x:c r="G429" s="10" t="str">
        <x:v>Contrato recorrente</x:v>
      </x:c>
      <x:c r="H429" s="10" t="str">
        <x:v>PAG00728</x:v>
      </x:c>
      <x:c r="I429" s="20" t="n">
        <x:v>112809.28</x:v>
      </x:c>
      <x:c r="J429" s="20" t="n">
        <x:v>-112809.28</x:v>
      </x:c>
      <x:c r="K429" s="10" t="str">
        <x:v>Realizado</x:v>
      </x:c>
      <x:c r="L429" s="10" t="str">
        <x:v>Contas a Pagar</x:v>
      </x:c>
    </x:row>
    <x:row r="430" ht="18" customHeight="1">
      <x:c r="A430" s="10" t="str">
        <x:v>MOV000242</x:v>
      </x:c>
      <x:c r="B430" s="16" t="n">
        <x:v>45494.869196782405</x:v>
      </x:c>
      <x:c r="C430" s="10" t="str">
        <x:v>EMP001</x:v>
      </x:c>
      <x:c r="D430" s="10" t="str">
        <x:v>CTA002</x:v>
      </x:c>
      <x:c r="E430" s="10" t="str">
        <x:v>Saída</x:v>
      </x:c>
      <x:c r="F430" s="10" t="str">
        <x:v>CAT018</x:v>
      </x:c>
      <x:c r="G430" s="10" t="str">
        <x:v>Prestação de serviços</x:v>
      </x:c>
      <x:c r="H430" s="10" t="str">
        <x:v>PAG00283</x:v>
      </x:c>
      <x:c r="I430" s="20" t="n">
        <x:v>12192.38</x:v>
      </x:c>
      <x:c r="J430" s="20" t="n">
        <x:v>-12192.38</x:v>
      </x:c>
      <x:c r="K430" s="10" t="str">
        <x:v>Realizado</x:v>
      </x:c>
      <x:c r="L430" s="10" t="str">
        <x:v>Contas a Pagar</x:v>
      </x:c>
    </x:row>
    <x:row r="431" ht="18" customHeight="1">
      <x:c r="A431" s="10" t="str">
        <x:v>MOV001406</x:v>
      </x:c>
      <x:c r="B431" s="16" t="n">
        <x:v>45495.30685975694</x:v>
      </x:c>
      <x:c r="C431" s="10" t="str">
        <x:v>EMP002</x:v>
      </x:c>
      <x:c r="D431" s="10" t="str">
        <x:v>CTA003</x:v>
      </x:c>
      <x:c r="E431" s="10" t="str">
        <x:v>Entrada</x:v>
      </x:c>
      <x:c r="F431" s="10" t="str">
        <x:v>CAT001</x:v>
      </x:c>
      <x:c r="G431" s="10" t="str">
        <x:v>Projeto especial</x:v>
      </x:c>
      <x:c r="H431" s="10" t="str">
        <x:v>REC00788</x:v>
      </x:c>
      <x:c r="I431" s="20" t="n">
        <x:v>133735.01</x:v>
      </x:c>
      <x:c r="J431" s="20" t="n">
        <x:v>133735.01</x:v>
      </x:c>
      <x:c r="K431" s="10" t="str">
        <x:v>Realizado</x:v>
      </x:c>
      <x:c r="L431" s="10" t="str">
        <x:v>Contas a Receber</x:v>
      </x:c>
    </x:row>
    <x:row r="432" ht="18" customHeight="1">
      <x:c r="A432" s="10" t="str">
        <x:v>MOV001642</x:v>
      </x:c>
      <x:c r="B432" s="16" t="n">
        <x:v>45495.59260094907</x:v>
      </x:c>
      <x:c r="C432" s="10" t="str">
        <x:v>EMP002</x:v>
      </x:c>
      <x:c r="D432" s="10" t="str">
        <x:v>CTA003</x:v>
      </x:c>
      <x:c r="E432" s="10" t="str">
        <x:v>Entrada</x:v>
      </x:c>
      <x:c r="F432" s="10" t="str">
        <x:v>CAT003</x:v>
      </x:c>
      <x:c r="G432" s="10" t="str">
        <x:v>Projeto especial</x:v>
      </x:c>
      <x:c r="H432" s="10" t="str">
        <x:v>REC01079</x:v>
      </x:c>
      <x:c r="I432" s="20" t="n">
        <x:v>5362.38</x:v>
      </x:c>
      <x:c r="J432" s="20" t="n">
        <x:v>5362.38</x:v>
      </x:c>
      <x:c r="K432" s="10" t="str">
        <x:v>Realizado</x:v>
      </x:c>
      <x:c r="L432" s="10" t="str">
        <x:v>Contas a Receber</x:v>
      </x:c>
    </x:row>
    <x:row r="433" ht="18" customHeight="1">
      <x:c r="A433" s="10" t="str">
        <x:v>MOV000134</x:v>
      </x:c>
      <x:c r="B433" s="16" t="n">
        <x:v>45496.174492708335</x:v>
      </x:c>
      <x:c r="C433" s="10" t="str">
        <x:v>EMP003</x:v>
      </x:c>
      <x:c r="D433" s="10" t="str">
        <x:v>CTA005</x:v>
      </x:c>
      <x:c r="E433" s="10" t="str">
        <x:v>Saída</x:v>
      </x:c>
      <x:c r="F433" s="10" t="str">
        <x:v>CAT012</x:v>
      </x:c>
      <x:c r="G433" s="10" t="str">
        <x:v>Compra de materiais</x:v>
      </x:c>
      <x:c r="H433" s="10" t="str">
        <x:v>PAG00155</x:v>
      </x:c>
      <x:c r="I433" s="20" t="n">
        <x:v>3211.35</x:v>
      </x:c>
      <x:c r="J433" s="20" t="n">
        <x:v>-3211.35</x:v>
      </x:c>
      <x:c r="K433" s="10" t="str">
        <x:v>Realizado</x:v>
      </x:c>
      <x:c r="L433" s="10" t="str">
        <x:v>Contas a Pagar</x:v>
      </x:c>
    </x:row>
    <x:row r="434" ht="18" customHeight="1">
      <x:c r="A434" s="10" t="str">
        <x:v>MOV001626</x:v>
      </x:c>
      <x:c r="B434" s="16" t="n">
        <x:v>45496.84384736111</x:v>
      </x:c>
      <x:c r="C434" s="10" t="str">
        <x:v>EMP001</x:v>
      </x:c>
      <x:c r="D434" s="10" t="str">
        <x:v>CTA001</x:v>
      </x:c>
      <x:c r="E434" s="10" t="str">
        <x:v>Entrada</x:v>
      </x:c>
      <x:c r="F434" s="10" t="str">
        <x:v>CAT002</x:v>
      </x:c>
      <x:c r="G434" s="10" t="str">
        <x:v>Contrato mensal</x:v>
      </x:c>
      <x:c r="H434" s="10" t="str">
        <x:v>REC01059</x:v>
      </x:c>
      <x:c r="I434" s="20" t="n">
        <x:v>122639.62</x:v>
      </x:c>
      <x:c r="J434" s="20" t="n">
        <x:v>122639.62</x:v>
      </x:c>
      <x:c r="K434" s="10" t="str">
        <x:v>Realizado</x:v>
      </x:c>
      <x:c r="L434" s="10" t="str">
        <x:v>Contas a Receber</x:v>
      </x:c>
    </x:row>
    <x:row r="435" ht="18" customHeight="1">
      <x:c r="A435" s="10" t="str">
        <x:v>MOV001452</x:v>
      </x:c>
      <x:c r="B435" s="16" t="n">
        <x:v>45498.085227881944</x:v>
      </x:c>
      <x:c r="C435" s="10" t="str">
        <x:v>EMP003</x:v>
      </x:c>
      <x:c r="D435" s="10" t="str">
        <x:v>CTA006</x:v>
      </x:c>
      <x:c r="E435" s="10" t="str">
        <x:v>Entrada</x:v>
      </x:c>
      <x:c r="F435" s="10" t="str">
        <x:v>CAT001</x:v>
      </x:c>
      <x:c r="G435" s="10" t="str">
        <x:v>Frete faturado</x:v>
      </x:c>
      <x:c r="H435" s="10" t="str">
        <x:v>REC00847</x:v>
      </x:c>
      <x:c r="I435" s="20" t="n">
        <x:v>9622.65</x:v>
      </x:c>
      <x:c r="J435" s="20" t="n">
        <x:v>9622.65</x:v>
      </x:c>
      <x:c r="K435" s="10" t="str">
        <x:v>Realizado</x:v>
      </x:c>
      <x:c r="L435" s="10" t="str">
        <x:v>Contas a Receber</x:v>
      </x:c>
    </x:row>
    <x:row r="436" ht="18" customHeight="1">
      <x:c r="A436" s="10" t="str">
        <x:v>MOV001453</x:v>
      </x:c>
      <x:c r="B436" s="16" t="n">
        <x:v>45498.294683148146</x:v>
      </x:c>
      <x:c r="C436" s="10" t="str">
        <x:v>EMP001</x:v>
      </x:c>
      <x:c r="D436" s="10" t="str">
        <x:v>CTA002</x:v>
      </x:c>
      <x:c r="E436" s="10" t="str">
        <x:v>Entrada</x:v>
      </x:c>
      <x:c r="F436" s="10" t="str">
        <x:v>CAT001</x:v>
      </x:c>
      <x:c r="G436" s="10" t="str">
        <x:v>Venda de produtos</x:v>
      </x:c>
      <x:c r="H436" s="10" t="str">
        <x:v>REC00848</x:v>
      </x:c>
      <x:c r="I436" s="20" t="n">
        <x:v>22431.39</x:v>
      </x:c>
      <x:c r="J436" s="20" t="n">
        <x:v>22431.39</x:v>
      </x:c>
      <x:c r="K436" s="10" t="str">
        <x:v>Realizado</x:v>
      </x:c>
      <x:c r="L436" s="10" t="str">
        <x:v>Contas a Receber</x:v>
      </x:c>
    </x:row>
    <x:row r="437" ht="18" customHeight="1">
      <x:c r="A437" s="10" t="str">
        <x:v>MOV000573</x:v>
      </x:c>
      <x:c r="B437" s="16" t="n">
        <x:v>45498.65591013889</x:v>
      </x:c>
      <x:c r="C437" s="10" t="str">
        <x:v>EMP003</x:v>
      </x:c>
      <x:c r="D437" s="10" t="str">
        <x:v>CTA005</x:v>
      </x:c>
      <x:c r="E437" s="10" t="str">
        <x:v>Saída</x:v>
      </x:c>
      <x:c r="F437" s="10" t="str">
        <x:v>CAT011</x:v>
      </x:c>
      <x:c r="G437" s="10" t="str">
        <x:v>Contrato recorrente</x:v>
      </x:c>
      <x:c r="H437" s="10" t="str">
        <x:v>PAG00673</x:v>
      </x:c>
      <x:c r="I437" s="20" t="n">
        <x:v>60785.46</x:v>
      </x:c>
      <x:c r="J437" s="20" t="n">
        <x:v>-60785.46</x:v>
      </x:c>
      <x:c r="K437" s="10" t="str">
        <x:v>Realizado</x:v>
      </x:c>
      <x:c r="L437" s="10" t="str">
        <x:v>Contas a Pagar</x:v>
      </x:c>
    </x:row>
    <x:row r="438" ht="18" customHeight="1">
      <x:c r="A438" s="10" t="str">
        <x:v>MOV000798</x:v>
      </x:c>
      <x:c r="B438" s="16" t="n">
        <x:v>45498.810193125</x:v>
      </x:c>
      <x:c r="C438" s="10" t="str">
        <x:v>EMP002</x:v>
      </x:c>
      <x:c r="D438" s="10" t="str">
        <x:v>CTA003</x:v>
      </x:c>
      <x:c r="E438" s="10" t="str">
        <x:v>Entrada</x:v>
      </x:c>
      <x:c r="F438" s="10" t="str">
        <x:v>CAT001</x:v>
      </x:c>
      <x:c r="G438" s="10" t="str">
        <x:v>Frete faturado</x:v>
      </x:c>
      <x:c r="H438" s="10" t="str">
        <x:v>REC00055</x:v>
      </x:c>
      <x:c r="I438" s="20" t="n">
        <x:v>122744.55</x:v>
      </x:c>
      <x:c r="J438" s="20" t="n">
        <x:v>122744.55</x:v>
      </x:c>
      <x:c r="K438" s="10" t="str">
        <x:v>Realizado</x:v>
      </x:c>
      <x:c r="L438" s="10" t="str">
        <x:v>Contas a Receber</x:v>
      </x:c>
    </x:row>
    <x:row r="439" ht="18" customHeight="1">
      <x:c r="A439" s="10" t="str">
        <x:v>MOV000905</x:v>
      </x:c>
      <x:c r="B439" s="16" t="n">
        <x:v>45499.05745950231</x:v>
      </x:c>
      <x:c r="C439" s="10" t="str">
        <x:v>EMP001</x:v>
      </x:c>
      <x:c r="D439" s="10" t="str">
        <x:v>CTA002</x:v>
      </x:c>
      <x:c r="E439" s="10" t="str">
        <x:v>Entrada</x:v>
      </x:c>
      <x:c r="F439" s="10" t="str">
        <x:v>CAT002</x:v>
      </x:c>
      <x:c r="G439" s="10" t="str">
        <x:v>Frete faturado</x:v>
      </x:c>
      <x:c r="H439" s="10" t="str">
        <x:v>REC00182</x:v>
      </x:c>
      <x:c r="I439" s="20" t="n">
        <x:v>65255.26</x:v>
      </x:c>
      <x:c r="J439" s="20" t="n">
        <x:v>65255.26</x:v>
      </x:c>
      <x:c r="K439" s="10" t="str">
        <x:v>Realizado</x:v>
      </x:c>
      <x:c r="L439" s="10" t="str">
        <x:v>Contas a Receber</x:v>
      </x:c>
    </x:row>
    <x:row r="440" ht="18" customHeight="1">
      <x:c r="A440" s="10" t="str">
        <x:v>MOV000238</x:v>
      </x:c>
      <x:c r="B440" s="16" t="n">
        <x:v>45499.48742769676</x:v>
      </x:c>
      <x:c r="C440" s="10" t="str">
        <x:v>EMP001</x:v>
      </x:c>
      <x:c r="D440" s="10" t="str">
        <x:v>CTA002</x:v>
      </x:c>
      <x:c r="E440" s="10" t="str">
        <x:v>Saída</x:v>
      </x:c>
      <x:c r="F440" s="10" t="str">
        <x:v>CAT006</x:v>
      </x:c>
      <x:c r="G440" s="10" t="str">
        <x:v>Compra de materiais</x:v>
      </x:c>
      <x:c r="H440" s="10" t="str">
        <x:v>PAG00278</x:v>
      </x:c>
      <x:c r="I440" s="20" t="n">
        <x:v>71757.99</x:v>
      </x:c>
      <x:c r="J440" s="20" t="n">
        <x:v>-71757.99</x:v>
      </x:c>
      <x:c r="K440" s="10" t="str">
        <x:v>Realizado</x:v>
      </x:c>
      <x:c r="L440" s="10" t="str">
        <x:v>Contas a Pagar</x:v>
      </x:c>
    </x:row>
    <x:row r="441" ht="18" customHeight="1">
      <x:c r="A441" s="10" t="str">
        <x:v>MOV000138</x:v>
      </x:c>
      <x:c r="B441" s="16" t="n">
        <x:v>45500.4681221875</x:v>
      </x:c>
      <x:c r="C441" s="10" t="str">
        <x:v>EMP002</x:v>
      </x:c>
      <x:c r="D441" s="10" t="str">
        <x:v>CTA003</x:v>
      </x:c>
      <x:c r="E441" s="10" t="str">
        <x:v>Saída</x:v>
      </x:c>
      <x:c r="F441" s="10" t="str">
        <x:v>CAT018</x:v>
      </x:c>
      <x:c r="G441" s="10" t="str">
        <x:v>Contrato recorrente</x:v>
      </x:c>
      <x:c r="H441" s="10" t="str">
        <x:v>PAG00159</x:v>
      </x:c>
      <x:c r="I441" s="20" t="n">
        <x:v>16286.77</x:v>
      </x:c>
      <x:c r="J441" s="20" t="n">
        <x:v>-16286.77</x:v>
      </x:c>
      <x:c r="K441" s="10" t="str">
        <x:v>Realizado</x:v>
      </x:c>
      <x:c r="L441" s="10" t="str">
        <x:v>Contas a Pagar</x:v>
      </x:c>
    </x:row>
    <x:row r="442" ht="18" customHeight="1">
      <x:c r="A442" s="10" t="str">
        <x:v>MOV001407</x:v>
      </x:c>
      <x:c r="B442" s="16" t="n">
        <x:v>45500.59916164352</x:v>
      </x:c>
      <x:c r="C442" s="10" t="str">
        <x:v>EMP002</x:v>
      </x:c>
      <x:c r="D442" s="10" t="str">
        <x:v>CTA003</x:v>
      </x:c>
      <x:c r="E442" s="10" t="str">
        <x:v>Entrada</x:v>
      </x:c>
      <x:c r="F442" s="10" t="str">
        <x:v>CAT002</x:v>
      </x:c>
      <x:c r="G442" s="10" t="str">
        <x:v>Prestação de serviços</x:v>
      </x:c>
      <x:c r="H442" s="10" t="str">
        <x:v>REC00789</x:v>
      </x:c>
      <x:c r="I442" s="20" t="n">
        <x:v>118769.23</x:v>
      </x:c>
      <x:c r="J442" s="20" t="n">
        <x:v>118769.23</x:v>
      </x:c>
      <x:c r="K442" s="10" t="str">
        <x:v>Realizado</x:v>
      </x:c>
      <x:c r="L442" s="10" t="str">
        <x:v>Contas a Receber</x:v>
      </x:c>
    </x:row>
    <x:row r="443" ht="18" customHeight="1">
      <x:c r="A443" s="10" t="str">
        <x:v>MOV000670</x:v>
      </x:c>
      <x:c r="B443" s="16" t="n">
        <x:v>45500.9002703588</x:v>
      </x:c>
      <x:c r="C443" s="10" t="str">
        <x:v>EMP002</x:v>
      </x:c>
      <x:c r="D443" s="10" t="str">
        <x:v>CTA003</x:v>
      </x:c>
      <x:c r="E443" s="10" t="str">
        <x:v>Saída</x:v>
      </x:c>
      <x:c r="F443" s="10" t="str">
        <x:v>CAT005</x:v>
      </x:c>
      <x:c r="G443" s="10" t="str">
        <x:v>Prestação de serviços</x:v>
      </x:c>
      <x:c r="H443" s="10" t="str">
        <x:v>PAG00797</x:v>
      </x:c>
      <x:c r="I443" s="20" t="n">
        <x:v>110022.3</x:v>
      </x:c>
      <x:c r="J443" s="20" t="n">
        <x:v>-110022.3</x:v>
      </x:c>
      <x:c r="K443" s="10" t="str">
        <x:v>Realizado</x:v>
      </x:c>
      <x:c r="L443" s="10" t="str">
        <x:v>Contas a Pagar</x:v>
      </x:c>
    </x:row>
    <x:row r="444" ht="18" customHeight="1">
      <x:c r="A444" s="10" t="str">
        <x:v>MOV001550</x:v>
      </x:c>
      <x:c r="B444" s="16" t="n">
        <x:v>45501.63189361111</x:v>
      </x:c>
      <x:c r="C444" s="10" t="str">
        <x:v>EMP003</x:v>
      </x:c>
      <x:c r="D444" s="10" t="str">
        <x:v>CTA005</x:v>
      </x:c>
      <x:c r="E444" s="10" t="str">
        <x:v>Entrada</x:v>
      </x:c>
      <x:c r="F444" s="10" t="str">
        <x:v>CAT003</x:v>
      </x:c>
      <x:c r="G444" s="10" t="str">
        <x:v>Venda de produtos</x:v>
      </x:c>
      <x:c r="H444" s="10" t="str">
        <x:v>REC00967</x:v>
      </x:c>
      <x:c r="I444" s="20" t="n">
        <x:v>104949.49</x:v>
      </x:c>
      <x:c r="J444" s="20" t="n">
        <x:v>104949.49</x:v>
      </x:c>
      <x:c r="K444" s="10" t="str">
        <x:v>Realizado</x:v>
      </x:c>
      <x:c r="L444" s="10" t="str">
        <x:v>Contas a Receber</x:v>
      </x:c>
    </x:row>
    <x:row r="445" ht="18" customHeight="1">
      <x:c r="A445" s="10" t="str">
        <x:v>MOV001637</x:v>
      </x:c>
      <x:c r="B445" s="16" t="n">
        <x:v>45502.28623128472</x:v>
      </x:c>
      <x:c r="C445" s="10" t="str">
        <x:v>EMP002</x:v>
      </x:c>
      <x:c r="D445" s="10" t="str">
        <x:v>CTA003</x:v>
      </x:c>
      <x:c r="E445" s="10" t="str">
        <x:v>Entrada</x:v>
      </x:c>
      <x:c r="F445" s="10" t="str">
        <x:v>CAT001</x:v>
      </x:c>
      <x:c r="G445" s="10" t="str">
        <x:v>Contrato mensal</x:v>
      </x:c>
      <x:c r="H445" s="10" t="str">
        <x:v>REC01072</x:v>
      </x:c>
      <x:c r="I445" s="20" t="n">
        <x:v>60292.09</x:v>
      </x:c>
      <x:c r="J445" s="20" t="n">
        <x:v>60292.09</x:v>
      </x:c>
      <x:c r="K445" s="10" t="str">
        <x:v>Realizado</x:v>
      </x:c>
      <x:c r="L445" s="10" t="str">
        <x:v>Contas a Receber</x:v>
      </x:c>
    </x:row>
    <x:row r="446" ht="18" customHeight="1">
      <x:c r="A446" s="10" t="str">
        <x:v>MOV001219</x:v>
      </x:c>
      <x:c r="B446" s="16" t="n">
        <x:v>45502.574489039354</x:v>
      </x:c>
      <x:c r="C446" s="10" t="str">
        <x:v>EMP001</x:v>
      </x:c>
      <x:c r="D446" s="10" t="str">
        <x:v>CTA001</x:v>
      </x:c>
      <x:c r="E446" s="10" t="str">
        <x:v>Entrada</x:v>
      </x:c>
      <x:c r="F446" s="10" t="str">
        <x:v>CAT003</x:v>
      </x:c>
      <x:c r="G446" s="10" t="str">
        <x:v>Frete faturado</x:v>
      </x:c>
      <x:c r="H446" s="10" t="str">
        <x:v>REC00570</x:v>
      </x:c>
      <x:c r="I446" s="20" t="n">
        <x:v>7461.51</x:v>
      </x:c>
      <x:c r="J446" s="20" t="n">
        <x:v>7461.51</x:v>
      </x:c>
      <x:c r="K446" s="10" t="str">
        <x:v>Realizado</x:v>
      </x:c>
      <x:c r="L446" s="10" t="str">
        <x:v>Contas a Receber</x:v>
      </x:c>
    </x:row>
    <x:row r="447" ht="18" customHeight="1">
      <x:c r="A447" s="10" t="str">
        <x:v>MOV001456</x:v>
      </x:c>
      <x:c r="B447" s="16" t="n">
        <x:v>45502.622849050924</x:v>
      </x:c>
      <x:c r="C447" s="10" t="str">
        <x:v>EMP002</x:v>
      </x:c>
      <x:c r="D447" s="10" t="str">
        <x:v>CTA003</x:v>
      </x:c>
      <x:c r="E447" s="10" t="str">
        <x:v>Entrada</x:v>
      </x:c>
      <x:c r="F447" s="10" t="str">
        <x:v>CAT002</x:v>
      </x:c>
      <x:c r="G447" s="10" t="str">
        <x:v>Frete faturado</x:v>
      </x:c>
      <x:c r="H447" s="10" t="str">
        <x:v>REC00851</x:v>
      </x:c>
      <x:c r="I447" s="20" t="n">
        <x:v>22564.29</x:v>
      </x:c>
      <x:c r="J447" s="20" t="n">
        <x:v>22564.29</x:v>
      </x:c>
      <x:c r="K447" s="10" t="str">
        <x:v>Realizado</x:v>
      </x:c>
      <x:c r="L447" s="10" t="str">
        <x:v>Contas a Receber</x:v>
      </x:c>
    </x:row>
    <x:row r="448" ht="18" customHeight="1">
      <x:c r="A448" s="10" t="str">
        <x:v>MOV000328</x:v>
      </x:c>
      <x:c r="B448" s="16" t="n">
        <x:v>45503.498786909724</x:v>
      </x:c>
      <x:c r="C448" s="10" t="str">
        <x:v>EMP002</x:v>
      </x:c>
      <x:c r="D448" s="10" t="str">
        <x:v>CTA003</x:v>
      </x:c>
      <x:c r="E448" s="10" t="str">
        <x:v>Saída</x:v>
      </x:c>
      <x:c r="F448" s="10" t="str">
        <x:v>CAT011</x:v>
      </x:c>
      <x:c r="G448" s="10" t="str">
        <x:v>Prestação de serviços</x:v>
      </x:c>
      <x:c r="H448" s="10" t="str">
        <x:v>PAG00381</x:v>
      </x:c>
      <x:c r="I448" s="20" t="n">
        <x:v>691.83</x:v>
      </x:c>
      <x:c r="J448" s="20" t="n">
        <x:v>-691.83</x:v>
      </x:c>
      <x:c r="K448" s="10" t="str">
        <x:v>Realizado</x:v>
      </x:c>
      <x:c r="L448" s="10" t="str">
        <x:v>Contas a Pagar</x:v>
      </x:c>
    </x:row>
    <x:row r="449" ht="18" customHeight="1">
      <x:c r="A449" s="10" t="str">
        <x:v>MOV001628</x:v>
      </x:c>
      <x:c r="B449" s="16" t="n">
        <x:v>45504.592844293984</x:v>
      </x:c>
      <x:c r="C449" s="10" t="str">
        <x:v>EMP001</x:v>
      </x:c>
      <x:c r="D449" s="10" t="str">
        <x:v>CTA002</x:v>
      </x:c>
      <x:c r="E449" s="10" t="str">
        <x:v>Entrada</x:v>
      </x:c>
      <x:c r="F449" s="10" t="str">
        <x:v>CAT001</x:v>
      </x:c>
      <x:c r="G449" s="10" t="str">
        <x:v>Venda de produtos</x:v>
      </x:c>
      <x:c r="H449" s="10" t="str">
        <x:v>REC01061</x:v>
      </x:c>
      <x:c r="I449" s="20" t="n">
        <x:v>6641.38</x:v>
      </x:c>
      <x:c r="J449" s="20" t="n">
        <x:v>6641.38</x:v>
      </x:c>
      <x:c r="K449" s="10" t="str">
        <x:v>Realizado</x:v>
      </x:c>
      <x:c r="L449" s="10" t="str">
        <x:v>Contas a Receber</x:v>
      </x:c>
    </x:row>
    <x:row r="450" ht="18" customHeight="1">
      <x:c r="A450" s="10" t="str">
        <x:v>MOV001226</x:v>
      </x:c>
      <x:c r="B450" s="16" t="n">
        <x:v>45504.87902172454</x:v>
      </x:c>
      <x:c r="C450" s="10" t="str">
        <x:v>EMP002</x:v>
      </x:c>
      <x:c r="D450" s="10" t="str">
        <x:v>CTA004</x:v>
      </x:c>
      <x:c r="E450" s="10" t="str">
        <x:v>Entrada</x:v>
      </x:c>
      <x:c r="F450" s="10" t="str">
        <x:v>CAT003</x:v>
      </x:c>
      <x:c r="G450" s="10" t="str">
        <x:v>Prestação de serviços</x:v>
      </x:c>
      <x:c r="H450" s="10" t="str">
        <x:v>REC00578</x:v>
      </x:c>
      <x:c r="I450" s="20" t="n">
        <x:v>108306.67</x:v>
      </x:c>
      <x:c r="J450" s="20" t="n">
        <x:v>108306.67</x:v>
      </x:c>
      <x:c r="K450" s="10" t="str">
        <x:v>Realizado</x:v>
      </x:c>
      <x:c r="L450" s="10" t="str">
        <x:v>Contas a Receber</x:v>
      </x:c>
    </x:row>
    <x:row r="451" ht="18" customHeight="1">
      <x:c r="A451" s="10" t="str">
        <x:v>MOV001565</x:v>
      </x:c>
      <x:c r="B451" s="16" t="n">
        <x:v>45505.22930384259</x:v>
      </x:c>
      <x:c r="C451" s="10" t="str">
        <x:v>EMP001</x:v>
      </x:c>
      <x:c r="D451" s="10" t="str">
        <x:v>CTA002</x:v>
      </x:c>
      <x:c r="E451" s="10" t="str">
        <x:v>Entrada</x:v>
      </x:c>
      <x:c r="F451" s="10" t="str">
        <x:v>CAT003</x:v>
      </x:c>
      <x:c r="G451" s="10" t="str">
        <x:v>Venda de produtos</x:v>
      </x:c>
      <x:c r="H451" s="10" t="str">
        <x:v>REC00986</x:v>
      </x:c>
      <x:c r="I451" s="20" t="n">
        <x:v>43134.52</x:v>
      </x:c>
      <x:c r="J451" s="20" t="n">
        <x:v>43134.52</x:v>
      </x:c>
      <x:c r="K451" s="10" t="str">
        <x:v>Realizado</x:v>
      </x:c>
      <x:c r="L451" s="10" t="str">
        <x:v>Contas a Receber</x:v>
      </x:c>
    </x:row>
    <x:row r="452" ht="18" customHeight="1">
      <x:c r="A452" s="10" t="str">
        <x:v>MOV000164</x:v>
      </x:c>
      <x:c r="B452" s="16" t="n">
        <x:v>45505.79125898148</x:v>
      </x:c>
      <x:c r="C452" s="10" t="str">
        <x:v>EMP003</x:v>
      </x:c>
      <x:c r="D452" s="10" t="str">
        <x:v>CTA006</x:v>
      </x:c>
      <x:c r="E452" s="10" t="str">
        <x:v>Saída</x:v>
      </x:c>
      <x:c r="F452" s="10" t="str">
        <x:v>CAT012</x:v>
      </x:c>
      <x:c r="G452" s="10" t="str">
        <x:v>Contrato recorrente</x:v>
      </x:c>
      <x:c r="H452" s="10" t="str">
        <x:v>PAG00193</x:v>
      </x:c>
      <x:c r="I452" s="20" t="n">
        <x:v>60655.4</x:v>
      </x:c>
      <x:c r="J452" s="20" t="n">
        <x:v>-60655.4</x:v>
      </x:c>
      <x:c r="K452" s="10" t="str">
        <x:v>Realizado</x:v>
      </x:c>
      <x:c r="L452" s="10" t="str">
        <x:v>Contas a Pagar</x:v>
      </x:c>
    </x:row>
    <x:row r="453" ht="18" customHeight="1">
      <x:c r="A453" s="10" t="str">
        <x:v>MOV000675</x:v>
      </x:c>
      <x:c r="B453" s="16" t="n">
        <x:v>45505.904714386576</x:v>
      </x:c>
      <x:c r="C453" s="10" t="str">
        <x:v>EMP002</x:v>
      </x:c>
      <x:c r="D453" s="10" t="str">
        <x:v>CTA004</x:v>
      </x:c>
      <x:c r="E453" s="10" t="str">
        <x:v>Saída</x:v>
      </x:c>
      <x:c r="F453" s="10" t="str">
        <x:v>CAT013</x:v>
      </x:c>
      <x:c r="G453" s="10" t="str">
        <x:v>Compra de materiais</x:v>
      </x:c>
      <x:c r="H453" s="10" t="str">
        <x:v>PAG00802</x:v>
      </x:c>
      <x:c r="I453" s="20" t="n">
        <x:v>10294.83</x:v>
      </x:c>
      <x:c r="J453" s="20" t="n">
        <x:v>-10294.83</x:v>
      </x:c>
      <x:c r="K453" s="10" t="str">
        <x:v>Realizado</x:v>
      </x:c>
      <x:c r="L453" s="10" t="str">
        <x:v>Contas a Pagar</x:v>
      </x:c>
    </x:row>
    <x:row r="454" ht="18" customHeight="1">
      <x:c r="A454" s="10" t="str">
        <x:v>MOV000282</x:v>
      </x:c>
      <x:c r="B454" s="16" t="n">
        <x:v>45506.24204420139</x:v>
      </x:c>
      <x:c r="C454" s="10" t="str">
        <x:v>EMP003</x:v>
      </x:c>
      <x:c r="D454" s="10" t="str">
        <x:v>CTA005</x:v>
      </x:c>
      <x:c r="E454" s="10" t="str">
        <x:v>Saída</x:v>
      </x:c>
      <x:c r="F454" s="10" t="str">
        <x:v>CAT011</x:v>
      </x:c>
      <x:c r="G454" s="10" t="str">
        <x:v>Tributos e taxas</x:v>
      </x:c>
      <x:c r="H454" s="10" t="str">
        <x:v>PAG00328</x:v>
      </x:c>
      <x:c r="I454" s="20" t="n">
        <x:v>49804.27</x:v>
      </x:c>
      <x:c r="J454" s="20" t="n">
        <x:v>-49804.27</x:v>
      </x:c>
      <x:c r="K454" s="10" t="str">
        <x:v>Realizado</x:v>
      </x:c>
      <x:c r="L454" s="10" t="str">
        <x:v>Contas a Pagar</x:v>
      </x:c>
    </x:row>
    <x:row r="455" ht="18" customHeight="1">
      <x:c r="A455" s="10" t="str">
        <x:v>MOV000191</x:v>
      </x:c>
      <x:c r="B455" s="16" t="n">
        <x:v>45506.46953292824</x:v>
      </x:c>
      <x:c r="C455" s="10" t="str">
        <x:v>EMP002</x:v>
      </x:c>
      <x:c r="D455" s="10" t="str">
        <x:v>CTA004</x:v>
      </x:c>
      <x:c r="E455" s="10" t="str">
        <x:v>Saída</x:v>
      </x:c>
      <x:c r="F455" s="10" t="str">
        <x:v>CAT012</x:v>
      </x:c>
      <x:c r="G455" s="10" t="str">
        <x:v>Despesa operacional</x:v>
      </x:c>
      <x:c r="H455" s="10" t="str">
        <x:v>PAG00224</x:v>
      </x:c>
      <x:c r="I455" s="20" t="n">
        <x:v>92800.86</x:v>
      </x:c>
      <x:c r="J455" s="20" t="n">
        <x:v>-92800.86</x:v>
      </x:c>
      <x:c r="K455" s="10" t="str">
        <x:v>Realizado</x:v>
      </x:c>
      <x:c r="L455" s="10" t="str">
        <x:v>Contas a Pagar</x:v>
      </x:c>
    </x:row>
    <x:row r="456" ht="18" customHeight="1">
      <x:c r="A456" s="10" t="str">
        <x:v>MOV000013</x:v>
      </x:c>
      <x:c r="B456" s="16" t="n">
        <x:v>45506.695266180555</x:v>
      </x:c>
      <x:c r="C456" s="10" t="str">
        <x:v>EMP003</x:v>
      </x:c>
      <x:c r="D456" s="10" t="str">
        <x:v>CTA006</x:v>
      </x:c>
      <x:c r="E456" s="10" t="str">
        <x:v>Saída</x:v>
      </x:c>
      <x:c r="F456" s="10" t="str">
        <x:v>CAT015</x:v>
      </x:c>
      <x:c r="G456" s="10" t="str">
        <x:v>Contrato recorrente</x:v>
      </x:c>
      <x:c r="H456" s="10" t="str">
        <x:v>PAG00010</x:v>
      </x:c>
      <x:c r="I456" s="20" t="n">
        <x:v>23925.26</x:v>
      </x:c>
      <x:c r="J456" s="20" t="n">
        <x:v>-23925.26</x:v>
      </x:c>
      <x:c r="K456" s="10" t="str">
        <x:v>Realizado</x:v>
      </x:c>
      <x:c r="L456" s="10" t="str">
        <x:v>Contas a Pagar</x:v>
      </x:c>
    </x:row>
    <x:row r="457" ht="18" customHeight="1">
      <x:c r="A457" s="10" t="str">
        <x:v>MOV000324</x:v>
      </x:c>
      <x:c r="B457" s="16" t="n">
        <x:v>45507.07207148148</x:v>
      </x:c>
      <x:c r="C457" s="10" t="str">
        <x:v>EMP003</x:v>
      </x:c>
      <x:c r="D457" s="10" t="str">
        <x:v>CTA005</x:v>
      </x:c>
      <x:c r="E457" s="10" t="str">
        <x:v>Saída</x:v>
      </x:c>
      <x:c r="F457" s="10" t="str">
        <x:v>CAT017</x:v>
      </x:c>
      <x:c r="G457" s="10" t="str">
        <x:v>Prestação de serviços</x:v>
      </x:c>
      <x:c r="H457" s="10" t="str">
        <x:v>PAG00377</x:v>
      </x:c>
      <x:c r="I457" s="20" t="n">
        <x:v>104040.04</x:v>
      </x:c>
      <x:c r="J457" s="20" t="n">
        <x:v>-104040.04</x:v>
      </x:c>
      <x:c r="K457" s="10" t="str">
        <x:v>Realizado</x:v>
      </x:c>
      <x:c r="L457" s="10" t="str">
        <x:v>Contas a Pagar</x:v>
      </x:c>
    </x:row>
    <x:row r="458" ht="18" customHeight="1">
      <x:c r="A458" s="10" t="str">
        <x:v>MOV000646</x:v>
      </x:c>
      <x:c r="B458" s="16" t="n">
        <x:v>45507.31784775463</x:v>
      </x:c>
      <x:c r="C458" s="10" t="str">
        <x:v>EMP003</x:v>
      </x:c>
      <x:c r="D458" s="10" t="str">
        <x:v>CTA005</x:v>
      </x:c>
      <x:c r="E458" s="10" t="str">
        <x:v>Saída</x:v>
      </x:c>
      <x:c r="F458" s="10" t="str">
        <x:v>CAT008</x:v>
      </x:c>
      <x:c r="G458" s="10" t="str">
        <x:v>Contrato recorrente</x:v>
      </x:c>
      <x:c r="H458" s="10" t="str">
        <x:v>PAG00766</x:v>
      </x:c>
      <x:c r="I458" s="20" t="n">
        <x:v>1910.78</x:v>
      </x:c>
      <x:c r="J458" s="20" t="n">
        <x:v>-1910.78</x:v>
      </x:c>
      <x:c r="K458" s="10" t="str">
        <x:v>Realizado</x:v>
      </x:c>
      <x:c r="L458" s="10" t="str">
        <x:v>Contas a Pagar</x:v>
      </x:c>
    </x:row>
    <x:row r="459" ht="18" customHeight="1">
      <x:c r="A459" s="10" t="str">
        <x:v>MOV001299</x:v>
      </x:c>
      <x:c r="B459" s="16" t="n">
        <x:v>45507.335785104166</x:v>
      </x:c>
      <x:c r="C459" s="10" t="str">
        <x:v>EMP002</x:v>
      </x:c>
      <x:c r="D459" s="10" t="str">
        <x:v>CTA004</x:v>
      </x:c>
      <x:c r="E459" s="10" t="str">
        <x:v>Entrada</x:v>
      </x:c>
      <x:c r="F459" s="10" t="str">
        <x:v>CAT004</x:v>
      </x:c>
      <x:c r="G459" s="10" t="str">
        <x:v>Projeto especial</x:v>
      </x:c>
      <x:c r="H459" s="10" t="str">
        <x:v>REC00661</x:v>
      </x:c>
      <x:c r="I459" s="20" t="n">
        <x:v>106081.81</x:v>
      </x:c>
      <x:c r="J459" s="20" t="n">
        <x:v>106081.81</x:v>
      </x:c>
      <x:c r="K459" s="10" t="str">
        <x:v>Realizado</x:v>
      </x:c>
      <x:c r="L459" s="10" t="str">
        <x:v>Contas a Receber</x:v>
      </x:c>
    </x:row>
    <x:row r="460" ht="18" customHeight="1">
      <x:c r="A460" s="10" t="str">
        <x:v>MOV001026</x:v>
      </x:c>
      <x:c r="B460" s="16" t="n">
        <x:v>45509.676777939814</x:v>
      </x:c>
      <x:c r="C460" s="10" t="str">
        <x:v>EMP003</x:v>
      </x:c>
      <x:c r="D460" s="10" t="str">
        <x:v>CTA006</x:v>
      </x:c>
      <x:c r="E460" s="10" t="str">
        <x:v>Entrada</x:v>
      </x:c>
      <x:c r="F460" s="10" t="str">
        <x:v>CAT004</x:v>
      </x:c>
      <x:c r="G460" s="10" t="str">
        <x:v>Venda de produtos</x:v>
      </x:c>
      <x:c r="H460" s="10" t="str">
        <x:v>REC00330</x:v>
      </x:c>
      <x:c r="I460" s="20" t="n">
        <x:v>47758.73</x:v>
      </x:c>
      <x:c r="J460" s="20" t="n">
        <x:v>47758.73</x:v>
      </x:c>
      <x:c r="K460" s="10" t="str">
        <x:v>Realizado</x:v>
      </x:c>
      <x:c r="L460" s="10" t="str">
        <x:v>Contas a Receber</x:v>
      </x:c>
    </x:row>
    <x:row r="461" ht="18" customHeight="1">
      <x:c r="A461" s="10" t="str">
        <x:v>MOV001155</x:v>
      </x:c>
      <x:c r="B461" s="16" t="n">
        <x:v>45510.37222686342</x:v>
      </x:c>
      <x:c r="C461" s="10" t="str">
        <x:v>EMP003</x:v>
      </x:c>
      <x:c r="D461" s="10" t="str">
        <x:v>CTA006</x:v>
      </x:c>
      <x:c r="E461" s="10" t="str">
        <x:v>Entrada</x:v>
      </x:c>
      <x:c r="F461" s="10" t="str">
        <x:v>CAT003</x:v>
      </x:c>
      <x:c r="G461" s="10" t="str">
        <x:v>Prestação de serviços</x:v>
      </x:c>
      <x:c r="H461" s="10" t="str">
        <x:v>REC00488</x:v>
      </x:c>
      <x:c r="I461" s="20" t="n">
        <x:v>12112.93</x:v>
      </x:c>
      <x:c r="J461" s="20" t="n">
        <x:v>12112.93</x:v>
      </x:c>
      <x:c r="K461" s="10" t="str">
        <x:v>Realizado</x:v>
      </x:c>
      <x:c r="L461" s="10" t="str">
        <x:v>Contas a Receber</x:v>
      </x:c>
    </x:row>
    <x:row r="462" ht="18" customHeight="1">
      <x:c r="A462" s="10" t="str">
        <x:v>MOV000311</x:v>
      </x:c>
      <x:c r="B462" s="16" t="n">
        <x:v>45510.39173461805</x:v>
      </x:c>
      <x:c r="C462" s="10" t="str">
        <x:v>EMP002</x:v>
      </x:c>
      <x:c r="D462" s="10" t="str">
        <x:v>CTA003</x:v>
      </x:c>
      <x:c r="E462" s="10" t="str">
        <x:v>Saída</x:v>
      </x:c>
      <x:c r="F462" s="10" t="str">
        <x:v>CAT011</x:v>
      </x:c>
      <x:c r="G462" s="10" t="str">
        <x:v>Contrato recorrente</x:v>
      </x:c>
      <x:c r="H462" s="10" t="str">
        <x:v>PAG00361</x:v>
      </x:c>
      <x:c r="I462" s="20" t="n">
        <x:v>5071.15</x:v>
      </x:c>
      <x:c r="J462" s="20" t="n">
        <x:v>-5071.15</x:v>
      </x:c>
      <x:c r="K462" s="10" t="str">
        <x:v>Realizado</x:v>
      </x:c>
      <x:c r="L462" s="10" t="str">
        <x:v>Contas a Pagar</x:v>
      </x:c>
    </x:row>
    <x:row r="463" ht="18" customHeight="1">
      <x:c r="A463" s="10" t="str">
        <x:v>MOV000597</x:v>
      </x:c>
      <x:c r="B463" s="16" t="n">
        <x:v>45511.200397685185</x:v>
      </x:c>
      <x:c r="C463" s="10" t="str">
        <x:v>EMP003</x:v>
      </x:c>
      <x:c r="D463" s="10" t="str">
        <x:v>CTA005</x:v>
      </x:c>
      <x:c r="E463" s="10" t="str">
        <x:v>Saída</x:v>
      </x:c>
      <x:c r="F463" s="10" t="str">
        <x:v>CAT005</x:v>
      </x:c>
      <x:c r="G463" s="10" t="str">
        <x:v>Tributos e taxas</x:v>
      </x:c>
      <x:c r="H463" s="10" t="str">
        <x:v>PAG00704</x:v>
      </x:c>
      <x:c r="I463" s="20" t="n">
        <x:v>102693.65</x:v>
      </x:c>
      <x:c r="J463" s="20" t="n">
        <x:v>-102693.65</x:v>
      </x:c>
      <x:c r="K463" s="10" t="str">
        <x:v>Realizado</x:v>
      </x:c>
      <x:c r="L463" s="10" t="str">
        <x:v>Contas a Pagar</x:v>
      </x:c>
    </x:row>
    <x:row r="464" ht="18" customHeight="1">
      <x:c r="A464" s="10" t="str">
        <x:v>MOV001502</x:v>
      </x:c>
      <x:c r="B464" s="16" t="n">
        <x:v>45511.75718721065</x:v>
      </x:c>
      <x:c r="C464" s="10" t="str">
        <x:v>EMP002</x:v>
      </x:c>
      <x:c r="D464" s="10" t="str">
        <x:v>CTA003</x:v>
      </x:c>
      <x:c r="E464" s="10" t="str">
        <x:v>Entrada</x:v>
      </x:c>
      <x:c r="F464" s="10" t="str">
        <x:v>CAT003</x:v>
      </x:c>
      <x:c r="G464" s="10" t="str">
        <x:v>Venda de produtos</x:v>
      </x:c>
      <x:c r="H464" s="10" t="str">
        <x:v>REC00911</x:v>
      </x:c>
      <x:c r="I464" s="20" t="n">
        <x:v>83814.33</x:v>
      </x:c>
      <x:c r="J464" s="20" t="n">
        <x:v>83814.33</x:v>
      </x:c>
      <x:c r="K464" s="10" t="str">
        <x:v>Realizado</x:v>
      </x:c>
      <x:c r="L464" s="10" t="str">
        <x:v>Contas a Receber</x:v>
      </x:c>
    </x:row>
    <x:row r="465" ht="18" customHeight="1">
      <x:c r="A465" s="10" t="str">
        <x:v>MOV001161</x:v>
      </x:c>
      <x:c r="B465" s="16" t="n">
        <x:v>45512.3327769213</x:v>
      </x:c>
      <x:c r="C465" s="10" t="str">
        <x:v>EMP002</x:v>
      </x:c>
      <x:c r="D465" s="10" t="str">
        <x:v>CTA003</x:v>
      </x:c>
      <x:c r="E465" s="10" t="str">
        <x:v>Entrada</x:v>
      </x:c>
      <x:c r="F465" s="10" t="str">
        <x:v>CAT002</x:v>
      </x:c>
      <x:c r="G465" s="10" t="str">
        <x:v>Projeto especial</x:v>
      </x:c>
      <x:c r="H465" s="10" t="str">
        <x:v>REC00494</x:v>
      </x:c>
      <x:c r="I465" s="20" t="n">
        <x:v>879.56</x:v>
      </x:c>
      <x:c r="J465" s="20" t="n">
        <x:v>879.56</x:v>
      </x:c>
      <x:c r="K465" s="10" t="str">
        <x:v>Realizado</x:v>
      </x:c>
      <x:c r="L465" s="10" t="str">
        <x:v>Contas a Receber</x:v>
      </x:c>
    </x:row>
    <x:row r="466" ht="18" customHeight="1">
      <x:c r="A466" s="10" t="str">
        <x:v>MOV000041</x:v>
      </x:c>
      <x:c r="B466" s="16" t="n">
        <x:v>45512.690935590275</x:v>
      </x:c>
      <x:c r="C466" s="10" t="str">
        <x:v>EMP003</x:v>
      </x:c>
      <x:c r="D466" s="10" t="str">
        <x:v>CTA006</x:v>
      </x:c>
      <x:c r="E466" s="10" t="str">
        <x:v>Saída</x:v>
      </x:c>
      <x:c r="F466" s="10" t="str">
        <x:v>CAT016</x:v>
      </x:c>
      <x:c r="G466" s="10" t="str">
        <x:v>Compra de materiais</x:v>
      </x:c>
      <x:c r="H466" s="10" t="str">
        <x:v>PAG00041</x:v>
      </x:c>
      <x:c r="I466" s="20" t="n">
        <x:v>77242.58</x:v>
      </x:c>
      <x:c r="J466" s="20" t="n">
        <x:v>-77242.58</x:v>
      </x:c>
      <x:c r="K466" s="10" t="str">
        <x:v>Realizado</x:v>
      </x:c>
      <x:c r="L466" s="10" t="str">
        <x:v>Contas a Pagar</x:v>
      </x:c>
    </x:row>
    <x:row r="467" ht="18" customHeight="1">
      <x:c r="A467" s="10" t="str">
        <x:v>MOV001519</x:v>
      </x:c>
      <x:c r="B467" s="16" t="n">
        <x:v>45512.846968784725</x:v>
      </x:c>
      <x:c r="C467" s="10" t="str">
        <x:v>EMP002</x:v>
      </x:c>
      <x:c r="D467" s="10" t="str">
        <x:v>CTA003</x:v>
      </x:c>
      <x:c r="E467" s="10" t="str">
        <x:v>Entrada</x:v>
      </x:c>
      <x:c r="F467" s="10" t="str">
        <x:v>CAT002</x:v>
      </x:c>
      <x:c r="G467" s="10" t="str">
        <x:v>Contrato mensal</x:v>
      </x:c>
      <x:c r="H467" s="10" t="str">
        <x:v>REC00931</x:v>
      </x:c>
      <x:c r="I467" s="20" t="n">
        <x:v>10989.96</x:v>
      </x:c>
      <x:c r="J467" s="20" t="n">
        <x:v>10989.96</x:v>
      </x:c>
      <x:c r="K467" s="10" t="str">
        <x:v>Realizado</x:v>
      </x:c>
      <x:c r="L467" s="10" t="str">
        <x:v>Contas a Receber</x:v>
      </x:c>
    </x:row>
    <x:row r="468" ht="18" customHeight="1">
      <x:c r="A468" s="10" t="str">
        <x:v>MOV001336</x:v>
      </x:c>
      <x:c r="B468" s="16" t="n">
        <x:v>45513.28872373843</x:v>
      </x:c>
      <x:c r="C468" s="10" t="str">
        <x:v>EMP003</x:v>
      </x:c>
      <x:c r="D468" s="10" t="str">
        <x:v>CTA006</x:v>
      </x:c>
      <x:c r="E468" s="10" t="str">
        <x:v>Entrada</x:v>
      </x:c>
      <x:c r="F468" s="10" t="str">
        <x:v>CAT004</x:v>
      </x:c>
      <x:c r="G468" s="10" t="str">
        <x:v>Projeto especial</x:v>
      </x:c>
      <x:c r="H468" s="10" t="str">
        <x:v>REC00702</x:v>
      </x:c>
      <x:c r="I468" s="20" t="n">
        <x:v>49061.2</x:v>
      </x:c>
      <x:c r="J468" s="20" t="n">
        <x:v>49061.2</x:v>
      </x:c>
      <x:c r="K468" s="10" t="str">
        <x:v>Realizado</x:v>
      </x:c>
      <x:c r="L468" s="10" t="str">
        <x:v>Contas a Receber</x:v>
      </x:c>
    </x:row>
    <x:row r="469" ht="18" customHeight="1">
      <x:c r="A469" s="10" t="str">
        <x:v>MOV000545</x:v>
      </x:c>
      <x:c r="B469" s="16" t="n">
        <x:v>45513.46458197917</x:v>
      </x:c>
      <x:c r="C469" s="10" t="str">
        <x:v>EMP001</x:v>
      </x:c>
      <x:c r="D469" s="10" t="str">
        <x:v>CTA002</x:v>
      </x:c>
      <x:c r="E469" s="10" t="str">
        <x:v>Saída</x:v>
      </x:c>
      <x:c r="F469" s="10" t="str">
        <x:v>CAT014</x:v>
      </x:c>
      <x:c r="G469" s="10" t="str">
        <x:v>Compra de materiais</x:v>
      </x:c>
      <x:c r="H469" s="10" t="str">
        <x:v>PAG00639</x:v>
      </x:c>
      <x:c r="I469" s="20" t="n">
        <x:v>52944.53</x:v>
      </x:c>
      <x:c r="J469" s="20" t="n">
        <x:v>-52944.53</x:v>
      </x:c>
      <x:c r="K469" s="10" t="str">
        <x:v>Realizado</x:v>
      </x:c>
      <x:c r="L469" s="10" t="str">
        <x:v>Contas a Pagar</x:v>
      </x:c>
    </x:row>
    <x:row r="470" ht="18" customHeight="1">
      <x:c r="A470" s="10" t="str">
        <x:v>MOV001326</x:v>
      </x:c>
      <x:c r="B470" s="16" t="n">
        <x:v>45513.89487203704</x:v>
      </x:c>
      <x:c r="C470" s="10" t="str">
        <x:v>EMP003</x:v>
      </x:c>
      <x:c r="D470" s="10" t="str">
        <x:v>CTA006</x:v>
      </x:c>
      <x:c r="E470" s="10" t="str">
        <x:v>Entrada</x:v>
      </x:c>
      <x:c r="F470" s="10" t="str">
        <x:v>CAT002</x:v>
      </x:c>
      <x:c r="G470" s="10" t="str">
        <x:v>Venda de produtos</x:v>
      </x:c>
      <x:c r="H470" s="10" t="str">
        <x:v>REC00690</x:v>
      </x:c>
      <x:c r="I470" s="20" t="n">
        <x:v>101502.51</x:v>
      </x:c>
      <x:c r="J470" s="20" t="n">
        <x:v>101502.51</x:v>
      </x:c>
      <x:c r="K470" s="10" t="str">
        <x:v>Realizado</x:v>
      </x:c>
      <x:c r="L470" s="10" t="str">
        <x:v>Contas a Receber</x:v>
      </x:c>
    </x:row>
    <x:row r="471" ht="18" customHeight="1">
      <x:c r="A471" s="10" t="str">
        <x:v>MOV000387</x:v>
      </x:c>
      <x:c r="B471" s="16" t="n">
        <x:v>45515.53004839121</x:v>
      </x:c>
      <x:c r="C471" s="10" t="str">
        <x:v>EMP001</x:v>
      </x:c>
      <x:c r="D471" s="10" t="str">
        <x:v>CTA001</x:v>
      </x:c>
      <x:c r="E471" s="10" t="str">
        <x:v>Saída</x:v>
      </x:c>
      <x:c r="F471" s="10" t="str">
        <x:v>CAT017</x:v>
      </x:c>
      <x:c r="G471" s="10" t="str">
        <x:v>Prestação de serviços</x:v>
      </x:c>
      <x:c r="H471" s="10" t="str">
        <x:v>PAG00450</x:v>
      </x:c>
      <x:c r="I471" s="20" t="n">
        <x:v>7123.14</x:v>
      </x:c>
      <x:c r="J471" s="20" t="n">
        <x:v>-7123.14</x:v>
      </x:c>
      <x:c r="K471" s="10" t="str">
        <x:v>Realizado</x:v>
      </x:c>
      <x:c r="L471" s="10" t="str">
        <x:v>Contas a Pagar</x:v>
      </x:c>
    </x:row>
    <x:row r="472" ht="18" customHeight="1">
      <x:c r="A472" s="10" t="str">
        <x:v>MOV000770</x:v>
      </x:c>
      <x:c r="B472" s="16" t="n">
        <x:v>45515.72303346065</x:v>
      </x:c>
      <x:c r="C472" s="10" t="str">
        <x:v>EMP001</x:v>
      </x:c>
      <x:c r="D472" s="10" t="str">
        <x:v>CTA001</x:v>
      </x:c>
      <x:c r="E472" s="10" t="str">
        <x:v>Entrada</x:v>
      </x:c>
      <x:c r="F472" s="10" t="str">
        <x:v>CAT003</x:v>
      </x:c>
      <x:c r="G472" s="10" t="str">
        <x:v>Venda de produtos</x:v>
      </x:c>
      <x:c r="H472" s="10" t="str">
        <x:v>REC00019</x:v>
      </x:c>
      <x:c r="I472" s="20" t="n">
        <x:v>28580.95</x:v>
      </x:c>
      <x:c r="J472" s="20" t="n">
        <x:v>28580.95</x:v>
      </x:c>
      <x:c r="K472" s="10" t="str">
        <x:v>Realizado</x:v>
      </x:c>
      <x:c r="L472" s="10" t="str">
        <x:v>Contas a Receber</x:v>
      </x:c>
    </x:row>
    <x:row r="473" ht="18" customHeight="1">
      <x:c r="A473" s="10" t="str">
        <x:v>MOV001632</x:v>
      </x:c>
      <x:c r="B473" s="16" t="n">
        <x:v>45515.87684005787</x:v>
      </x:c>
      <x:c r="C473" s="10" t="str">
        <x:v>EMP001</x:v>
      </x:c>
      <x:c r="D473" s="10" t="str">
        <x:v>CTA001</x:v>
      </x:c>
      <x:c r="E473" s="10" t="str">
        <x:v>Entrada</x:v>
      </x:c>
      <x:c r="F473" s="10" t="str">
        <x:v>CAT003</x:v>
      </x:c>
      <x:c r="G473" s="10" t="str">
        <x:v>Venda de produtos</x:v>
      </x:c>
      <x:c r="H473" s="10" t="str">
        <x:v>REC01065</x:v>
      </x:c>
      <x:c r="I473" s="20" t="n">
        <x:v>3290.32</x:v>
      </x:c>
      <x:c r="J473" s="20" t="n">
        <x:v>3290.32</x:v>
      </x:c>
      <x:c r="K473" s="10" t="str">
        <x:v>Realizado</x:v>
      </x:c>
      <x:c r="L473" s="10" t="str">
        <x:v>Contas a Receber</x:v>
      </x:c>
    </x:row>
    <x:row r="474" ht="18" customHeight="1">
      <x:c r="A474" s="10" t="str">
        <x:v>MOV000765</x:v>
      </x:c>
      <x:c r="B474" s="16" t="n">
        <x:v>45516.16169586805</x:v>
      </x:c>
      <x:c r="C474" s="10" t="str">
        <x:v>EMP002</x:v>
      </x:c>
      <x:c r="D474" s="10" t="str">
        <x:v>CTA004</x:v>
      </x:c>
      <x:c r="E474" s="10" t="str">
        <x:v>Entrada</x:v>
      </x:c>
      <x:c r="F474" s="10" t="str">
        <x:v>CAT002</x:v>
      </x:c>
      <x:c r="G474" s="10" t="str">
        <x:v>Prestação de serviços</x:v>
      </x:c>
      <x:c r="H474" s="10" t="str">
        <x:v>REC00010</x:v>
      </x:c>
      <x:c r="I474" s="20" t="n">
        <x:v>112091.05</x:v>
      </x:c>
      <x:c r="J474" s="20" t="n">
        <x:v>112091.05</x:v>
      </x:c>
      <x:c r="K474" s="10" t="str">
        <x:v>Realizado</x:v>
      </x:c>
      <x:c r="L474" s="10" t="str">
        <x:v>Contas a Receber</x:v>
      </x:c>
    </x:row>
    <x:row r="475" ht="18" customHeight="1">
      <x:c r="A475" s="10" t="str">
        <x:v>MOV000416</x:v>
      </x:c>
      <x:c r="B475" s="16" t="n">
        <x:v>45516.66176164352</x:v>
      </x:c>
      <x:c r="C475" s="10" t="str">
        <x:v>EMP003</x:v>
      </x:c>
      <x:c r="D475" s="10" t="str">
        <x:v>CTA005</x:v>
      </x:c>
      <x:c r="E475" s="10" t="str">
        <x:v>Saída</x:v>
      </x:c>
      <x:c r="F475" s="10" t="str">
        <x:v>CAT011</x:v>
      </x:c>
      <x:c r="G475" s="10" t="str">
        <x:v>Prestação de serviços</x:v>
      </x:c>
      <x:c r="H475" s="10" t="str">
        <x:v>PAG00485</x:v>
      </x:c>
      <x:c r="I475" s="20" t="n">
        <x:v>80502.6</x:v>
      </x:c>
      <x:c r="J475" s="20" t="n">
        <x:v>-80502.6</x:v>
      </x:c>
      <x:c r="K475" s="10" t="str">
        <x:v>Realizado</x:v>
      </x:c>
      <x:c r="L475" s="10" t="str">
        <x:v>Contas a Pagar</x:v>
      </x:c>
    </x:row>
    <x:row r="476" ht="18" customHeight="1">
      <x:c r="A476" s="10" t="str">
        <x:v>MOV000895</x:v>
      </x:c>
      <x:c r="B476" s="16" t="n">
        <x:v>45516.91303027778</x:v>
      </x:c>
      <x:c r="C476" s="10" t="str">
        <x:v>EMP001</x:v>
      </x:c>
      <x:c r="D476" s="10" t="str">
        <x:v>CTA002</x:v>
      </x:c>
      <x:c r="E476" s="10" t="str">
        <x:v>Entrada</x:v>
      </x:c>
      <x:c r="F476" s="10" t="str">
        <x:v>CAT004</x:v>
      </x:c>
      <x:c r="G476" s="10" t="str">
        <x:v>Contrato mensal</x:v>
      </x:c>
      <x:c r="H476" s="10" t="str">
        <x:v>REC00171</x:v>
      </x:c>
      <x:c r="I476" s="20" t="n">
        <x:v>1130.55</x:v>
      </x:c>
      <x:c r="J476" s="20" t="n">
        <x:v>1130.55</x:v>
      </x:c>
      <x:c r="K476" s="10" t="str">
        <x:v>Realizado</x:v>
      </x:c>
      <x:c r="L476" s="10" t="str">
        <x:v>Contas a Receber</x:v>
      </x:c>
    </x:row>
    <x:row r="477" ht="18" customHeight="1">
      <x:c r="A477" s="10" t="str">
        <x:v>MOV000637</x:v>
      </x:c>
      <x:c r="B477" s="16" t="n">
        <x:v>45517.780166909724</x:v>
      </x:c>
      <x:c r="C477" s="10" t="str">
        <x:v>EMP002</x:v>
      </x:c>
      <x:c r="D477" s="10" t="str">
        <x:v>CTA003</x:v>
      </x:c>
      <x:c r="E477" s="10" t="str">
        <x:v>Saída</x:v>
      </x:c>
      <x:c r="F477" s="10" t="str">
        <x:v>CAT016</x:v>
      </x:c>
      <x:c r="G477" s="10" t="str">
        <x:v>Contrato recorrente</x:v>
      </x:c>
      <x:c r="H477" s="10" t="str">
        <x:v>PAG00755</x:v>
      </x:c>
      <x:c r="I477" s="20" t="n">
        <x:v>12707.01</x:v>
      </x:c>
      <x:c r="J477" s="20" t="n">
        <x:v>-12707.01</x:v>
      </x:c>
      <x:c r="K477" s="10" t="str">
        <x:v>Realizado</x:v>
      </x:c>
      <x:c r="L477" s="10" t="str">
        <x:v>Contas a Pagar</x:v>
      </x:c>
    </x:row>
    <x:row r="478" ht="18" customHeight="1">
      <x:c r="A478" s="10" t="str">
        <x:v>MOV000815</x:v>
      </x:c>
      <x:c r="B478" s="16" t="n">
        <x:v>45517.789223287036</x:v>
      </x:c>
      <x:c r="C478" s="10" t="str">
        <x:v>EMP003</x:v>
      </x:c>
      <x:c r="D478" s="10" t="str">
        <x:v>CTA006</x:v>
      </x:c>
      <x:c r="E478" s="10" t="str">
        <x:v>Entrada</x:v>
      </x:c>
      <x:c r="F478" s="10" t="str">
        <x:v>CAT004</x:v>
      </x:c>
      <x:c r="G478" s="10" t="str">
        <x:v>Prestação de serviços</x:v>
      </x:c>
      <x:c r="H478" s="10" t="str">
        <x:v>REC00076</x:v>
      </x:c>
      <x:c r="I478" s="20" t="n">
        <x:v>15797.84</x:v>
      </x:c>
      <x:c r="J478" s="20" t="n">
        <x:v>15797.84</x:v>
      </x:c>
      <x:c r="K478" s="10" t="str">
        <x:v>Realizado</x:v>
      </x:c>
      <x:c r="L478" s="10" t="str">
        <x:v>Contas a Receber</x:v>
      </x:c>
    </x:row>
    <x:row r="479" ht="18" customHeight="1">
      <x:c r="A479" s="10" t="str">
        <x:v>MOV000961</x:v>
      </x:c>
      <x:c r="B479" s="16" t="n">
        <x:v>45518.2362021875</x:v>
      </x:c>
      <x:c r="C479" s="10" t="str">
        <x:v>EMP001</x:v>
      </x:c>
      <x:c r="D479" s="10" t="str">
        <x:v>CTA002</x:v>
      </x:c>
      <x:c r="E479" s="10" t="str">
        <x:v>Entrada</x:v>
      </x:c>
      <x:c r="F479" s="10" t="str">
        <x:v>CAT001</x:v>
      </x:c>
      <x:c r="G479" s="10" t="str">
        <x:v>Projeto especial</x:v>
      </x:c>
      <x:c r="H479" s="10" t="str">
        <x:v>REC00247</x:v>
      </x:c>
      <x:c r="I479" s="20" t="n">
        <x:v>47019.41</x:v>
      </x:c>
      <x:c r="J479" s="20" t="n">
        <x:v>47019.41</x:v>
      </x:c>
      <x:c r="K479" s="10" t="str">
        <x:v>Realizado</x:v>
      </x:c>
      <x:c r="L479" s="10" t="str">
        <x:v>Contas a Receber</x:v>
      </x:c>
    </x:row>
    <x:row r="480" ht="18" customHeight="1">
      <x:c r="A480" s="10" t="str">
        <x:v>MOV001392</x:v>
      </x:c>
      <x:c r="B480" s="16" t="n">
        <x:v>45518.317104305555</x:v>
      </x:c>
      <x:c r="C480" s="10" t="str">
        <x:v>EMP001</x:v>
      </x:c>
      <x:c r="D480" s="10" t="str">
        <x:v>CTA001</x:v>
      </x:c>
      <x:c r="E480" s="10" t="str">
        <x:v>Entrada</x:v>
      </x:c>
      <x:c r="F480" s="10" t="str">
        <x:v>CAT003</x:v>
      </x:c>
      <x:c r="G480" s="10" t="str">
        <x:v>Frete faturado</x:v>
      </x:c>
      <x:c r="H480" s="10" t="str">
        <x:v>REC00771</x:v>
      </x:c>
      <x:c r="I480" s="20" t="n">
        <x:v>25105.05</x:v>
      </x:c>
      <x:c r="J480" s="20" t="n">
        <x:v>25105.05</x:v>
      </x:c>
      <x:c r="K480" s="10" t="str">
        <x:v>Realizado</x:v>
      </x:c>
      <x:c r="L480" s="10" t="str">
        <x:v>Contas a Receber</x:v>
      </x:c>
    </x:row>
    <x:row r="481" ht="18" customHeight="1">
      <x:c r="A481" s="10" t="str">
        <x:v>MOV000286</x:v>
      </x:c>
      <x:c r="B481" s="16" t="n">
        <x:v>45518.33097865741</x:v>
      </x:c>
      <x:c r="C481" s="10" t="str">
        <x:v>EMP002</x:v>
      </x:c>
      <x:c r="D481" s="10" t="str">
        <x:v>CTA004</x:v>
      </x:c>
      <x:c r="E481" s="10" t="str">
        <x:v>Saída</x:v>
      </x:c>
      <x:c r="F481" s="10" t="str">
        <x:v>CAT010</x:v>
      </x:c>
      <x:c r="G481" s="10" t="str">
        <x:v>Compra de materiais</x:v>
      </x:c>
      <x:c r="H481" s="10" t="str">
        <x:v>PAG00332</x:v>
      </x:c>
      <x:c r="I481" s="20" t="n">
        <x:v>19529.06</x:v>
      </x:c>
      <x:c r="J481" s="20" t="n">
        <x:v>-19529.06</x:v>
      </x:c>
      <x:c r="K481" s="10" t="str">
        <x:v>Realizado</x:v>
      </x:c>
      <x:c r="L481" s="10" t="str">
        <x:v>Contas a Pagar</x:v>
      </x:c>
    </x:row>
    <x:row r="482" ht="18" customHeight="1">
      <x:c r="A482" s="10" t="str">
        <x:v>MOV001557</x:v>
      </x:c>
      <x:c r="B482" s="16" t="n">
        <x:v>45518.9531534375</x:v>
      </x:c>
      <x:c r="C482" s="10" t="str">
        <x:v>EMP001</x:v>
      </x:c>
      <x:c r="D482" s="10" t="str">
        <x:v>CTA002</x:v>
      </x:c>
      <x:c r="E482" s="10" t="str">
        <x:v>Entrada</x:v>
      </x:c>
      <x:c r="F482" s="10" t="str">
        <x:v>CAT001</x:v>
      </x:c>
      <x:c r="G482" s="10" t="str">
        <x:v>Venda de produtos</x:v>
      </x:c>
      <x:c r="H482" s="10" t="str">
        <x:v>REC00975</x:v>
      </x:c>
      <x:c r="I482" s="20" t="n">
        <x:v>59384.59</x:v>
      </x:c>
      <x:c r="J482" s="20" t="n">
        <x:v>59384.59</x:v>
      </x:c>
      <x:c r="K482" s="10" t="str">
        <x:v>Realizado</x:v>
      </x:c>
      <x:c r="L482" s="10" t="str">
        <x:v>Contas a Receber</x:v>
      </x:c>
    </x:row>
    <x:row r="483" ht="18" customHeight="1">
      <x:c r="A483" s="10" t="str">
        <x:v>MOV001348</x:v>
      </x:c>
      <x:c r="B483" s="16" t="n">
        <x:v>45519.05038724537</x:v>
      </x:c>
      <x:c r="C483" s="10" t="str">
        <x:v>EMP003</x:v>
      </x:c>
      <x:c r="D483" s="10" t="str">
        <x:v>CTA006</x:v>
      </x:c>
      <x:c r="E483" s="10" t="str">
        <x:v>Entrada</x:v>
      </x:c>
      <x:c r="F483" s="10" t="str">
        <x:v>CAT001</x:v>
      </x:c>
      <x:c r="G483" s="10" t="str">
        <x:v>Frete faturado</x:v>
      </x:c>
      <x:c r="H483" s="10" t="str">
        <x:v>REC00715</x:v>
      </x:c>
      <x:c r="I483" s="20" t="n">
        <x:v>84481.87</x:v>
      </x:c>
      <x:c r="J483" s="20" t="n">
        <x:v>84481.87</x:v>
      </x:c>
      <x:c r="K483" s="10" t="str">
        <x:v>Realizado</x:v>
      </x:c>
      <x:c r="L483" s="10" t="str">
        <x:v>Contas a Receber</x:v>
      </x:c>
    </x:row>
    <x:row r="484" ht="18" customHeight="1">
      <x:c r="A484" s="10" t="str">
        <x:v>MOV000530</x:v>
      </x:c>
      <x:c r="B484" s="16" t="n">
        <x:v>45519.261507152776</x:v>
      </x:c>
      <x:c r="C484" s="10" t="str">
        <x:v>EMP001</x:v>
      </x:c>
      <x:c r="D484" s="10" t="str">
        <x:v>CTA002</x:v>
      </x:c>
      <x:c r="E484" s="10" t="str">
        <x:v>Saída</x:v>
      </x:c>
      <x:c r="F484" s="10" t="str">
        <x:v>CAT014</x:v>
      </x:c>
      <x:c r="G484" s="10" t="str">
        <x:v>Compra de materiais</x:v>
      </x:c>
      <x:c r="H484" s="10" t="str">
        <x:v>PAG00620</x:v>
      </x:c>
      <x:c r="I484" s="20" t="n">
        <x:v>14537.89</x:v>
      </x:c>
      <x:c r="J484" s="20" t="n">
        <x:v>-14537.89</x:v>
      </x:c>
      <x:c r="K484" s="10" t="str">
        <x:v>Realizado</x:v>
      </x:c>
      <x:c r="L484" s="10" t="str">
        <x:v>Contas a Pagar</x:v>
      </x:c>
    </x:row>
    <x:row r="485" ht="18" customHeight="1">
      <x:c r="A485" s="10" t="str">
        <x:v>MOV000975</x:v>
      </x:c>
      <x:c r="B485" s="16" t="n">
        <x:v>45519.326892743054</x:v>
      </x:c>
      <x:c r="C485" s="10" t="str">
        <x:v>EMP002</x:v>
      </x:c>
      <x:c r="D485" s="10" t="str">
        <x:v>CTA003</x:v>
      </x:c>
      <x:c r="E485" s="10" t="str">
        <x:v>Entrada</x:v>
      </x:c>
      <x:c r="F485" s="10" t="str">
        <x:v>CAT002</x:v>
      </x:c>
      <x:c r="G485" s="10" t="str">
        <x:v>Contrato mensal</x:v>
      </x:c>
      <x:c r="H485" s="10" t="str">
        <x:v>REC00268</x:v>
      </x:c>
      <x:c r="I485" s="20" t="n">
        <x:v>135543.38</x:v>
      </x:c>
      <x:c r="J485" s="20" t="n">
        <x:v>135543.38</x:v>
      </x:c>
      <x:c r="K485" s="10" t="str">
        <x:v>Realizado</x:v>
      </x:c>
      <x:c r="L485" s="10" t="str">
        <x:v>Contas a Receber</x:v>
      </x:c>
    </x:row>
    <x:row r="486" ht="18" customHeight="1">
      <x:c r="A486" s="10" t="str">
        <x:v>MOV001111</x:v>
      </x:c>
      <x:c r="B486" s="16" t="n">
        <x:v>45519.4135246875</x:v>
      </x:c>
      <x:c r="C486" s="10" t="str">
        <x:v>EMP003</x:v>
      </x:c>
      <x:c r="D486" s="10" t="str">
        <x:v>CTA005</x:v>
      </x:c>
      <x:c r="E486" s="10" t="str">
        <x:v>Entrada</x:v>
      </x:c>
      <x:c r="F486" s="10" t="str">
        <x:v>CAT002</x:v>
      </x:c>
      <x:c r="G486" s="10" t="str">
        <x:v>Projeto especial</x:v>
      </x:c>
      <x:c r="H486" s="10" t="str">
        <x:v>REC00437</x:v>
      </x:c>
      <x:c r="I486" s="20" t="n">
        <x:v>47637.76</x:v>
      </x:c>
      <x:c r="J486" s="20" t="n">
        <x:v>47637.76</x:v>
      </x:c>
      <x:c r="K486" s="10" t="str">
        <x:v>Realizado</x:v>
      </x:c>
      <x:c r="L486" s="10" t="str">
        <x:v>Contas a Receber</x:v>
      </x:c>
    </x:row>
    <x:row r="487" ht="18" customHeight="1">
      <x:c r="A487" s="10" t="str">
        <x:v>MOV001256</x:v>
      </x:c>
      <x:c r="B487" s="16" t="n">
        <x:v>45519.636210972225</x:v>
      </x:c>
      <x:c r="C487" s="10" t="str">
        <x:v>EMP002</x:v>
      </x:c>
      <x:c r="D487" s="10" t="str">
        <x:v>CTA004</x:v>
      </x:c>
      <x:c r="E487" s="10" t="str">
        <x:v>Entrada</x:v>
      </x:c>
      <x:c r="F487" s="10" t="str">
        <x:v>CAT004</x:v>
      </x:c>
      <x:c r="G487" s="10" t="str">
        <x:v>Contrato mensal</x:v>
      </x:c>
      <x:c r="H487" s="10" t="str">
        <x:v>REC00610</x:v>
      </x:c>
      <x:c r="I487" s="20" t="n">
        <x:v>128653.04</x:v>
      </x:c>
      <x:c r="J487" s="20" t="n">
        <x:v>128653.04</x:v>
      </x:c>
      <x:c r="K487" s="10" t="str">
        <x:v>Realizado</x:v>
      </x:c>
      <x:c r="L487" s="10" t="str">
        <x:v>Contas a Receber</x:v>
      </x:c>
    </x:row>
    <x:row r="488" ht="18" customHeight="1">
      <x:c r="A488" s="10" t="str">
        <x:v>MOV000616</x:v>
      </x:c>
      <x:c r="B488" s="16" t="n">
        <x:v>45520.16397048611</x:v>
      </x:c>
      <x:c r="C488" s="10" t="str">
        <x:v>EMP003</x:v>
      </x:c>
      <x:c r="D488" s="10" t="str">
        <x:v>CTA005</x:v>
      </x:c>
      <x:c r="E488" s="10" t="str">
        <x:v>Saída</x:v>
      </x:c>
      <x:c r="F488" s="10" t="str">
        <x:v>CAT008</x:v>
      </x:c>
      <x:c r="G488" s="10" t="str">
        <x:v>Prestação de serviços</x:v>
      </x:c>
      <x:c r="H488" s="10" t="str">
        <x:v>PAG00729</x:v>
      </x:c>
      <x:c r="I488" s="20" t="n">
        <x:v>12085.47</x:v>
      </x:c>
      <x:c r="J488" s="20" t="n">
        <x:v>-12085.47</x:v>
      </x:c>
      <x:c r="K488" s="10" t="str">
        <x:v>Realizado</x:v>
      </x:c>
      <x:c r="L488" s="10" t="str">
        <x:v>Contas a Pagar</x:v>
      </x:c>
    </x:row>
    <x:row r="489" ht="18" customHeight="1">
      <x:c r="A489" s="10" t="str">
        <x:v>MOV000335</x:v>
      </x:c>
      <x:c r="B489" s="16" t="n">
        <x:v>45520.522558715274</x:v>
      </x:c>
      <x:c r="C489" s="10" t="str">
        <x:v>EMP003</x:v>
      </x:c>
      <x:c r="D489" s="10" t="str">
        <x:v>CTA005</x:v>
      </x:c>
      <x:c r="E489" s="10" t="str">
        <x:v>Saída</x:v>
      </x:c>
      <x:c r="F489" s="10" t="str">
        <x:v>CAT017</x:v>
      </x:c>
      <x:c r="G489" s="10" t="str">
        <x:v>Tributos e taxas</x:v>
      </x:c>
      <x:c r="H489" s="10" t="str">
        <x:v>PAG00388</x:v>
      </x:c>
      <x:c r="I489" s="20" t="n">
        <x:v>78901.89</x:v>
      </x:c>
      <x:c r="J489" s="20" t="n">
        <x:v>-78901.89</x:v>
      </x:c>
      <x:c r="K489" s="10" t="str">
        <x:v>Realizado</x:v>
      </x:c>
      <x:c r="L489" s="10" t="str">
        <x:v>Contas a Pagar</x:v>
      </x:c>
    </x:row>
    <x:row r="490" ht="18" customHeight="1">
      <x:c r="A490" s="10" t="str">
        <x:v>MOV001385</x:v>
      </x:c>
      <x:c r="B490" s="16" t="n">
        <x:v>45520.83607295139</x:v>
      </x:c>
      <x:c r="C490" s="10" t="str">
        <x:v>EMP003</x:v>
      </x:c>
      <x:c r="D490" s="10" t="str">
        <x:v>CTA005</x:v>
      </x:c>
      <x:c r="E490" s="10" t="str">
        <x:v>Entrada</x:v>
      </x:c>
      <x:c r="F490" s="10" t="str">
        <x:v>CAT002</x:v>
      </x:c>
      <x:c r="G490" s="10" t="str">
        <x:v>Venda de produtos</x:v>
      </x:c>
      <x:c r="H490" s="10" t="str">
        <x:v>REC00761</x:v>
      </x:c>
      <x:c r="I490" s="20" t="n">
        <x:v>52467.12</x:v>
      </x:c>
      <x:c r="J490" s="20" t="n">
        <x:v>52467.12</x:v>
      </x:c>
      <x:c r="K490" s="10" t="str">
        <x:v>Realizado</x:v>
      </x:c>
      <x:c r="L490" s="10" t="str">
        <x:v>Contas a Receber</x:v>
      </x:c>
    </x:row>
    <x:row r="491" ht="18" customHeight="1">
      <x:c r="A491" s="10" t="str">
        <x:v>MOV000068</x:v>
      </x:c>
      <x:c r="B491" s="16" t="n">
        <x:v>45521.008604016206</x:v>
      </x:c>
      <x:c r="C491" s="10" t="str">
        <x:v>EMP001</x:v>
      </x:c>
      <x:c r="D491" s="10" t="str">
        <x:v>CTA002</x:v>
      </x:c>
      <x:c r="E491" s="10" t="str">
        <x:v>Saída</x:v>
      </x:c>
      <x:c r="F491" s="10" t="str">
        <x:v>CAT006</x:v>
      </x:c>
      <x:c r="G491" s="10" t="str">
        <x:v>Despesa operacional</x:v>
      </x:c>
      <x:c r="H491" s="10" t="str">
        <x:v>PAG00075</x:v>
      </x:c>
      <x:c r="I491" s="20" t="n">
        <x:v>28887.72</x:v>
      </x:c>
      <x:c r="J491" s="20" t="n">
        <x:v>-28887.72</x:v>
      </x:c>
      <x:c r="K491" s="10" t="str">
        <x:v>Realizado</x:v>
      </x:c>
      <x:c r="L491" s="10" t="str">
        <x:v>Contas a Pagar</x:v>
      </x:c>
    </x:row>
    <x:row r="492" ht="18" customHeight="1">
      <x:c r="A492" s="10" t="str">
        <x:v>MOV000313</x:v>
      </x:c>
      <x:c r="B492" s="16" t="n">
        <x:v>45521.09034631944</x:v>
      </x:c>
      <x:c r="C492" s="10" t="str">
        <x:v>EMP002</x:v>
      </x:c>
      <x:c r="D492" s="10" t="str">
        <x:v>CTA003</x:v>
      </x:c>
      <x:c r="E492" s="10" t="str">
        <x:v>Saída</x:v>
      </x:c>
      <x:c r="F492" s="10" t="str">
        <x:v>CAT012</x:v>
      </x:c>
      <x:c r="G492" s="10" t="str">
        <x:v>Tributos e taxas</x:v>
      </x:c>
      <x:c r="H492" s="10" t="str">
        <x:v>PAG00363</x:v>
      </x:c>
      <x:c r="I492" s="20" t="n">
        <x:v>89921.77</x:v>
      </x:c>
      <x:c r="J492" s="20" t="n">
        <x:v>-89921.77</x:v>
      </x:c>
      <x:c r="K492" s="10" t="str">
        <x:v>Realizado</x:v>
      </x:c>
      <x:c r="L492" s="10" t="str">
        <x:v>Contas a Pagar</x:v>
      </x:c>
    </x:row>
    <x:row r="493" ht="18" customHeight="1">
      <x:c r="A493" s="10" t="str">
        <x:v>MOV001087</x:v>
      </x:c>
      <x:c r="B493" s="16" t="n">
        <x:v>45522.01184921296</x:v>
      </x:c>
      <x:c r="C493" s="10" t="str">
        <x:v>EMP001</x:v>
      </x:c>
      <x:c r="D493" s="10" t="str">
        <x:v>CTA002</x:v>
      </x:c>
      <x:c r="E493" s="10" t="str">
        <x:v>Entrada</x:v>
      </x:c>
      <x:c r="F493" s="10" t="str">
        <x:v>CAT001</x:v>
      </x:c>
      <x:c r="G493" s="10" t="str">
        <x:v>Projeto especial</x:v>
      </x:c>
      <x:c r="H493" s="10" t="str">
        <x:v>REC00410</x:v>
      </x:c>
      <x:c r="I493" s="20" t="n">
        <x:v>34365.15</x:v>
      </x:c>
      <x:c r="J493" s="20" t="n">
        <x:v>34365.15</x:v>
      </x:c>
      <x:c r="K493" s="10" t="str">
        <x:v>Realizado</x:v>
      </x:c>
      <x:c r="L493" s="10" t="str">
        <x:v>Contas a Receber</x:v>
      </x:c>
    </x:row>
    <x:row r="494" ht="18" customHeight="1">
      <x:c r="A494" s="10" t="str">
        <x:v>MOV001388</x:v>
      </x:c>
      <x:c r="B494" s="16" t="n">
        <x:v>45523.64298225695</x:v>
      </x:c>
      <x:c r="C494" s="10" t="str">
        <x:v>EMP003</x:v>
      </x:c>
      <x:c r="D494" s="10" t="str">
        <x:v>CTA006</x:v>
      </x:c>
      <x:c r="E494" s="10" t="str">
        <x:v>Entrada</x:v>
      </x:c>
      <x:c r="F494" s="10" t="str">
        <x:v>CAT004</x:v>
      </x:c>
      <x:c r="G494" s="10" t="str">
        <x:v>Contrato mensal</x:v>
      </x:c>
      <x:c r="H494" s="10" t="str">
        <x:v>REC00766</x:v>
      </x:c>
      <x:c r="I494" s="20" t="n">
        <x:v>2430.12</x:v>
      </x:c>
      <x:c r="J494" s="20" t="n">
        <x:v>2430.12</x:v>
      </x:c>
      <x:c r="K494" s="10" t="str">
        <x:v>Realizado</x:v>
      </x:c>
      <x:c r="L494" s="10" t="str">
        <x:v>Contas a Receber</x:v>
      </x:c>
    </x:row>
    <x:row r="495" ht="18" customHeight="1">
      <x:c r="A495" s="10" t="str">
        <x:v>MOV000726</x:v>
      </x:c>
      <x:c r="B495" s="16" t="n">
        <x:v>45524.19332900463</x:v>
      </x:c>
      <x:c r="C495" s="10" t="str">
        <x:v>EMP003</x:v>
      </x:c>
      <x:c r="D495" s="10" t="str">
        <x:v>CTA006</x:v>
      </x:c>
      <x:c r="E495" s="10" t="str">
        <x:v>Saída</x:v>
      </x:c>
      <x:c r="F495" s="10" t="str">
        <x:v>CAT017</x:v>
      </x:c>
      <x:c r="G495" s="10" t="str">
        <x:v>Despesa operacional</x:v>
      </x:c>
      <x:c r="H495" s="10" t="str">
        <x:v>PAG00862</x:v>
      </x:c>
      <x:c r="I495" s="20" t="n">
        <x:v>53793.15</x:v>
      </x:c>
      <x:c r="J495" s="20" t="n">
        <x:v>-53793.15</x:v>
      </x:c>
      <x:c r="K495" s="10" t="str">
        <x:v>Realizado</x:v>
      </x:c>
      <x:c r="L495" s="10" t="str">
        <x:v>Contas a Pagar</x:v>
      </x:c>
    </x:row>
    <x:row r="496" ht="18" customHeight="1">
      <x:c r="A496" s="10" t="str">
        <x:v>MOV001310</x:v>
      </x:c>
      <x:c r="B496" s="16" t="n">
        <x:v>45524.28052332176</x:v>
      </x:c>
      <x:c r="C496" s="10" t="str">
        <x:v>EMP002</x:v>
      </x:c>
      <x:c r="D496" s="10" t="str">
        <x:v>CTA004</x:v>
      </x:c>
      <x:c r="E496" s="10" t="str">
        <x:v>Entrada</x:v>
      </x:c>
      <x:c r="F496" s="10" t="str">
        <x:v>CAT004</x:v>
      </x:c>
      <x:c r="G496" s="10" t="str">
        <x:v>Projeto especial</x:v>
      </x:c>
      <x:c r="H496" s="10" t="str">
        <x:v>REC00673</x:v>
      </x:c>
      <x:c r="I496" s="20" t="n">
        <x:v>72133.68</x:v>
      </x:c>
      <x:c r="J496" s="20" t="n">
        <x:v>72133.68</x:v>
      </x:c>
      <x:c r="K496" s="10" t="str">
        <x:v>Realizado</x:v>
      </x:c>
      <x:c r="L496" s="10" t="str">
        <x:v>Contas a Receber</x:v>
      </x:c>
    </x:row>
    <x:row r="497" ht="18" customHeight="1">
      <x:c r="A497" s="10" t="str">
        <x:v>MOV001358</x:v>
      </x:c>
      <x:c r="B497" s="16" t="n">
        <x:v>45525.25919158565</x:v>
      </x:c>
      <x:c r="C497" s="10" t="str">
        <x:v>EMP001</x:v>
      </x:c>
      <x:c r="D497" s="10" t="str">
        <x:v>CTA002</x:v>
      </x:c>
      <x:c r="E497" s="10" t="str">
        <x:v>Entrada</x:v>
      </x:c>
      <x:c r="F497" s="10" t="str">
        <x:v>CAT002</x:v>
      </x:c>
      <x:c r="G497" s="10" t="str">
        <x:v>Frete faturado</x:v>
      </x:c>
      <x:c r="H497" s="10" t="str">
        <x:v>REC00727</x:v>
      </x:c>
      <x:c r="I497" s="20" t="n">
        <x:v>22084.6</x:v>
      </x:c>
      <x:c r="J497" s="20" t="n">
        <x:v>22084.6</x:v>
      </x:c>
      <x:c r="K497" s="10" t="str">
        <x:v>Realizado</x:v>
      </x:c>
      <x:c r="L497" s="10" t="str">
        <x:v>Contas a Receber</x:v>
      </x:c>
    </x:row>
    <x:row r="498" ht="18" customHeight="1">
      <x:c r="A498" s="10" t="str">
        <x:v>MOV000535</x:v>
      </x:c>
      <x:c r="B498" s="16" t="n">
        <x:v>45525.36723849537</x:v>
      </x:c>
      <x:c r="C498" s="10" t="str">
        <x:v>EMP002</x:v>
      </x:c>
      <x:c r="D498" s="10" t="str">
        <x:v>CTA003</x:v>
      </x:c>
      <x:c r="E498" s="10" t="str">
        <x:v>Saída</x:v>
      </x:c>
      <x:c r="F498" s="10" t="str">
        <x:v>CAT014</x:v>
      </x:c>
      <x:c r="G498" s="10" t="str">
        <x:v>Tributos e taxas</x:v>
      </x:c>
      <x:c r="H498" s="10" t="str">
        <x:v>PAG00627</x:v>
      </x:c>
      <x:c r="I498" s="20" t="n">
        <x:v>33572.88</x:v>
      </x:c>
      <x:c r="J498" s="20" t="n">
        <x:v>-33572.88</x:v>
      </x:c>
      <x:c r="K498" s="10" t="str">
        <x:v>Realizado</x:v>
      </x:c>
      <x:c r="L498" s="10" t="str">
        <x:v>Contas a Pagar</x:v>
      </x:c>
    </x:row>
    <x:row r="499" ht="18" customHeight="1">
      <x:c r="A499" s="10" t="str">
        <x:v>MOV000543</x:v>
      </x:c>
      <x:c r="B499" s="16" t="n">
        <x:v>45525.502188287035</x:v>
      </x:c>
      <x:c r="C499" s="10" t="str">
        <x:v>EMP001</x:v>
      </x:c>
      <x:c r="D499" s="10" t="str">
        <x:v>CTA002</x:v>
      </x:c>
      <x:c r="E499" s="10" t="str">
        <x:v>Saída</x:v>
      </x:c>
      <x:c r="F499" s="10" t="str">
        <x:v>CAT015</x:v>
      </x:c>
      <x:c r="G499" s="10" t="str">
        <x:v>Prestação de serviços</x:v>
      </x:c>
      <x:c r="H499" s="10" t="str">
        <x:v>PAG00637</x:v>
      </x:c>
      <x:c r="I499" s="20" t="n">
        <x:v>13888.86</x:v>
      </x:c>
      <x:c r="J499" s="20" t="n">
        <x:v>-13888.86</x:v>
      </x:c>
      <x:c r="K499" s="10" t="str">
        <x:v>Realizado</x:v>
      </x:c>
      <x:c r="L499" s="10" t="str">
        <x:v>Contas a Pagar</x:v>
      </x:c>
    </x:row>
    <x:row r="500" ht="18" customHeight="1">
      <x:c r="A500" s="10" t="str">
        <x:v>MOV000226</x:v>
      </x:c>
      <x:c r="B500" s="16" t="n">
        <x:v>45525.88125251157</x:v>
      </x:c>
      <x:c r="C500" s="10" t="str">
        <x:v>EMP002</x:v>
      </x:c>
      <x:c r="D500" s="10" t="str">
        <x:v>CTA003</x:v>
      </x:c>
      <x:c r="E500" s="10" t="str">
        <x:v>Saída</x:v>
      </x:c>
      <x:c r="F500" s="10" t="str">
        <x:v>CAT016</x:v>
      </x:c>
      <x:c r="G500" s="10" t="str">
        <x:v>Prestação de serviços</x:v>
      </x:c>
      <x:c r="H500" s="10" t="str">
        <x:v>PAG00265</x:v>
      </x:c>
      <x:c r="I500" s="20" t="n">
        <x:v>4935.81</x:v>
      </x:c>
      <x:c r="J500" s="20" t="n">
        <x:v>-4935.81</x:v>
      </x:c>
      <x:c r="K500" s="10" t="str">
        <x:v>Realizado</x:v>
      </x:c>
      <x:c r="L500" s="10" t="str">
        <x:v>Contas a Pagar</x:v>
      </x:c>
    </x:row>
    <x:row r="501" ht="18" customHeight="1">
      <x:c r="A501" s="10" t="str">
        <x:v>MOV001646</x:v>
      </x:c>
      <x:c r="B501" s="16" t="n">
        <x:v>45525.906083842594</x:v>
      </x:c>
      <x:c r="C501" s="10" t="str">
        <x:v>EMP003</x:v>
      </x:c>
      <x:c r="D501" s="10" t="str">
        <x:v>CTA006</x:v>
      </x:c>
      <x:c r="E501" s="10" t="str">
        <x:v>Entrada</x:v>
      </x:c>
      <x:c r="F501" s="10" t="str">
        <x:v>CAT004</x:v>
      </x:c>
      <x:c r="G501" s="10" t="str">
        <x:v>Projeto especial</x:v>
      </x:c>
      <x:c r="H501" s="10" t="str">
        <x:v>REC01083</x:v>
      </x:c>
      <x:c r="I501" s="20" t="n">
        <x:v>2778.79</x:v>
      </x:c>
      <x:c r="J501" s="20" t="n">
        <x:v>2778.79</x:v>
      </x:c>
      <x:c r="K501" s="10" t="str">
        <x:v>Realizado</x:v>
      </x:c>
      <x:c r="L501" s="10" t="str">
        <x:v>Contas a Receber</x:v>
      </x:c>
    </x:row>
    <x:row r="502" ht="18" customHeight="1">
      <x:c r="A502" s="10" t="str">
        <x:v>MOV000496</x:v>
      </x:c>
      <x:c r="B502" s="16" t="n">
        <x:v>45525.938046574076</x:v>
      </x:c>
      <x:c r="C502" s="10" t="str">
        <x:v>EMP001</x:v>
      </x:c>
      <x:c r="D502" s="10" t="str">
        <x:v>CTA002</x:v>
      </x:c>
      <x:c r="E502" s="10" t="str">
        <x:v>Saída</x:v>
      </x:c>
      <x:c r="F502" s="10" t="str">
        <x:v>CAT013</x:v>
      </x:c>
      <x:c r="G502" s="10" t="str">
        <x:v>Contrato recorrente</x:v>
      </x:c>
      <x:c r="H502" s="10" t="str">
        <x:v>PAG00581</x:v>
      </x:c>
      <x:c r="I502" s="20" t="n">
        <x:v>82583.16</x:v>
      </x:c>
      <x:c r="J502" s="20" t="n">
        <x:v>-82583.16</x:v>
      </x:c>
      <x:c r="K502" s="10" t="str">
        <x:v>Realizado</x:v>
      </x:c>
      <x:c r="L502" s="10" t="str">
        <x:v>Contas a Pagar</x:v>
      </x:c>
    </x:row>
    <x:row r="503" ht="18" customHeight="1">
      <x:c r="A503" s="10" t="str">
        <x:v>MOV000654</x:v>
      </x:c>
      <x:c r="B503" s="16" t="n">
        <x:v>45526.26861452546</x:v>
      </x:c>
      <x:c r="C503" s="10" t="str">
        <x:v>EMP002</x:v>
      </x:c>
      <x:c r="D503" s="10" t="str">
        <x:v>CTA004</x:v>
      </x:c>
      <x:c r="E503" s="10" t="str">
        <x:v>Saída</x:v>
      </x:c>
      <x:c r="F503" s="10" t="str">
        <x:v>CAT009</x:v>
      </x:c>
      <x:c r="G503" s="10" t="str">
        <x:v>Compra de materiais</x:v>
      </x:c>
      <x:c r="H503" s="10" t="str">
        <x:v>PAG00775</x:v>
      </x:c>
      <x:c r="I503" s="20" t="n">
        <x:v>13585.21</x:v>
      </x:c>
      <x:c r="J503" s="20" t="n">
        <x:v>-13585.21</x:v>
      </x:c>
      <x:c r="K503" s="10" t="str">
        <x:v>Realizado</x:v>
      </x:c>
      <x:c r="L503" s="10" t="str">
        <x:v>Contas a Pagar</x:v>
      </x:c>
    </x:row>
    <x:row r="504" ht="18" customHeight="1">
      <x:c r="A504" s="10" t="str">
        <x:v>MOV001612</x:v>
      </x:c>
      <x:c r="B504" s="16" t="n">
        <x:v>45526.385145023145</x:v>
      </x:c>
      <x:c r="C504" s="10" t="str">
        <x:v>EMP001</x:v>
      </x:c>
      <x:c r="D504" s="10" t="str">
        <x:v>CTA001</x:v>
      </x:c>
      <x:c r="E504" s="10" t="str">
        <x:v>Entrada</x:v>
      </x:c>
      <x:c r="F504" s="10" t="str">
        <x:v>CAT002</x:v>
      </x:c>
      <x:c r="G504" s="10" t="str">
        <x:v>Frete faturado</x:v>
      </x:c>
      <x:c r="H504" s="10" t="str">
        <x:v>REC01041</x:v>
      </x:c>
      <x:c r="I504" s="20" t="n">
        <x:v>100873.72</x:v>
      </x:c>
      <x:c r="J504" s="20" t="n">
        <x:v>100873.72</x:v>
      </x:c>
      <x:c r="K504" s="10" t="str">
        <x:v>Realizado</x:v>
      </x:c>
      <x:c r="L504" s="10" t="str">
        <x:v>Contas a Receber</x:v>
      </x:c>
    </x:row>
    <x:row r="505" ht="18" customHeight="1">
      <x:c r="A505" s="10" t="str">
        <x:v>MOV000676</x:v>
      </x:c>
      <x:c r="B505" s="16" t="n">
        <x:v>45528.290111967595</x:v>
      </x:c>
      <x:c r="C505" s="10" t="str">
        <x:v>EMP001</x:v>
      </x:c>
      <x:c r="D505" s="10" t="str">
        <x:v>CTA001</x:v>
      </x:c>
      <x:c r="E505" s="10" t="str">
        <x:v>Saída</x:v>
      </x:c>
      <x:c r="F505" s="10" t="str">
        <x:v>CAT005</x:v>
      </x:c>
      <x:c r="G505" s="10" t="str">
        <x:v>Tributos e taxas</x:v>
      </x:c>
      <x:c r="H505" s="10" t="str">
        <x:v>PAG00803</x:v>
      </x:c>
      <x:c r="I505" s="20" t="n">
        <x:v>72859.03</x:v>
      </x:c>
      <x:c r="J505" s="20" t="n">
        <x:v>-72859.03</x:v>
      </x:c>
      <x:c r="K505" s="10" t="str">
        <x:v>Realizado</x:v>
      </x:c>
      <x:c r="L505" s="10" t="str">
        <x:v>Contas a Pagar</x:v>
      </x:c>
    </x:row>
    <x:row r="506" ht="18" customHeight="1">
      <x:c r="A506" s="10" t="str">
        <x:v>MOV000251</x:v>
      </x:c>
      <x:c r="B506" s="16" t="n">
        <x:v>45528.734012175926</x:v>
      </x:c>
      <x:c r="C506" s="10" t="str">
        <x:v>EMP002</x:v>
      </x:c>
      <x:c r="D506" s="10" t="str">
        <x:v>CTA004</x:v>
      </x:c>
      <x:c r="E506" s="10" t="str">
        <x:v>Saída</x:v>
      </x:c>
      <x:c r="F506" s="10" t="str">
        <x:v>CAT008</x:v>
      </x:c>
      <x:c r="G506" s="10" t="str">
        <x:v>Tributos e taxas</x:v>
      </x:c>
      <x:c r="H506" s="10" t="str">
        <x:v>PAG00293</x:v>
      </x:c>
      <x:c r="I506" s="20" t="n">
        <x:v>18801.12</x:v>
      </x:c>
      <x:c r="J506" s="20" t="n">
        <x:v>-18801.12</x:v>
      </x:c>
      <x:c r="K506" s="10" t="str">
        <x:v>Realizado</x:v>
      </x:c>
      <x:c r="L506" s="10" t="str">
        <x:v>Contas a Pagar</x:v>
      </x:c>
    </x:row>
    <x:row r="507" ht="18" customHeight="1">
      <x:c r="A507" s="10" t="str">
        <x:v>MOV000780</x:v>
      </x:c>
      <x:c r="B507" s="16" t="n">
        <x:v>45528.96417543982</x:v>
      </x:c>
      <x:c r="C507" s="10" t="str">
        <x:v>EMP003</x:v>
      </x:c>
      <x:c r="D507" s="10" t="str">
        <x:v>CTA006</x:v>
      </x:c>
      <x:c r="E507" s="10" t="str">
        <x:v>Entrada</x:v>
      </x:c>
      <x:c r="F507" s="10" t="str">
        <x:v>CAT001</x:v>
      </x:c>
      <x:c r="G507" s="10" t="str">
        <x:v>Projeto especial</x:v>
      </x:c>
      <x:c r="H507" s="10" t="str">
        <x:v>REC00033</x:v>
      </x:c>
      <x:c r="I507" s="20" t="n">
        <x:v>2206.86</x:v>
      </x:c>
      <x:c r="J507" s="20" t="n">
        <x:v>2206.86</x:v>
      </x:c>
      <x:c r="K507" s="10" t="str">
        <x:v>Realizado</x:v>
      </x:c>
      <x:c r="L507" s="10" t="str">
        <x:v>Contas a Receber</x:v>
      </x:c>
    </x:row>
    <x:row r="508" ht="18" customHeight="1">
      <x:c r="A508" s="10" t="str">
        <x:v>MOV000399</x:v>
      </x:c>
      <x:c r="B508" s="16" t="n">
        <x:v>45529.09101427083</x:v>
      </x:c>
      <x:c r="C508" s="10" t="str">
        <x:v>EMP002</x:v>
      </x:c>
      <x:c r="D508" s="10" t="str">
        <x:v>CTA003</x:v>
      </x:c>
      <x:c r="E508" s="10" t="str">
        <x:v>Saída</x:v>
      </x:c>
      <x:c r="F508" s="10" t="str">
        <x:v>CAT011</x:v>
      </x:c>
      <x:c r="G508" s="10" t="str">
        <x:v>Prestação de serviços</x:v>
      </x:c>
      <x:c r="H508" s="10" t="str">
        <x:v>PAG00464</x:v>
      </x:c>
      <x:c r="I508" s="20" t="n">
        <x:v>673.04</x:v>
      </x:c>
      <x:c r="J508" s="20" t="n">
        <x:v>-673.04</x:v>
      </x:c>
      <x:c r="K508" s="10" t="str">
        <x:v>Realizado</x:v>
      </x:c>
      <x:c r="L508" s="10" t="str">
        <x:v>Contas a Pagar</x:v>
      </x:c>
    </x:row>
    <x:row r="509" ht="18" customHeight="1">
      <x:c r="A509" s="10" t="str">
        <x:v>MOV000954</x:v>
      </x:c>
      <x:c r="B509" s="16" t="n">
        <x:v>45529.29791252315</x:v>
      </x:c>
      <x:c r="C509" s="10" t="str">
        <x:v>EMP001</x:v>
      </x:c>
      <x:c r="D509" s="10" t="str">
        <x:v>CTA002</x:v>
      </x:c>
      <x:c r="E509" s="10" t="str">
        <x:v>Entrada</x:v>
      </x:c>
      <x:c r="F509" s="10" t="str">
        <x:v>CAT002</x:v>
      </x:c>
      <x:c r="G509" s="10" t="str">
        <x:v>Prestação de serviços</x:v>
      </x:c>
      <x:c r="H509" s="10" t="str">
        <x:v>REC00240</x:v>
      </x:c>
      <x:c r="I509" s="20" t="n">
        <x:v>56826.49</x:v>
      </x:c>
      <x:c r="J509" s="20" t="n">
        <x:v>56826.49</x:v>
      </x:c>
      <x:c r="K509" s="10" t="str">
        <x:v>Realizado</x:v>
      </x:c>
      <x:c r="L509" s="10" t="str">
        <x:v>Contas a Receber</x:v>
      </x:c>
    </x:row>
    <x:row r="510" ht="18" customHeight="1">
      <x:c r="A510" s="10" t="str">
        <x:v>MOV000257</x:v>
      </x:c>
      <x:c r="B510" s="16" t="n">
        <x:v>45529.84832538194</x:v>
      </x:c>
      <x:c r="C510" s="10" t="str">
        <x:v>EMP003</x:v>
      </x:c>
      <x:c r="D510" s="10" t="str">
        <x:v>CTA005</x:v>
      </x:c>
      <x:c r="E510" s="10" t="str">
        <x:v>Saída</x:v>
      </x:c>
      <x:c r="F510" s="10" t="str">
        <x:v>CAT014</x:v>
      </x:c>
      <x:c r="G510" s="10" t="str">
        <x:v>Contrato recorrente</x:v>
      </x:c>
      <x:c r="H510" s="10" t="str">
        <x:v>PAG00300</x:v>
      </x:c>
      <x:c r="I510" s="20" t="n">
        <x:v>59177.75</x:v>
      </x:c>
      <x:c r="J510" s="20" t="n">
        <x:v>-59177.75</x:v>
      </x:c>
      <x:c r="K510" s="10" t="str">
        <x:v>Realizado</x:v>
      </x:c>
      <x:c r="L510" s="10" t="str">
        <x:v>Contas a Pagar</x:v>
      </x:c>
    </x:row>
    <x:row r="511" ht="18" customHeight="1">
      <x:c r="A511" s="10" t="str">
        <x:v>MOV000400</x:v>
      </x:c>
      <x:c r="B511" s="16" t="n">
        <x:v>45529.85958435185</x:v>
      </x:c>
      <x:c r="C511" s="10" t="str">
        <x:v>EMP001</x:v>
      </x:c>
      <x:c r="D511" s="10" t="str">
        <x:v>CTA002</x:v>
      </x:c>
      <x:c r="E511" s="10" t="str">
        <x:v>Saída</x:v>
      </x:c>
      <x:c r="F511" s="10" t="str">
        <x:v>CAT008</x:v>
      </x:c>
      <x:c r="G511" s="10" t="str">
        <x:v>Compra de materiais</x:v>
      </x:c>
      <x:c r="H511" s="10" t="str">
        <x:v>PAG00466</x:v>
      </x:c>
      <x:c r="I511" s="20" t="n">
        <x:v>57923.68</x:v>
      </x:c>
      <x:c r="J511" s="20" t="n">
        <x:v>-57923.68</x:v>
      </x:c>
      <x:c r="K511" s="10" t="str">
        <x:v>Realizado</x:v>
      </x:c>
      <x:c r="L511" s="10" t="str">
        <x:v>Contas a Pagar</x:v>
      </x:c>
    </x:row>
    <x:row r="512" ht="18" customHeight="1">
      <x:c r="A512" s="10" t="str">
        <x:v>MOV001641</x:v>
      </x:c>
      <x:c r="B512" s="16" t="n">
        <x:v>45529.902750775465</x:v>
      </x:c>
      <x:c r="C512" s="10" t="str">
        <x:v>EMP002</x:v>
      </x:c>
      <x:c r="D512" s="10" t="str">
        <x:v>CTA003</x:v>
      </x:c>
      <x:c r="E512" s="10" t="str">
        <x:v>Entrada</x:v>
      </x:c>
      <x:c r="F512" s="10" t="str">
        <x:v>CAT003</x:v>
      </x:c>
      <x:c r="G512" s="10" t="str">
        <x:v>Projeto especial</x:v>
      </x:c>
      <x:c r="H512" s="10" t="str">
        <x:v>REC01077</x:v>
      </x:c>
      <x:c r="I512" s="20" t="n">
        <x:v>924.61</x:v>
      </x:c>
      <x:c r="J512" s="20" t="n">
        <x:v>924.61</x:v>
      </x:c>
      <x:c r="K512" s="10" t="str">
        <x:v>Realizado</x:v>
      </x:c>
      <x:c r="L512" s="10" t="str">
        <x:v>Contas a Receber</x:v>
      </x:c>
    </x:row>
    <x:row r="513" ht="18" customHeight="1">
      <x:c r="A513" s="10" t="str">
        <x:v>MOV000564</x:v>
      </x:c>
      <x:c r="B513" s="16" t="n">
        <x:v>45530.58304758102</x:v>
      </x:c>
      <x:c r="C513" s="10" t="str">
        <x:v>EMP003</x:v>
      </x:c>
      <x:c r="D513" s="10" t="str">
        <x:v>CTA005</x:v>
      </x:c>
      <x:c r="E513" s="10" t="str">
        <x:v>Saída</x:v>
      </x:c>
      <x:c r="F513" s="10" t="str">
        <x:v>CAT010</x:v>
      </x:c>
      <x:c r="G513" s="10" t="str">
        <x:v>Contrato recorrente</x:v>
      </x:c>
      <x:c r="H513" s="10" t="str">
        <x:v>PAG00661</x:v>
      </x:c>
      <x:c r="I513" s="20" t="n">
        <x:v>102548.33</x:v>
      </x:c>
      <x:c r="J513" s="20" t="n">
        <x:v>-102548.33</x:v>
      </x:c>
      <x:c r="K513" s="10" t="str">
        <x:v>Realizado</x:v>
      </x:c>
      <x:c r="L513" s="10" t="str">
        <x:v>Contas a Pagar</x:v>
      </x:c>
    </x:row>
    <x:row r="514" ht="18" customHeight="1">
      <x:c r="A514" s="10" t="str">
        <x:v>MOV001006</x:v>
      </x:c>
      <x:c r="B514" s="16" t="n">
        <x:v>45530.6035187963</x:v>
      </x:c>
      <x:c r="C514" s="10" t="str">
        <x:v>EMP003</x:v>
      </x:c>
      <x:c r="D514" s="10" t="str">
        <x:v>CTA005</x:v>
      </x:c>
      <x:c r="E514" s="10" t="str">
        <x:v>Entrada</x:v>
      </x:c>
      <x:c r="F514" s="10" t="str">
        <x:v>CAT001</x:v>
      </x:c>
      <x:c r="G514" s="10" t="str">
        <x:v>Venda de produtos</x:v>
      </x:c>
      <x:c r="H514" s="10" t="str">
        <x:v>REC00307</x:v>
      </x:c>
      <x:c r="I514" s="20" t="n">
        <x:v>94115.14</x:v>
      </x:c>
      <x:c r="J514" s="20" t="n">
        <x:v>94115.14</x:v>
      </x:c>
      <x:c r="K514" s="10" t="str">
        <x:v>Realizado</x:v>
      </x:c>
      <x:c r="L514" s="10" t="str">
        <x:v>Contas a Receber</x:v>
      </x:c>
    </x:row>
    <x:row r="515" ht="18" customHeight="1">
      <x:c r="A515" s="10" t="str">
        <x:v>MOV000158</x:v>
      </x:c>
      <x:c r="B515" s="16" t="n">
        <x:v>45530.619173113424</x:v>
      </x:c>
      <x:c r="C515" s="10" t="str">
        <x:v>EMP003</x:v>
      </x:c>
      <x:c r="D515" s="10" t="str">
        <x:v>CTA005</x:v>
      </x:c>
      <x:c r="E515" s="10" t="str">
        <x:v>Saída</x:v>
      </x:c>
      <x:c r="F515" s="10" t="str">
        <x:v>CAT009</x:v>
      </x:c>
      <x:c r="G515" s="10" t="str">
        <x:v>Compra de materiais</x:v>
      </x:c>
      <x:c r="H515" s="10" t="str">
        <x:v>PAG00184</x:v>
      </x:c>
      <x:c r="I515" s="20" t="n">
        <x:v>1194.77</x:v>
      </x:c>
      <x:c r="J515" s="20" t="n">
        <x:v>-1194.77</x:v>
      </x:c>
      <x:c r="K515" s="10" t="str">
        <x:v>Realizado</x:v>
      </x:c>
      <x:c r="L515" s="10" t="str">
        <x:v>Contas a Pagar</x:v>
      </x:c>
    </x:row>
    <x:row r="516" ht="18" customHeight="1">
      <x:c r="A516" s="10" t="str">
        <x:v>MOV001182</x:v>
      </x:c>
      <x:c r="B516" s="16" t="n">
        <x:v>45531.01332452546</x:v>
      </x:c>
      <x:c r="C516" s="10" t="str">
        <x:v>EMP003</x:v>
      </x:c>
      <x:c r="D516" s="10" t="str">
        <x:v>CTA005</x:v>
      </x:c>
      <x:c r="E516" s="10" t="str">
        <x:v>Entrada</x:v>
      </x:c>
      <x:c r="F516" s="10" t="str">
        <x:v>CAT001</x:v>
      </x:c>
      <x:c r="G516" s="10" t="str">
        <x:v>Venda de produtos</x:v>
      </x:c>
      <x:c r="H516" s="10" t="str">
        <x:v>REC00519</x:v>
      </x:c>
      <x:c r="I516" s="20" t="n">
        <x:v>7761.07</x:v>
      </x:c>
      <x:c r="J516" s="20" t="n">
        <x:v>7761.07</x:v>
      </x:c>
      <x:c r="K516" s="10" t="str">
        <x:v>Realizado</x:v>
      </x:c>
      <x:c r="L516" s="10" t="str">
        <x:v>Contas a Receber</x:v>
      </x:c>
    </x:row>
    <x:row r="517" ht="18" customHeight="1">
      <x:c r="A517" s="10" t="str">
        <x:v>MOV000700</x:v>
      </x:c>
      <x:c r="B517" s="16" t="n">
        <x:v>45531.7762665162</x:v>
      </x:c>
      <x:c r="C517" s="10" t="str">
        <x:v>EMP001</x:v>
      </x:c>
      <x:c r="D517" s="10" t="str">
        <x:v>CTA002</x:v>
      </x:c>
      <x:c r="E517" s="10" t="str">
        <x:v>Saída</x:v>
      </x:c>
      <x:c r="F517" s="10" t="str">
        <x:v>CAT009</x:v>
      </x:c>
      <x:c r="G517" s="10" t="str">
        <x:v>Compra de materiais</x:v>
      </x:c>
      <x:c r="H517" s="10" t="str">
        <x:v>PAG00830</x:v>
      </x:c>
      <x:c r="I517" s="20" t="n">
        <x:v>54989.91</x:v>
      </x:c>
      <x:c r="J517" s="20" t="n">
        <x:v>-54989.91</x:v>
      </x:c>
      <x:c r="K517" s="10" t="str">
        <x:v>Realizado</x:v>
      </x:c>
      <x:c r="L517" s="10" t="str">
        <x:v>Contas a Pagar</x:v>
      </x:c>
    </x:row>
    <x:row r="518" ht="18" customHeight="1">
      <x:c r="A518" s="10" t="str">
        <x:v>MOV001176</x:v>
      </x:c>
      <x:c r="B518" s="16" t="n">
        <x:v>45531.77666378472</x:v>
      </x:c>
      <x:c r="C518" s="10" t="str">
        <x:v>EMP001</x:v>
      </x:c>
      <x:c r="D518" s="10" t="str">
        <x:v>CTA002</x:v>
      </x:c>
      <x:c r="E518" s="10" t="str">
        <x:v>Entrada</x:v>
      </x:c>
      <x:c r="F518" s="10" t="str">
        <x:v>CAT003</x:v>
      </x:c>
      <x:c r="G518" s="10" t="str">
        <x:v>Contrato mensal</x:v>
      </x:c>
      <x:c r="H518" s="10" t="str">
        <x:v>REC00512</x:v>
      </x:c>
      <x:c r="I518" s="20" t="n">
        <x:v>8411.43</x:v>
      </x:c>
      <x:c r="J518" s="20" t="n">
        <x:v>8411.43</x:v>
      </x:c>
      <x:c r="K518" s="10" t="str">
        <x:v>Realizado</x:v>
      </x:c>
      <x:c r="L518" s="10" t="str">
        <x:v>Contas a Receber</x:v>
      </x:c>
    </x:row>
    <x:row r="519" ht="18" customHeight="1">
      <x:c r="A519" s="10" t="str">
        <x:v>MOV000534</x:v>
      </x:c>
      <x:c r="B519" s="16" t="n">
        <x:v>45531.98033763889</x:v>
      </x:c>
      <x:c r="C519" s="10" t="str">
        <x:v>EMP002</x:v>
      </x:c>
      <x:c r="D519" s="10" t="str">
        <x:v>CTA004</x:v>
      </x:c>
      <x:c r="E519" s="10" t="str">
        <x:v>Saída</x:v>
      </x:c>
      <x:c r="F519" s="10" t="str">
        <x:v>CAT006</x:v>
      </x:c>
      <x:c r="G519" s="10" t="str">
        <x:v>Compra de materiais</x:v>
      </x:c>
      <x:c r="H519" s="10" t="str">
        <x:v>PAG00626</x:v>
      </x:c>
      <x:c r="I519" s="20" t="n">
        <x:v>98689.38</x:v>
      </x:c>
      <x:c r="J519" s="20" t="n">
        <x:v>-98689.38</x:v>
      </x:c>
      <x:c r="K519" s="10" t="str">
        <x:v>Realizado</x:v>
      </x:c>
      <x:c r="L519" s="10" t="str">
        <x:v>Contas a Pagar</x:v>
      </x:c>
    </x:row>
    <x:row r="520" ht="18" customHeight="1">
      <x:c r="A520" s="10" t="str">
        <x:v>MOV001578</x:v>
      </x:c>
      <x:c r="B520" s="16" t="n">
        <x:v>45532.03405363426</x:v>
      </x:c>
      <x:c r="C520" s="10" t="str">
        <x:v>EMP001</x:v>
      </x:c>
      <x:c r="D520" s="10" t="str">
        <x:v>CTA001</x:v>
      </x:c>
      <x:c r="E520" s="10" t="str">
        <x:v>Entrada</x:v>
      </x:c>
      <x:c r="F520" s="10" t="str">
        <x:v>CAT003</x:v>
      </x:c>
      <x:c r="G520" s="10" t="str">
        <x:v>Venda de produtos</x:v>
      </x:c>
      <x:c r="H520" s="10" t="str">
        <x:v>REC01001</x:v>
      </x:c>
      <x:c r="I520" s="20" t="n">
        <x:v>120527.58</x:v>
      </x:c>
      <x:c r="J520" s="20" t="n">
        <x:v>120527.58</x:v>
      </x:c>
      <x:c r="K520" s="10" t="str">
        <x:v>Realizado</x:v>
      </x:c>
      <x:c r="L520" s="10" t="str">
        <x:v>Contas a Receber</x:v>
      </x:c>
    </x:row>
    <x:row r="521" ht="18" customHeight="1">
      <x:c r="A521" s="10" t="str">
        <x:v>MOV000714</x:v>
      </x:c>
      <x:c r="B521" s="16" t="n">
        <x:v>45532.94221663194</x:v>
      </x:c>
      <x:c r="C521" s="10" t="str">
        <x:v>EMP001</x:v>
      </x:c>
      <x:c r="D521" s="10" t="str">
        <x:v>CTA002</x:v>
      </x:c>
      <x:c r="E521" s="10" t="str">
        <x:v>Saída</x:v>
      </x:c>
      <x:c r="F521" s="10" t="str">
        <x:v>CAT006</x:v>
      </x:c>
      <x:c r="G521" s="10" t="str">
        <x:v>Compra de materiais</x:v>
      </x:c>
      <x:c r="H521" s="10" t="str">
        <x:v>PAG00848</x:v>
      </x:c>
      <x:c r="I521" s="20" t="n">
        <x:v>49762.45</x:v>
      </x:c>
      <x:c r="J521" s="20" t="n">
        <x:v>-49762.45</x:v>
      </x:c>
      <x:c r="K521" s="10" t="str">
        <x:v>Realizado</x:v>
      </x:c>
      <x:c r="L521" s="10" t="str">
        <x:v>Contas a Pagar</x:v>
      </x:c>
    </x:row>
    <x:row r="522" ht="18" customHeight="1">
      <x:c r="A522" s="10" t="str">
        <x:v>MOV000731</x:v>
      </x:c>
      <x:c r="B522" s="16" t="n">
        <x:v>45533.505279074074</x:v>
      </x:c>
      <x:c r="C522" s="10" t="str">
        <x:v>EMP003</x:v>
      </x:c>
      <x:c r="D522" s="10" t="str">
        <x:v>CTA005</x:v>
      </x:c>
      <x:c r="E522" s="10" t="str">
        <x:v>Saída</x:v>
      </x:c>
      <x:c r="F522" s="10" t="str">
        <x:v>CAT018</x:v>
      </x:c>
      <x:c r="G522" s="10" t="str">
        <x:v>Contrato recorrente</x:v>
      </x:c>
      <x:c r="H522" s="10" t="str">
        <x:v>PAG00870</x:v>
      </x:c>
      <x:c r="I522" s="20" t="n">
        <x:v>10888.22</x:v>
      </x:c>
      <x:c r="J522" s="20" t="n">
        <x:v>-10888.22</x:v>
      </x:c>
      <x:c r="K522" s="10" t="str">
        <x:v>Realizado</x:v>
      </x:c>
      <x:c r="L522" s="10" t="str">
        <x:v>Contas a Pagar</x:v>
      </x:c>
    </x:row>
    <x:row r="523" ht="18" customHeight="1">
      <x:c r="A523" s="10" t="str">
        <x:v>MOV000661</x:v>
      </x:c>
      <x:c r="B523" s="16" t="n">
        <x:v>45533.75384929398</x:v>
      </x:c>
      <x:c r="C523" s="10" t="str">
        <x:v>EMP001</x:v>
      </x:c>
      <x:c r="D523" s="10" t="str">
        <x:v>CTA002</x:v>
      </x:c>
      <x:c r="E523" s="10" t="str">
        <x:v>Saída</x:v>
      </x:c>
      <x:c r="F523" s="10" t="str">
        <x:v>CAT012</x:v>
      </x:c>
      <x:c r="G523" s="10" t="str">
        <x:v>Despesa operacional</x:v>
      </x:c>
      <x:c r="H523" s="10" t="str">
        <x:v>PAG00785</x:v>
      </x:c>
      <x:c r="I523" s="20" t="n">
        <x:v>109359.03</x:v>
      </x:c>
      <x:c r="J523" s="20" t="n">
        <x:v>-109359.03</x:v>
      </x:c>
      <x:c r="K523" s="10" t="str">
        <x:v>Realizado</x:v>
      </x:c>
      <x:c r="L523" s="10" t="str">
        <x:v>Contas a Pagar</x:v>
      </x:c>
    </x:row>
    <x:row r="524" ht="18" customHeight="1">
      <x:c r="A524" s="10" t="str">
        <x:v>MOV000088</x:v>
      </x:c>
      <x:c r="B524" s="16" t="n">
        <x:v>45535.32139114584</x:v>
      </x:c>
      <x:c r="C524" s="10" t="str">
        <x:v>EMP001</x:v>
      </x:c>
      <x:c r="D524" s="10" t="str">
        <x:v>CTA001</x:v>
      </x:c>
      <x:c r="E524" s="10" t="str">
        <x:v>Saída</x:v>
      </x:c>
      <x:c r="F524" s="10" t="str">
        <x:v>CAT007</x:v>
      </x:c>
      <x:c r="G524" s="10" t="str">
        <x:v>Prestação de serviços</x:v>
      </x:c>
      <x:c r="H524" s="10" t="str">
        <x:v>PAG00099</x:v>
      </x:c>
      <x:c r="I524" s="20" t="n">
        <x:v>101485.48</x:v>
      </x:c>
      <x:c r="J524" s="20" t="n">
        <x:v>-101485.48</x:v>
      </x:c>
      <x:c r="K524" s="10" t="str">
        <x:v>Realizado</x:v>
      </x:c>
      <x:c r="L524" s="10" t="str">
        <x:v>Contas a Pagar</x:v>
      </x:c>
    </x:row>
    <x:row r="525" ht="18" customHeight="1">
      <x:c r="A525" s="10" t="str">
        <x:v>MOV001201</x:v>
      </x:c>
      <x:c r="B525" s="16" t="n">
        <x:v>45536.36005568287</x:v>
      </x:c>
      <x:c r="C525" s="10" t="str">
        <x:v>EMP002</x:v>
      </x:c>
      <x:c r="D525" s="10" t="str">
        <x:v>CTA003</x:v>
      </x:c>
      <x:c r="E525" s="10" t="str">
        <x:v>Entrada</x:v>
      </x:c>
      <x:c r="F525" s="10" t="str">
        <x:v>CAT002</x:v>
      </x:c>
      <x:c r="G525" s="10" t="str">
        <x:v>Projeto especial</x:v>
      </x:c>
      <x:c r="H525" s="10" t="str">
        <x:v>REC00546</x:v>
      </x:c>
      <x:c r="I525" s="20" t="n">
        <x:v>52986.41</x:v>
      </x:c>
      <x:c r="J525" s="20" t="n">
        <x:v>52986.41</x:v>
      </x:c>
      <x:c r="K525" s="10" t="str">
        <x:v>Realizado</x:v>
      </x:c>
      <x:c r="L525" s="10" t="str">
        <x:v>Contas a Receber</x:v>
      </x:c>
    </x:row>
    <x:row r="526" ht="18" customHeight="1">
      <x:c r="A526" s="10" t="str">
        <x:v>MOV001158</x:v>
      </x:c>
      <x:c r="B526" s="16" t="n">
        <x:v>45536.52752912037</x:v>
      </x:c>
      <x:c r="C526" s="10" t="str">
        <x:v>EMP002</x:v>
      </x:c>
      <x:c r="D526" s="10" t="str">
        <x:v>CTA004</x:v>
      </x:c>
      <x:c r="E526" s="10" t="str">
        <x:v>Entrada</x:v>
      </x:c>
      <x:c r="F526" s="10" t="str">
        <x:v>CAT002</x:v>
      </x:c>
      <x:c r="G526" s="10" t="str">
        <x:v>Venda de produtos</x:v>
      </x:c>
      <x:c r="H526" s="10" t="str">
        <x:v>REC00491</x:v>
      </x:c>
      <x:c r="I526" s="20" t="n">
        <x:v>26034.65</x:v>
      </x:c>
      <x:c r="J526" s="20" t="n">
        <x:v>26034.65</x:v>
      </x:c>
      <x:c r="K526" s="10" t="str">
        <x:v>Realizado</x:v>
      </x:c>
      <x:c r="L526" s="10" t="str">
        <x:v>Contas a Receber</x:v>
      </x:c>
    </x:row>
    <x:row r="527" ht="18" customHeight="1">
      <x:c r="A527" s="10" t="str">
        <x:v>MOV000123</x:v>
      </x:c>
      <x:c r="B527" s="16" t="n">
        <x:v>45536.574961631944</x:v>
      </x:c>
      <x:c r="C527" s="10" t="str">
        <x:v>EMP003</x:v>
      </x:c>
      <x:c r="D527" s="10" t="str">
        <x:v>CTA005</x:v>
      </x:c>
      <x:c r="E527" s="10" t="str">
        <x:v>Saída</x:v>
      </x:c>
      <x:c r="F527" s="10" t="str">
        <x:v>CAT012</x:v>
      </x:c>
      <x:c r="G527" s="10" t="str">
        <x:v>Tributos e taxas</x:v>
      </x:c>
      <x:c r="H527" s="10" t="str">
        <x:v>PAG00143</x:v>
      </x:c>
      <x:c r="I527" s="20" t="n">
        <x:v>38389.48</x:v>
      </x:c>
      <x:c r="J527" s="20" t="n">
        <x:v>-38389.48</x:v>
      </x:c>
      <x:c r="K527" s="10" t="str">
        <x:v>Realizado</x:v>
      </x:c>
      <x:c r="L527" s="10" t="str">
        <x:v>Contas a Pagar</x:v>
      </x:c>
    </x:row>
    <x:row r="528" ht="18" customHeight="1">
      <x:c r="A528" s="10" t="str">
        <x:v>MOV001177</x:v>
      </x:c>
      <x:c r="B528" s="16" t="n">
        <x:v>45536.6308346875</x:v>
      </x:c>
      <x:c r="C528" s="10" t="str">
        <x:v>EMP003</x:v>
      </x:c>
      <x:c r="D528" s="10" t="str">
        <x:v>CTA006</x:v>
      </x:c>
      <x:c r="E528" s="10" t="str">
        <x:v>Entrada</x:v>
      </x:c>
      <x:c r="F528" s="10" t="str">
        <x:v>CAT001</x:v>
      </x:c>
      <x:c r="G528" s="10" t="str">
        <x:v>Projeto especial</x:v>
      </x:c>
      <x:c r="H528" s="10" t="str">
        <x:v>REC00513</x:v>
      </x:c>
      <x:c r="I528" s="20" t="n">
        <x:v>16200.28</x:v>
      </x:c>
      <x:c r="J528" s="20" t="n">
        <x:v>16200.28</x:v>
      </x:c>
      <x:c r="K528" s="10" t="str">
        <x:v>Realizado</x:v>
      </x:c>
      <x:c r="L528" s="10" t="str">
        <x:v>Contas a Receber</x:v>
      </x:c>
    </x:row>
    <x:row r="529" ht="18" customHeight="1">
      <x:c r="A529" s="10" t="str">
        <x:v>MOV000881</x:v>
      </x:c>
      <x:c r="B529" s="16" t="n">
        <x:v>45536.9844450463</x:v>
      </x:c>
      <x:c r="C529" s="10" t="str">
        <x:v>EMP001</x:v>
      </x:c>
      <x:c r="D529" s="10" t="str">
        <x:v>CTA002</x:v>
      </x:c>
      <x:c r="E529" s="10" t="str">
        <x:v>Entrada</x:v>
      </x:c>
      <x:c r="F529" s="10" t="str">
        <x:v>CAT003</x:v>
      </x:c>
      <x:c r="G529" s="10" t="str">
        <x:v>Contrato mensal</x:v>
      </x:c>
      <x:c r="H529" s="10" t="str">
        <x:v>REC00153</x:v>
      </x:c>
      <x:c r="I529" s="20" t="n">
        <x:v>37676.04</x:v>
      </x:c>
      <x:c r="J529" s="20" t="n">
        <x:v>37676.04</x:v>
      </x:c>
      <x:c r="K529" s="10" t="str">
        <x:v>Realizado</x:v>
      </x:c>
      <x:c r="L529" s="10" t="str">
        <x:v>Contas a Receber</x:v>
      </x:c>
    </x:row>
    <x:row r="530" ht="18" customHeight="1">
      <x:c r="A530" s="10" t="str">
        <x:v>MOV000221</x:v>
      </x:c>
      <x:c r="B530" s="16" t="n">
        <x:v>45537.06373214121</x:v>
      </x:c>
      <x:c r="C530" s="10" t="str">
        <x:v>EMP002</x:v>
      </x:c>
      <x:c r="D530" s="10" t="str">
        <x:v>CTA003</x:v>
      </x:c>
      <x:c r="E530" s="10" t="str">
        <x:v>Saída</x:v>
      </x:c>
      <x:c r="F530" s="10" t="str">
        <x:v>CAT006</x:v>
      </x:c>
      <x:c r="G530" s="10" t="str">
        <x:v>Despesa operacional</x:v>
      </x:c>
      <x:c r="H530" s="10" t="str">
        <x:v>PAG00258</x:v>
      </x:c>
      <x:c r="I530" s="20" t="n">
        <x:v>112488.79</x:v>
      </x:c>
      <x:c r="J530" s="20" t="n">
        <x:v>-112488.79</x:v>
      </x:c>
      <x:c r="K530" s="10" t="str">
        <x:v>Realizado</x:v>
      </x:c>
      <x:c r="L530" s="10" t="str">
        <x:v>Contas a Pagar</x:v>
      </x:c>
    </x:row>
    <x:row r="531" ht="18" customHeight="1">
      <x:c r="A531" s="10" t="str">
        <x:v>MOV000348</x:v>
      </x:c>
      <x:c r="B531" s="16" t="n">
        <x:v>45537.676103125</x:v>
      </x:c>
      <x:c r="C531" s="10" t="str">
        <x:v>EMP001</x:v>
      </x:c>
      <x:c r="D531" s="10" t="str">
        <x:v>CTA002</x:v>
      </x:c>
      <x:c r="E531" s="10" t="str">
        <x:v>Saída</x:v>
      </x:c>
      <x:c r="F531" s="10" t="str">
        <x:v>CAT011</x:v>
      </x:c>
      <x:c r="G531" s="10" t="str">
        <x:v>Tributos e taxas</x:v>
      </x:c>
      <x:c r="H531" s="10" t="str">
        <x:v>PAG00402</x:v>
      </x:c>
      <x:c r="I531" s="20" t="n">
        <x:v>4515.31</x:v>
      </x:c>
      <x:c r="J531" s="20" t="n">
        <x:v>-4515.31</x:v>
      </x:c>
      <x:c r="K531" s="10" t="str">
        <x:v>Realizado</x:v>
      </x:c>
      <x:c r="L531" s="10" t="str">
        <x:v>Contas a Pagar</x:v>
      </x:c>
    </x:row>
    <x:row r="532" ht="18" customHeight="1">
      <x:c r="A532" s="10" t="str">
        <x:v>MOV001255</x:v>
      </x:c>
      <x:c r="B532" s="16" t="n">
        <x:v>45537.79573248843</x:v>
      </x:c>
      <x:c r="C532" s="10" t="str">
        <x:v>EMP003</x:v>
      </x:c>
      <x:c r="D532" s="10" t="str">
        <x:v>CTA006</x:v>
      </x:c>
      <x:c r="E532" s="10" t="str">
        <x:v>Entrada</x:v>
      </x:c>
      <x:c r="F532" s="10" t="str">
        <x:v>CAT004</x:v>
      </x:c>
      <x:c r="G532" s="10" t="str">
        <x:v>Venda de produtos</x:v>
      </x:c>
      <x:c r="H532" s="10" t="str">
        <x:v>REC00609</x:v>
      </x:c>
      <x:c r="I532" s="20" t="n">
        <x:v>38627.06</x:v>
      </x:c>
      <x:c r="J532" s="20" t="n">
        <x:v>38627.06</x:v>
      </x:c>
      <x:c r="K532" s="10" t="str">
        <x:v>Realizado</x:v>
      </x:c>
      <x:c r="L532" s="10" t="str">
        <x:v>Contas a Receber</x:v>
      </x:c>
    </x:row>
    <x:row r="533" ht="18" customHeight="1">
      <x:c r="A533" s="10" t="str">
        <x:v>MOV001384</x:v>
      </x:c>
      <x:c r="B533" s="16" t="n">
        <x:v>45537.942740370374</x:v>
      </x:c>
      <x:c r="C533" s="10" t="str">
        <x:v>EMP003</x:v>
      </x:c>
      <x:c r="D533" s="10" t="str">
        <x:v>CTA005</x:v>
      </x:c>
      <x:c r="E533" s="10" t="str">
        <x:v>Entrada</x:v>
      </x:c>
      <x:c r="F533" s="10" t="str">
        <x:v>CAT001</x:v>
      </x:c>
      <x:c r="G533" s="10" t="str">
        <x:v>Prestação de serviços</x:v>
      </x:c>
      <x:c r="H533" s="10" t="str">
        <x:v>REC00760</x:v>
      </x:c>
      <x:c r="I533" s="20" t="n">
        <x:v>77735.58</x:v>
      </x:c>
      <x:c r="J533" s="20" t="n">
        <x:v>77735.58</x:v>
      </x:c>
      <x:c r="K533" s="10" t="str">
        <x:v>Realizado</x:v>
      </x:c>
      <x:c r="L533" s="10" t="str">
        <x:v>Contas a Receber</x:v>
      </x:c>
    </x:row>
    <x:row r="534" ht="18" customHeight="1">
      <x:c r="A534" s="10" t="str">
        <x:v>MOV000474</x:v>
      </x:c>
      <x:c r="B534" s="16" t="n">
        <x:v>45537.9877719213</x:v>
      </x:c>
      <x:c r="C534" s="10" t="str">
        <x:v>EMP001</x:v>
      </x:c>
      <x:c r="D534" s="10" t="str">
        <x:v>CTA002</x:v>
      </x:c>
      <x:c r="E534" s="10" t="str">
        <x:v>Saída</x:v>
      </x:c>
      <x:c r="F534" s="10" t="str">
        <x:v>CAT010</x:v>
      </x:c>
      <x:c r="G534" s="10" t="str">
        <x:v>Tributos e taxas</x:v>
      </x:c>
      <x:c r="H534" s="10" t="str">
        <x:v>PAG00556</x:v>
      </x:c>
      <x:c r="I534" s="20" t="n">
        <x:v>1528.07</x:v>
      </x:c>
      <x:c r="J534" s="20" t="n">
        <x:v>-1528.07</x:v>
      </x:c>
      <x:c r="K534" s="10" t="str">
        <x:v>Realizado</x:v>
      </x:c>
      <x:c r="L534" s="10" t="str">
        <x:v>Contas a Pagar</x:v>
      </x:c>
    </x:row>
    <x:row r="535" ht="18" customHeight="1">
      <x:c r="A535" s="10" t="str">
        <x:v>MOV000982</x:v>
      </x:c>
      <x:c r="B535" s="16" t="n">
        <x:v>45538.477266145834</x:v>
      </x:c>
      <x:c r="C535" s="10" t="str">
        <x:v>EMP003</x:v>
      </x:c>
      <x:c r="D535" s="10" t="str">
        <x:v>CTA006</x:v>
      </x:c>
      <x:c r="E535" s="10" t="str">
        <x:v>Entrada</x:v>
      </x:c>
      <x:c r="F535" s="10" t="str">
        <x:v>CAT001</x:v>
      </x:c>
      <x:c r="G535" s="10" t="str">
        <x:v>Venda de produtos</x:v>
      </x:c>
      <x:c r="H535" s="10" t="str">
        <x:v>REC00277</x:v>
      </x:c>
      <x:c r="I535" s="20" t="n">
        <x:v>122689.59</x:v>
      </x:c>
      <x:c r="J535" s="20" t="n">
        <x:v>122689.59</x:v>
      </x:c>
      <x:c r="K535" s="10" t="str">
        <x:v>Realizado</x:v>
      </x:c>
      <x:c r="L535" s="10" t="str">
        <x:v>Contas a Receber</x:v>
      </x:c>
    </x:row>
    <x:row r="536" ht="18" customHeight="1">
      <x:c r="A536" s="10" t="str">
        <x:v>MOV001149</x:v>
      </x:c>
      <x:c r="B536" s="16" t="n">
        <x:v>45538.588886666665</x:v>
      </x:c>
      <x:c r="C536" s="10" t="str">
        <x:v>EMP003</x:v>
      </x:c>
      <x:c r="D536" s="10" t="str">
        <x:v>CTA005</x:v>
      </x:c>
      <x:c r="E536" s="10" t="str">
        <x:v>Entrada</x:v>
      </x:c>
      <x:c r="F536" s="10" t="str">
        <x:v>CAT001</x:v>
      </x:c>
      <x:c r="G536" s="10" t="str">
        <x:v>Projeto especial</x:v>
      </x:c>
      <x:c r="H536" s="10" t="str">
        <x:v>REC00482</x:v>
      </x:c>
      <x:c r="I536" s="20" t="n">
        <x:v>43769.22</x:v>
      </x:c>
      <x:c r="J536" s="20" t="n">
        <x:v>43769.22</x:v>
      </x:c>
      <x:c r="K536" s="10" t="str">
        <x:v>Realizado</x:v>
      </x:c>
      <x:c r="L536" s="10" t="str">
        <x:v>Contas a Receber</x:v>
      </x:c>
    </x:row>
    <x:row r="537" ht="18" customHeight="1">
      <x:c r="A537" s="10" t="str">
        <x:v>MOV000642</x:v>
      </x:c>
      <x:c r="B537" s="16" t="n">
        <x:v>45539.33033774306</x:v>
      </x:c>
      <x:c r="C537" s="10" t="str">
        <x:v>EMP003</x:v>
      </x:c>
      <x:c r="D537" s="10" t="str">
        <x:v>CTA006</x:v>
      </x:c>
      <x:c r="E537" s="10" t="str">
        <x:v>Saída</x:v>
      </x:c>
      <x:c r="F537" s="10" t="str">
        <x:v>CAT011</x:v>
      </x:c>
      <x:c r="G537" s="10" t="str">
        <x:v>Contrato recorrente</x:v>
      </x:c>
      <x:c r="H537" s="10" t="str">
        <x:v>PAG00760</x:v>
      </x:c>
      <x:c r="I537" s="20" t="n">
        <x:v>25795.26</x:v>
      </x:c>
      <x:c r="J537" s="20" t="n">
        <x:v>-25795.26</x:v>
      </x:c>
      <x:c r="K537" s="10" t="str">
        <x:v>Realizado</x:v>
      </x:c>
      <x:c r="L537" s="10" t="str">
        <x:v>Contas a Pagar</x:v>
      </x:c>
    </x:row>
    <x:row r="538" ht="18" customHeight="1">
      <x:c r="A538" s="10" t="str">
        <x:v>MOV000248</x:v>
      </x:c>
      <x:c r="B538" s="16" t="n">
        <x:v>45539.34545806713</x:v>
      </x:c>
      <x:c r="C538" s="10" t="str">
        <x:v>EMP001</x:v>
      </x:c>
      <x:c r="D538" s="10" t="str">
        <x:v>CTA001</x:v>
      </x:c>
      <x:c r="E538" s="10" t="str">
        <x:v>Saída</x:v>
      </x:c>
      <x:c r="F538" s="10" t="str">
        <x:v>CAT005</x:v>
      </x:c>
      <x:c r="G538" s="10" t="str">
        <x:v>Prestação de serviços</x:v>
      </x:c>
      <x:c r="H538" s="10" t="str">
        <x:v>PAG00290</x:v>
      </x:c>
      <x:c r="I538" s="20" t="n">
        <x:v>21614.82</x:v>
      </x:c>
      <x:c r="J538" s="20" t="n">
        <x:v>-21614.82</x:v>
      </x:c>
      <x:c r="K538" s="10" t="str">
        <x:v>Realizado</x:v>
      </x:c>
      <x:c r="L538" s="10" t="str">
        <x:v>Contas a Pagar</x:v>
      </x:c>
    </x:row>
    <x:row r="539" ht="18" customHeight="1">
      <x:c r="A539" s="10" t="str">
        <x:v>MOV001342</x:v>
      </x:c>
      <x:c r="B539" s="16" t="n">
        <x:v>45539.46357032407</x:v>
      </x:c>
      <x:c r="C539" s="10" t="str">
        <x:v>EMP002</x:v>
      </x:c>
      <x:c r="D539" s="10" t="str">
        <x:v>CTA004</x:v>
      </x:c>
      <x:c r="E539" s="10" t="str">
        <x:v>Entrada</x:v>
      </x:c>
      <x:c r="F539" s="10" t="str">
        <x:v>CAT003</x:v>
      </x:c>
      <x:c r="G539" s="10" t="str">
        <x:v>Venda de produtos</x:v>
      </x:c>
      <x:c r="H539" s="10" t="str">
        <x:v>REC00709</x:v>
      </x:c>
      <x:c r="I539" s="20" t="n">
        <x:v>112249.1</x:v>
      </x:c>
      <x:c r="J539" s="20" t="n">
        <x:v>112249.1</x:v>
      </x:c>
      <x:c r="K539" s="10" t="str">
        <x:v>Realizado</x:v>
      </x:c>
      <x:c r="L539" s="10" t="str">
        <x:v>Contas a Receber</x:v>
      </x:c>
    </x:row>
    <x:row r="540" ht="18" customHeight="1">
      <x:c r="A540" s="10" t="str">
        <x:v>MOV000253</x:v>
      </x:c>
      <x:c r="B540" s="16" t="n">
        <x:v>45539.54261408565</x:v>
      </x:c>
      <x:c r="C540" s="10" t="str">
        <x:v>EMP002</x:v>
      </x:c>
      <x:c r="D540" s="10" t="str">
        <x:v>CTA003</x:v>
      </x:c>
      <x:c r="E540" s="10" t="str">
        <x:v>Saída</x:v>
      </x:c>
      <x:c r="F540" s="10" t="str">
        <x:v>CAT012</x:v>
      </x:c>
      <x:c r="G540" s="10" t="str">
        <x:v>Compra de materiais</x:v>
      </x:c>
      <x:c r="H540" s="10" t="str">
        <x:v>PAG00296</x:v>
      </x:c>
      <x:c r="I540" s="20" t="n">
        <x:v>94782.98</x:v>
      </x:c>
      <x:c r="J540" s="20" t="n">
        <x:v>-94782.98</x:v>
      </x:c>
      <x:c r="K540" s="10" t="str">
        <x:v>Realizado</x:v>
      </x:c>
      <x:c r="L540" s="10" t="str">
        <x:v>Contas a Pagar</x:v>
      </x:c>
    </x:row>
    <x:row r="541" ht="18" customHeight="1">
      <x:c r="A541" s="10" t="str">
        <x:v>MOV000175</x:v>
      </x:c>
      <x:c r="B541" s="16" t="n">
        <x:v>45539.89666436343</x:v>
      </x:c>
      <x:c r="C541" s="10" t="str">
        <x:v>EMP003</x:v>
      </x:c>
      <x:c r="D541" s="10" t="str">
        <x:v>CTA006</x:v>
      </x:c>
      <x:c r="E541" s="10" t="str">
        <x:v>Saída</x:v>
      </x:c>
      <x:c r="F541" s="10" t="str">
        <x:v>CAT015</x:v>
      </x:c>
      <x:c r="G541" s="10" t="str">
        <x:v>Tributos e taxas</x:v>
      </x:c>
      <x:c r="H541" s="10" t="str">
        <x:v>PAG00206</x:v>
      </x:c>
      <x:c r="I541" s="20" t="n">
        <x:v>53712.14</x:v>
      </x:c>
      <x:c r="J541" s="20" t="n">
        <x:v>-53712.14</x:v>
      </x:c>
      <x:c r="K541" s="10" t="str">
        <x:v>Realizado</x:v>
      </x:c>
      <x:c r="L541" s="10" t="str">
        <x:v>Contas a Pagar</x:v>
      </x:c>
    </x:row>
    <x:row r="542" ht="18" customHeight="1">
      <x:c r="A542" s="10" t="str">
        <x:v>MOV000876</x:v>
      </x:c>
      <x:c r="B542" s="16" t="n">
        <x:v>45540.757311898145</x:v>
      </x:c>
      <x:c r="C542" s="10" t="str">
        <x:v>EMP002</x:v>
      </x:c>
      <x:c r="D542" s="10" t="str">
        <x:v>CTA004</x:v>
      </x:c>
      <x:c r="E542" s="10" t="str">
        <x:v>Entrada</x:v>
      </x:c>
      <x:c r="F542" s="10" t="str">
        <x:v>CAT004</x:v>
      </x:c>
      <x:c r="G542" s="10" t="str">
        <x:v>Venda de produtos</x:v>
      </x:c>
      <x:c r="H542" s="10" t="str">
        <x:v>REC00147</x:v>
      </x:c>
      <x:c r="I542" s="20" t="n">
        <x:v>70026.3</x:v>
      </x:c>
      <x:c r="J542" s="20" t="n">
        <x:v>70026.3</x:v>
      </x:c>
      <x:c r="K542" s="10" t="str">
        <x:v>Realizado</x:v>
      </x:c>
      <x:c r="L542" s="10" t="str">
        <x:v>Contas a Receber</x:v>
      </x:c>
    </x:row>
    <x:row r="543" ht="18" customHeight="1">
      <x:c r="A543" s="10" t="str">
        <x:v>MOV001208</x:v>
      </x:c>
      <x:c r="B543" s="16" t="n">
        <x:v>45541.60683510417</x:v>
      </x:c>
      <x:c r="C543" s="10" t="str">
        <x:v>EMP003</x:v>
      </x:c>
      <x:c r="D543" s="10" t="str">
        <x:v>CTA005</x:v>
      </x:c>
      <x:c r="E543" s="10" t="str">
        <x:v>Entrada</x:v>
      </x:c>
      <x:c r="F543" s="10" t="str">
        <x:v>CAT001</x:v>
      </x:c>
      <x:c r="G543" s="10" t="str">
        <x:v>Projeto especial</x:v>
      </x:c>
      <x:c r="H543" s="10" t="str">
        <x:v>REC00553</x:v>
      </x:c>
      <x:c r="I543" s="20" t="n">
        <x:v>70090.53</x:v>
      </x:c>
      <x:c r="J543" s="20" t="n">
        <x:v>70090.53</x:v>
      </x:c>
      <x:c r="K543" s="10" t="str">
        <x:v>Realizado</x:v>
      </x:c>
      <x:c r="L543" s="10" t="str">
        <x:v>Contas a Receber</x:v>
      </x:c>
    </x:row>
    <x:row r="544" ht="18" customHeight="1">
      <x:c r="A544" s="10" t="str">
        <x:v>MOV001152</x:v>
      </x:c>
      <x:c r="B544" s="16" t="n">
        <x:v>45541.83905891204</x:v>
      </x:c>
      <x:c r="C544" s="10" t="str">
        <x:v>EMP001</x:v>
      </x:c>
      <x:c r="D544" s="10" t="str">
        <x:v>CTA001</x:v>
      </x:c>
      <x:c r="E544" s="10" t="str">
        <x:v>Entrada</x:v>
      </x:c>
      <x:c r="F544" s="10" t="str">
        <x:v>CAT002</x:v>
      </x:c>
      <x:c r="G544" s="10" t="str">
        <x:v>Projeto especial</x:v>
      </x:c>
      <x:c r="H544" s="10" t="str">
        <x:v>REC00485</x:v>
      </x:c>
      <x:c r="I544" s="20" t="n">
        <x:v>141558.55</x:v>
      </x:c>
      <x:c r="J544" s="20" t="n">
        <x:v>141558.55</x:v>
      </x:c>
      <x:c r="K544" s="10" t="str">
        <x:v>Realizado</x:v>
      </x:c>
      <x:c r="L544" s="10" t="str">
        <x:v>Contas a Receber</x:v>
      </x:c>
    </x:row>
    <x:row r="545" ht="18" customHeight="1">
      <x:c r="A545" s="10" t="str">
        <x:v>MOV000943</x:v>
      </x:c>
      <x:c r="B545" s="16" t="n">
        <x:v>45541.85619479167</x:v>
      </x:c>
      <x:c r="C545" s="10" t="str">
        <x:v>EMP002</x:v>
      </x:c>
      <x:c r="D545" s="10" t="str">
        <x:v>CTA003</x:v>
      </x:c>
      <x:c r="E545" s="10" t="str">
        <x:v>Entrada</x:v>
      </x:c>
      <x:c r="F545" s="10" t="str">
        <x:v>CAT003</x:v>
      </x:c>
      <x:c r="G545" s="10" t="str">
        <x:v>Projeto especial</x:v>
      </x:c>
      <x:c r="H545" s="10" t="str">
        <x:v>REC00224</x:v>
      </x:c>
      <x:c r="I545" s="20" t="n">
        <x:v>1601.65</x:v>
      </x:c>
      <x:c r="J545" s="20" t="n">
        <x:v>1601.65</x:v>
      </x:c>
      <x:c r="K545" s="10" t="str">
        <x:v>Realizado</x:v>
      </x:c>
      <x:c r="L545" s="10" t="str">
        <x:v>Contas a Receber</x:v>
      </x:c>
    </x:row>
    <x:row r="546" ht="18" customHeight="1">
      <x:c r="A546" s="10" t="str">
        <x:v>MOV001337</x:v>
      </x:c>
      <x:c r="B546" s="16" t="n">
        <x:v>45542.458689444444</x:v>
      </x:c>
      <x:c r="C546" s="10" t="str">
        <x:v>EMP002</x:v>
      </x:c>
      <x:c r="D546" s="10" t="str">
        <x:v>CTA004</x:v>
      </x:c>
      <x:c r="E546" s="10" t="str">
        <x:v>Entrada</x:v>
      </x:c>
      <x:c r="F546" s="10" t="str">
        <x:v>CAT002</x:v>
      </x:c>
      <x:c r="G546" s="10" t="str">
        <x:v>Frete faturado</x:v>
      </x:c>
      <x:c r="H546" s="10" t="str">
        <x:v>REC00703</x:v>
      </x:c>
      <x:c r="I546" s="20" t="n">
        <x:v>134108.23</x:v>
      </x:c>
      <x:c r="J546" s="20" t="n">
        <x:v>134108.23</x:v>
      </x:c>
      <x:c r="K546" s="10" t="str">
        <x:v>Realizado</x:v>
      </x:c>
      <x:c r="L546" s="10" t="str">
        <x:v>Contas a Receber</x:v>
      </x:c>
    </x:row>
    <x:row r="547" ht="18" customHeight="1">
      <x:c r="A547" s="10" t="str">
        <x:v>MOV000452</x:v>
      </x:c>
      <x:c r="B547" s="16" t="n">
        <x:v>45542.77785225694</x:v>
      </x:c>
      <x:c r="C547" s="10" t="str">
        <x:v>EMP003</x:v>
      </x:c>
      <x:c r="D547" s="10" t="str">
        <x:v>CTA005</x:v>
      </x:c>
      <x:c r="E547" s="10" t="str">
        <x:v>Saída</x:v>
      </x:c>
      <x:c r="F547" s="10" t="str">
        <x:v>CAT018</x:v>
      </x:c>
      <x:c r="G547" s="10" t="str">
        <x:v>Tributos e taxas</x:v>
      </x:c>
      <x:c r="H547" s="10" t="str">
        <x:v>PAG00530</x:v>
      </x:c>
      <x:c r="I547" s="20" t="n">
        <x:v>110772.83</x:v>
      </x:c>
      <x:c r="J547" s="20" t="n">
        <x:v>-110772.83</x:v>
      </x:c>
      <x:c r="K547" s="10" t="str">
        <x:v>Realizado</x:v>
      </x:c>
      <x:c r="L547" s="10" t="str">
        <x:v>Contas a Pagar</x:v>
      </x:c>
    </x:row>
    <x:row r="548" ht="18" customHeight="1">
      <x:c r="A548" s="10" t="str">
        <x:v>MOV000544</x:v>
      </x:c>
      <x:c r="B548" s="16" t="n">
        <x:v>45542.822867939816</x:v>
      </x:c>
      <x:c r="C548" s="10" t="str">
        <x:v>EMP002</x:v>
      </x:c>
      <x:c r="D548" s="10" t="str">
        <x:v>CTA004</x:v>
      </x:c>
      <x:c r="E548" s="10" t="str">
        <x:v>Saída</x:v>
      </x:c>
      <x:c r="F548" s="10" t="str">
        <x:v>CAT007</x:v>
      </x:c>
      <x:c r="G548" s="10" t="str">
        <x:v>Compra de materiais</x:v>
      </x:c>
      <x:c r="H548" s="10" t="str">
        <x:v>PAG00638</x:v>
      </x:c>
      <x:c r="I548" s="20" t="n">
        <x:v>700.75</x:v>
      </x:c>
      <x:c r="J548" s="20" t="n">
        <x:v>-700.75</x:v>
      </x:c>
      <x:c r="K548" s="10" t="str">
        <x:v>Realizado</x:v>
      </x:c>
      <x:c r="L548" s="10" t="str">
        <x:v>Contas a Pagar</x:v>
      </x:c>
    </x:row>
    <x:row r="549" ht="18" customHeight="1">
      <x:c r="A549" s="10" t="str">
        <x:v>MOV001559</x:v>
      </x:c>
      <x:c r="B549" s="16" t="n">
        <x:v>45543.26391548611</x:v>
      </x:c>
      <x:c r="C549" s="10" t="str">
        <x:v>EMP002</x:v>
      </x:c>
      <x:c r="D549" s="10" t="str">
        <x:v>CTA004</x:v>
      </x:c>
      <x:c r="E549" s="10" t="str">
        <x:v>Entrada</x:v>
      </x:c>
      <x:c r="F549" s="10" t="str">
        <x:v>CAT001</x:v>
      </x:c>
      <x:c r="G549" s="10" t="str">
        <x:v>Projeto especial</x:v>
      </x:c>
      <x:c r="H549" s="10" t="str">
        <x:v>REC00978</x:v>
      </x:c>
      <x:c r="I549" s="20" t="n">
        <x:v>67117.19</x:v>
      </x:c>
      <x:c r="J549" s="20" t="n">
        <x:v>67117.19</x:v>
      </x:c>
      <x:c r="K549" s="10" t="str">
        <x:v>Realizado</x:v>
      </x:c>
      <x:c r="L549" s="10" t="str">
        <x:v>Contas a Receber</x:v>
      </x:c>
    </x:row>
    <x:row r="550" ht="18" customHeight="1">
      <x:c r="A550" s="10" t="str">
        <x:v>MOV001474</x:v>
      </x:c>
      <x:c r="B550" s="16" t="n">
        <x:v>45543.536695601855</x:v>
      </x:c>
      <x:c r="C550" s="10" t="str">
        <x:v>EMP001</x:v>
      </x:c>
      <x:c r="D550" s="10" t="str">
        <x:v>CTA001</x:v>
      </x:c>
      <x:c r="E550" s="10" t="str">
        <x:v>Entrada</x:v>
      </x:c>
      <x:c r="F550" s="10" t="str">
        <x:v>CAT004</x:v>
      </x:c>
      <x:c r="G550" s="10" t="str">
        <x:v>Projeto especial</x:v>
      </x:c>
      <x:c r="H550" s="10" t="str">
        <x:v>REC00873</x:v>
      </x:c>
      <x:c r="I550" s="20" t="n">
        <x:v>38317.15</x:v>
      </x:c>
      <x:c r="J550" s="20" t="n">
        <x:v>38317.15</x:v>
      </x:c>
      <x:c r="K550" s="10" t="str">
        <x:v>Realizado</x:v>
      </x:c>
      <x:c r="L550" s="10" t="str">
        <x:v>Contas a Receber</x:v>
      </x:c>
    </x:row>
    <x:row r="551" ht="18" customHeight="1">
      <x:c r="A551" s="10" t="str">
        <x:v>MOV000971</x:v>
      </x:c>
      <x:c r="B551" s="16" t="n">
        <x:v>45543.67115800926</x:v>
      </x:c>
      <x:c r="C551" s="10" t="str">
        <x:v>EMP003</x:v>
      </x:c>
      <x:c r="D551" s="10" t="str">
        <x:v>CTA005</x:v>
      </x:c>
      <x:c r="E551" s="10" t="str">
        <x:v>Entrada</x:v>
      </x:c>
      <x:c r="F551" s="10" t="str">
        <x:v>CAT003</x:v>
      </x:c>
      <x:c r="G551" s="10" t="str">
        <x:v>Venda de produtos</x:v>
      </x:c>
      <x:c r="H551" s="10" t="str">
        <x:v>REC00262</x:v>
      </x:c>
      <x:c r="I551" s="20" t="n">
        <x:v>80033.93</x:v>
      </x:c>
      <x:c r="J551" s="20" t="n">
        <x:v>80033.93</x:v>
      </x:c>
      <x:c r="K551" s="10" t="str">
        <x:v>Realizado</x:v>
      </x:c>
      <x:c r="L551" s="10" t="str">
        <x:v>Contas a Receber</x:v>
      </x:c>
    </x:row>
    <x:row r="552" ht="18" customHeight="1">
      <x:c r="A552" s="10" t="str">
        <x:v>MOV001077</x:v>
      </x:c>
      <x:c r="B552" s="16" t="n">
        <x:v>45543.82793582176</x:v>
      </x:c>
      <x:c r="C552" s="10" t="str">
        <x:v>EMP003</x:v>
      </x:c>
      <x:c r="D552" s="10" t="str">
        <x:v>CTA005</x:v>
      </x:c>
      <x:c r="E552" s="10" t="str">
        <x:v>Entrada</x:v>
      </x:c>
      <x:c r="F552" s="10" t="str">
        <x:v>CAT003</x:v>
      </x:c>
      <x:c r="G552" s="10" t="str">
        <x:v>Frete faturado</x:v>
      </x:c>
      <x:c r="H552" s="10" t="str">
        <x:v>REC00398</x:v>
      </x:c>
      <x:c r="I552" s="20" t="n">
        <x:v>67402.84</x:v>
      </x:c>
      <x:c r="J552" s="20" t="n">
        <x:v>67402.84</x:v>
      </x:c>
      <x:c r="K552" s="10" t="str">
        <x:v>Realizado</x:v>
      </x:c>
      <x:c r="L552" s="10" t="str">
        <x:v>Contas a Receber</x:v>
      </x:c>
    </x:row>
    <x:row r="553" ht="18" customHeight="1">
      <x:c r="A553" s="10" t="str">
        <x:v>MOV000566</x:v>
      </x:c>
      <x:c r="B553" s="16" t="n">
        <x:v>45543.960613414354</x:v>
      </x:c>
      <x:c r="C553" s="10" t="str">
        <x:v>EMP001</x:v>
      </x:c>
      <x:c r="D553" s="10" t="str">
        <x:v>CTA001</x:v>
      </x:c>
      <x:c r="E553" s="10" t="str">
        <x:v>Saída</x:v>
      </x:c>
      <x:c r="F553" s="10" t="str">
        <x:v>CAT009</x:v>
      </x:c>
      <x:c r="G553" s="10" t="str">
        <x:v>Tributos e taxas</x:v>
      </x:c>
      <x:c r="H553" s="10" t="str">
        <x:v>PAG00663</x:v>
      </x:c>
      <x:c r="I553" s="20" t="n">
        <x:v>7900.9</x:v>
      </x:c>
      <x:c r="J553" s="20" t="n">
        <x:v>-7900.9</x:v>
      </x:c>
      <x:c r="K553" s="10" t="str">
        <x:v>Realizado</x:v>
      </x:c>
      <x:c r="L553" s="10" t="str">
        <x:v>Contas a Pagar</x:v>
      </x:c>
    </x:row>
    <x:row r="554" ht="18" customHeight="1">
      <x:c r="A554" s="10" t="str">
        <x:v>MOV001084</x:v>
      </x:c>
      <x:c r="B554" s="16" t="n">
        <x:v>45544.051335729164</x:v>
      </x:c>
      <x:c r="C554" s="10" t="str">
        <x:v>EMP003</x:v>
      </x:c>
      <x:c r="D554" s="10" t="str">
        <x:v>CTA005</x:v>
      </x:c>
      <x:c r="E554" s="10" t="str">
        <x:v>Entrada</x:v>
      </x:c>
      <x:c r="F554" s="10" t="str">
        <x:v>CAT002</x:v>
      </x:c>
      <x:c r="G554" s="10" t="str">
        <x:v>Venda de produtos</x:v>
      </x:c>
      <x:c r="H554" s="10" t="str">
        <x:v>REC00406</x:v>
      </x:c>
      <x:c r="I554" s="20" t="n">
        <x:v>39333.16</x:v>
      </x:c>
      <x:c r="J554" s="20" t="n">
        <x:v>39333.16</x:v>
      </x:c>
      <x:c r="K554" s="10" t="str">
        <x:v>Realizado</x:v>
      </x:c>
      <x:c r="L554" s="10" t="str">
        <x:v>Contas a Receber</x:v>
      </x:c>
    </x:row>
    <x:row r="555" ht="18" customHeight="1">
      <x:c r="A555" s="10" t="str">
        <x:v>MOV000058</x:v>
      </x:c>
      <x:c r="B555" s="16" t="n">
        <x:v>45544.12548730324</x:v>
      </x:c>
      <x:c r="C555" s="10" t="str">
        <x:v>EMP001</x:v>
      </x:c>
      <x:c r="D555" s="10" t="str">
        <x:v>CTA001</x:v>
      </x:c>
      <x:c r="E555" s="10" t="str">
        <x:v>Saída</x:v>
      </x:c>
      <x:c r="F555" s="10" t="str">
        <x:v>CAT018</x:v>
      </x:c>
      <x:c r="G555" s="10" t="str">
        <x:v>Despesa operacional</x:v>
      </x:c>
      <x:c r="H555" s="10" t="str">
        <x:v>PAG00062</x:v>
      </x:c>
      <x:c r="I555" s="20" t="n">
        <x:v>10536.3</x:v>
      </x:c>
      <x:c r="J555" s="20" t="n">
        <x:v>-10536.3</x:v>
      </x:c>
      <x:c r="K555" s="10" t="str">
        <x:v>Realizado</x:v>
      </x:c>
      <x:c r="L555" s="10" t="str">
        <x:v>Contas a Pagar</x:v>
      </x:c>
    </x:row>
    <x:row r="556" ht="18" customHeight="1">
      <x:c r="A556" s="10" t="str">
        <x:v>MOV000620</x:v>
      </x:c>
      <x:c r="B556" s="16" t="n">
        <x:v>45544.8609612963</x:v>
      </x:c>
      <x:c r="C556" s="10" t="str">
        <x:v>EMP002</x:v>
      </x:c>
      <x:c r="D556" s="10" t="str">
        <x:v>CTA003</x:v>
      </x:c>
      <x:c r="E556" s="10" t="str">
        <x:v>Saída</x:v>
      </x:c>
      <x:c r="F556" s="10" t="str">
        <x:v>CAT017</x:v>
      </x:c>
      <x:c r="G556" s="10" t="str">
        <x:v>Compra de materiais</x:v>
      </x:c>
      <x:c r="H556" s="10" t="str">
        <x:v>PAG00734</x:v>
      </x:c>
      <x:c r="I556" s="20" t="n">
        <x:v>9191.48</x:v>
      </x:c>
      <x:c r="J556" s="20" t="n">
        <x:v>-9191.48</x:v>
      </x:c>
      <x:c r="K556" s="10" t="str">
        <x:v>Realizado</x:v>
      </x:c>
      <x:c r="L556" s="10" t="str">
        <x:v>Contas a Pagar</x:v>
      </x:c>
    </x:row>
    <x:row r="557" ht="18" customHeight="1">
      <x:c r="A557" s="10" t="str">
        <x:v>MOV000990</x:v>
      </x:c>
      <x:c r="B557" s="16" t="n">
        <x:v>45545.91216966435</x:v>
      </x:c>
      <x:c r="C557" s="10" t="str">
        <x:v>EMP003</x:v>
      </x:c>
      <x:c r="D557" s="10" t="str">
        <x:v>CTA006</x:v>
      </x:c>
      <x:c r="E557" s="10" t="str">
        <x:v>Entrada</x:v>
      </x:c>
      <x:c r="F557" s="10" t="str">
        <x:v>CAT001</x:v>
      </x:c>
      <x:c r="G557" s="10" t="str">
        <x:v>Contrato mensal</x:v>
      </x:c>
      <x:c r="H557" s="10" t="str">
        <x:v>REC00287</x:v>
      </x:c>
      <x:c r="I557" s="20" t="n">
        <x:v>8646.19</x:v>
      </x:c>
      <x:c r="J557" s="20" t="n">
        <x:v>8646.19</x:v>
      </x:c>
      <x:c r="K557" s="10" t="str">
        <x:v>Realizado</x:v>
      </x:c>
      <x:c r="L557" s="10" t="str">
        <x:v>Contas a Receber</x:v>
      </x:c>
    </x:row>
    <x:row r="558" ht="18" customHeight="1">
      <x:c r="A558" s="10" t="str">
        <x:v>MOV000418</x:v>
      </x:c>
      <x:c r="B558" s="16" t="n">
        <x:v>45546.10715271991</x:v>
      </x:c>
      <x:c r="C558" s="10" t="str">
        <x:v>EMP002</x:v>
      </x:c>
      <x:c r="D558" s="10" t="str">
        <x:v>CTA003</x:v>
      </x:c>
      <x:c r="E558" s="10" t="str">
        <x:v>Saída</x:v>
      </x:c>
      <x:c r="F558" s="10" t="str">
        <x:v>CAT006</x:v>
      </x:c>
      <x:c r="G558" s="10" t="str">
        <x:v>Compra de materiais</x:v>
      </x:c>
      <x:c r="H558" s="10" t="str">
        <x:v>PAG00487</x:v>
      </x:c>
      <x:c r="I558" s="20" t="n">
        <x:v>78967.29</x:v>
      </x:c>
      <x:c r="J558" s="20" t="n">
        <x:v>-78967.29</x:v>
      </x:c>
      <x:c r="K558" s="10" t="str">
        <x:v>Realizado</x:v>
      </x:c>
      <x:c r="L558" s="10" t="str">
        <x:v>Contas a Pagar</x:v>
      </x:c>
    </x:row>
    <x:row r="559" ht="18" customHeight="1">
      <x:c r="A559" s="10" t="str">
        <x:v>MOV000395</x:v>
      </x:c>
      <x:c r="B559" s="16" t="n">
        <x:v>45546.1227865625</x:v>
      </x:c>
      <x:c r="C559" s="10" t="str">
        <x:v>EMP003</x:v>
      </x:c>
      <x:c r="D559" s="10" t="str">
        <x:v>CTA005</x:v>
      </x:c>
      <x:c r="E559" s="10" t="str">
        <x:v>Saída</x:v>
      </x:c>
      <x:c r="F559" s="10" t="str">
        <x:v>CAT005</x:v>
      </x:c>
      <x:c r="G559" s="10" t="str">
        <x:v>Compra de materiais</x:v>
      </x:c>
      <x:c r="H559" s="10" t="str">
        <x:v>PAG00460</x:v>
      </x:c>
      <x:c r="I559" s="20" t="n">
        <x:v>1046.36</x:v>
      </x:c>
      <x:c r="J559" s="20" t="n">
        <x:v>-1046.36</x:v>
      </x:c>
      <x:c r="K559" s="10" t="str">
        <x:v>Realizado</x:v>
      </x:c>
      <x:c r="L559" s="10" t="str">
        <x:v>Contas a Pagar</x:v>
      </x:c>
    </x:row>
    <x:row r="560" ht="18" customHeight="1">
      <x:c r="A560" s="10" t="str">
        <x:v>MOV000502</x:v>
      </x:c>
      <x:c r="B560" s="16" t="n">
        <x:v>45547.492498541666</x:v>
      </x:c>
      <x:c r="C560" s="10" t="str">
        <x:v>EMP003</x:v>
      </x:c>
      <x:c r="D560" s="10" t="str">
        <x:v>CTA006</x:v>
      </x:c>
      <x:c r="E560" s="10" t="str">
        <x:v>Saída</x:v>
      </x:c>
      <x:c r="F560" s="10" t="str">
        <x:v>CAT005</x:v>
      </x:c>
      <x:c r="G560" s="10" t="str">
        <x:v>Despesa operacional</x:v>
      </x:c>
      <x:c r="H560" s="10" t="str">
        <x:v>PAG00591</x:v>
      </x:c>
      <x:c r="I560" s="20" t="n">
        <x:v>62579.8</x:v>
      </x:c>
      <x:c r="J560" s="20" t="n">
        <x:v>-62579.8</x:v>
      </x:c>
      <x:c r="K560" s="10" t="str">
        <x:v>Realizado</x:v>
      </x:c>
      <x:c r="L560" s="10" t="str">
        <x:v>Contas a Pagar</x:v>
      </x:c>
    </x:row>
    <x:row r="561" ht="18" customHeight="1">
      <x:c r="A561" s="10" t="str">
        <x:v>MOV001173</x:v>
      </x:c>
      <x:c r="B561" s="16" t="n">
        <x:v>45547.64325394676</x:v>
      </x:c>
      <x:c r="C561" s="10" t="str">
        <x:v>EMP001</x:v>
      </x:c>
      <x:c r="D561" s="10" t="str">
        <x:v>CTA002</x:v>
      </x:c>
      <x:c r="E561" s="10" t="str">
        <x:v>Entrada</x:v>
      </x:c>
      <x:c r="F561" s="10" t="str">
        <x:v>CAT004</x:v>
      </x:c>
      <x:c r="G561" s="10" t="str">
        <x:v>Contrato mensal</x:v>
      </x:c>
      <x:c r="H561" s="10" t="str">
        <x:v>REC00508</x:v>
      </x:c>
      <x:c r="I561" s="20" t="n">
        <x:v>116573.26</x:v>
      </x:c>
      <x:c r="J561" s="20" t="n">
        <x:v>116573.26</x:v>
      </x:c>
      <x:c r="K561" s="10" t="str">
        <x:v>Realizado</x:v>
      </x:c>
      <x:c r="L561" s="10" t="str">
        <x:v>Contas a Receber</x:v>
      </x:c>
    </x:row>
    <x:row r="562" ht="18" customHeight="1">
      <x:c r="A562" s="10" t="str">
        <x:v>MOV000835</x:v>
      </x:c>
      <x:c r="B562" s="16" t="n">
        <x:v>45548.398318796295</x:v>
      </x:c>
      <x:c r="C562" s="10" t="str">
        <x:v>EMP003</x:v>
      </x:c>
      <x:c r="D562" s="10" t="str">
        <x:v>CTA006</x:v>
      </x:c>
      <x:c r="E562" s="10" t="str">
        <x:v>Entrada</x:v>
      </x:c>
      <x:c r="F562" s="10" t="str">
        <x:v>CAT003</x:v>
      </x:c>
      <x:c r="G562" s="10" t="str">
        <x:v>Prestação de serviços</x:v>
      </x:c>
      <x:c r="H562" s="10" t="str">
        <x:v>REC00100</x:v>
      </x:c>
      <x:c r="I562" s="20" t="n">
        <x:v>93398.13</x:v>
      </x:c>
      <x:c r="J562" s="20" t="n">
        <x:v>93398.13</x:v>
      </x:c>
      <x:c r="K562" s="10" t="str">
        <x:v>Realizado</x:v>
      </x:c>
      <x:c r="L562" s="10" t="str">
        <x:v>Contas a Receber</x:v>
      </x:c>
    </x:row>
    <x:row r="563" ht="18" customHeight="1">
      <x:c r="A563" s="10" t="str">
        <x:v>MOV001495</x:v>
      </x:c>
      <x:c r="B563" s="16" t="n">
        <x:v>45548.85458216435</x:v>
      </x:c>
      <x:c r="C563" s="10" t="str">
        <x:v>EMP001</x:v>
      </x:c>
      <x:c r="D563" s="10" t="str">
        <x:v>CTA002</x:v>
      </x:c>
      <x:c r="E563" s="10" t="str">
        <x:v>Entrada</x:v>
      </x:c>
      <x:c r="F563" s="10" t="str">
        <x:v>CAT004</x:v>
      </x:c>
      <x:c r="G563" s="10" t="str">
        <x:v>Frete faturado</x:v>
      </x:c>
      <x:c r="H563" s="10" t="str">
        <x:v>REC00900</x:v>
      </x:c>
      <x:c r="I563" s="20" t="n">
        <x:v>6477.25</x:v>
      </x:c>
      <x:c r="J563" s="20" t="n">
        <x:v>6477.25</x:v>
      </x:c>
      <x:c r="K563" s="10" t="str">
        <x:v>Realizado</x:v>
      </x:c>
      <x:c r="L563" s="10" t="str">
        <x:v>Contas a Receber</x:v>
      </x:c>
    </x:row>
    <x:row r="564" ht="18" customHeight="1">
      <x:c r="A564" s="10" t="str">
        <x:v>MOV000490</x:v>
      </x:c>
      <x:c r="B564" s="16" t="n">
        <x:v>45549.15374543981</x:v>
      </x:c>
      <x:c r="C564" s="10" t="str">
        <x:v>EMP002</x:v>
      </x:c>
      <x:c r="D564" s="10" t="str">
        <x:v>CTA004</x:v>
      </x:c>
      <x:c r="E564" s="10" t="str">
        <x:v>Saída</x:v>
      </x:c>
      <x:c r="F564" s="10" t="str">
        <x:v>CAT017</x:v>
      </x:c>
      <x:c r="G564" s="10" t="str">
        <x:v>Tributos e taxas</x:v>
      </x:c>
      <x:c r="H564" s="10" t="str">
        <x:v>PAG00575</x:v>
      </x:c>
      <x:c r="I564" s="20" t="n">
        <x:v>7708.26</x:v>
      </x:c>
      <x:c r="J564" s="20" t="n">
        <x:v>-7708.26</x:v>
      </x:c>
      <x:c r="K564" s="10" t="str">
        <x:v>Realizado</x:v>
      </x:c>
      <x:c r="L564" s="10" t="str">
        <x:v>Contas a Pagar</x:v>
      </x:c>
    </x:row>
    <x:row r="565" ht="18" customHeight="1">
      <x:c r="A565" s="10" t="str">
        <x:v>MOV000234</x:v>
      </x:c>
      <x:c r="B565" s="16" t="n">
        <x:v>45549.32571693287</x:v>
      </x:c>
      <x:c r="C565" s="10" t="str">
        <x:v>EMP003</x:v>
      </x:c>
      <x:c r="D565" s="10" t="str">
        <x:v>CTA006</x:v>
      </x:c>
      <x:c r="E565" s="10" t="str">
        <x:v>Saída</x:v>
      </x:c>
      <x:c r="F565" s="10" t="str">
        <x:v>CAT008</x:v>
      </x:c>
      <x:c r="G565" s="10" t="str">
        <x:v>Despesa operacional</x:v>
      </x:c>
      <x:c r="H565" s="10" t="str">
        <x:v>PAG00274</x:v>
      </x:c>
      <x:c r="I565" s="20" t="n">
        <x:v>1071.14</x:v>
      </x:c>
      <x:c r="J565" s="20" t="n">
        <x:v>-1071.14</x:v>
      </x:c>
      <x:c r="K565" s="10" t="str">
        <x:v>Realizado</x:v>
      </x:c>
      <x:c r="L565" s="10" t="str">
        <x:v>Contas a Pagar</x:v>
      </x:c>
    </x:row>
    <x:row r="566" ht="18" customHeight="1">
      <x:c r="A566" s="10" t="str">
        <x:v>MOV001163</x:v>
      </x:c>
      <x:c r="B566" s="16" t="n">
        <x:v>45549.98438454861</x:v>
      </x:c>
      <x:c r="C566" s="10" t="str">
        <x:v>EMP001</x:v>
      </x:c>
      <x:c r="D566" s="10" t="str">
        <x:v>CTA001</x:v>
      </x:c>
      <x:c r="E566" s="10" t="str">
        <x:v>Entrada</x:v>
      </x:c>
      <x:c r="F566" s="10" t="str">
        <x:v>CAT002</x:v>
      </x:c>
      <x:c r="G566" s="10" t="str">
        <x:v>Venda de produtos</x:v>
      </x:c>
      <x:c r="H566" s="10" t="str">
        <x:v>REC00496</x:v>
      </x:c>
      <x:c r="I566" s="20" t="n">
        <x:v>103589.15</x:v>
      </x:c>
      <x:c r="J566" s="20" t="n">
        <x:v>103589.15</x:v>
      </x:c>
      <x:c r="K566" s="10" t="str">
        <x:v>Realizado</x:v>
      </x:c>
      <x:c r="L566" s="10" t="str">
        <x:v>Contas a Receber</x:v>
      </x:c>
    </x:row>
    <x:row r="567" ht="18" customHeight="1">
      <x:c r="A567" s="10" t="str">
        <x:v>MOV000795</x:v>
      </x:c>
      <x:c r="B567" s="16" t="n">
        <x:v>45550.64566310185</x:v>
      </x:c>
      <x:c r="C567" s="10" t="str">
        <x:v>EMP001</x:v>
      </x:c>
      <x:c r="D567" s="10" t="str">
        <x:v>CTA001</x:v>
      </x:c>
      <x:c r="E567" s="10" t="str">
        <x:v>Entrada</x:v>
      </x:c>
      <x:c r="F567" s="10" t="str">
        <x:v>CAT002</x:v>
      </x:c>
      <x:c r="G567" s="10" t="str">
        <x:v>Venda de produtos</x:v>
      </x:c>
      <x:c r="H567" s="10" t="str">
        <x:v>REC00052</x:v>
      </x:c>
      <x:c r="I567" s="20" t="n">
        <x:v>89591.3</x:v>
      </x:c>
      <x:c r="J567" s="20" t="n">
        <x:v>89591.3</x:v>
      </x:c>
      <x:c r="K567" s="10" t="str">
        <x:v>Realizado</x:v>
      </x:c>
      <x:c r="L567" s="10" t="str">
        <x:v>Contas a Receber</x:v>
      </x:c>
    </x:row>
    <x:row r="568" ht="18" customHeight="1">
      <x:c r="A568" s="10" t="str">
        <x:v>MOV001229</x:v>
      </x:c>
      <x:c r="B568" s="16" t="n">
        <x:v>45551.4795590625</x:v>
      </x:c>
      <x:c r="C568" s="10" t="str">
        <x:v>EMP001</x:v>
      </x:c>
      <x:c r="D568" s="10" t="str">
        <x:v>CTA001</x:v>
      </x:c>
      <x:c r="E568" s="10" t="str">
        <x:v>Entrada</x:v>
      </x:c>
      <x:c r="F568" s="10" t="str">
        <x:v>CAT002</x:v>
      </x:c>
      <x:c r="G568" s="10" t="str">
        <x:v>Prestação de serviços</x:v>
      </x:c>
      <x:c r="H568" s="10" t="str">
        <x:v>REC00581</x:v>
      </x:c>
      <x:c r="I568" s="20" t="n">
        <x:v>21444.86</x:v>
      </x:c>
      <x:c r="J568" s="20" t="n">
        <x:v>21444.86</x:v>
      </x:c>
      <x:c r="K568" s="10" t="str">
        <x:v>Realizado</x:v>
      </x:c>
      <x:c r="L568" s="10" t="str">
        <x:v>Contas a Receber</x:v>
      </x:c>
    </x:row>
    <x:row r="569" ht="18" customHeight="1">
      <x:c r="A569" s="10" t="str">
        <x:v>MOV000375</x:v>
      </x:c>
      <x:c r="B569" s="16" t="n">
        <x:v>45551.682424224535</x:v>
      </x:c>
      <x:c r="C569" s="10" t="str">
        <x:v>EMP003</x:v>
      </x:c>
      <x:c r="D569" s="10" t="str">
        <x:v>CTA006</x:v>
      </x:c>
      <x:c r="E569" s="10" t="str">
        <x:v>Saída</x:v>
      </x:c>
      <x:c r="F569" s="10" t="str">
        <x:v>CAT005</x:v>
      </x:c>
      <x:c r="G569" s="10" t="str">
        <x:v>Compra de materiais</x:v>
      </x:c>
      <x:c r="H569" s="10" t="str">
        <x:v>PAG00436</x:v>
      </x:c>
      <x:c r="I569" s="20" t="n">
        <x:v>6548.55</x:v>
      </x:c>
      <x:c r="J569" s="20" t="n">
        <x:v>-6548.55</x:v>
      </x:c>
      <x:c r="K569" s="10" t="str">
        <x:v>Realizado</x:v>
      </x:c>
      <x:c r="L569" s="10" t="str">
        <x:v>Contas a Pagar</x:v>
      </x:c>
    </x:row>
    <x:row r="570" ht="18" customHeight="1">
      <x:c r="A570" s="10" t="str">
        <x:v>MOV001513</x:v>
      </x:c>
      <x:c r="B570" s="16" t="n">
        <x:v>45551.80404880787</x:v>
      </x:c>
      <x:c r="C570" s="10" t="str">
        <x:v>EMP002</x:v>
      </x:c>
      <x:c r="D570" s="10" t="str">
        <x:v>CTA003</x:v>
      </x:c>
      <x:c r="E570" s="10" t="str">
        <x:v>Entrada</x:v>
      </x:c>
      <x:c r="F570" s="10" t="str">
        <x:v>CAT002</x:v>
      </x:c>
      <x:c r="G570" s="10" t="str">
        <x:v>Contrato mensal</x:v>
      </x:c>
      <x:c r="H570" s="10" t="str">
        <x:v>REC00923</x:v>
      </x:c>
      <x:c r="I570" s="20" t="n">
        <x:v>42223.88</x:v>
      </x:c>
      <x:c r="J570" s="20" t="n">
        <x:v>42223.88</x:v>
      </x:c>
      <x:c r="K570" s="10" t="str">
        <x:v>Realizado</x:v>
      </x:c>
      <x:c r="L570" s="10" t="str">
        <x:v>Contas a Receber</x:v>
      </x:c>
    </x:row>
    <x:row r="571" ht="18" customHeight="1">
      <x:c r="A571" s="10" t="str">
        <x:v>MOV000048</x:v>
      </x:c>
      <x:c r="B571" s="16" t="n">
        <x:v>45552.53624260417</x:v>
      </x:c>
      <x:c r="C571" s="10" t="str">
        <x:v>EMP002</x:v>
      </x:c>
      <x:c r="D571" s="10" t="str">
        <x:v>CTA003</x:v>
      </x:c>
      <x:c r="E571" s="10" t="str">
        <x:v>Saída</x:v>
      </x:c>
      <x:c r="F571" s="10" t="str">
        <x:v>CAT011</x:v>
      </x:c>
      <x:c r="G571" s="10" t="str">
        <x:v>Prestação de serviços</x:v>
      </x:c>
      <x:c r="H571" s="10" t="str">
        <x:v>PAG00049</x:v>
      </x:c>
      <x:c r="I571" s="20" t="n">
        <x:v>115271.47</x:v>
      </x:c>
      <x:c r="J571" s="20" t="n">
        <x:v>-115271.47</x:v>
      </x:c>
      <x:c r="K571" s="10" t="str">
        <x:v>Realizado</x:v>
      </x:c>
      <x:c r="L571" s="10" t="str">
        <x:v>Contas a Pagar</x:v>
      </x:c>
    </x:row>
    <x:row r="572" ht="18" customHeight="1">
      <x:c r="A572" s="10" t="str">
        <x:v>MOV000918</x:v>
      </x:c>
      <x:c r="B572" s="16" t="n">
        <x:v>45552.665437048614</x:v>
      </x:c>
      <x:c r="C572" s="10" t="str">
        <x:v>EMP002</x:v>
      </x:c>
      <x:c r="D572" s="10" t="str">
        <x:v>CTA004</x:v>
      </x:c>
      <x:c r="E572" s="10" t="str">
        <x:v>Entrada</x:v>
      </x:c>
      <x:c r="F572" s="10" t="str">
        <x:v>CAT002</x:v>
      </x:c>
      <x:c r="G572" s="10" t="str">
        <x:v>Projeto especial</x:v>
      </x:c>
      <x:c r="H572" s="10" t="str">
        <x:v>REC00196</x:v>
      </x:c>
      <x:c r="I572" s="20" t="n">
        <x:v>48316.5</x:v>
      </x:c>
      <x:c r="J572" s="20" t="n">
        <x:v>48316.5</x:v>
      </x:c>
      <x:c r="K572" s="10" t="str">
        <x:v>Realizado</x:v>
      </x:c>
      <x:c r="L572" s="10" t="str">
        <x:v>Contas a Receber</x:v>
      </x:c>
    </x:row>
    <x:row r="573" ht="18" customHeight="1">
      <x:c r="A573" s="10" t="str">
        <x:v>MOV001258</x:v>
      </x:c>
      <x:c r="B573" s="16" t="n">
        <x:v>45552.808363634256</x:v>
      </x:c>
      <x:c r="C573" s="10" t="str">
        <x:v>EMP003</x:v>
      </x:c>
      <x:c r="D573" s="10" t="str">
        <x:v>CTA006</x:v>
      </x:c>
      <x:c r="E573" s="10" t="str">
        <x:v>Entrada</x:v>
      </x:c>
      <x:c r="F573" s="10" t="str">
        <x:v>CAT002</x:v>
      </x:c>
      <x:c r="G573" s="10" t="str">
        <x:v>Contrato mensal</x:v>
      </x:c>
      <x:c r="H573" s="10" t="str">
        <x:v>REC00613</x:v>
      </x:c>
      <x:c r="I573" s="20" t="n">
        <x:v>23232.44</x:v>
      </x:c>
      <x:c r="J573" s="20" t="n">
        <x:v>23232.44</x:v>
      </x:c>
      <x:c r="K573" s="10" t="str">
        <x:v>Realizado</x:v>
      </x:c>
      <x:c r="L573" s="10" t="str">
        <x:v>Contas a Receber</x:v>
      </x:c>
    </x:row>
    <x:row r="574" ht="18" customHeight="1">
      <x:c r="A574" s="10" t="str">
        <x:v>MOV001426</x:v>
      </x:c>
      <x:c r="B574" s="16" t="n">
        <x:v>45553.265348506946</x:v>
      </x:c>
      <x:c r="C574" s="10" t="str">
        <x:v>EMP001</x:v>
      </x:c>
      <x:c r="D574" s="10" t="str">
        <x:v>CTA002</x:v>
      </x:c>
      <x:c r="E574" s="10" t="str">
        <x:v>Entrada</x:v>
      </x:c>
      <x:c r="F574" s="10" t="str">
        <x:v>CAT004</x:v>
      </x:c>
      <x:c r="G574" s="10" t="str">
        <x:v>Frete faturado</x:v>
      </x:c>
      <x:c r="H574" s="10" t="str">
        <x:v>REC00816</x:v>
      </x:c>
      <x:c r="I574" s="20" t="n">
        <x:v>125667.15</x:v>
      </x:c>
      <x:c r="J574" s="20" t="n">
        <x:v>125667.15</x:v>
      </x:c>
      <x:c r="K574" s="10" t="str">
        <x:v>Realizado</x:v>
      </x:c>
      <x:c r="L574" s="10" t="str">
        <x:v>Contas a Receber</x:v>
      </x:c>
    </x:row>
    <x:row r="575" ht="18" customHeight="1">
      <x:c r="A575" s="10" t="str">
        <x:v>MOV000758</x:v>
      </x:c>
      <x:c r="B575" s="16" t="n">
        <x:v>45553.64116936343</x:v>
      </x:c>
      <x:c r="C575" s="10" t="str">
        <x:v>EMP001</x:v>
      </x:c>
      <x:c r="D575" s="10" t="str">
        <x:v>CTA001</x:v>
      </x:c>
      <x:c r="E575" s="10" t="str">
        <x:v>Entrada</x:v>
      </x:c>
      <x:c r="F575" s="10" t="str">
        <x:v>CAT001</x:v>
      </x:c>
      <x:c r="G575" s="10" t="str">
        <x:v>Projeto especial</x:v>
      </x:c>
      <x:c r="H575" s="10" t="str">
        <x:v>REC00001</x:v>
      </x:c>
      <x:c r="I575" s="20" t="n">
        <x:v>4349.58</x:v>
      </x:c>
      <x:c r="J575" s="20" t="n">
        <x:v>4349.58</x:v>
      </x:c>
      <x:c r="K575" s="10" t="str">
        <x:v>Realizado</x:v>
      </x:c>
      <x:c r="L575" s="10" t="str">
        <x:v>Contas a Receber</x:v>
      </x:c>
    </x:row>
    <x:row r="576" ht="18" customHeight="1">
      <x:c r="A576" s="10" t="str">
        <x:v>MOV000549</x:v>
      </x:c>
      <x:c r="B576" s="16" t="n">
        <x:v>45553.87302987269</x:v>
      </x:c>
      <x:c r="C576" s="10" t="str">
        <x:v>EMP001</x:v>
      </x:c>
      <x:c r="D576" s="10" t="str">
        <x:v>CTA001</x:v>
      </x:c>
      <x:c r="E576" s="10" t="str">
        <x:v>Saída</x:v>
      </x:c>
      <x:c r="F576" s="10" t="str">
        <x:v>CAT017</x:v>
      </x:c>
      <x:c r="G576" s="10" t="str">
        <x:v>Contrato recorrente</x:v>
      </x:c>
      <x:c r="H576" s="10" t="str">
        <x:v>PAG00643</x:v>
      </x:c>
      <x:c r="I576" s="20" t="n">
        <x:v>14239.32</x:v>
      </x:c>
      <x:c r="J576" s="20" t="n">
        <x:v>-14239.32</x:v>
      </x:c>
      <x:c r="K576" s="10" t="str">
        <x:v>Realizado</x:v>
      </x:c>
      <x:c r="L576" s="10" t="str">
        <x:v>Contas a Pagar</x:v>
      </x:c>
    </x:row>
    <x:row r="577" ht="18" customHeight="1">
      <x:c r="A577" s="10" t="str">
        <x:v>MOV000098</x:v>
      </x:c>
      <x:c r="B577" s="16" t="n">
        <x:v>45554.17551152778</x:v>
      </x:c>
      <x:c r="C577" s="10" t="str">
        <x:v>EMP003</x:v>
      </x:c>
      <x:c r="D577" s="10" t="str">
        <x:v>CTA005</x:v>
      </x:c>
      <x:c r="E577" s="10" t="str">
        <x:v>Saída</x:v>
      </x:c>
      <x:c r="F577" s="10" t="str">
        <x:v>CAT015</x:v>
      </x:c>
      <x:c r="G577" s="10" t="str">
        <x:v>Contrato recorrente</x:v>
      </x:c>
      <x:c r="H577" s="10" t="str">
        <x:v>PAG00109</x:v>
      </x:c>
      <x:c r="I577" s="20" t="n">
        <x:v>95299.24</x:v>
      </x:c>
      <x:c r="J577" s="20" t="n">
        <x:v>-95299.24</x:v>
      </x:c>
      <x:c r="K577" s="10" t="str">
        <x:v>Realizado</x:v>
      </x:c>
      <x:c r="L577" s="10" t="str">
        <x:v>Contas a Pagar</x:v>
      </x:c>
    </x:row>
    <x:row r="578" ht="18" customHeight="1">
      <x:c r="A578" s="10" t="str">
        <x:v>MOV001303</x:v>
      </x:c>
      <x:c r="B578" s="16" t="n">
        <x:v>45554.18403736111</x:v>
      </x:c>
      <x:c r="C578" s="10" t="str">
        <x:v>EMP003</x:v>
      </x:c>
      <x:c r="D578" s="10" t="str">
        <x:v>CTA005</x:v>
      </x:c>
      <x:c r="E578" s="10" t="str">
        <x:v>Entrada</x:v>
      </x:c>
      <x:c r="F578" s="10" t="str">
        <x:v>CAT001</x:v>
      </x:c>
      <x:c r="G578" s="10" t="str">
        <x:v>Venda de produtos</x:v>
      </x:c>
      <x:c r="H578" s="10" t="str">
        <x:v>REC00666</x:v>
      </x:c>
      <x:c r="I578" s="20" t="n">
        <x:v>51137.24</x:v>
      </x:c>
      <x:c r="J578" s="20" t="n">
        <x:v>51137.24</x:v>
      </x:c>
      <x:c r="K578" s="10" t="str">
        <x:v>Realizado</x:v>
      </x:c>
      <x:c r="L578" s="10" t="str">
        <x:v>Contas a Receber</x:v>
      </x:c>
    </x:row>
    <x:row r="579" ht="18" customHeight="1">
      <x:c r="A579" s="10" t="str">
        <x:v>MOV000361</x:v>
      </x:c>
      <x:c r="B579" s="16" t="n">
        <x:v>45555.06123428241</x:v>
      </x:c>
      <x:c r="C579" s="10" t="str">
        <x:v>EMP001</x:v>
      </x:c>
      <x:c r="D579" s="10" t="str">
        <x:v>CTA002</x:v>
      </x:c>
      <x:c r="E579" s="10" t="str">
        <x:v>Saída</x:v>
      </x:c>
      <x:c r="F579" s="10" t="str">
        <x:v>CAT018</x:v>
      </x:c>
      <x:c r="G579" s="10" t="str">
        <x:v>Despesa operacional</x:v>
      </x:c>
      <x:c r="H579" s="10" t="str">
        <x:v>PAG00420</x:v>
      </x:c>
      <x:c r="I579" s="20" t="n">
        <x:v>48602.62</x:v>
      </x:c>
      <x:c r="J579" s="20" t="n">
        <x:v>-48602.62</x:v>
      </x:c>
      <x:c r="K579" s="10" t="str">
        <x:v>Realizado</x:v>
      </x:c>
      <x:c r="L579" s="10" t="str">
        <x:v>Contas a Pagar</x:v>
      </x:c>
    </x:row>
    <x:row r="580" ht="18" customHeight="1">
      <x:c r="A580" s="10" t="str">
        <x:v>MOV000332</x:v>
      </x:c>
      <x:c r="B580" s="16" t="n">
        <x:v>45555.53128106482</x:v>
      </x:c>
      <x:c r="C580" s="10" t="str">
        <x:v>EMP003</x:v>
      </x:c>
      <x:c r="D580" s="10" t="str">
        <x:v>CTA006</x:v>
      </x:c>
      <x:c r="E580" s="10" t="str">
        <x:v>Saída</x:v>
      </x:c>
      <x:c r="F580" s="10" t="str">
        <x:v>CAT013</x:v>
      </x:c>
      <x:c r="G580" s="10" t="str">
        <x:v>Despesa operacional</x:v>
      </x:c>
      <x:c r="H580" s="10" t="str">
        <x:v>PAG00385</x:v>
      </x:c>
      <x:c r="I580" s="20" t="n">
        <x:v>58090.85</x:v>
      </x:c>
      <x:c r="J580" s="20" t="n">
        <x:v>-58090.85</x:v>
      </x:c>
      <x:c r="K580" s="10" t="str">
        <x:v>Realizado</x:v>
      </x:c>
      <x:c r="L580" s="10" t="str">
        <x:v>Contas a Pagar</x:v>
      </x:c>
    </x:row>
    <x:row r="581" ht="18" customHeight="1">
      <x:c r="A581" s="10" t="str">
        <x:v>MOV000259</x:v>
      </x:c>
      <x:c r="B581" s="16" t="n">
        <x:v>45555.980530127315</x:v>
      </x:c>
      <x:c r="C581" s="10" t="str">
        <x:v>EMP002</x:v>
      </x:c>
      <x:c r="D581" s="10" t="str">
        <x:v>CTA003</x:v>
      </x:c>
      <x:c r="E581" s="10" t="str">
        <x:v>Saída</x:v>
      </x:c>
      <x:c r="F581" s="10" t="str">
        <x:v>CAT012</x:v>
      </x:c>
      <x:c r="G581" s="10" t="str">
        <x:v>Prestação de serviços</x:v>
      </x:c>
      <x:c r="H581" s="10" t="str">
        <x:v>PAG00302</x:v>
      </x:c>
      <x:c r="I581" s="20" t="n">
        <x:v>5276.92</x:v>
      </x:c>
      <x:c r="J581" s="20" t="n">
        <x:v>-5276.92</x:v>
      </x:c>
      <x:c r="K581" s="10" t="str">
        <x:v>Realizado</x:v>
      </x:c>
      <x:c r="L581" s="10" t="str">
        <x:v>Contas a Pagar</x:v>
      </x:c>
    </x:row>
    <x:row r="582" ht="18" customHeight="1">
      <x:c r="A582" s="10" t="str">
        <x:v>MOV001588</x:v>
      </x:c>
      <x:c r="B582" s="16" t="n">
        <x:v>45556.70534659722</x:v>
      </x:c>
      <x:c r="C582" s="10" t="str">
        <x:v>EMP001</x:v>
      </x:c>
      <x:c r="D582" s="10" t="str">
        <x:v>CTA002</x:v>
      </x:c>
      <x:c r="E582" s="10" t="str">
        <x:v>Entrada</x:v>
      </x:c>
      <x:c r="F582" s="10" t="str">
        <x:v>CAT002</x:v>
      </x:c>
      <x:c r="G582" s="10" t="str">
        <x:v>Contrato mensal</x:v>
      </x:c>
      <x:c r="H582" s="10" t="str">
        <x:v>REC01014</x:v>
      </x:c>
      <x:c r="I582" s="20" t="n">
        <x:v>50527.65</x:v>
      </x:c>
      <x:c r="J582" s="20" t="n">
        <x:v>50527.65</x:v>
      </x:c>
      <x:c r="K582" s="10" t="str">
        <x:v>Realizado</x:v>
      </x:c>
      <x:c r="L582" s="10" t="str">
        <x:v>Contas a Receber</x:v>
      </x:c>
    </x:row>
    <x:row r="583" ht="18" customHeight="1">
      <x:c r="A583" s="10" t="str">
        <x:v>MOV000531</x:v>
      </x:c>
      <x:c r="B583" s="16" t="n">
        <x:v>45556.808720416666</x:v>
      </x:c>
      <x:c r="C583" s="10" t="str">
        <x:v>EMP001</x:v>
      </x:c>
      <x:c r="D583" s="10" t="str">
        <x:v>CTA002</x:v>
      </x:c>
      <x:c r="E583" s="10" t="str">
        <x:v>Saída</x:v>
      </x:c>
      <x:c r="F583" s="10" t="str">
        <x:v>CAT017</x:v>
      </x:c>
      <x:c r="G583" s="10" t="str">
        <x:v>Tributos e taxas</x:v>
      </x:c>
      <x:c r="H583" s="10" t="str">
        <x:v>PAG00621</x:v>
      </x:c>
      <x:c r="I583" s="20" t="n">
        <x:v>35424.63</x:v>
      </x:c>
      <x:c r="J583" s="20" t="n">
        <x:v>-35424.63</x:v>
      </x:c>
      <x:c r="K583" s="10" t="str">
        <x:v>Realizado</x:v>
      </x:c>
      <x:c r="L583" s="10" t="str">
        <x:v>Contas a Pagar</x:v>
      </x:c>
    </x:row>
    <x:row r="584" ht="18" customHeight="1">
      <x:c r="A584" s="10" t="str">
        <x:v>MOV000374</x:v>
      </x:c>
      <x:c r="B584" s="16" t="n">
        <x:v>45557.97375392361</x:v>
      </x:c>
      <x:c r="C584" s="10" t="str">
        <x:v>EMP002</x:v>
      </x:c>
      <x:c r="D584" s="10" t="str">
        <x:v>CTA004</x:v>
      </x:c>
      <x:c r="E584" s="10" t="str">
        <x:v>Saída</x:v>
      </x:c>
      <x:c r="F584" s="10" t="str">
        <x:v>CAT015</x:v>
      </x:c>
      <x:c r="G584" s="10" t="str">
        <x:v>Tributos e taxas</x:v>
      </x:c>
      <x:c r="H584" s="10" t="str">
        <x:v>PAG00435</x:v>
      </x:c>
      <x:c r="I584" s="20" t="n">
        <x:v>22320.79</x:v>
      </x:c>
      <x:c r="J584" s="20" t="n">
        <x:v>-22320.79</x:v>
      </x:c>
      <x:c r="K584" s="10" t="str">
        <x:v>Realizado</x:v>
      </x:c>
      <x:c r="L584" s="10" t="str">
        <x:v>Contas a Pagar</x:v>
      </x:c>
    </x:row>
    <x:row r="585" ht="18" customHeight="1">
      <x:c r="A585" s="10" t="str">
        <x:v>MOV000570</x:v>
      </x:c>
      <x:c r="B585" s="16" t="n">
        <x:v>45558.421543564815</x:v>
      </x:c>
      <x:c r="C585" s="10" t="str">
        <x:v>EMP001</x:v>
      </x:c>
      <x:c r="D585" s="10" t="str">
        <x:v>CTA001</x:v>
      </x:c>
      <x:c r="E585" s="10" t="str">
        <x:v>Saída</x:v>
      </x:c>
      <x:c r="F585" s="10" t="str">
        <x:v>CAT005</x:v>
      </x:c>
      <x:c r="G585" s="10" t="str">
        <x:v>Prestação de serviços</x:v>
      </x:c>
      <x:c r="H585" s="10" t="str">
        <x:v>PAG00669</x:v>
      </x:c>
      <x:c r="I585" s="20" t="n">
        <x:v>52895.77</x:v>
      </x:c>
      <x:c r="J585" s="20" t="n">
        <x:v>-52895.77</x:v>
      </x:c>
      <x:c r="K585" s="10" t="str">
        <x:v>Realizado</x:v>
      </x:c>
      <x:c r="L585" s="10" t="str">
        <x:v>Contas a Pagar</x:v>
      </x:c>
    </x:row>
    <x:row r="586" ht="18" customHeight="1">
      <x:c r="A586" s="10" t="str">
        <x:v>MOV000750</x:v>
      </x:c>
      <x:c r="B586" s="16" t="n">
        <x:v>45558.757444270836</x:v>
      </x:c>
      <x:c r="C586" s="10" t="str">
        <x:v>EMP003</x:v>
      </x:c>
      <x:c r="D586" s="10" t="str">
        <x:v>CTA006</x:v>
      </x:c>
      <x:c r="E586" s="10" t="str">
        <x:v>Saída</x:v>
      </x:c>
      <x:c r="F586" s="10" t="str">
        <x:v>CAT007</x:v>
      </x:c>
      <x:c r="G586" s="10" t="str">
        <x:v>Compra de materiais</x:v>
      </x:c>
      <x:c r="H586" s="10" t="str">
        <x:v>PAG00891</x:v>
      </x:c>
      <x:c r="I586" s="20" t="n">
        <x:v>4251.29</x:v>
      </x:c>
      <x:c r="J586" s="20" t="n">
        <x:v>-4251.29</x:v>
      </x:c>
      <x:c r="K586" s="10" t="str">
        <x:v>Realizado</x:v>
      </x:c>
      <x:c r="L586" s="10" t="str">
        <x:v>Contas a Pagar</x:v>
      </x:c>
    </x:row>
    <x:row r="587" ht="18" customHeight="1">
      <x:c r="A587" s="10" t="str">
        <x:v>MOV001114</x:v>
      </x:c>
      <x:c r="B587" s="16" t="n">
        <x:v>45559.02508366898</x:v>
      </x:c>
      <x:c r="C587" s="10" t="str">
        <x:v>EMP003</x:v>
      </x:c>
      <x:c r="D587" s="10" t="str">
        <x:v>CTA005</x:v>
      </x:c>
      <x:c r="E587" s="10" t="str">
        <x:v>Entrada</x:v>
      </x:c>
      <x:c r="F587" s="10" t="str">
        <x:v>CAT003</x:v>
      </x:c>
      <x:c r="G587" s="10" t="str">
        <x:v>Prestação de serviços</x:v>
      </x:c>
      <x:c r="H587" s="10" t="str">
        <x:v>REC00443</x:v>
      </x:c>
      <x:c r="I587" s="20" t="n">
        <x:v>62842.79</x:v>
      </x:c>
      <x:c r="J587" s="20" t="n">
        <x:v>62842.79</x:v>
      </x:c>
      <x:c r="K587" s="10" t="str">
        <x:v>Realizado</x:v>
      </x:c>
      <x:c r="L587" s="10" t="str">
        <x:v>Contas a Receber</x:v>
      </x:c>
    </x:row>
    <x:row r="588" ht="18" customHeight="1">
      <x:c r="A588" s="10" t="str">
        <x:v>MOV001462</x:v>
      </x:c>
      <x:c r="B588" s="16" t="n">
        <x:v>45559.36630127315</x:v>
      </x:c>
      <x:c r="C588" s="10" t="str">
        <x:v>EMP002</x:v>
      </x:c>
      <x:c r="D588" s="10" t="str">
        <x:v>CTA003</x:v>
      </x:c>
      <x:c r="E588" s="10" t="str">
        <x:v>Entrada</x:v>
      </x:c>
      <x:c r="F588" s="10" t="str">
        <x:v>CAT002</x:v>
      </x:c>
      <x:c r="G588" s="10" t="str">
        <x:v>Venda de produtos</x:v>
      </x:c>
      <x:c r="H588" s="10" t="str">
        <x:v>REC00858</x:v>
      </x:c>
      <x:c r="I588" s="20" t="n">
        <x:v>131416.5</x:v>
      </x:c>
      <x:c r="J588" s="20" t="n">
        <x:v>131416.5</x:v>
      </x:c>
      <x:c r="K588" s="10" t="str">
        <x:v>Realizado</x:v>
      </x:c>
      <x:c r="L588" s="10" t="str">
        <x:v>Contas a Receber</x:v>
      </x:c>
    </x:row>
    <x:row r="589" ht="18" customHeight="1">
      <x:c r="A589" s="10" t="str">
        <x:v>MOV000096</x:v>
      </x:c>
      <x:c r="B589" s="16" t="n">
        <x:v>45559.36685402778</x:v>
      </x:c>
      <x:c r="C589" s="10" t="str">
        <x:v>EMP001</x:v>
      </x:c>
      <x:c r="D589" s="10" t="str">
        <x:v>CTA001</x:v>
      </x:c>
      <x:c r="E589" s="10" t="str">
        <x:v>Saída</x:v>
      </x:c>
      <x:c r="F589" s="10" t="str">
        <x:v>CAT013</x:v>
      </x:c>
      <x:c r="G589" s="10" t="str">
        <x:v>Prestação de serviços</x:v>
      </x:c>
      <x:c r="H589" s="10" t="str">
        <x:v>PAG00107</x:v>
      </x:c>
      <x:c r="I589" s="20" t="n">
        <x:v>29554.1</x:v>
      </x:c>
      <x:c r="J589" s="20" t="n">
        <x:v>-29554.1</x:v>
      </x:c>
      <x:c r="K589" s="10" t="str">
        <x:v>Realizado</x:v>
      </x:c>
      <x:c r="L589" s="10" t="str">
        <x:v>Contas a Pagar</x:v>
      </x:c>
    </x:row>
    <x:row r="590" ht="18" customHeight="1">
      <x:c r="A590" s="10" t="str">
        <x:v>MOV001195</x:v>
      </x:c>
      <x:c r="B590" s="16" t="n">
        <x:v>45559.89127547454</x:v>
      </x:c>
      <x:c r="C590" s="10" t="str">
        <x:v>EMP002</x:v>
      </x:c>
      <x:c r="D590" s="10" t="str">
        <x:v>CTA004</x:v>
      </x:c>
      <x:c r="E590" s="10" t="str">
        <x:v>Entrada</x:v>
      </x:c>
      <x:c r="F590" s="10" t="str">
        <x:v>CAT003</x:v>
      </x:c>
      <x:c r="G590" s="10" t="str">
        <x:v>Projeto especial</x:v>
      </x:c>
      <x:c r="H590" s="10" t="str">
        <x:v>REC00538</x:v>
      </x:c>
      <x:c r="I590" s="20" t="n">
        <x:v>116621.92</x:v>
      </x:c>
      <x:c r="J590" s="20" t="n">
        <x:v>116621.92</x:v>
      </x:c>
      <x:c r="K590" s="10" t="str">
        <x:v>Realizado</x:v>
      </x:c>
      <x:c r="L590" s="10" t="str">
        <x:v>Contas a Receber</x:v>
      </x:c>
    </x:row>
    <x:row r="591" ht="18" customHeight="1">
      <x:c r="A591" s="10" t="str">
        <x:v>MOV001341</x:v>
      </x:c>
      <x:c r="B591" s="16" t="n">
        <x:v>45560.337621493054</x:v>
      </x:c>
      <x:c r="C591" s="10" t="str">
        <x:v>EMP002</x:v>
      </x:c>
      <x:c r="D591" s="10" t="str">
        <x:v>CTA003</x:v>
      </x:c>
      <x:c r="E591" s="10" t="str">
        <x:v>Entrada</x:v>
      </x:c>
      <x:c r="F591" s="10" t="str">
        <x:v>CAT002</x:v>
      </x:c>
      <x:c r="G591" s="10" t="str">
        <x:v>Contrato mensal</x:v>
      </x:c>
      <x:c r="H591" s="10" t="str">
        <x:v>REC00707</x:v>
      </x:c>
      <x:c r="I591" s="20" t="n">
        <x:v>111091.13</x:v>
      </x:c>
      <x:c r="J591" s="20" t="n">
        <x:v>111091.13</x:v>
      </x:c>
      <x:c r="K591" s="10" t="str">
        <x:v>Realizado</x:v>
      </x:c>
      <x:c r="L591" s="10" t="str">
        <x:v>Contas a Receber</x:v>
      </x:c>
    </x:row>
    <x:row r="592" ht="18" customHeight="1">
      <x:c r="A592" s="10" t="str">
        <x:v>MOV000245</x:v>
      </x:c>
      <x:c r="B592" s="16" t="n">
        <x:v>45560.37383943287</x:v>
      </x:c>
      <x:c r="C592" s="10" t="str">
        <x:v>EMP001</x:v>
      </x:c>
      <x:c r="D592" s="10" t="str">
        <x:v>CTA002</x:v>
      </x:c>
      <x:c r="E592" s="10" t="str">
        <x:v>Saída</x:v>
      </x:c>
      <x:c r="F592" s="10" t="str">
        <x:v>CAT014</x:v>
      </x:c>
      <x:c r="G592" s="10" t="str">
        <x:v>Despesa operacional</x:v>
      </x:c>
      <x:c r="H592" s="10" t="str">
        <x:v>PAG00286</x:v>
      </x:c>
      <x:c r="I592" s="20" t="n">
        <x:v>49753.97</x:v>
      </x:c>
      <x:c r="J592" s="20" t="n">
        <x:v>-49753.97</x:v>
      </x:c>
      <x:c r="K592" s="10" t="str">
        <x:v>Realizado</x:v>
      </x:c>
      <x:c r="L592" s="10" t="str">
        <x:v>Contas a Pagar</x:v>
      </x:c>
    </x:row>
    <x:row r="593" ht="18" customHeight="1">
      <x:c r="A593" s="10" t="str">
        <x:v>MOV000042</x:v>
      </x:c>
      <x:c r="B593" s="16" t="n">
        <x:v>45560.85347497685</x:v>
      </x:c>
      <x:c r="C593" s="10" t="str">
        <x:v>EMP001</x:v>
      </x:c>
      <x:c r="D593" s="10" t="str">
        <x:v>CTA001</x:v>
      </x:c>
      <x:c r="E593" s="10" t="str">
        <x:v>Saída</x:v>
      </x:c>
      <x:c r="F593" s="10" t="str">
        <x:v>CAT015</x:v>
      </x:c>
      <x:c r="G593" s="10" t="str">
        <x:v>Contrato recorrente</x:v>
      </x:c>
      <x:c r="H593" s="10" t="str">
        <x:v>PAG00042</x:v>
      </x:c>
      <x:c r="I593" s="20" t="n">
        <x:v>65045.47</x:v>
      </x:c>
      <x:c r="J593" s="20" t="n">
        <x:v>-65045.47</x:v>
      </x:c>
      <x:c r="K593" s="10" t="str">
        <x:v>Realizado</x:v>
      </x:c>
      <x:c r="L593" s="10" t="str">
        <x:v>Contas a Pagar</x:v>
      </x:c>
    </x:row>
    <x:row r="594" ht="18" customHeight="1">
      <x:c r="A594" s="10" t="str">
        <x:v>MOV001397</x:v>
      </x:c>
      <x:c r="B594" s="16" t="n">
        <x:v>45561.08254957176</x:v>
      </x:c>
      <x:c r="C594" s="10" t="str">
        <x:v>EMP003</x:v>
      </x:c>
      <x:c r="D594" s="10" t="str">
        <x:v>CTA005</x:v>
      </x:c>
      <x:c r="E594" s="10" t="str">
        <x:v>Entrada</x:v>
      </x:c>
      <x:c r="F594" s="10" t="str">
        <x:v>CAT004</x:v>
      </x:c>
      <x:c r="G594" s="10" t="str">
        <x:v>Contrato mensal</x:v>
      </x:c>
      <x:c r="H594" s="10" t="str">
        <x:v>REC00777</x:v>
      </x:c>
      <x:c r="I594" s="20" t="n">
        <x:v>39442.23</x:v>
      </x:c>
      <x:c r="J594" s="20" t="n">
        <x:v>39442.23</x:v>
      </x:c>
      <x:c r="K594" s="10" t="str">
        <x:v>Realizado</x:v>
      </x:c>
      <x:c r="L594" s="10" t="str">
        <x:v>Contas a Receber</x:v>
      </x:c>
    </x:row>
    <x:row r="595" ht="18" customHeight="1">
      <x:c r="A595" s="10" t="str">
        <x:v>MOV001421</x:v>
      </x:c>
      <x:c r="B595" s="16" t="n">
        <x:v>45561.1237725463</x:v>
      </x:c>
      <x:c r="C595" s="10" t="str">
        <x:v>EMP003</x:v>
      </x:c>
      <x:c r="D595" s="10" t="str">
        <x:v>CTA006</x:v>
      </x:c>
      <x:c r="E595" s="10" t="str">
        <x:v>Entrada</x:v>
      </x:c>
      <x:c r="F595" s="10" t="str">
        <x:v>CAT002</x:v>
      </x:c>
      <x:c r="G595" s="10" t="str">
        <x:v>Contrato mensal</x:v>
      </x:c>
      <x:c r="H595" s="10" t="str">
        <x:v>REC00811</x:v>
      </x:c>
      <x:c r="I595" s="20" t="n">
        <x:v>129990.74</x:v>
      </x:c>
      <x:c r="J595" s="20" t="n">
        <x:v>129990.74</x:v>
      </x:c>
      <x:c r="K595" s="10" t="str">
        <x:v>Realizado</x:v>
      </x:c>
      <x:c r="L595" s="10" t="str">
        <x:v>Contas a Receber</x:v>
      </x:c>
    </x:row>
    <x:row r="596" ht="18" customHeight="1">
      <x:c r="A596" s="10" t="str">
        <x:v>MOV000117</x:v>
      </x:c>
      <x:c r="B596" s="16" t="n">
        <x:v>45561.53005537037</x:v>
      </x:c>
      <x:c r="C596" s="10" t="str">
        <x:v>EMP003</x:v>
      </x:c>
      <x:c r="D596" s="10" t="str">
        <x:v>CTA005</x:v>
      </x:c>
      <x:c r="E596" s="10" t="str">
        <x:v>Saída</x:v>
      </x:c>
      <x:c r="F596" s="10" t="str">
        <x:v>CAT012</x:v>
      </x:c>
      <x:c r="G596" s="10" t="str">
        <x:v>Tributos e taxas</x:v>
      </x:c>
      <x:c r="H596" s="10" t="str">
        <x:v>PAG00136</x:v>
      </x:c>
      <x:c r="I596" s="20" t="n">
        <x:v>41781.84</x:v>
      </x:c>
      <x:c r="J596" s="20" t="n">
        <x:v>-41781.84</x:v>
      </x:c>
      <x:c r="K596" s="10" t="str">
        <x:v>Realizado</x:v>
      </x:c>
      <x:c r="L596" s="10" t="str">
        <x:v>Contas a Pagar</x:v>
      </x:c>
    </x:row>
    <x:row r="597" ht="18" customHeight="1">
      <x:c r="A597" s="10" t="str">
        <x:v>MOV001657</x:v>
      </x:c>
      <x:c r="B597" s="16" t="n">
        <x:v>45561.95044346065</x:v>
      </x:c>
      <x:c r="C597" s="10" t="str">
        <x:v>EMP001</x:v>
      </x:c>
      <x:c r="D597" s="10" t="str">
        <x:v>CTA001</x:v>
      </x:c>
      <x:c r="E597" s="10" t="str">
        <x:v>Entrada</x:v>
      </x:c>
      <x:c r="F597" s="10" t="str">
        <x:v>CAT003</x:v>
      </x:c>
      <x:c r="G597" s="10" t="str">
        <x:v>Contrato mensal</x:v>
      </x:c>
      <x:c r="H597" s="10" t="str">
        <x:v>REC01097</x:v>
      </x:c>
      <x:c r="I597" s="20" t="n">
        <x:v>12957.84</x:v>
      </x:c>
      <x:c r="J597" s="20" t="n">
        <x:v>12957.84</x:v>
      </x:c>
      <x:c r="K597" s="10" t="str">
        <x:v>Realizado</x:v>
      </x:c>
      <x:c r="L597" s="10" t="str">
        <x:v>Contas a Receber</x:v>
      </x:c>
    </x:row>
    <x:row r="598" ht="18" customHeight="1">
      <x:c r="A598" s="10" t="str">
        <x:v>MOV001041</x:v>
      </x:c>
      <x:c r="B598" s="16" t="n">
        <x:v>45562.35491539352</x:v>
      </x:c>
      <x:c r="C598" s="10" t="str">
        <x:v>EMP003</x:v>
      </x:c>
      <x:c r="D598" s="10" t="str">
        <x:v>CTA005</x:v>
      </x:c>
      <x:c r="E598" s="10" t="str">
        <x:v>Entrada</x:v>
      </x:c>
      <x:c r="F598" s="10" t="str">
        <x:v>CAT001</x:v>
      </x:c>
      <x:c r="G598" s="10" t="str">
        <x:v>Contrato mensal</x:v>
      </x:c>
      <x:c r="H598" s="10" t="str">
        <x:v>REC00351</x:v>
      </x:c>
      <x:c r="I598" s="20" t="n">
        <x:v>1179.7</x:v>
      </x:c>
      <x:c r="J598" s="20" t="n">
        <x:v>1179.7</x:v>
      </x:c>
      <x:c r="K598" s="10" t="str">
        <x:v>Realizado</x:v>
      </x:c>
      <x:c r="L598" s="10" t="str">
        <x:v>Contas a Receber</x:v>
      </x:c>
    </x:row>
    <x:row r="599" ht="18" customHeight="1">
      <x:c r="A599" s="10" t="str">
        <x:v>MOV000885</x:v>
      </x:c>
      <x:c r="B599" s="16" t="n">
        <x:v>45562.56447091435</x:v>
      </x:c>
      <x:c r="C599" s="10" t="str">
        <x:v>EMP003</x:v>
      </x:c>
      <x:c r="D599" s="10" t="str">
        <x:v>CTA006</x:v>
      </x:c>
      <x:c r="E599" s="10" t="str">
        <x:v>Entrada</x:v>
      </x:c>
      <x:c r="F599" s="10" t="str">
        <x:v>CAT001</x:v>
      </x:c>
      <x:c r="G599" s="10" t="str">
        <x:v>Prestação de serviços</x:v>
      </x:c>
      <x:c r="H599" s="10" t="str">
        <x:v>REC00157</x:v>
      </x:c>
      <x:c r="I599" s="20" t="n">
        <x:v>1773.48</x:v>
      </x:c>
      <x:c r="J599" s="20" t="n">
        <x:v>1773.48</x:v>
      </x:c>
      <x:c r="K599" s="10" t="str">
        <x:v>Realizado</x:v>
      </x:c>
      <x:c r="L599" s="10" t="str">
        <x:v>Contas a Receber</x:v>
      </x:c>
    </x:row>
    <x:row r="600" ht="18" customHeight="1">
      <x:c r="A600" s="10" t="str">
        <x:v>MOV001102</x:v>
      </x:c>
      <x:c r="B600" s="16" t="n">
        <x:v>45562.673589212965</x:v>
      </x:c>
      <x:c r="C600" s="10" t="str">
        <x:v>EMP003</x:v>
      </x:c>
      <x:c r="D600" s="10" t="str">
        <x:v>CTA005</x:v>
      </x:c>
      <x:c r="E600" s="10" t="str">
        <x:v>Entrada</x:v>
      </x:c>
      <x:c r="F600" s="10" t="str">
        <x:v>CAT001</x:v>
      </x:c>
      <x:c r="G600" s="10" t="str">
        <x:v>Contrato mensal</x:v>
      </x:c>
      <x:c r="H600" s="10" t="str">
        <x:v>REC00428</x:v>
      </x:c>
      <x:c r="I600" s="20" t="n">
        <x:v>131259.85</x:v>
      </x:c>
      <x:c r="J600" s="20" t="n">
        <x:v>131259.85</x:v>
      </x:c>
      <x:c r="K600" s="10" t="str">
        <x:v>Realizado</x:v>
      </x:c>
      <x:c r="L600" s="10" t="str">
        <x:v>Contas a Receber</x:v>
      </x:c>
    </x:row>
    <x:row r="601" ht="18" customHeight="1">
      <x:c r="A601" s="10" t="str">
        <x:v>MOV001148</x:v>
      </x:c>
      <x:c r="B601" s="16" t="n">
        <x:v>45562.851376273145</x:v>
      </x:c>
      <x:c r="C601" s="10" t="str">
        <x:v>EMP001</x:v>
      </x:c>
      <x:c r="D601" s="10" t="str">
        <x:v>CTA001</x:v>
      </x:c>
      <x:c r="E601" s="10" t="str">
        <x:v>Entrada</x:v>
      </x:c>
      <x:c r="F601" s="10" t="str">
        <x:v>CAT002</x:v>
      </x:c>
      <x:c r="G601" s="10" t="str">
        <x:v>Venda de produtos</x:v>
      </x:c>
      <x:c r="H601" s="10" t="str">
        <x:v>REC00481</x:v>
      </x:c>
      <x:c r="I601" s="20" t="n">
        <x:v>41951.68</x:v>
      </x:c>
      <x:c r="J601" s="20" t="n">
        <x:v>41951.68</x:v>
      </x:c>
      <x:c r="K601" s="10" t="str">
        <x:v>Realizado</x:v>
      </x:c>
      <x:c r="L601" s="10" t="str">
        <x:v>Contas a Receber</x:v>
      </x:c>
    </x:row>
    <x:row r="602" ht="18" customHeight="1">
      <x:c r="A602" s="10" t="str">
        <x:v>MOV000542</x:v>
      </x:c>
      <x:c r="B602" s="16" t="n">
        <x:v>45563.24861679398</x:v>
      </x:c>
      <x:c r="C602" s="10" t="str">
        <x:v>EMP001</x:v>
      </x:c>
      <x:c r="D602" s="10" t="str">
        <x:v>CTA001</x:v>
      </x:c>
      <x:c r="E602" s="10" t="str">
        <x:v>Saída</x:v>
      </x:c>
      <x:c r="F602" s="10" t="str">
        <x:v>CAT008</x:v>
      </x:c>
      <x:c r="G602" s="10" t="str">
        <x:v>Tributos e taxas</x:v>
      </x:c>
      <x:c r="H602" s="10" t="str">
        <x:v>PAG00636</x:v>
      </x:c>
      <x:c r="I602" s="20" t="n">
        <x:v>25066.82</x:v>
      </x:c>
      <x:c r="J602" s="20" t="n">
        <x:v>-25066.82</x:v>
      </x:c>
      <x:c r="K602" s="10" t="str">
        <x:v>Realizado</x:v>
      </x:c>
      <x:c r="L602" s="10" t="str">
        <x:v>Contas a Pagar</x:v>
      </x:c>
    </x:row>
    <x:row r="603" ht="18" customHeight="1">
      <x:c r="A603" s="10" t="str">
        <x:v>MOV001369</x:v>
      </x:c>
      <x:c r="B603" s="16" t="n">
        <x:v>45564.717142650465</x:v>
      </x:c>
      <x:c r="C603" s="10" t="str">
        <x:v>EMP001</x:v>
      </x:c>
      <x:c r="D603" s="10" t="str">
        <x:v>CTA001</x:v>
      </x:c>
      <x:c r="E603" s="10" t="str">
        <x:v>Entrada</x:v>
      </x:c>
      <x:c r="F603" s="10" t="str">
        <x:v>CAT004</x:v>
      </x:c>
      <x:c r="G603" s="10" t="str">
        <x:v>Projeto especial</x:v>
      </x:c>
      <x:c r="H603" s="10" t="str">
        <x:v>REC00739</x:v>
      </x:c>
      <x:c r="I603" s="20" t="n">
        <x:v>25261.92</x:v>
      </x:c>
      <x:c r="J603" s="20" t="n">
        <x:v>25261.92</x:v>
      </x:c>
      <x:c r="K603" s="10" t="str">
        <x:v>Realizado</x:v>
      </x:c>
      <x:c r="L603" s="10" t="str">
        <x:v>Contas a Receber</x:v>
      </x:c>
    </x:row>
    <x:row r="604" ht="18" customHeight="1">
      <x:c r="A604" s="10" t="str">
        <x:v>MOV000802</x:v>
      </x:c>
      <x:c r="B604" s="16" t="n">
        <x:v>45565.19741958333</x:v>
      </x:c>
      <x:c r="C604" s="10" t="str">
        <x:v>EMP002</x:v>
      </x:c>
      <x:c r="D604" s="10" t="str">
        <x:v>CTA003</x:v>
      </x:c>
      <x:c r="E604" s="10" t="str">
        <x:v>Entrada</x:v>
      </x:c>
      <x:c r="F604" s="10" t="str">
        <x:v>CAT003</x:v>
      </x:c>
      <x:c r="G604" s="10" t="str">
        <x:v>Frete faturado</x:v>
      </x:c>
      <x:c r="H604" s="10" t="str">
        <x:v>REC00061</x:v>
      </x:c>
      <x:c r="I604" s="20" t="n">
        <x:v>121006</x:v>
      </x:c>
      <x:c r="J604" s="20" t="n">
        <x:v>121006</x:v>
      </x:c>
      <x:c r="K604" s="10" t="str">
        <x:v>Realizado</x:v>
      </x:c>
      <x:c r="L604" s="10" t="str">
        <x:v>Contas a Receber</x:v>
      </x:c>
    </x:row>
    <x:row r="605" ht="18" customHeight="1">
      <x:c r="A605" s="10" t="str">
        <x:v>MOV001649</x:v>
      </x:c>
      <x:c r="B605" s="16" t="n">
        <x:v>45566.28381206019</x:v>
      </x:c>
      <x:c r="C605" s="10" t="str">
        <x:v>EMP001</x:v>
      </x:c>
      <x:c r="D605" s="10" t="str">
        <x:v>CTA002</x:v>
      </x:c>
      <x:c r="E605" s="10" t="str">
        <x:v>Entrada</x:v>
      </x:c>
      <x:c r="F605" s="10" t="str">
        <x:v>CAT001</x:v>
      </x:c>
      <x:c r="G605" s="10" t="str">
        <x:v>Projeto especial</x:v>
      </x:c>
      <x:c r="H605" s="10" t="str">
        <x:v>REC01089</x:v>
      </x:c>
      <x:c r="I605" s="20" t="n">
        <x:v>65862.81</x:v>
      </x:c>
      <x:c r="J605" s="20" t="n">
        <x:v>65862.81</x:v>
      </x:c>
      <x:c r="K605" s="10" t="str">
        <x:v>Realizado</x:v>
      </x:c>
      <x:c r="L605" s="10" t="str">
        <x:v>Contas a Receber</x:v>
      </x:c>
    </x:row>
    <x:row r="606" ht="18" customHeight="1">
      <x:c r="A606" s="10" t="str">
        <x:v>MOV001510</x:v>
      </x:c>
      <x:c r="B606" s="16" t="n">
        <x:v>45566.555443969904</x:v>
      </x:c>
      <x:c r="C606" s="10" t="str">
        <x:v>EMP003</x:v>
      </x:c>
      <x:c r="D606" s="10" t="str">
        <x:v>CTA005</x:v>
      </x:c>
      <x:c r="E606" s="10" t="str">
        <x:v>Entrada</x:v>
      </x:c>
      <x:c r="F606" s="10" t="str">
        <x:v>CAT002</x:v>
      </x:c>
      <x:c r="G606" s="10" t="str">
        <x:v>Projeto especial</x:v>
      </x:c>
      <x:c r="H606" s="10" t="str">
        <x:v>REC00920</x:v>
      </x:c>
      <x:c r="I606" s="20" t="n">
        <x:v>98957.61</x:v>
      </x:c>
      <x:c r="J606" s="20" t="n">
        <x:v>98957.61</x:v>
      </x:c>
      <x:c r="K606" s="10" t="str">
        <x:v>Realizado</x:v>
      </x:c>
      <x:c r="L606" s="10" t="str">
        <x:v>Contas a Receber</x:v>
      </x:c>
    </x:row>
    <x:row r="607" ht="18" customHeight="1">
      <x:c r="A607" s="10" t="str">
        <x:v>MOV001373</x:v>
      </x:c>
      <x:c r="B607" s="16" t="n">
        <x:v>45566.75118142361</x:v>
      </x:c>
      <x:c r="C607" s="10" t="str">
        <x:v>EMP003</x:v>
      </x:c>
      <x:c r="D607" s="10" t="str">
        <x:v>CTA005</x:v>
      </x:c>
      <x:c r="E607" s="10" t="str">
        <x:v>Entrada</x:v>
      </x:c>
      <x:c r="F607" s="10" t="str">
        <x:v>CAT004</x:v>
      </x:c>
      <x:c r="G607" s="10" t="str">
        <x:v>Prestação de serviços</x:v>
      </x:c>
      <x:c r="H607" s="10" t="str">
        <x:v>REC00743</x:v>
      </x:c>
      <x:c r="I607" s="20" t="n">
        <x:v>114989.35</x:v>
      </x:c>
      <x:c r="J607" s="20" t="n">
        <x:v>114989.35</x:v>
      </x:c>
      <x:c r="K607" s="10" t="str">
        <x:v>Realizado</x:v>
      </x:c>
      <x:c r="L607" s="10" t="str">
        <x:v>Contas a Receber</x:v>
      </x:c>
    </x:row>
    <x:row r="608" ht="18" customHeight="1">
      <x:c r="A608" s="10" t="str">
        <x:v>MOV000425</x:v>
      </x:c>
      <x:c r="B608" s="16" t="n">
        <x:v>45567.03641001158</x:v>
      </x:c>
      <x:c r="C608" s="10" t="str">
        <x:v>EMP003</x:v>
      </x:c>
      <x:c r="D608" s="10" t="str">
        <x:v>CTA005</x:v>
      </x:c>
      <x:c r="E608" s="10" t="str">
        <x:v>Saída</x:v>
      </x:c>
      <x:c r="F608" s="10" t="str">
        <x:v>CAT007</x:v>
      </x:c>
      <x:c r="G608" s="10" t="str">
        <x:v>Despesa operacional</x:v>
      </x:c>
      <x:c r="H608" s="10" t="str">
        <x:v>PAG00498</x:v>
      </x:c>
      <x:c r="I608" s="20" t="n">
        <x:v>23235.79</x:v>
      </x:c>
      <x:c r="J608" s="20" t="n">
        <x:v>-23235.79</x:v>
      </x:c>
      <x:c r="K608" s="10" t="str">
        <x:v>Realizado</x:v>
      </x:c>
      <x:c r="L608" s="10" t="str">
        <x:v>Contas a Pagar</x:v>
      </x:c>
    </x:row>
    <x:row r="609" ht="18" customHeight="1">
      <x:c r="A609" s="10" t="str">
        <x:v>MOV000923</x:v>
      </x:c>
      <x:c r="B609" s="16" t="n">
        <x:v>45567.246459814814</x:v>
      </x:c>
      <x:c r="C609" s="10" t="str">
        <x:v>EMP003</x:v>
      </x:c>
      <x:c r="D609" s="10" t="str">
        <x:v>CTA006</x:v>
      </x:c>
      <x:c r="E609" s="10" t="str">
        <x:v>Entrada</x:v>
      </x:c>
      <x:c r="F609" s="10" t="str">
        <x:v>CAT001</x:v>
      </x:c>
      <x:c r="G609" s="10" t="str">
        <x:v>Prestação de serviços</x:v>
      </x:c>
      <x:c r="H609" s="10" t="str">
        <x:v>REC00201</x:v>
      </x:c>
      <x:c r="I609" s="20" t="n">
        <x:v>18467.44</x:v>
      </x:c>
      <x:c r="J609" s="20" t="n">
        <x:v>18467.44</x:v>
      </x:c>
      <x:c r="K609" s="10" t="str">
        <x:v>Realizado</x:v>
      </x:c>
      <x:c r="L609" s="10" t="str">
        <x:v>Contas a Receber</x:v>
      </x:c>
    </x:row>
    <x:row r="610" ht="18" customHeight="1">
      <x:c r="A610" s="10" t="str">
        <x:v>MOV000081</x:v>
      </x:c>
      <x:c r="B610" s="16" t="n">
        <x:v>45567.29307688658</x:v>
      </x:c>
      <x:c r="C610" s="10" t="str">
        <x:v>EMP001</x:v>
      </x:c>
      <x:c r="D610" s="10" t="str">
        <x:v>CTA002</x:v>
      </x:c>
      <x:c r="E610" s="10" t="str">
        <x:v>Saída</x:v>
      </x:c>
      <x:c r="F610" s="10" t="str">
        <x:v>CAT007</x:v>
      </x:c>
      <x:c r="G610" s="10" t="str">
        <x:v>Tributos e taxas</x:v>
      </x:c>
      <x:c r="H610" s="10" t="str">
        <x:v>PAG00092</x:v>
      </x:c>
      <x:c r="I610" s="20" t="n">
        <x:v>18901.39</x:v>
      </x:c>
      <x:c r="J610" s="20" t="n">
        <x:v>-18901.39</x:v>
      </x:c>
      <x:c r="K610" s="10" t="str">
        <x:v>Realizado</x:v>
      </x:c>
      <x:c r="L610" s="10" t="str">
        <x:v>Contas a Pagar</x:v>
      </x:c>
    </x:row>
    <x:row r="611" ht="18" customHeight="1">
      <x:c r="A611" s="10" t="str">
        <x:v>MOV001540</x:v>
      </x:c>
      <x:c r="B611" s="16" t="n">
        <x:v>45567.579037800926</x:v>
      </x:c>
      <x:c r="C611" s="10" t="str">
        <x:v>EMP003</x:v>
      </x:c>
      <x:c r="D611" s="10" t="str">
        <x:v>CTA005</x:v>
      </x:c>
      <x:c r="E611" s="10" t="str">
        <x:v>Entrada</x:v>
      </x:c>
      <x:c r="F611" s="10" t="str">
        <x:v>CAT003</x:v>
      </x:c>
      <x:c r="G611" s="10" t="str">
        <x:v>Frete faturado</x:v>
      </x:c>
      <x:c r="H611" s="10" t="str">
        <x:v>REC00957</x:v>
      </x:c>
      <x:c r="I611" s="20" t="n">
        <x:v>125958.26</x:v>
      </x:c>
      <x:c r="J611" s="20" t="n">
        <x:v>125958.26</x:v>
      </x:c>
      <x:c r="K611" s="10" t="str">
        <x:v>Realizado</x:v>
      </x:c>
      <x:c r="L611" s="10" t="str">
        <x:v>Contas a Receber</x:v>
      </x:c>
    </x:row>
    <x:row r="612" ht="18" customHeight="1">
      <x:c r="A612" s="10" t="str">
        <x:v>MOV000533</x:v>
      </x:c>
      <x:c r="B612" s="16" t="n">
        <x:v>45567.734448194446</x:v>
      </x:c>
      <x:c r="C612" s="10" t="str">
        <x:v>EMP003</x:v>
      </x:c>
      <x:c r="D612" s="10" t="str">
        <x:v>CTA006</x:v>
      </x:c>
      <x:c r="E612" s="10" t="str">
        <x:v>Saída</x:v>
      </x:c>
      <x:c r="F612" s="10" t="str">
        <x:v>CAT018</x:v>
      </x:c>
      <x:c r="G612" s="10" t="str">
        <x:v>Despesa operacional</x:v>
      </x:c>
      <x:c r="H612" s="10" t="str">
        <x:v>PAG00624</x:v>
      </x:c>
      <x:c r="I612" s="20" t="n">
        <x:v>3915.73</x:v>
      </x:c>
      <x:c r="J612" s="20" t="n">
        <x:v>-3915.73</x:v>
      </x:c>
      <x:c r="K612" s="10" t="str">
        <x:v>Realizado</x:v>
      </x:c>
      <x:c r="L612" s="10" t="str">
        <x:v>Contas a Pagar</x:v>
      </x:c>
    </x:row>
    <x:row r="613" ht="18" customHeight="1">
      <x:c r="A613" s="10" t="str">
        <x:v>MOV000586</x:v>
      </x:c>
      <x:c r="B613" s="16" t="n">
        <x:v>45568.18488824074</x:v>
      </x:c>
      <x:c r="C613" s="10" t="str">
        <x:v>EMP003</x:v>
      </x:c>
      <x:c r="D613" s="10" t="str">
        <x:v>CTA006</x:v>
      </x:c>
      <x:c r="E613" s="10" t="str">
        <x:v>Saída</x:v>
      </x:c>
      <x:c r="F613" s="10" t="str">
        <x:v>CAT005</x:v>
      </x:c>
      <x:c r="G613" s="10" t="str">
        <x:v>Despesa operacional</x:v>
      </x:c>
      <x:c r="H613" s="10" t="str">
        <x:v>PAG00689</x:v>
      </x:c>
      <x:c r="I613" s="20" t="n">
        <x:v>6496.57</x:v>
      </x:c>
      <x:c r="J613" s="20" t="n">
        <x:v>-6496.57</x:v>
      </x:c>
      <x:c r="K613" s="10" t="str">
        <x:v>Realizado</x:v>
      </x:c>
      <x:c r="L613" s="10" t="str">
        <x:v>Contas a Pagar</x:v>
      </x:c>
    </x:row>
    <x:row r="614" ht="18" customHeight="1">
      <x:c r="A614" s="10" t="str">
        <x:v>MOV001651</x:v>
      </x:c>
      <x:c r="B614" s="16" t="n">
        <x:v>45569.42495590278</x:v>
      </x:c>
      <x:c r="C614" s="10" t="str">
        <x:v>EMP001</x:v>
      </x:c>
      <x:c r="D614" s="10" t="str">
        <x:v>CTA002</x:v>
      </x:c>
      <x:c r="E614" s="10" t="str">
        <x:v>Entrada</x:v>
      </x:c>
      <x:c r="F614" s="10" t="str">
        <x:v>CAT004</x:v>
      </x:c>
      <x:c r="G614" s="10" t="str">
        <x:v>Frete faturado</x:v>
      </x:c>
      <x:c r="H614" s="10" t="str">
        <x:v>REC01091</x:v>
      </x:c>
      <x:c r="I614" s="20" t="n">
        <x:v>43433.25</x:v>
      </x:c>
      <x:c r="J614" s="20" t="n">
        <x:v>43433.25</x:v>
      </x:c>
      <x:c r="K614" s="10" t="str">
        <x:v>Realizado</x:v>
      </x:c>
      <x:c r="L614" s="10" t="str">
        <x:v>Contas a Receber</x:v>
      </x:c>
    </x:row>
    <x:row r="615" ht="18" customHeight="1">
      <x:c r="A615" s="10" t="str">
        <x:v>MOV000239</x:v>
      </x:c>
      <x:c r="B615" s="16" t="n">
        <x:v>45569.49818171297</x:v>
      </x:c>
      <x:c r="C615" s="10" t="str">
        <x:v>EMP002</x:v>
      </x:c>
      <x:c r="D615" s="10" t="str">
        <x:v>CTA003</x:v>
      </x:c>
      <x:c r="E615" s="10" t="str">
        <x:v>Saída</x:v>
      </x:c>
      <x:c r="F615" s="10" t="str">
        <x:v>CAT011</x:v>
      </x:c>
      <x:c r="G615" s="10" t="str">
        <x:v>Contrato recorrente</x:v>
      </x:c>
      <x:c r="H615" s="10" t="str">
        <x:v>PAG00279</x:v>
      </x:c>
      <x:c r="I615" s="20" t="n">
        <x:v>33131.35</x:v>
      </x:c>
      <x:c r="J615" s="20" t="n">
        <x:v>-33131.35</x:v>
      </x:c>
      <x:c r="K615" s="10" t="str">
        <x:v>Realizado</x:v>
      </x:c>
      <x:c r="L615" s="10" t="str">
        <x:v>Contas a Pagar</x:v>
      </x:c>
    </x:row>
    <x:row r="616" ht="18" customHeight="1">
      <x:c r="A616" s="10" t="str">
        <x:v>MOV001184</x:v>
      </x:c>
      <x:c r="B616" s="16" t="n">
        <x:v>45569.54436825232</x:v>
      </x:c>
      <x:c r="C616" s="10" t="str">
        <x:v>EMP002</x:v>
      </x:c>
      <x:c r="D616" s="10" t="str">
        <x:v>CTA004</x:v>
      </x:c>
      <x:c r="E616" s="10" t="str">
        <x:v>Entrada</x:v>
      </x:c>
      <x:c r="F616" s="10" t="str">
        <x:v>CAT001</x:v>
      </x:c>
      <x:c r="G616" s="10" t="str">
        <x:v>Prestação de serviços</x:v>
      </x:c>
      <x:c r="H616" s="10" t="str">
        <x:v>REC00524</x:v>
      </x:c>
      <x:c r="I616" s="20" t="n">
        <x:v>57181.76</x:v>
      </x:c>
      <x:c r="J616" s="20" t="n">
        <x:v>57181.76</x:v>
      </x:c>
      <x:c r="K616" s="10" t="str">
        <x:v>Realizado</x:v>
      </x:c>
      <x:c r="L616" s="10" t="str">
        <x:v>Contas a Receber</x:v>
      </x:c>
    </x:row>
    <x:row r="617" ht="18" customHeight="1">
      <x:c r="A617" s="10" t="str">
        <x:v>MOV001416</x:v>
      </x:c>
      <x:c r="B617" s="16" t="n">
        <x:v>45569.680990810186</x:v>
      </x:c>
      <x:c r="C617" s="10" t="str">
        <x:v>EMP001</x:v>
      </x:c>
      <x:c r="D617" s="10" t="str">
        <x:v>CTA002</x:v>
      </x:c>
      <x:c r="E617" s="10" t="str">
        <x:v>Entrada</x:v>
      </x:c>
      <x:c r="F617" s="10" t="str">
        <x:v>CAT001</x:v>
      </x:c>
      <x:c r="G617" s="10" t="str">
        <x:v>Contrato mensal</x:v>
      </x:c>
      <x:c r="H617" s="10" t="str">
        <x:v>REC00800</x:v>
      </x:c>
      <x:c r="I617" s="20" t="n">
        <x:v>4515.44</x:v>
      </x:c>
      <x:c r="J617" s="20" t="n">
        <x:v>4515.44</x:v>
      </x:c>
      <x:c r="K617" s="10" t="str">
        <x:v>Realizado</x:v>
      </x:c>
      <x:c r="L617" s="10" t="str">
        <x:v>Contas a Receber</x:v>
      </x:c>
    </x:row>
    <x:row r="618" ht="18" customHeight="1">
      <x:c r="A618" s="10" t="str">
        <x:v>MOV000336</x:v>
      </x:c>
      <x:c r="B618" s="16" t="n">
        <x:v>45571.14380159722</x:v>
      </x:c>
      <x:c r="C618" s="10" t="str">
        <x:v>EMP001</x:v>
      </x:c>
      <x:c r="D618" s="10" t="str">
        <x:v>CTA002</x:v>
      </x:c>
      <x:c r="E618" s="10" t="str">
        <x:v>Saída</x:v>
      </x:c>
      <x:c r="F618" s="10" t="str">
        <x:v>CAT009</x:v>
      </x:c>
      <x:c r="G618" s="10" t="str">
        <x:v>Prestação de serviços</x:v>
      </x:c>
      <x:c r="H618" s="10" t="str">
        <x:v>PAG00389</x:v>
      </x:c>
      <x:c r="I618" s="20" t="n">
        <x:v>46075.15</x:v>
      </x:c>
      <x:c r="J618" s="20" t="n">
        <x:v>-46075.15</x:v>
      </x:c>
      <x:c r="K618" s="10" t="str">
        <x:v>Realizado</x:v>
      </x:c>
      <x:c r="L618" s="10" t="str">
        <x:v>Contas a Pagar</x:v>
      </x:c>
    </x:row>
    <x:row r="619" ht="18" customHeight="1">
      <x:c r="A619" s="10" t="str">
        <x:v>MOV001166</x:v>
      </x:c>
      <x:c r="B619" s="16" t="n">
        <x:v>45571.3921602662</x:v>
      </x:c>
      <x:c r="C619" s="10" t="str">
        <x:v>EMP002</x:v>
      </x:c>
      <x:c r="D619" s="10" t="str">
        <x:v>CTA003</x:v>
      </x:c>
      <x:c r="E619" s="10" t="str">
        <x:v>Entrada</x:v>
      </x:c>
      <x:c r="F619" s="10" t="str">
        <x:v>CAT003</x:v>
      </x:c>
      <x:c r="G619" s="10" t="str">
        <x:v>Contrato mensal</x:v>
      </x:c>
      <x:c r="H619" s="10" t="str">
        <x:v>REC00500</x:v>
      </x:c>
      <x:c r="I619" s="20" t="n">
        <x:v>13275.72</x:v>
      </x:c>
      <x:c r="J619" s="20" t="n">
        <x:v>13275.72</x:v>
      </x:c>
      <x:c r="K619" s="10" t="str">
        <x:v>Realizado</x:v>
      </x:c>
      <x:c r="L619" s="10" t="str">
        <x:v>Contas a Receber</x:v>
      </x:c>
    </x:row>
    <x:row r="620" ht="18" customHeight="1">
      <x:c r="A620" s="10" t="str">
        <x:v>MOV000906</x:v>
      </x:c>
      <x:c r="B620" s="16" t="n">
        <x:v>45572.15699809028</x:v>
      </x:c>
      <x:c r="C620" s="10" t="str">
        <x:v>EMP002</x:v>
      </x:c>
      <x:c r="D620" s="10" t="str">
        <x:v>CTA003</x:v>
      </x:c>
      <x:c r="E620" s="10" t="str">
        <x:v>Entrada</x:v>
      </x:c>
      <x:c r="F620" s="10" t="str">
        <x:v>CAT003</x:v>
      </x:c>
      <x:c r="G620" s="10" t="str">
        <x:v>Prestação de serviços</x:v>
      </x:c>
      <x:c r="H620" s="10" t="str">
        <x:v>REC00183</x:v>
      </x:c>
      <x:c r="I620" s="20" t="n">
        <x:v>118846.36</x:v>
      </x:c>
      <x:c r="J620" s="20" t="n">
        <x:v>118846.36</x:v>
      </x:c>
      <x:c r="K620" s="10" t="str">
        <x:v>Realizado</x:v>
      </x:c>
      <x:c r="L620" s="10" t="str">
        <x:v>Contas a Receber</x:v>
      </x:c>
    </x:row>
    <x:row r="621" ht="18" customHeight="1">
      <x:c r="A621" s="10" t="str">
        <x:v>MOV000732</x:v>
      </x:c>
      <x:c r="B621" s="16" t="n">
        <x:v>45572.72248320602</x:v>
      </x:c>
      <x:c r="C621" s="10" t="str">
        <x:v>EMP003</x:v>
      </x:c>
      <x:c r="D621" s="10" t="str">
        <x:v>CTA006</x:v>
      </x:c>
      <x:c r="E621" s="10" t="str">
        <x:v>Saída</x:v>
      </x:c>
      <x:c r="F621" s="10" t="str">
        <x:v>CAT010</x:v>
      </x:c>
      <x:c r="G621" s="10" t="str">
        <x:v>Contrato recorrente</x:v>
      </x:c>
      <x:c r="H621" s="10" t="str">
        <x:v>PAG00871</x:v>
      </x:c>
      <x:c r="I621" s="20" t="n">
        <x:v>34947.39</x:v>
      </x:c>
      <x:c r="J621" s="20" t="n">
        <x:v>-34947.39</x:v>
      </x:c>
      <x:c r="K621" s="10" t="str">
        <x:v>Realizado</x:v>
      </x:c>
      <x:c r="L621" s="10" t="str">
        <x:v>Contas a Pagar</x:v>
      </x:c>
    </x:row>
    <x:row r="622" ht="18" customHeight="1">
      <x:c r="A622" s="10" t="str">
        <x:v>MOV001334</x:v>
      </x:c>
      <x:c r="B622" s="16" t="n">
        <x:v>45573.13001122685</x:v>
      </x:c>
      <x:c r="C622" s="10" t="str">
        <x:v>EMP003</x:v>
      </x:c>
      <x:c r="D622" s="10" t="str">
        <x:v>CTA006</x:v>
      </x:c>
      <x:c r="E622" s="10" t="str">
        <x:v>Entrada</x:v>
      </x:c>
      <x:c r="F622" s="10" t="str">
        <x:v>CAT003</x:v>
      </x:c>
      <x:c r="G622" s="10" t="str">
        <x:v>Venda de produtos</x:v>
      </x:c>
      <x:c r="H622" s="10" t="str">
        <x:v>REC00700</x:v>
      </x:c>
      <x:c r="I622" s="20" t="n">
        <x:v>134763.88</x:v>
      </x:c>
      <x:c r="J622" s="20" t="n">
        <x:v>134763.88</x:v>
      </x:c>
      <x:c r="K622" s="10" t="str">
        <x:v>Realizado</x:v>
      </x:c>
      <x:c r="L622" s="10" t="str">
        <x:v>Contas a Receber</x:v>
      </x:c>
    </x:row>
    <x:row r="623" ht="18" customHeight="1">
      <x:c r="A623" s="10" t="str">
        <x:v>MOV000650</x:v>
      </x:c>
      <x:c r="B623" s="16" t="n">
        <x:v>45573.64650582176</x:v>
      </x:c>
      <x:c r="C623" s="10" t="str">
        <x:v>EMP001</x:v>
      </x:c>
      <x:c r="D623" s="10" t="str">
        <x:v>CTA001</x:v>
      </x:c>
      <x:c r="E623" s="10" t="str">
        <x:v>Saída</x:v>
      </x:c>
      <x:c r="F623" s="10" t="str">
        <x:v>CAT008</x:v>
      </x:c>
      <x:c r="G623" s="10" t="str">
        <x:v>Tributos e taxas</x:v>
      </x:c>
      <x:c r="H623" s="10" t="str">
        <x:v>PAG00770</x:v>
      </x:c>
      <x:c r="I623" s="20" t="n">
        <x:v>34742.31</x:v>
      </x:c>
      <x:c r="J623" s="20" t="n">
        <x:v>-34742.31</x:v>
      </x:c>
      <x:c r="K623" s="10" t="str">
        <x:v>Realizado</x:v>
      </x:c>
      <x:c r="L623" s="10" t="str">
        <x:v>Contas a Pagar</x:v>
      </x:c>
    </x:row>
    <x:row r="624" ht="18" customHeight="1">
      <x:c r="A624" s="10" t="str">
        <x:v>MOV001142</x:v>
      </x:c>
      <x:c r="B624" s="16" t="n">
        <x:v>45573.65150526621</x:v>
      </x:c>
      <x:c r="C624" s="10" t="str">
        <x:v>EMP002</x:v>
      </x:c>
      <x:c r="D624" s="10" t="str">
        <x:v>CTA004</x:v>
      </x:c>
      <x:c r="E624" s="10" t="str">
        <x:v>Entrada</x:v>
      </x:c>
      <x:c r="F624" s="10" t="str">
        <x:v>CAT002</x:v>
      </x:c>
      <x:c r="G624" s="10" t="str">
        <x:v>Contrato mensal</x:v>
      </x:c>
      <x:c r="H624" s="10" t="str">
        <x:v>REC00474</x:v>
      </x:c>
      <x:c r="I624" s="20" t="n">
        <x:v>64269.41</x:v>
      </x:c>
      <x:c r="J624" s="20" t="n">
        <x:v>64269.41</x:v>
      </x:c>
      <x:c r="K624" s="10" t="str">
        <x:v>Realizado</x:v>
      </x:c>
      <x:c r="L624" s="10" t="str">
        <x:v>Contas a Receber</x:v>
      </x:c>
    </x:row>
    <x:row r="625" ht="18" customHeight="1">
      <x:c r="A625" s="10" t="str">
        <x:v>MOV000647</x:v>
      </x:c>
      <x:c r="B625" s="16" t="n">
        <x:v>45574.49695702546</x:v>
      </x:c>
      <x:c r="C625" s="10" t="str">
        <x:v>EMP002</x:v>
      </x:c>
      <x:c r="D625" s="10" t="str">
        <x:v>CTA003</x:v>
      </x:c>
      <x:c r="E625" s="10" t="str">
        <x:v>Saída</x:v>
      </x:c>
      <x:c r="F625" s="10" t="str">
        <x:v>CAT008</x:v>
      </x:c>
      <x:c r="G625" s="10" t="str">
        <x:v>Tributos e taxas</x:v>
      </x:c>
      <x:c r="H625" s="10" t="str">
        <x:v>PAG00767</x:v>
      </x:c>
      <x:c r="I625" s="20" t="n">
        <x:v>42044.74</x:v>
      </x:c>
      <x:c r="J625" s="20" t="n">
        <x:v>-42044.74</x:v>
      </x:c>
      <x:c r="K625" s="10" t="str">
        <x:v>Realizado</x:v>
      </x:c>
      <x:c r="L625" s="10" t="str">
        <x:v>Contas a Pagar</x:v>
      </x:c>
    </x:row>
    <x:row r="626" ht="18" customHeight="1">
      <x:c r="A626" s="10" t="str">
        <x:v>MOV001321</x:v>
      </x:c>
      <x:c r="B626" s="16" t="n">
        <x:v>45574.714247511576</x:v>
      </x:c>
      <x:c r="C626" s="10" t="str">
        <x:v>EMP001</x:v>
      </x:c>
      <x:c r="D626" s="10" t="str">
        <x:v>CTA001</x:v>
      </x:c>
      <x:c r="E626" s="10" t="str">
        <x:v>Entrada</x:v>
      </x:c>
      <x:c r="F626" s="10" t="str">
        <x:v>CAT004</x:v>
      </x:c>
      <x:c r="G626" s="10" t="str">
        <x:v>Contrato mensal</x:v>
      </x:c>
      <x:c r="H626" s="10" t="str">
        <x:v>REC00684</x:v>
      </x:c>
      <x:c r="I626" s="20" t="n">
        <x:v>116805.27</x:v>
      </x:c>
      <x:c r="J626" s="20" t="n">
        <x:v>116805.27</x:v>
      </x:c>
      <x:c r="K626" s="10" t="str">
        <x:v>Realizado</x:v>
      </x:c>
      <x:c r="L626" s="10" t="str">
        <x:v>Contas a Receber</x:v>
      </x:c>
    </x:row>
    <x:row r="627" ht="18" customHeight="1">
      <x:c r="A627" s="10" t="str">
        <x:v>MOV001353</x:v>
      </x:c>
      <x:c r="B627" s="16" t="n">
        <x:v>45575.70257457176</x:v>
      </x:c>
      <x:c r="C627" s="10" t="str">
        <x:v>EMP001</x:v>
      </x:c>
      <x:c r="D627" s="10" t="str">
        <x:v>CTA002</x:v>
      </x:c>
      <x:c r="E627" s="10" t="str">
        <x:v>Entrada</x:v>
      </x:c>
      <x:c r="F627" s="10" t="str">
        <x:v>CAT001</x:v>
      </x:c>
      <x:c r="G627" s="10" t="str">
        <x:v>Prestação de serviços</x:v>
      </x:c>
      <x:c r="H627" s="10" t="str">
        <x:v>REC00720</x:v>
      </x:c>
      <x:c r="I627" s="20" t="n">
        <x:v>104574.74</x:v>
      </x:c>
      <x:c r="J627" s="20" t="n">
        <x:v>104574.74</x:v>
      </x:c>
      <x:c r="K627" s="10" t="str">
        <x:v>Realizado</x:v>
      </x:c>
      <x:c r="L627" s="10" t="str">
        <x:v>Contas a Receber</x:v>
      </x:c>
    </x:row>
    <x:row r="628" ht="18" customHeight="1">
      <x:c r="A628" s="10" t="str">
        <x:v>MOV000065</x:v>
      </x:c>
      <x:c r="B628" s="16" t="n">
        <x:v>45575.85284144676</x:v>
      </x:c>
      <x:c r="C628" s="10" t="str">
        <x:v>EMP002</x:v>
      </x:c>
      <x:c r="D628" s="10" t="str">
        <x:v>CTA003</x:v>
      </x:c>
      <x:c r="E628" s="10" t="str">
        <x:v>Saída</x:v>
      </x:c>
      <x:c r="F628" s="10" t="str">
        <x:v>CAT008</x:v>
      </x:c>
      <x:c r="G628" s="10" t="str">
        <x:v>Prestação de serviços</x:v>
      </x:c>
      <x:c r="H628" s="10" t="str">
        <x:v>PAG00071</x:v>
      </x:c>
      <x:c r="I628" s="20" t="n">
        <x:v>2090.91</x:v>
      </x:c>
      <x:c r="J628" s="20" t="n">
        <x:v>-2090.91</x:v>
      </x:c>
      <x:c r="K628" s="10" t="str">
        <x:v>Realizado</x:v>
      </x:c>
      <x:c r="L628" s="10" t="str">
        <x:v>Contas a Pagar</x:v>
      </x:c>
    </x:row>
    <x:row r="629" ht="18" customHeight="1">
      <x:c r="A629" s="10" t="str">
        <x:v>MOV000070</x:v>
      </x:c>
      <x:c r="B629" s="16" t="n">
        <x:v>45575.95294815972</x:v>
      </x:c>
      <x:c r="C629" s="10" t="str">
        <x:v>EMP001</x:v>
      </x:c>
      <x:c r="D629" s="10" t="str">
        <x:v>CTA001</x:v>
      </x:c>
      <x:c r="E629" s="10" t="str">
        <x:v>Saída</x:v>
      </x:c>
      <x:c r="F629" s="10" t="str">
        <x:v>CAT015</x:v>
      </x:c>
      <x:c r="G629" s="10" t="str">
        <x:v>Prestação de serviços</x:v>
      </x:c>
      <x:c r="H629" s="10" t="str">
        <x:v>PAG00078</x:v>
      </x:c>
      <x:c r="I629" s="20" t="n">
        <x:v>34922.87</x:v>
      </x:c>
      <x:c r="J629" s="20" t="n">
        <x:v>-34922.87</x:v>
      </x:c>
      <x:c r="K629" s="10" t="str">
        <x:v>Realizado</x:v>
      </x:c>
      <x:c r="L629" s="10" t="str">
        <x:v>Contas a Pagar</x:v>
      </x:c>
    </x:row>
    <x:row r="630" ht="18" customHeight="1">
      <x:c r="A630" s="10" t="str">
        <x:v>MOV001659</x:v>
      </x:c>
      <x:c r="B630" s="16" t="n">
        <x:v>45576.342975520834</x:v>
      </x:c>
      <x:c r="C630" s="10" t="str">
        <x:v>EMP002</x:v>
      </x:c>
      <x:c r="D630" s="10" t="str">
        <x:v>CTA004</x:v>
      </x:c>
      <x:c r="E630" s="10" t="str">
        <x:v>Entrada</x:v>
      </x:c>
      <x:c r="F630" s="10" t="str">
        <x:v>CAT004</x:v>
      </x:c>
      <x:c r="G630" s="10" t="str">
        <x:v>Venda de produtos</x:v>
      </x:c>
      <x:c r="H630" s="10" t="str">
        <x:v>REC01100</x:v>
      </x:c>
      <x:c r="I630" s="20" t="n">
        <x:v>1141.87</x:v>
      </x:c>
      <x:c r="J630" s="20" t="n">
        <x:v>1141.87</x:v>
      </x:c>
      <x:c r="K630" s="10" t="str">
        <x:v>Realizado</x:v>
      </x:c>
      <x:c r="L630" s="10" t="str">
        <x:v>Contas a Receber</x:v>
      </x:c>
    </x:row>
    <x:row r="631" ht="18" customHeight="1">
      <x:c r="A631" s="10" t="str">
        <x:v>MOV000578</x:v>
      </x:c>
      <x:c r="B631" s="16" t="n">
        <x:v>45576.88561871528</x:v>
      </x:c>
      <x:c r="C631" s="10" t="str">
        <x:v>EMP001</x:v>
      </x:c>
      <x:c r="D631" s="10" t="str">
        <x:v>CTA002</x:v>
      </x:c>
      <x:c r="E631" s="10" t="str">
        <x:v>Saída</x:v>
      </x:c>
      <x:c r="F631" s="10" t="str">
        <x:v>CAT014</x:v>
      </x:c>
      <x:c r="G631" s="10" t="str">
        <x:v>Despesa operacional</x:v>
      </x:c>
      <x:c r="H631" s="10" t="str">
        <x:v>PAG00679</x:v>
      </x:c>
      <x:c r="I631" s="20" t="n">
        <x:v>25324.2</x:v>
      </x:c>
      <x:c r="J631" s="20" t="n">
        <x:v>-25324.2</x:v>
      </x:c>
      <x:c r="K631" s="10" t="str">
        <x:v>Realizado</x:v>
      </x:c>
      <x:c r="L631" s="10" t="str">
        <x:v>Contas a Pagar</x:v>
      </x:c>
    </x:row>
    <x:row r="632" ht="18" customHeight="1">
      <x:c r="A632" s="10" t="str">
        <x:v>MOV000809</x:v>
      </x:c>
      <x:c r="B632" s="16" t="n">
        <x:v>45577.28427106482</x:v>
      </x:c>
      <x:c r="C632" s="10" t="str">
        <x:v>EMP001</x:v>
      </x:c>
      <x:c r="D632" s="10" t="str">
        <x:v>CTA001</x:v>
      </x:c>
      <x:c r="E632" s="10" t="str">
        <x:v>Entrada</x:v>
      </x:c>
      <x:c r="F632" s="10" t="str">
        <x:v>CAT003</x:v>
      </x:c>
      <x:c r="G632" s="10" t="str">
        <x:v>Contrato mensal</x:v>
      </x:c>
      <x:c r="H632" s="10" t="str">
        <x:v>REC00068</x:v>
      </x:c>
      <x:c r="I632" s="20" t="n">
        <x:v>54829.38</x:v>
      </x:c>
      <x:c r="J632" s="20" t="n">
        <x:v>54829.38</x:v>
      </x:c>
      <x:c r="K632" s="10" t="str">
        <x:v>Realizado</x:v>
      </x:c>
      <x:c r="L632" s="10" t="str">
        <x:v>Contas a Receber</x:v>
      </x:c>
    </x:row>
    <x:row r="633" ht="18" customHeight="1">
      <x:c r="A633" s="10" t="str">
        <x:v>MOV000232</x:v>
      </x:c>
      <x:c r="B633" s="16" t="n">
        <x:v>45577.43030855324</x:v>
      </x:c>
      <x:c r="C633" s="10" t="str">
        <x:v>EMP001</x:v>
      </x:c>
      <x:c r="D633" s="10" t="str">
        <x:v>CTA001</x:v>
      </x:c>
      <x:c r="E633" s="10" t="str">
        <x:v>Saída</x:v>
      </x:c>
      <x:c r="F633" s="10" t="str">
        <x:v>CAT007</x:v>
      </x:c>
      <x:c r="G633" s="10" t="str">
        <x:v>Compra de materiais</x:v>
      </x:c>
      <x:c r="H633" s="10" t="str">
        <x:v>PAG00272</x:v>
      </x:c>
      <x:c r="I633" s="20" t="n">
        <x:v>23711.11</x:v>
      </x:c>
      <x:c r="J633" s="20" t="n">
        <x:v>-23711.11</x:v>
      </x:c>
      <x:c r="K633" s="10" t="str">
        <x:v>Realizado</x:v>
      </x:c>
      <x:c r="L633" s="10" t="str">
        <x:v>Contas a Pagar</x:v>
      </x:c>
    </x:row>
    <x:row r="634" ht="18" customHeight="1">
      <x:c r="A634" s="10" t="str">
        <x:v>MOV001316</x:v>
      </x:c>
      <x:c r="B634" s="16" t="n">
        <x:v>45577.854155625</x:v>
      </x:c>
      <x:c r="C634" s="10" t="str">
        <x:v>EMP002</x:v>
      </x:c>
      <x:c r="D634" s="10" t="str">
        <x:v>CTA003</x:v>
      </x:c>
      <x:c r="E634" s="10" t="str">
        <x:v>Entrada</x:v>
      </x:c>
      <x:c r="F634" s="10" t="str">
        <x:v>CAT004</x:v>
      </x:c>
      <x:c r="G634" s="10" t="str">
        <x:v>Prestação de serviços</x:v>
      </x:c>
      <x:c r="H634" s="10" t="str">
        <x:v>REC00679</x:v>
      </x:c>
      <x:c r="I634" s="20" t="n">
        <x:v>53399.16</x:v>
      </x:c>
      <x:c r="J634" s="20" t="n">
        <x:v>53399.16</x:v>
      </x:c>
      <x:c r="K634" s="10" t="str">
        <x:v>Realizado</x:v>
      </x:c>
      <x:c r="L634" s="10" t="str">
        <x:v>Contas a Receber</x:v>
      </x:c>
    </x:row>
    <x:row r="635" ht="18" customHeight="1">
      <x:c r="A635" s="10" t="str">
        <x:v>MOV000721</x:v>
      </x:c>
      <x:c r="B635" s="16" t="n">
        <x:v>45577.99484784722</x:v>
      </x:c>
      <x:c r="C635" s="10" t="str">
        <x:v>EMP002</x:v>
      </x:c>
      <x:c r="D635" s="10" t="str">
        <x:v>CTA003</x:v>
      </x:c>
      <x:c r="E635" s="10" t="str">
        <x:v>Saída</x:v>
      </x:c>
      <x:c r="F635" s="10" t="str">
        <x:v>CAT012</x:v>
      </x:c>
      <x:c r="G635" s="10" t="str">
        <x:v>Contrato recorrente</x:v>
      </x:c>
      <x:c r="H635" s="10" t="str">
        <x:v>PAG00855</x:v>
      </x:c>
      <x:c r="I635" s="20" t="n">
        <x:v>111715.62</x:v>
      </x:c>
      <x:c r="J635" s="20" t="n">
        <x:v>-111715.62</x:v>
      </x:c>
      <x:c r="K635" s="10" t="str">
        <x:v>Realizado</x:v>
      </x:c>
      <x:c r="L635" s="10" t="str">
        <x:v>Contas a Pagar</x:v>
      </x:c>
    </x:row>
    <x:row r="636" ht="18" customHeight="1">
      <x:c r="A636" s="10" t="str">
        <x:v>MOV001154</x:v>
      </x:c>
      <x:c r="B636" s="16" t="n">
        <x:v>45578.44780913195</x:v>
      </x:c>
      <x:c r="C636" s="10" t="str">
        <x:v>EMP002</x:v>
      </x:c>
      <x:c r="D636" s="10" t="str">
        <x:v>CTA004</x:v>
      </x:c>
      <x:c r="E636" s="10" t="str">
        <x:v>Entrada</x:v>
      </x:c>
      <x:c r="F636" s="10" t="str">
        <x:v>CAT001</x:v>
      </x:c>
      <x:c r="G636" s="10" t="str">
        <x:v>Prestação de serviços</x:v>
      </x:c>
      <x:c r="H636" s="10" t="str">
        <x:v>REC00487</x:v>
      </x:c>
      <x:c r="I636" s="20" t="n">
        <x:v>142997.08</x:v>
      </x:c>
      <x:c r="J636" s="20" t="n">
        <x:v>142997.08</x:v>
      </x:c>
      <x:c r="K636" s="10" t="str">
        <x:v>Realizado</x:v>
      </x:c>
      <x:c r="L636" s="10" t="str">
        <x:v>Contas a Receber</x:v>
      </x:c>
    </x:row>
    <x:row r="637" ht="18" customHeight="1">
      <x:c r="A637" s="10" t="str">
        <x:v>MOV001207</x:v>
      </x:c>
      <x:c r="B637" s="16" t="n">
        <x:v>45578.50363413194</x:v>
      </x:c>
      <x:c r="C637" s="10" t="str">
        <x:v>EMP003</x:v>
      </x:c>
      <x:c r="D637" s="10" t="str">
        <x:v>CTA005</x:v>
      </x:c>
      <x:c r="E637" s="10" t="str">
        <x:v>Entrada</x:v>
      </x:c>
      <x:c r="F637" s="10" t="str">
        <x:v>CAT004</x:v>
      </x:c>
      <x:c r="G637" s="10" t="str">
        <x:v>Prestação de serviços</x:v>
      </x:c>
      <x:c r="H637" s="10" t="str">
        <x:v>REC00552</x:v>
      </x:c>
      <x:c r="I637" s="20" t="n">
        <x:v>1589.22</x:v>
      </x:c>
      <x:c r="J637" s="20" t="n">
        <x:v>1589.22</x:v>
      </x:c>
      <x:c r="K637" s="10" t="str">
        <x:v>Realizado</x:v>
      </x:c>
      <x:c r="L637" s="10" t="str">
        <x:v>Contas a Receber</x:v>
      </x:c>
    </x:row>
    <x:row r="638" ht="18" customHeight="1">
      <x:c r="A638" s="10" t="str">
        <x:v>MOV001058</x:v>
      </x:c>
      <x:c r="B638" s="16" t="n">
        <x:v>45578.6218808912</x:v>
      </x:c>
      <x:c r="C638" s="10" t="str">
        <x:v>EMP003</x:v>
      </x:c>
      <x:c r="D638" s="10" t="str">
        <x:v>CTA005</x:v>
      </x:c>
      <x:c r="E638" s="10" t="str">
        <x:v>Entrada</x:v>
      </x:c>
      <x:c r="F638" s="10" t="str">
        <x:v>CAT002</x:v>
      </x:c>
      <x:c r="G638" s="10" t="str">
        <x:v>Frete faturado</x:v>
      </x:c>
      <x:c r="H638" s="10" t="str">
        <x:v>REC00374</x:v>
      </x:c>
      <x:c r="I638" s="20" t="n">
        <x:v>106496.38</x:v>
      </x:c>
      <x:c r="J638" s="20" t="n">
        <x:v>106496.38</x:v>
      </x:c>
      <x:c r="K638" s="10" t="str">
        <x:v>Realizado</x:v>
      </x:c>
      <x:c r="L638" s="10" t="str">
        <x:v>Contas a Receber</x:v>
      </x:c>
    </x:row>
    <x:row r="639" ht="18" customHeight="1">
      <x:c r="A639" s="10" t="str">
        <x:v>MOV000267</x:v>
      </x:c>
      <x:c r="B639" s="16" t="n">
        <x:v>45578.673310162034</x:v>
      </x:c>
      <x:c r="C639" s="10" t="str">
        <x:v>EMP003</x:v>
      </x:c>
      <x:c r="D639" s="10" t="str">
        <x:v>CTA006</x:v>
      </x:c>
      <x:c r="E639" s="10" t="str">
        <x:v>Saída</x:v>
      </x:c>
      <x:c r="F639" s="10" t="str">
        <x:v>CAT016</x:v>
      </x:c>
      <x:c r="G639" s="10" t="str">
        <x:v>Compra de materiais</x:v>
      </x:c>
      <x:c r="H639" s="10" t="str">
        <x:v>PAG00310</x:v>
      </x:c>
      <x:c r="I639" s="20" t="n">
        <x:v>39924.33</x:v>
      </x:c>
      <x:c r="J639" s="20" t="n">
        <x:v>-39924.33</x:v>
      </x:c>
      <x:c r="K639" s="10" t="str">
        <x:v>Realizado</x:v>
      </x:c>
      <x:c r="L639" s="10" t="str">
        <x:v>Contas a Pagar</x:v>
      </x:c>
    </x:row>
    <x:row r="640" ht="18" customHeight="1">
      <x:c r="A640" s="10" t="str">
        <x:v>MOV000528</x:v>
      </x:c>
      <x:c r="B640" s="16" t="n">
        <x:v>45578.88373055556</x:v>
      </x:c>
      <x:c r="C640" s="10" t="str">
        <x:v>EMP001</x:v>
      </x:c>
      <x:c r="D640" s="10" t="str">
        <x:v>CTA001</x:v>
      </x:c>
      <x:c r="E640" s="10" t="str">
        <x:v>Saída</x:v>
      </x:c>
      <x:c r="F640" s="10" t="str">
        <x:v>CAT017</x:v>
      </x:c>
      <x:c r="G640" s="10" t="str">
        <x:v>Contrato recorrente</x:v>
      </x:c>
      <x:c r="H640" s="10" t="str">
        <x:v>PAG00618</x:v>
      </x:c>
      <x:c r="I640" s="20" t="n">
        <x:v>54177.74</x:v>
      </x:c>
      <x:c r="J640" s="20" t="n">
        <x:v>-54177.74</x:v>
      </x:c>
      <x:c r="K640" s="10" t="str">
        <x:v>Realizado</x:v>
      </x:c>
      <x:c r="L640" s="10" t="str">
        <x:v>Contas a Pagar</x:v>
      </x:c>
    </x:row>
    <x:row r="641" ht="18" customHeight="1">
      <x:c r="A641" s="10" t="str">
        <x:v>MOV001003</x:v>
      </x:c>
      <x:c r="B641" s="16" t="n">
        <x:v>45579.54198392361</x:v>
      </x:c>
      <x:c r="C641" s="10" t="str">
        <x:v>EMP002</x:v>
      </x:c>
      <x:c r="D641" s="10" t="str">
        <x:v>CTA003</x:v>
      </x:c>
      <x:c r="E641" s="10" t="str">
        <x:v>Entrada</x:v>
      </x:c>
      <x:c r="F641" s="10" t="str">
        <x:v>CAT001</x:v>
      </x:c>
      <x:c r="G641" s="10" t="str">
        <x:v>Prestação de serviços</x:v>
      </x:c>
      <x:c r="H641" s="10" t="str">
        <x:v>REC00303</x:v>
      </x:c>
      <x:c r="I641" s="20" t="n">
        <x:v>20455.2</x:v>
      </x:c>
      <x:c r="J641" s="20" t="n">
        <x:v>20455.2</x:v>
      </x:c>
      <x:c r="K641" s="10" t="str">
        <x:v>Realizado</x:v>
      </x:c>
      <x:c r="L641" s="10" t="str">
        <x:v>Contas a Receber</x:v>
      </x:c>
    </x:row>
    <x:row r="642" ht="18" customHeight="1">
      <x:c r="A642" s="10" t="str">
        <x:v>MOV001319</x:v>
      </x:c>
      <x:c r="B642" s="16" t="n">
        <x:v>45579.822914282406</x:v>
      </x:c>
      <x:c r="C642" s="10" t="str">
        <x:v>EMP002</x:v>
      </x:c>
      <x:c r="D642" s="10" t="str">
        <x:v>CTA003</x:v>
      </x:c>
      <x:c r="E642" s="10" t="str">
        <x:v>Entrada</x:v>
      </x:c>
      <x:c r="F642" s="10" t="str">
        <x:v>CAT002</x:v>
      </x:c>
      <x:c r="G642" s="10" t="str">
        <x:v>Prestação de serviços</x:v>
      </x:c>
      <x:c r="H642" s="10" t="str">
        <x:v>REC00682</x:v>
      </x:c>
      <x:c r="I642" s="20" t="n">
        <x:v>30363.61</x:v>
      </x:c>
      <x:c r="J642" s="20" t="n">
        <x:v>30363.61</x:v>
      </x:c>
      <x:c r="K642" s="10" t="str">
        <x:v>Realizado</x:v>
      </x:c>
      <x:c r="L642" s="10" t="str">
        <x:v>Contas a Receber</x:v>
      </x:c>
    </x:row>
    <x:row r="643" ht="18" customHeight="1">
      <x:c r="A643" s="10" t="str">
        <x:v>MOV000203</x:v>
      </x:c>
      <x:c r="B643" s="16" t="n">
        <x:v>45580.516401168985</x:v>
      </x:c>
      <x:c r="C643" s="10" t="str">
        <x:v>EMP002</x:v>
      </x:c>
      <x:c r="D643" s="10" t="str">
        <x:v>CTA004</x:v>
      </x:c>
      <x:c r="E643" s="10" t="str">
        <x:v>Saída</x:v>
      </x:c>
      <x:c r="F643" s="10" t="str">
        <x:v>CAT006</x:v>
      </x:c>
      <x:c r="G643" s="10" t="str">
        <x:v>Contrato recorrente</x:v>
      </x:c>
      <x:c r="H643" s="10" t="str">
        <x:v>PAG00237</x:v>
      </x:c>
      <x:c r="I643" s="20" t="n">
        <x:v>66116.51</x:v>
      </x:c>
      <x:c r="J643" s="20" t="n">
        <x:v>-66116.51</x:v>
      </x:c>
      <x:c r="K643" s="10" t="str">
        <x:v>Realizado</x:v>
      </x:c>
      <x:c r="L643" s="10" t="str">
        <x:v>Contas a Pagar</x:v>
      </x:c>
    </x:row>
    <x:row r="644" ht="18" customHeight="1">
      <x:c r="A644" s="10" t="str">
        <x:v>MOV000546</x:v>
      </x:c>
      <x:c r="B644" s="16" t="n">
        <x:v>45580.821086006945</x:v>
      </x:c>
      <x:c r="C644" s="10" t="str">
        <x:v>EMP001</x:v>
      </x:c>
      <x:c r="D644" s="10" t="str">
        <x:v>CTA002</x:v>
      </x:c>
      <x:c r="E644" s="10" t="str">
        <x:v>Saída</x:v>
      </x:c>
      <x:c r="F644" s="10" t="str">
        <x:v>CAT006</x:v>
      </x:c>
      <x:c r="G644" s="10" t="str">
        <x:v>Prestação de serviços</x:v>
      </x:c>
      <x:c r="H644" s="10" t="str">
        <x:v>PAG00640</x:v>
      </x:c>
      <x:c r="I644" s="20" t="n">
        <x:v>50268.74</x:v>
      </x:c>
      <x:c r="J644" s="20" t="n">
        <x:v>-50268.74</x:v>
      </x:c>
      <x:c r="K644" s="10" t="str">
        <x:v>Realizado</x:v>
      </x:c>
      <x:c r="L644" s="10" t="str">
        <x:v>Contas a Pagar</x:v>
      </x:c>
    </x:row>
    <x:row r="645" ht="18" customHeight="1">
      <x:c r="A645" s="10" t="str">
        <x:v>MOV001398</x:v>
      </x:c>
      <x:c r="B645" s="16" t="n">
        <x:v>45581.26800701389</x:v>
      </x:c>
      <x:c r="C645" s="10" t="str">
        <x:v>EMP003</x:v>
      </x:c>
      <x:c r="D645" s="10" t="str">
        <x:v>CTA005</x:v>
      </x:c>
      <x:c r="E645" s="10" t="str">
        <x:v>Entrada</x:v>
      </x:c>
      <x:c r="F645" s="10" t="str">
        <x:v>CAT004</x:v>
      </x:c>
      <x:c r="G645" s="10" t="str">
        <x:v>Frete faturado</x:v>
      </x:c>
      <x:c r="H645" s="10" t="str">
        <x:v>REC00778</x:v>
      </x:c>
      <x:c r="I645" s="20" t="n">
        <x:v>18184.29</x:v>
      </x:c>
      <x:c r="J645" s="20" t="n">
        <x:v>18184.29</x:v>
      </x:c>
      <x:c r="K645" s="10" t="str">
        <x:v>Realizado</x:v>
      </x:c>
      <x:c r="L645" s="10" t="str">
        <x:v>Contas a Receber</x:v>
      </x:c>
    </x:row>
    <x:row r="646" ht="18" customHeight="1">
      <x:c r="A646" s="10" t="str">
        <x:v>MOV000520</x:v>
      </x:c>
      <x:c r="B646" s="16" t="n">
        <x:v>45581.46281909722</x:v>
      </x:c>
      <x:c r="C646" s="10" t="str">
        <x:v>EMP002</x:v>
      </x:c>
      <x:c r="D646" s="10" t="str">
        <x:v>CTA004</x:v>
      </x:c>
      <x:c r="E646" s="10" t="str">
        <x:v>Saída</x:v>
      </x:c>
      <x:c r="F646" s="10" t="str">
        <x:v>CAT006</x:v>
      </x:c>
      <x:c r="G646" s="10" t="str">
        <x:v>Despesa operacional</x:v>
      </x:c>
      <x:c r="H646" s="10" t="str">
        <x:v>PAG00610</x:v>
      </x:c>
      <x:c r="I646" s="20" t="n">
        <x:v>746.37</x:v>
      </x:c>
      <x:c r="J646" s="20" t="n">
        <x:v>-746.37</x:v>
      </x:c>
      <x:c r="K646" s="10" t="str">
        <x:v>Realizado</x:v>
      </x:c>
      <x:c r="L646" s="10" t="str">
        <x:v>Contas a Pagar</x:v>
      </x:c>
    </x:row>
    <x:row r="647" ht="18" customHeight="1">
      <x:c r="A647" s="10" t="str">
        <x:v>MOV000465</x:v>
      </x:c>
      <x:c r="B647" s="16" t="n">
        <x:v>45581.47459974537</x:v>
      </x:c>
      <x:c r="C647" s="10" t="str">
        <x:v>EMP001</x:v>
      </x:c>
      <x:c r="D647" s="10" t="str">
        <x:v>CTA001</x:v>
      </x:c>
      <x:c r="E647" s="10" t="str">
        <x:v>Saída</x:v>
      </x:c>
      <x:c r="F647" s="10" t="str">
        <x:v>CAT015</x:v>
      </x:c>
      <x:c r="G647" s="10" t="str">
        <x:v>Contrato recorrente</x:v>
      </x:c>
      <x:c r="H647" s="10" t="str">
        <x:v>PAG00546</x:v>
      </x:c>
      <x:c r="I647" s="20" t="n">
        <x:v>3219.87</x:v>
      </x:c>
      <x:c r="J647" s="20" t="n">
        <x:v>-3219.87</x:v>
      </x:c>
      <x:c r="K647" s="10" t="str">
        <x:v>Realizado</x:v>
      </x:c>
      <x:c r="L647" s="10" t="str">
        <x:v>Contas a Pagar</x:v>
      </x:c>
    </x:row>
    <x:row r="648" ht="18" customHeight="1">
      <x:c r="A648" s="10" t="str">
        <x:v>MOV000976</x:v>
      </x:c>
      <x:c r="B648" s="16" t="n">
        <x:v>45581.8686903125</x:v>
      </x:c>
      <x:c r="C648" s="10" t="str">
        <x:v>EMP001</x:v>
      </x:c>
      <x:c r="D648" s="10" t="str">
        <x:v>CTA001</x:v>
      </x:c>
      <x:c r="E648" s="10" t="str">
        <x:v>Entrada</x:v>
      </x:c>
      <x:c r="F648" s="10" t="str">
        <x:v>CAT002</x:v>
      </x:c>
      <x:c r="G648" s="10" t="str">
        <x:v>Projeto especial</x:v>
      </x:c>
      <x:c r="H648" s="10" t="str">
        <x:v>REC00270</x:v>
      </x:c>
      <x:c r="I648" s="20" t="n">
        <x:v>11845.12</x:v>
      </x:c>
      <x:c r="J648" s="20" t="n">
        <x:v>11845.12</x:v>
      </x:c>
      <x:c r="K648" s="10" t="str">
        <x:v>Realizado</x:v>
      </x:c>
      <x:c r="L648" s="10" t="str">
        <x:v>Contas a Receber</x:v>
      </x:c>
    </x:row>
    <x:row r="649" ht="18" customHeight="1">
      <x:c r="A649" s="10" t="str">
        <x:v>MOV001211</x:v>
      </x:c>
      <x:c r="B649" s="16" t="n">
        <x:v>45582.77177462963</x:v>
      </x:c>
      <x:c r="C649" s="10" t="str">
        <x:v>EMP001</x:v>
      </x:c>
      <x:c r="D649" s="10" t="str">
        <x:v>CTA001</x:v>
      </x:c>
      <x:c r="E649" s="10" t="str">
        <x:v>Entrada</x:v>
      </x:c>
      <x:c r="F649" s="10" t="str">
        <x:v>CAT004</x:v>
      </x:c>
      <x:c r="G649" s="10" t="str">
        <x:v>Projeto especial</x:v>
      </x:c>
      <x:c r="H649" s="10" t="str">
        <x:v>REC00557</x:v>
      </x:c>
      <x:c r="I649" s="20" t="n">
        <x:v>2628.65</x:v>
      </x:c>
      <x:c r="J649" s="20" t="n">
        <x:v>2628.65</x:v>
      </x:c>
      <x:c r="K649" s="10" t="str">
        <x:v>Realizado</x:v>
      </x:c>
      <x:c r="L649" s="10" t="str">
        <x:v>Contas a Receber</x:v>
      </x:c>
    </x:row>
    <x:row r="650" ht="18" customHeight="1">
      <x:c r="A650" s="10" t="str">
        <x:v>MOV000692</x:v>
      </x:c>
      <x:c r="B650" s="16" t="n">
        <x:v>45583.130769351854</x:v>
      </x:c>
      <x:c r="C650" s="10" t="str">
        <x:v>EMP003</x:v>
      </x:c>
      <x:c r="D650" s="10" t="str">
        <x:v>CTA006</x:v>
      </x:c>
      <x:c r="E650" s="10" t="str">
        <x:v>Saída</x:v>
      </x:c>
      <x:c r="F650" s="10" t="str">
        <x:v>CAT014</x:v>
      </x:c>
      <x:c r="G650" s="10" t="str">
        <x:v>Tributos e taxas</x:v>
      </x:c>
      <x:c r="H650" s="10" t="str">
        <x:v>PAG00822</x:v>
      </x:c>
      <x:c r="I650" s="20" t="n">
        <x:v>11401.97</x:v>
      </x:c>
      <x:c r="J650" s="20" t="n">
        <x:v>-11401.97</x:v>
      </x:c>
      <x:c r="K650" s="10" t="str">
        <x:v>Realizado</x:v>
      </x:c>
      <x:c r="L650" s="10" t="str">
        <x:v>Contas a Pagar</x:v>
      </x:c>
    </x:row>
    <x:row r="651" ht="18" customHeight="1">
      <x:c r="A651" s="10" t="str">
        <x:v>MOV000269</x:v>
      </x:c>
      <x:c r="B651" s="16" t="n">
        <x:v>45583.4136378125</x:v>
      </x:c>
      <x:c r="C651" s="10" t="str">
        <x:v>EMP001</x:v>
      </x:c>
      <x:c r="D651" s="10" t="str">
        <x:v>CTA001</x:v>
      </x:c>
      <x:c r="E651" s="10" t="str">
        <x:v>Saída</x:v>
      </x:c>
      <x:c r="F651" s="10" t="str">
        <x:v>CAT012</x:v>
      </x:c>
      <x:c r="G651" s="10" t="str">
        <x:v>Contrato recorrente</x:v>
      </x:c>
      <x:c r="H651" s="10" t="str">
        <x:v>PAG00313</x:v>
      </x:c>
      <x:c r="I651" s="20" t="n">
        <x:v>5377.34</x:v>
      </x:c>
      <x:c r="J651" s="20" t="n">
        <x:v>-5377.34</x:v>
      </x:c>
      <x:c r="K651" s="10" t="str">
        <x:v>Realizado</x:v>
      </x:c>
      <x:c r="L651" s="10" t="str">
        <x:v>Contas a Pagar</x:v>
      </x:c>
    </x:row>
    <x:row r="652" ht="18" customHeight="1">
      <x:c r="A652" s="10" t="str">
        <x:v>MOV000194</x:v>
      </x:c>
      <x:c r="B652" s="16" t="n">
        <x:v>45584.20902798611</x:v>
      </x:c>
      <x:c r="C652" s="10" t="str">
        <x:v>EMP003</x:v>
      </x:c>
      <x:c r="D652" s="10" t="str">
        <x:v>CTA006</x:v>
      </x:c>
      <x:c r="E652" s="10" t="str">
        <x:v>Saída</x:v>
      </x:c>
      <x:c r="F652" s="10" t="str">
        <x:v>CAT015</x:v>
      </x:c>
      <x:c r="G652" s="10" t="str">
        <x:v>Contrato recorrente</x:v>
      </x:c>
      <x:c r="H652" s="10" t="str">
        <x:v>PAG00227</x:v>
      </x:c>
      <x:c r="I652" s="20" t="n">
        <x:v>42561.74</x:v>
      </x:c>
      <x:c r="J652" s="20" t="n">
        <x:v>-42561.74</x:v>
      </x:c>
      <x:c r="K652" s="10" t="str">
        <x:v>Realizado</x:v>
      </x:c>
      <x:c r="L652" s="10" t="str">
        <x:v>Contas a Pagar</x:v>
      </x:c>
    </x:row>
    <x:row r="653" ht="18" customHeight="1">
      <x:c r="A653" s="10" t="str">
        <x:v>MOV000344</x:v>
      </x:c>
      <x:c r="B653" s="16" t="n">
        <x:v>45584.95255729167</x:v>
      </x:c>
      <x:c r="C653" s="10" t="str">
        <x:v>EMP002</x:v>
      </x:c>
      <x:c r="D653" s="10" t="str">
        <x:v>CTA003</x:v>
      </x:c>
      <x:c r="E653" s="10" t="str">
        <x:v>Saída</x:v>
      </x:c>
      <x:c r="F653" s="10" t="str">
        <x:v>CAT017</x:v>
      </x:c>
      <x:c r="G653" s="10" t="str">
        <x:v>Prestação de serviços</x:v>
      </x:c>
      <x:c r="H653" s="10" t="str">
        <x:v>PAG00398</x:v>
      </x:c>
      <x:c r="I653" s="20" t="n">
        <x:v>91803.67</x:v>
      </x:c>
      <x:c r="J653" s="20" t="n">
        <x:v>-91803.67</x:v>
      </x:c>
      <x:c r="K653" s="10" t="str">
        <x:v>Realizado</x:v>
      </x:c>
      <x:c r="L653" s="10" t="str">
        <x:v>Contas a Pagar</x:v>
      </x:c>
    </x:row>
    <x:row r="654" ht="18" customHeight="1">
      <x:c r="A654" s="10" t="str">
        <x:v>MOV000327</x:v>
      </x:c>
      <x:c r="B654" s="16" t="n">
        <x:v>45585.925158425925</x:v>
      </x:c>
      <x:c r="C654" s="10" t="str">
        <x:v>EMP003</x:v>
      </x:c>
      <x:c r="D654" s="10" t="str">
        <x:v>CTA005</x:v>
      </x:c>
      <x:c r="E654" s="10" t="str">
        <x:v>Saída</x:v>
      </x:c>
      <x:c r="F654" s="10" t="str">
        <x:v>CAT009</x:v>
      </x:c>
      <x:c r="G654" s="10" t="str">
        <x:v>Prestação de serviços</x:v>
      </x:c>
      <x:c r="H654" s="10" t="str">
        <x:v>PAG00380</x:v>
      </x:c>
      <x:c r="I654" s="20" t="n">
        <x:v>3015.91</x:v>
      </x:c>
      <x:c r="J654" s="20" t="n">
        <x:v>-3015.91</x:v>
      </x:c>
      <x:c r="K654" s="10" t="str">
        <x:v>Realizado</x:v>
      </x:c>
      <x:c r="L654" s="10" t="str">
        <x:v>Contas a Pagar</x:v>
      </x:c>
    </x:row>
    <x:row r="655" ht="18" customHeight="1">
      <x:c r="A655" s="10" t="str">
        <x:v>MOV000781</x:v>
      </x:c>
      <x:c r="B655" s="16" t="n">
        <x:v>45586.46484037037</x:v>
      </x:c>
      <x:c r="C655" s="10" t="str">
        <x:v>EMP003</x:v>
      </x:c>
      <x:c r="D655" s="10" t="str">
        <x:v>CTA005</x:v>
      </x:c>
      <x:c r="E655" s="10" t="str">
        <x:v>Entrada</x:v>
      </x:c>
      <x:c r="F655" s="10" t="str">
        <x:v>CAT001</x:v>
      </x:c>
      <x:c r="G655" s="10" t="str">
        <x:v>Prestação de serviços</x:v>
      </x:c>
      <x:c r="H655" s="10" t="str">
        <x:v>REC00034</x:v>
      </x:c>
      <x:c r="I655" s="20" t="n">
        <x:v>42608.24</x:v>
      </x:c>
      <x:c r="J655" s="20" t="n">
        <x:v>42608.24</x:v>
      </x:c>
      <x:c r="K655" s="10" t="str">
        <x:v>Realizado</x:v>
      </x:c>
      <x:c r="L655" s="10" t="str">
        <x:v>Contas a Receber</x:v>
      </x:c>
    </x:row>
    <x:row r="656" ht="18" customHeight="1">
      <x:c r="A656" s="10" t="str">
        <x:v>MOV000467</x:v>
      </x:c>
      <x:c r="B656" s="16" t="n">
        <x:v>45586.766271851855</x:v>
      </x:c>
      <x:c r="C656" s="10" t="str">
        <x:v>EMP001</x:v>
      </x:c>
      <x:c r="D656" s="10" t="str">
        <x:v>CTA001</x:v>
      </x:c>
      <x:c r="E656" s="10" t="str">
        <x:v>Saída</x:v>
      </x:c>
      <x:c r="F656" s="10" t="str">
        <x:v>CAT011</x:v>
      </x:c>
      <x:c r="G656" s="10" t="str">
        <x:v>Despesa operacional</x:v>
      </x:c>
      <x:c r="H656" s="10" t="str">
        <x:v>PAG00548</x:v>
      </x:c>
      <x:c r="I656" s="20" t="n">
        <x:v>62212.91</x:v>
      </x:c>
      <x:c r="J656" s="20" t="n">
        <x:v>-62212.91</x:v>
      </x:c>
      <x:c r="K656" s="10" t="str">
        <x:v>Realizado</x:v>
      </x:c>
      <x:c r="L656" s="10" t="str">
        <x:v>Contas a Pagar</x:v>
      </x:c>
    </x:row>
    <x:row r="657" ht="18" customHeight="1">
      <x:c r="A657" s="10" t="str">
        <x:v>MOV000870</x:v>
      </x:c>
      <x:c r="B657" s="16" t="n">
        <x:v>45586.8369146412</x:v>
      </x:c>
      <x:c r="C657" s="10" t="str">
        <x:v>EMP001</x:v>
      </x:c>
      <x:c r="D657" s="10" t="str">
        <x:v>CTA002</x:v>
      </x:c>
      <x:c r="E657" s="10" t="str">
        <x:v>Entrada</x:v>
      </x:c>
      <x:c r="F657" s="10" t="str">
        <x:v>CAT004</x:v>
      </x:c>
      <x:c r="G657" s="10" t="str">
        <x:v>Projeto especial</x:v>
      </x:c>
      <x:c r="H657" s="10" t="str">
        <x:v>REC00140</x:v>
      </x:c>
      <x:c r="I657" s="20" t="n">
        <x:v>35434.77</x:v>
      </x:c>
      <x:c r="J657" s="20" t="n">
        <x:v>35434.77</x:v>
      </x:c>
      <x:c r="K657" s="10" t="str">
        <x:v>Realizado</x:v>
      </x:c>
      <x:c r="L657" s="10" t="str">
        <x:v>Contas a Receber</x:v>
      </x:c>
    </x:row>
    <x:row r="658" ht="18" customHeight="1">
      <x:c r="A658" s="10" t="str">
        <x:v>MOV001356</x:v>
      </x:c>
      <x:c r="B658" s="16" t="n">
        <x:v>45586.852197789354</x:v>
      </x:c>
      <x:c r="C658" s="10" t="str">
        <x:v>EMP002</x:v>
      </x:c>
      <x:c r="D658" s="10" t="str">
        <x:v>CTA004</x:v>
      </x:c>
      <x:c r="E658" s="10" t="str">
        <x:v>Entrada</x:v>
      </x:c>
      <x:c r="F658" s="10" t="str">
        <x:v>CAT004</x:v>
      </x:c>
      <x:c r="G658" s="10" t="str">
        <x:v>Frete faturado</x:v>
      </x:c>
      <x:c r="H658" s="10" t="str">
        <x:v>REC00725</x:v>
      </x:c>
      <x:c r="I658" s="20" t="n">
        <x:v>14264.72</x:v>
      </x:c>
      <x:c r="J658" s="20" t="n">
        <x:v>14264.72</x:v>
      </x:c>
      <x:c r="K658" s="10" t="str">
        <x:v>Realizado</x:v>
      </x:c>
      <x:c r="L658" s="10" t="str">
        <x:v>Contas a Receber</x:v>
      </x:c>
    </x:row>
    <x:row r="659" ht="18" customHeight="1">
      <x:c r="A659" s="10" t="str">
        <x:v>MOV000085</x:v>
      </x:c>
      <x:c r="B659" s="16" t="n">
        <x:v>45587.11961135417</x:v>
      </x:c>
      <x:c r="C659" s="10" t="str">
        <x:v>EMP003</x:v>
      </x:c>
      <x:c r="D659" s="10" t="str">
        <x:v>CTA005</x:v>
      </x:c>
      <x:c r="E659" s="10" t="str">
        <x:v>Saída</x:v>
      </x:c>
      <x:c r="F659" s="10" t="str">
        <x:v>CAT012</x:v>
      </x:c>
      <x:c r="G659" s="10" t="str">
        <x:v>Despesa operacional</x:v>
      </x:c>
      <x:c r="H659" s="10" t="str">
        <x:v>PAG00096</x:v>
      </x:c>
      <x:c r="I659" s="20" t="n">
        <x:v>2956.67</x:v>
      </x:c>
      <x:c r="J659" s="20" t="n">
        <x:v>-2956.67</x:v>
      </x:c>
      <x:c r="K659" s="10" t="str">
        <x:v>Realizado</x:v>
      </x:c>
      <x:c r="L659" s="10" t="str">
        <x:v>Contas a Pagar</x:v>
      </x:c>
    </x:row>
    <x:row r="660" ht="18" customHeight="1">
      <x:c r="A660" s="10" t="str">
        <x:v>MOV000211</x:v>
      </x:c>
      <x:c r="B660" s="16" t="n">
        <x:v>45587.88514576389</x:v>
      </x:c>
      <x:c r="C660" s="10" t="str">
        <x:v>EMP003</x:v>
      </x:c>
      <x:c r="D660" s="10" t="str">
        <x:v>CTA005</x:v>
      </x:c>
      <x:c r="E660" s="10" t="str">
        <x:v>Saída</x:v>
      </x:c>
      <x:c r="F660" s="10" t="str">
        <x:v>CAT007</x:v>
      </x:c>
      <x:c r="G660" s="10" t="str">
        <x:v>Contrato recorrente</x:v>
      </x:c>
      <x:c r="H660" s="10" t="str">
        <x:v>PAG00245</x:v>
      </x:c>
      <x:c r="I660" s="20" t="n">
        <x:v>28328.85</x:v>
      </x:c>
      <x:c r="J660" s="20" t="n">
        <x:v>-28328.85</x:v>
      </x:c>
      <x:c r="K660" s="10" t="str">
        <x:v>Realizado</x:v>
      </x:c>
      <x:c r="L660" s="10" t="str">
        <x:v>Contas a Pagar</x:v>
      </x:c>
    </x:row>
    <x:row r="661" ht="18" customHeight="1">
      <x:c r="A661" s="10" t="str">
        <x:v>MOV000016</x:v>
      </x:c>
      <x:c r="B661" s="16" t="n">
        <x:v>45588.11178523148</x:v>
      </x:c>
      <x:c r="C661" s="10" t="str">
        <x:v>EMP001</x:v>
      </x:c>
      <x:c r="D661" s="10" t="str">
        <x:v>CTA001</x:v>
      </x:c>
      <x:c r="E661" s="10" t="str">
        <x:v>Saída</x:v>
      </x:c>
      <x:c r="F661" s="10" t="str">
        <x:v>CAT016</x:v>
      </x:c>
      <x:c r="G661" s="10" t="str">
        <x:v>Prestação de serviços</x:v>
      </x:c>
      <x:c r="H661" s="10" t="str">
        <x:v>PAG00013</x:v>
      </x:c>
      <x:c r="I661" s="20" t="n">
        <x:v>107807.27</x:v>
      </x:c>
      <x:c r="J661" s="20" t="n">
        <x:v>-107807.27</x:v>
      </x:c>
      <x:c r="K661" s="10" t="str">
        <x:v>Realizado</x:v>
      </x:c>
      <x:c r="L661" s="10" t="str">
        <x:v>Contas a Pagar</x:v>
      </x:c>
    </x:row>
    <x:row r="662" ht="18" customHeight="1">
      <x:c r="A662" s="10" t="str">
        <x:v>MOV000129</x:v>
      </x:c>
      <x:c r="B662" s="16" t="n">
        <x:v>45588.18357696759</x:v>
      </x:c>
      <x:c r="C662" s="10" t="str">
        <x:v>EMP003</x:v>
      </x:c>
      <x:c r="D662" s="10" t="str">
        <x:v>CTA006</x:v>
      </x:c>
      <x:c r="E662" s="10" t="str">
        <x:v>Saída</x:v>
      </x:c>
      <x:c r="F662" s="10" t="str">
        <x:v>CAT005</x:v>
      </x:c>
      <x:c r="G662" s="10" t="str">
        <x:v>Contrato recorrente</x:v>
      </x:c>
      <x:c r="H662" s="10" t="str">
        <x:v>PAG00150</x:v>
      </x:c>
      <x:c r="I662" s="20" t="n">
        <x:v>1791.38</x:v>
      </x:c>
      <x:c r="J662" s="20" t="n">
        <x:v>-1791.38</x:v>
      </x:c>
      <x:c r="K662" s="10" t="str">
        <x:v>Realizado</x:v>
      </x:c>
      <x:c r="L662" s="10" t="str">
        <x:v>Contas a Pagar</x:v>
      </x:c>
    </x:row>
    <x:row r="663" ht="18" customHeight="1">
      <x:c r="A663" s="10" t="str">
        <x:v>MOV001023</x:v>
      </x:c>
      <x:c r="B663" s="16" t="n">
        <x:v>45589.15617987268</x:v>
      </x:c>
      <x:c r="C663" s="10" t="str">
        <x:v>EMP002</x:v>
      </x:c>
      <x:c r="D663" s="10" t="str">
        <x:v>CTA004</x:v>
      </x:c>
      <x:c r="E663" s="10" t="str">
        <x:v>Entrada</x:v>
      </x:c>
      <x:c r="F663" s="10" t="str">
        <x:v>CAT003</x:v>
      </x:c>
      <x:c r="G663" s="10" t="str">
        <x:v>Venda de produtos</x:v>
      </x:c>
      <x:c r="H663" s="10" t="str">
        <x:v>REC00327</x:v>
      </x:c>
      <x:c r="I663" s="20" t="n">
        <x:v>17989.51</x:v>
      </x:c>
      <x:c r="J663" s="20" t="n">
        <x:v>17989.51</x:v>
      </x:c>
      <x:c r="K663" s="10" t="str">
        <x:v>Realizado</x:v>
      </x:c>
      <x:c r="L663" s="10" t="str">
        <x:v>Contas a Receber</x:v>
      </x:c>
    </x:row>
    <x:row r="664" ht="18" customHeight="1">
      <x:c r="A664" s="10" t="str">
        <x:v>MOV000730</x:v>
      </x:c>
      <x:c r="B664" s="16" t="n">
        <x:v>45589.35630872685</x:v>
      </x:c>
      <x:c r="C664" s="10" t="str">
        <x:v>EMP001</x:v>
      </x:c>
      <x:c r="D664" s="10" t="str">
        <x:v>CTA001</x:v>
      </x:c>
      <x:c r="E664" s="10" t="str">
        <x:v>Saída</x:v>
      </x:c>
      <x:c r="F664" s="10" t="str">
        <x:v>CAT007</x:v>
      </x:c>
      <x:c r="G664" s="10" t="str">
        <x:v>Despesa operacional</x:v>
      </x:c>
      <x:c r="H664" s="10" t="str">
        <x:v>PAG00869</x:v>
      </x:c>
      <x:c r="I664" s="20" t="n">
        <x:v>19290.09</x:v>
      </x:c>
      <x:c r="J664" s="20" t="n">
        <x:v>-19290.09</x:v>
      </x:c>
      <x:c r="K664" s="10" t="str">
        <x:v>Realizado</x:v>
      </x:c>
      <x:c r="L664" s="10" t="str">
        <x:v>Contas a Pagar</x:v>
      </x:c>
    </x:row>
    <x:row r="665" ht="18" customHeight="1">
      <x:c r="A665" s="10" t="str">
        <x:v>MOV000111</x:v>
      </x:c>
      <x:c r="B665" s="16" t="n">
        <x:v>45590.58440206019</x:v>
      </x:c>
      <x:c r="C665" s="10" t="str">
        <x:v>EMP001</x:v>
      </x:c>
      <x:c r="D665" s="10" t="str">
        <x:v>CTA001</x:v>
      </x:c>
      <x:c r="E665" s="10" t="str">
        <x:v>Saída</x:v>
      </x:c>
      <x:c r="F665" s="10" t="str">
        <x:v>CAT011</x:v>
      </x:c>
      <x:c r="G665" s="10" t="str">
        <x:v>Prestação de serviços</x:v>
      </x:c>
      <x:c r="H665" s="10" t="str">
        <x:v>PAG00125</x:v>
      </x:c>
      <x:c r="I665" s="20" t="n">
        <x:v>23059</x:v>
      </x:c>
      <x:c r="J665" s="20" t="n">
        <x:v>-23059</x:v>
      </x:c>
      <x:c r="K665" s="10" t="str">
        <x:v>Realizado</x:v>
      </x:c>
      <x:c r="L665" s="10" t="str">
        <x:v>Contas a Pagar</x:v>
      </x:c>
    </x:row>
    <x:row r="666" ht="18" customHeight="1">
      <x:c r="A666" s="10" t="str">
        <x:v>MOV001569</x:v>
      </x:c>
      <x:c r="B666" s="16" t="n">
        <x:v>45591.351362615744</x:v>
      </x:c>
      <x:c r="C666" s="10" t="str">
        <x:v>EMP002</x:v>
      </x:c>
      <x:c r="D666" s="10" t="str">
        <x:v>CTA004</x:v>
      </x:c>
      <x:c r="E666" s="10" t="str">
        <x:v>Entrada</x:v>
      </x:c>
      <x:c r="F666" s="10" t="str">
        <x:v>CAT001</x:v>
      </x:c>
      <x:c r="G666" s="10" t="str">
        <x:v>Contrato mensal</x:v>
      </x:c>
      <x:c r="H666" s="10" t="str">
        <x:v>REC00991</x:v>
      </x:c>
      <x:c r="I666" s="20" t="n">
        <x:v>123911.41</x:v>
      </x:c>
      <x:c r="J666" s="20" t="n">
        <x:v>123911.41</x:v>
      </x:c>
      <x:c r="K666" s="10" t="str">
        <x:v>Realizado</x:v>
      </x:c>
      <x:c r="L666" s="10" t="str">
        <x:v>Contas a Receber</x:v>
      </x:c>
    </x:row>
    <x:row r="667" ht="18" customHeight="1">
      <x:c r="A667" s="10" t="str">
        <x:v>MOV001529</x:v>
      </x:c>
      <x:c r="B667" s="16" t="n">
        <x:v>45591.58959762732</x:v>
      </x:c>
      <x:c r="C667" s="10" t="str">
        <x:v>EMP002</x:v>
      </x:c>
      <x:c r="D667" s="10" t="str">
        <x:v>CTA004</x:v>
      </x:c>
      <x:c r="E667" s="10" t="str">
        <x:v>Entrada</x:v>
      </x:c>
      <x:c r="F667" s="10" t="str">
        <x:v>CAT004</x:v>
      </x:c>
      <x:c r="G667" s="10" t="str">
        <x:v>Frete faturado</x:v>
      </x:c>
      <x:c r="H667" s="10" t="str">
        <x:v>REC00942</x:v>
      </x:c>
      <x:c r="I667" s="20" t="n">
        <x:v>1945.39</x:v>
      </x:c>
      <x:c r="J667" s="20" t="n">
        <x:v>1945.39</x:v>
      </x:c>
      <x:c r="K667" s="10" t="str">
        <x:v>Realizado</x:v>
      </x:c>
      <x:c r="L667" s="10" t="str">
        <x:v>Contas a Receber</x:v>
      </x:c>
    </x:row>
    <x:row r="668" ht="18" customHeight="1">
      <x:c r="A668" s="10" t="str">
        <x:v>MOV001107</x:v>
      </x:c>
      <x:c r="B668" s="16" t="n">
        <x:v>45591.618695300924</x:v>
      </x:c>
      <x:c r="C668" s="10" t="str">
        <x:v>EMP003</x:v>
      </x:c>
      <x:c r="D668" s="10" t="str">
        <x:v>CTA006</x:v>
      </x:c>
      <x:c r="E668" s="10" t="str">
        <x:v>Entrada</x:v>
      </x:c>
      <x:c r="F668" s="10" t="str">
        <x:v>CAT002</x:v>
      </x:c>
      <x:c r="G668" s="10" t="str">
        <x:v>Frete faturado</x:v>
      </x:c>
      <x:c r="H668" s="10" t="str">
        <x:v>REC00433</x:v>
      </x:c>
      <x:c r="I668" s="20" t="n">
        <x:v>27596.75</x:v>
      </x:c>
      <x:c r="J668" s="20" t="n">
        <x:v>27596.75</x:v>
      </x:c>
      <x:c r="K668" s="10" t="str">
        <x:v>Realizado</x:v>
      </x:c>
      <x:c r="L668" s="10" t="str">
        <x:v>Contas a Receber</x:v>
      </x:c>
    </x:row>
    <x:row r="669" ht="18" customHeight="1">
      <x:c r="A669" s="10" t="str">
        <x:v>MOV000421</x:v>
      </x:c>
      <x:c r="B669" s="16" t="n">
        <x:v>45591.65379667824</x:v>
      </x:c>
      <x:c r="C669" s="10" t="str">
        <x:v>EMP003</x:v>
      </x:c>
      <x:c r="D669" s="10" t="str">
        <x:v>CTA005</x:v>
      </x:c>
      <x:c r="E669" s="10" t="str">
        <x:v>Saída</x:v>
      </x:c>
      <x:c r="F669" s="10" t="str">
        <x:v>CAT018</x:v>
      </x:c>
      <x:c r="G669" s="10" t="str">
        <x:v>Prestação de serviços</x:v>
      </x:c>
      <x:c r="H669" s="10" t="str">
        <x:v>PAG00490</x:v>
      </x:c>
      <x:c r="I669" s="20" t="n">
        <x:v>16959.76</x:v>
      </x:c>
      <x:c r="J669" s="20" t="n">
        <x:v>-16959.76</x:v>
      </x:c>
      <x:c r="K669" s="10" t="str">
        <x:v>Realizado</x:v>
      </x:c>
      <x:c r="L669" s="10" t="str">
        <x:v>Contas a Pagar</x:v>
      </x:c>
    </x:row>
    <x:row r="670" ht="18" customHeight="1">
      <x:c r="A670" s="10" t="str">
        <x:v>MOV000561</x:v>
      </x:c>
      <x:c r="B670" s="16" t="n">
        <x:v>45592.12456167824</x:v>
      </x:c>
      <x:c r="C670" s="10" t="str">
        <x:v>EMP003</x:v>
      </x:c>
      <x:c r="D670" s="10" t="str">
        <x:v>CTA005</x:v>
      </x:c>
      <x:c r="E670" s="10" t="str">
        <x:v>Saída</x:v>
      </x:c>
      <x:c r="F670" s="10" t="str">
        <x:v>CAT018</x:v>
      </x:c>
      <x:c r="G670" s="10" t="str">
        <x:v>Prestação de serviços</x:v>
      </x:c>
      <x:c r="H670" s="10" t="str">
        <x:v>PAG00658</x:v>
      </x:c>
      <x:c r="I670" s="20" t="n">
        <x:v>71872.26</x:v>
      </x:c>
      <x:c r="J670" s="20" t="n">
        <x:v>-71872.26</x:v>
      </x:c>
      <x:c r="K670" s="10" t="str">
        <x:v>Realizado</x:v>
      </x:c>
      <x:c r="L670" s="10" t="str">
        <x:v>Contas a Pagar</x:v>
      </x:c>
    </x:row>
    <x:row r="671" ht="18" customHeight="1">
      <x:c r="A671" s="10" t="str">
        <x:v>MOV001566</x:v>
      </x:c>
      <x:c r="B671" s="16" t="n">
        <x:v>45592.691201574075</x:v>
      </x:c>
      <x:c r="C671" s="10" t="str">
        <x:v>EMP001</x:v>
      </x:c>
      <x:c r="D671" s="10" t="str">
        <x:v>CTA002</x:v>
      </x:c>
      <x:c r="E671" s="10" t="str">
        <x:v>Entrada</x:v>
      </x:c>
      <x:c r="F671" s="10" t="str">
        <x:v>CAT002</x:v>
      </x:c>
      <x:c r="G671" s="10" t="str">
        <x:v>Projeto especial</x:v>
      </x:c>
      <x:c r="H671" s="10" t="str">
        <x:v>REC00987</x:v>
      </x:c>
      <x:c r="I671" s="20" t="n">
        <x:v>894</x:v>
      </x:c>
      <x:c r="J671" s="20" t="n">
        <x:v>894</x:v>
      </x:c>
      <x:c r="K671" s="10" t="str">
        <x:v>Realizado</x:v>
      </x:c>
      <x:c r="L671" s="10" t="str">
        <x:v>Contas a Receber</x:v>
      </x:c>
    </x:row>
    <x:row r="672" ht="18" customHeight="1">
      <x:c r="A672" s="10" t="str">
        <x:v>MOV000607</x:v>
      </x:c>
      <x:c r="B672" s="16" t="n">
        <x:v>45595.825264652776</x:v>
      </x:c>
      <x:c r="C672" s="10" t="str">
        <x:v>EMP001</x:v>
      </x:c>
      <x:c r="D672" s="10" t="str">
        <x:v>CTA001</x:v>
      </x:c>
      <x:c r="E672" s="10" t="str">
        <x:v>Saída</x:v>
      </x:c>
      <x:c r="F672" s="10" t="str">
        <x:v>CAT014</x:v>
      </x:c>
      <x:c r="G672" s="10" t="str">
        <x:v>Contrato recorrente</x:v>
      </x:c>
      <x:c r="H672" s="10" t="str">
        <x:v>PAG00719</x:v>
      </x:c>
      <x:c r="I672" s="20" t="n">
        <x:v>89031.1</x:v>
      </x:c>
      <x:c r="J672" s="20" t="n">
        <x:v>-89031.1</x:v>
      </x:c>
      <x:c r="K672" s="10" t="str">
        <x:v>Realizado</x:v>
      </x:c>
      <x:c r="L672" s="10" t="str">
        <x:v>Contas a Pagar</x:v>
      </x:c>
    </x:row>
    <x:row r="673" ht="18" customHeight="1">
      <x:c r="A673" s="10" t="str">
        <x:v>MOV000217</x:v>
      </x:c>
      <x:c r="B673" s="16" t="n">
        <x:v>45595.84806425926</x:v>
      </x:c>
      <x:c r="C673" s="10" t="str">
        <x:v>EMP001</x:v>
      </x:c>
      <x:c r="D673" s="10" t="str">
        <x:v>CTA001</x:v>
      </x:c>
      <x:c r="E673" s="10" t="str">
        <x:v>Saída</x:v>
      </x:c>
      <x:c r="F673" s="10" t="str">
        <x:v>CAT006</x:v>
      </x:c>
      <x:c r="G673" s="10" t="str">
        <x:v>Contrato recorrente</x:v>
      </x:c>
      <x:c r="H673" s="10" t="str">
        <x:v>PAG00253</x:v>
      </x:c>
      <x:c r="I673" s="20" t="n">
        <x:v>81464.26</x:v>
      </x:c>
      <x:c r="J673" s="20" t="n">
        <x:v>-81464.26</x:v>
      </x:c>
      <x:c r="K673" s="10" t="str">
        <x:v>Realizado</x:v>
      </x:c>
      <x:c r="L673" s="10" t="str">
        <x:v>Contas a Pagar</x:v>
      </x:c>
    </x:row>
    <x:row r="674" ht="18" customHeight="1">
      <x:c r="A674" s="10" t="str">
        <x:v>MOV000034</x:v>
      </x:c>
      <x:c r="B674" s="16" t="n">
        <x:v>45596.208420636576</x:v>
      </x:c>
      <x:c r="C674" s="10" t="str">
        <x:v>EMP002</x:v>
      </x:c>
      <x:c r="D674" s="10" t="str">
        <x:v>CTA003</x:v>
      </x:c>
      <x:c r="E674" s="10" t="str">
        <x:v>Saída</x:v>
      </x:c>
      <x:c r="F674" s="10" t="str">
        <x:v>CAT010</x:v>
      </x:c>
      <x:c r="G674" s="10" t="str">
        <x:v>Compra de materiais</x:v>
      </x:c>
      <x:c r="H674" s="10" t="str">
        <x:v>PAG00034</x:v>
      </x:c>
      <x:c r="I674" s="20" t="n">
        <x:v>12489.47</x:v>
      </x:c>
      <x:c r="J674" s="20" t="n">
        <x:v>-12489.47</x:v>
      </x:c>
      <x:c r="K674" s="10" t="str">
        <x:v>Realizado</x:v>
      </x:c>
      <x:c r="L674" s="10" t="str">
        <x:v>Contas a Pagar</x:v>
      </x:c>
    </x:row>
    <x:row r="675" ht="18" customHeight="1">
      <x:c r="A675" s="10" t="str">
        <x:v>MOV000888</x:v>
      </x:c>
      <x:c r="B675" s="16" t="n">
        <x:v>45596.38497478009</x:v>
      </x:c>
      <x:c r="C675" s="10" t="str">
        <x:v>EMP002</x:v>
      </x:c>
      <x:c r="D675" s="10" t="str">
        <x:v>CTA003</x:v>
      </x:c>
      <x:c r="E675" s="10" t="str">
        <x:v>Entrada</x:v>
      </x:c>
      <x:c r="F675" s="10" t="str">
        <x:v>CAT002</x:v>
      </x:c>
      <x:c r="G675" s="10" t="str">
        <x:v>Projeto especial</x:v>
      </x:c>
      <x:c r="H675" s="10" t="str">
        <x:v>REC00161</x:v>
      </x:c>
      <x:c r="I675" s="20" t="n">
        <x:v>123107.78</x:v>
      </x:c>
      <x:c r="J675" s="20" t="n">
        <x:v>123107.78</x:v>
      </x:c>
      <x:c r="K675" s="10" t="str">
        <x:v>Realizado</x:v>
      </x:c>
      <x:c r="L675" s="10" t="str">
        <x:v>Contas a Receber</x:v>
      </x:c>
    </x:row>
    <x:row r="676" ht="18" customHeight="1">
      <x:c r="A676" s="10" t="str">
        <x:v>MOV000298</x:v>
      </x:c>
      <x:c r="B676" s="16" t="n">
        <x:v>45596.46634429398</x:v>
      </x:c>
      <x:c r="C676" s="10" t="str">
        <x:v>EMP003</x:v>
      </x:c>
      <x:c r="D676" s="10" t="str">
        <x:v>CTA005</x:v>
      </x:c>
      <x:c r="E676" s="10" t="str">
        <x:v>Saída</x:v>
      </x:c>
      <x:c r="F676" s="10" t="str">
        <x:v>CAT018</x:v>
      </x:c>
      <x:c r="G676" s="10" t="str">
        <x:v>Despesa operacional</x:v>
      </x:c>
      <x:c r="H676" s="10" t="str">
        <x:v>PAG00346</x:v>
      </x:c>
      <x:c r="I676" s="20" t="n">
        <x:v>27472.07</x:v>
      </x:c>
      <x:c r="J676" s="20" t="n">
        <x:v>-27472.07</x:v>
      </x:c>
      <x:c r="K676" s="10" t="str">
        <x:v>Realizado</x:v>
      </x:c>
      <x:c r="L676" s="10" t="str">
        <x:v>Contas a Pagar</x:v>
      </x:c>
    </x:row>
    <x:row r="677" ht="18" customHeight="1">
      <x:c r="A677" s="10" t="str">
        <x:v>MOV000198</x:v>
      </x:c>
      <x:c r="B677" s="16" t="n">
        <x:v>45596.55735434028</x:v>
      </x:c>
      <x:c r="C677" s="10" t="str">
        <x:v>EMP002</x:v>
      </x:c>
      <x:c r="D677" s="10" t="str">
        <x:v>CTA003</x:v>
      </x:c>
      <x:c r="E677" s="10" t="str">
        <x:v>Saída</x:v>
      </x:c>
      <x:c r="F677" s="10" t="str">
        <x:v>CAT016</x:v>
      </x:c>
      <x:c r="G677" s="10" t="str">
        <x:v>Contrato recorrente</x:v>
      </x:c>
      <x:c r="H677" s="10" t="str">
        <x:v>PAG00231</x:v>
      </x:c>
      <x:c r="I677" s="20" t="n">
        <x:v>103012.01</x:v>
      </x:c>
      <x:c r="J677" s="20" t="n">
        <x:v>-103012.01</x:v>
      </x:c>
      <x:c r="K677" s="10" t="str">
        <x:v>Realizado</x:v>
      </x:c>
      <x:c r="L677" s="10" t="str">
        <x:v>Contas a Pagar</x:v>
      </x:c>
    </x:row>
    <x:row r="678" ht="18" customHeight="1">
      <x:c r="A678" s="10" t="str">
        <x:v>MOV000563</x:v>
      </x:c>
      <x:c r="B678" s="16" t="n">
        <x:v>45597.26106011574</x:v>
      </x:c>
      <x:c r="C678" s="10" t="str">
        <x:v>EMP001</x:v>
      </x:c>
      <x:c r="D678" s="10" t="str">
        <x:v>CTA001</x:v>
      </x:c>
      <x:c r="E678" s="10" t="str">
        <x:v>Saída</x:v>
      </x:c>
      <x:c r="F678" s="10" t="str">
        <x:v>CAT014</x:v>
      </x:c>
      <x:c r="G678" s="10" t="str">
        <x:v>Prestação de serviços</x:v>
      </x:c>
      <x:c r="H678" s="10" t="str">
        <x:v>PAG00660</x:v>
      </x:c>
      <x:c r="I678" s="20" t="n">
        <x:v>69133.78</x:v>
      </x:c>
      <x:c r="J678" s="20" t="n">
        <x:v>-69133.78</x:v>
      </x:c>
      <x:c r="K678" s="10" t="str">
        <x:v>Realizado</x:v>
      </x:c>
      <x:c r="L678" s="10" t="str">
        <x:v>Contas a Pagar</x:v>
      </x:c>
    </x:row>
    <x:row r="679" ht="18" customHeight="1">
      <x:c r="A679" s="10" t="str">
        <x:v>MOV000220</x:v>
      </x:c>
      <x:c r="B679" s="16" t="n">
        <x:v>45597.41281332176</x:v>
      </x:c>
      <x:c r="C679" s="10" t="str">
        <x:v>EMP001</x:v>
      </x:c>
      <x:c r="D679" s="10" t="str">
        <x:v>CTA002</x:v>
      </x:c>
      <x:c r="E679" s="10" t="str">
        <x:v>Saída</x:v>
      </x:c>
      <x:c r="F679" s="10" t="str">
        <x:v>CAT015</x:v>
      </x:c>
      <x:c r="G679" s="10" t="str">
        <x:v>Tributos e taxas</x:v>
      </x:c>
      <x:c r="H679" s="10" t="str">
        <x:v>PAG00257</x:v>
      </x:c>
      <x:c r="I679" s="20" t="n">
        <x:v>1110.38</x:v>
      </x:c>
      <x:c r="J679" s="20" t="n">
        <x:v>-1110.38</x:v>
      </x:c>
      <x:c r="K679" s="10" t="str">
        <x:v>Realizado</x:v>
      </x:c>
      <x:c r="L679" s="10" t="str">
        <x:v>Contas a Pagar</x:v>
      </x:c>
    </x:row>
    <x:row r="680" ht="18" customHeight="1">
      <x:c r="A680" s="10" t="str">
        <x:v>MOV001437</x:v>
      </x:c>
      <x:c r="B680" s="16" t="n">
        <x:v>45597.42103917824</x:v>
      </x:c>
      <x:c r="C680" s="10" t="str">
        <x:v>EMP001</x:v>
      </x:c>
      <x:c r="D680" s="10" t="str">
        <x:v>CTA002</x:v>
      </x:c>
      <x:c r="E680" s="10" t="str">
        <x:v>Entrada</x:v>
      </x:c>
      <x:c r="F680" s="10" t="str">
        <x:v>CAT003</x:v>
      </x:c>
      <x:c r="G680" s="10" t="str">
        <x:v>Prestação de serviços</x:v>
      </x:c>
      <x:c r="H680" s="10" t="str">
        <x:v>REC00828</x:v>
      </x:c>
      <x:c r="I680" s="20" t="n">
        <x:v>142936.62</x:v>
      </x:c>
      <x:c r="J680" s="20" t="n">
        <x:v>142936.62</x:v>
      </x:c>
      <x:c r="K680" s="10" t="str">
        <x:v>Realizado</x:v>
      </x:c>
      <x:c r="L680" s="10" t="str">
        <x:v>Contas a Receber</x:v>
      </x:c>
    </x:row>
    <x:row r="681" ht="18" customHeight="1">
      <x:c r="A681" s="10" t="str">
        <x:v>MOV000797</x:v>
      </x:c>
      <x:c r="B681" s="16" t="n">
        <x:v>45598.03282730324</x:v>
      </x:c>
      <x:c r="C681" s="10" t="str">
        <x:v>EMP001</x:v>
      </x:c>
      <x:c r="D681" s="10" t="str">
        <x:v>CTA002</x:v>
      </x:c>
      <x:c r="E681" s="10" t="str">
        <x:v>Entrada</x:v>
      </x:c>
      <x:c r="F681" s="10" t="str">
        <x:v>CAT004</x:v>
      </x:c>
      <x:c r="G681" s="10" t="str">
        <x:v>Venda de produtos</x:v>
      </x:c>
      <x:c r="H681" s="10" t="str">
        <x:v>REC00054</x:v>
      </x:c>
      <x:c r="I681" s="20" t="n">
        <x:v>11343.5</x:v>
      </x:c>
      <x:c r="J681" s="20" t="n">
        <x:v>11343.5</x:v>
      </x:c>
      <x:c r="K681" s="10" t="str">
        <x:v>Realizado</x:v>
      </x:c>
      <x:c r="L681" s="10" t="str">
        <x:v>Contas a Receber</x:v>
      </x:c>
    </x:row>
    <x:row r="682" ht="18" customHeight="1">
      <x:c r="A682" s="10" t="str">
        <x:v>MOV001466</x:v>
      </x:c>
      <x:c r="B682" s="16" t="n">
        <x:v>45598.212773831016</x:v>
      </x:c>
      <x:c r="C682" s="10" t="str">
        <x:v>EMP001</x:v>
      </x:c>
      <x:c r="D682" s="10" t="str">
        <x:v>CTA002</x:v>
      </x:c>
      <x:c r="E682" s="10" t="str">
        <x:v>Entrada</x:v>
      </x:c>
      <x:c r="F682" s="10" t="str">
        <x:v>CAT001</x:v>
      </x:c>
      <x:c r="G682" s="10" t="str">
        <x:v>Venda de produtos</x:v>
      </x:c>
      <x:c r="H682" s="10" t="str">
        <x:v>REC00863</x:v>
      </x:c>
      <x:c r="I682" s="20" t="n">
        <x:v>125855.34</x:v>
      </x:c>
      <x:c r="J682" s="20" t="n">
        <x:v>125855.34</x:v>
      </x:c>
      <x:c r="K682" s="10" t="str">
        <x:v>Realizado</x:v>
      </x:c>
      <x:c r="L682" s="10" t="str">
        <x:v>Contas a Receber</x:v>
      </x:c>
    </x:row>
    <x:row r="683" ht="18" customHeight="1">
      <x:c r="A683" s="10" t="str">
        <x:v>MOV000904</x:v>
      </x:c>
      <x:c r="B683" s="16" t="n">
        <x:v>45598.25149739583</x:v>
      </x:c>
      <x:c r="C683" s="10" t="str">
        <x:v>EMP001</x:v>
      </x:c>
      <x:c r="D683" s="10" t="str">
        <x:v>CTA002</x:v>
      </x:c>
      <x:c r="E683" s="10" t="str">
        <x:v>Entrada</x:v>
      </x:c>
      <x:c r="F683" s="10" t="str">
        <x:v>CAT002</x:v>
      </x:c>
      <x:c r="G683" s="10" t="str">
        <x:v>Projeto especial</x:v>
      </x:c>
      <x:c r="H683" s="10" t="str">
        <x:v>REC00181</x:v>
      </x:c>
      <x:c r="I683" s="20" t="n">
        <x:v>41701</x:v>
      </x:c>
      <x:c r="J683" s="20" t="n">
        <x:v>41701</x:v>
      </x:c>
      <x:c r="K683" s="10" t="str">
        <x:v>Realizado</x:v>
      </x:c>
      <x:c r="L683" s="10" t="str">
        <x:v>Contas a Receber</x:v>
      </x:c>
    </x:row>
    <x:row r="684" ht="18" customHeight="1">
      <x:c r="A684" s="10" t="str">
        <x:v>MOV000788</x:v>
      </x:c>
      <x:c r="B684" s="16" t="n">
        <x:v>45598.70311516204</x:v>
      </x:c>
      <x:c r="C684" s="10" t="str">
        <x:v>EMP001</x:v>
      </x:c>
      <x:c r="D684" s="10" t="str">
        <x:v>CTA001</x:v>
      </x:c>
      <x:c r="E684" s="10" t="str">
        <x:v>Entrada</x:v>
      </x:c>
      <x:c r="F684" s="10" t="str">
        <x:v>CAT002</x:v>
      </x:c>
      <x:c r="G684" s="10" t="str">
        <x:v>Venda de produtos</x:v>
      </x:c>
      <x:c r="H684" s="10" t="str">
        <x:v>REC00044</x:v>
      </x:c>
      <x:c r="I684" s="20" t="n">
        <x:v>100002.1</x:v>
      </x:c>
      <x:c r="J684" s="20" t="n">
        <x:v>100002.1</x:v>
      </x:c>
      <x:c r="K684" s="10" t="str">
        <x:v>Realizado</x:v>
      </x:c>
      <x:c r="L684" s="10" t="str">
        <x:v>Contas a Receber</x:v>
      </x:c>
    </x:row>
    <x:row r="685" ht="18" customHeight="1">
      <x:c r="A685" s="10" t="str">
        <x:v>MOV000261</x:v>
      </x:c>
      <x:c r="B685" s="16" t="n">
        <x:v>45598.97082959491</x:v>
      </x:c>
      <x:c r="C685" s="10" t="str">
        <x:v>EMP001</x:v>
      </x:c>
      <x:c r="D685" s="10" t="str">
        <x:v>CTA002</x:v>
      </x:c>
      <x:c r="E685" s="10" t="str">
        <x:v>Saída</x:v>
      </x:c>
      <x:c r="F685" s="10" t="str">
        <x:v>CAT005</x:v>
      </x:c>
      <x:c r="G685" s="10" t="str">
        <x:v>Contrato recorrente</x:v>
      </x:c>
      <x:c r="H685" s="10" t="str">
        <x:v>PAG00304</x:v>
      </x:c>
      <x:c r="I685" s="20" t="n">
        <x:v>50278.86</x:v>
      </x:c>
      <x:c r="J685" s="20" t="n">
        <x:v>-50278.86</x:v>
      </x:c>
      <x:c r="K685" s="10" t="str">
        <x:v>Realizado</x:v>
      </x:c>
      <x:c r="L685" s="10" t="str">
        <x:v>Contas a Pagar</x:v>
      </x:c>
    </x:row>
    <x:row r="686" ht="18" customHeight="1">
      <x:c r="A686" s="10" t="str">
        <x:v>MOV000363</x:v>
      </x:c>
      <x:c r="B686" s="16" t="n">
        <x:v>45599.20012622685</x:v>
      </x:c>
      <x:c r="C686" s="10" t="str">
        <x:v>EMP001</x:v>
      </x:c>
      <x:c r="D686" s="10" t="str">
        <x:v>CTA002</x:v>
      </x:c>
      <x:c r="E686" s="10" t="str">
        <x:v>Saída</x:v>
      </x:c>
      <x:c r="F686" s="10" t="str">
        <x:v>CAT013</x:v>
      </x:c>
      <x:c r="G686" s="10" t="str">
        <x:v>Tributos e taxas</x:v>
      </x:c>
      <x:c r="H686" s="10" t="str">
        <x:v>PAG00422</x:v>
      </x:c>
      <x:c r="I686" s="20" t="n">
        <x:v>11599.54</x:v>
      </x:c>
      <x:c r="J686" s="20" t="n">
        <x:v>-11599.54</x:v>
      </x:c>
      <x:c r="K686" s="10" t="str">
        <x:v>Realizado</x:v>
      </x:c>
      <x:c r="L686" s="10" t="str">
        <x:v>Contas a Pagar</x:v>
      </x:c>
    </x:row>
    <x:row r="687" ht="18" customHeight="1">
      <x:c r="A687" s="10" t="str">
        <x:v>MOV001618</x:v>
      </x:c>
      <x:c r="B687" s="16" t="n">
        <x:v>45599.61543716435</x:v>
      </x:c>
      <x:c r="C687" s="10" t="str">
        <x:v>EMP002</x:v>
      </x:c>
      <x:c r="D687" s="10" t="str">
        <x:v>CTA004</x:v>
      </x:c>
      <x:c r="E687" s="10" t="str">
        <x:v>Entrada</x:v>
      </x:c>
      <x:c r="F687" s="10" t="str">
        <x:v>CAT004</x:v>
      </x:c>
      <x:c r="G687" s="10" t="str">
        <x:v>Prestação de serviços</x:v>
      </x:c>
      <x:c r="H687" s="10" t="str">
        <x:v>REC01047</x:v>
      </x:c>
      <x:c r="I687" s="20" t="n">
        <x:v>3050.89</x:v>
      </x:c>
      <x:c r="J687" s="20" t="n">
        <x:v>3050.89</x:v>
      </x:c>
      <x:c r="K687" s="10" t="str">
        <x:v>Realizado</x:v>
      </x:c>
      <x:c r="L687" s="10" t="str">
        <x:v>Contas a Receber</x:v>
      </x:c>
    </x:row>
    <x:row r="688" ht="18" customHeight="1">
      <x:c r="A688" s="10" t="str">
        <x:v>MOV000708</x:v>
      </x:c>
      <x:c r="B688" s="16" t="n">
        <x:v>45599.785579814816</x:v>
      </x:c>
      <x:c r="C688" s="10" t="str">
        <x:v>EMP002</x:v>
      </x:c>
      <x:c r="D688" s="10" t="str">
        <x:v>CTA004</x:v>
      </x:c>
      <x:c r="E688" s="10" t="str">
        <x:v>Saída</x:v>
      </x:c>
      <x:c r="F688" s="10" t="str">
        <x:v>CAT018</x:v>
      </x:c>
      <x:c r="G688" s="10" t="str">
        <x:v>Prestação de serviços</x:v>
      </x:c>
      <x:c r="H688" s="10" t="str">
        <x:v>PAG00842</x:v>
      </x:c>
      <x:c r="I688" s="20" t="n">
        <x:v>28342.19</x:v>
      </x:c>
      <x:c r="J688" s="20" t="n">
        <x:v>-28342.19</x:v>
      </x:c>
      <x:c r="K688" s="10" t="str">
        <x:v>Realizado</x:v>
      </x:c>
      <x:c r="L688" s="10" t="str">
        <x:v>Contas a Pagar</x:v>
      </x:c>
    </x:row>
    <x:row r="689" ht="18" customHeight="1">
      <x:c r="A689" s="10" t="str">
        <x:v>MOV001347</x:v>
      </x:c>
      <x:c r="B689" s="16" t="n">
        <x:v>45600.71858980324</x:v>
      </x:c>
      <x:c r="C689" s="10" t="str">
        <x:v>EMP002</x:v>
      </x:c>
      <x:c r="D689" s="10" t="str">
        <x:v>CTA004</x:v>
      </x:c>
      <x:c r="E689" s="10" t="str">
        <x:v>Entrada</x:v>
      </x:c>
      <x:c r="F689" s="10" t="str">
        <x:v>CAT002</x:v>
      </x:c>
      <x:c r="G689" s="10" t="str">
        <x:v>Prestação de serviços</x:v>
      </x:c>
      <x:c r="H689" s="10" t="str">
        <x:v>REC00714</x:v>
      </x:c>
      <x:c r="I689" s="20" t="n">
        <x:v>35168.92</x:v>
      </x:c>
      <x:c r="J689" s="20" t="n">
        <x:v>35168.92</x:v>
      </x:c>
      <x:c r="K689" s="10" t="str">
        <x:v>Realizado</x:v>
      </x:c>
      <x:c r="L689" s="10" t="str">
        <x:v>Contas a Receber</x:v>
      </x:c>
    </x:row>
    <x:row r="690" ht="18" customHeight="1">
      <x:c r="A690" s="10" t="str">
        <x:v>MOV001624</x:v>
      </x:c>
      <x:c r="B690" s="16" t="n">
        <x:v>45600.92590645833</x:v>
      </x:c>
      <x:c r="C690" s="10" t="str">
        <x:v>EMP002</x:v>
      </x:c>
      <x:c r="D690" s="10" t="str">
        <x:v>CTA004</x:v>
      </x:c>
      <x:c r="E690" s="10" t="str">
        <x:v>Entrada</x:v>
      </x:c>
      <x:c r="F690" s="10" t="str">
        <x:v>CAT004</x:v>
      </x:c>
      <x:c r="G690" s="10" t="str">
        <x:v>Frete faturado</x:v>
      </x:c>
      <x:c r="H690" s="10" t="str">
        <x:v>REC01054</x:v>
      </x:c>
      <x:c r="I690" s="20" t="n">
        <x:v>144116.33</x:v>
      </x:c>
      <x:c r="J690" s="20" t="n">
        <x:v>144116.33</x:v>
      </x:c>
      <x:c r="K690" s="10" t="str">
        <x:v>Realizado</x:v>
      </x:c>
      <x:c r="L690" s="10" t="str">
        <x:v>Contas a Receber</x:v>
      </x:c>
    </x:row>
    <x:row r="691" ht="18" customHeight="1">
      <x:c r="A691" s="10" t="str">
        <x:v>MOV001049</x:v>
      </x:c>
      <x:c r="B691" s="16" t="n">
        <x:v>45601.34833976852</x:v>
      </x:c>
      <x:c r="C691" s="10" t="str">
        <x:v>EMP002</x:v>
      </x:c>
      <x:c r="D691" s="10" t="str">
        <x:v>CTA004</x:v>
      </x:c>
      <x:c r="E691" s="10" t="str">
        <x:v>Entrada</x:v>
      </x:c>
      <x:c r="F691" s="10" t="str">
        <x:v>CAT002</x:v>
      </x:c>
      <x:c r="G691" s="10" t="str">
        <x:v>Projeto especial</x:v>
      </x:c>
      <x:c r="H691" s="10" t="str">
        <x:v>REC00360</x:v>
      </x:c>
      <x:c r="I691" s="20" t="n">
        <x:v>31361.53</x:v>
      </x:c>
      <x:c r="J691" s="20" t="n">
        <x:v>31361.53</x:v>
      </x:c>
      <x:c r="K691" s="10" t="str">
        <x:v>Realizado</x:v>
      </x:c>
      <x:c r="L691" s="10" t="str">
        <x:v>Contas a Receber</x:v>
      </x:c>
    </x:row>
    <x:row r="692" ht="18" customHeight="1">
      <x:c r="A692" s="10" t="str">
        <x:v>MOV001187</x:v>
      </x:c>
      <x:c r="B692" s="16" t="n">
        <x:v>45601.536758125</x:v>
      </x:c>
      <x:c r="C692" s="10" t="str">
        <x:v>EMP003</x:v>
      </x:c>
      <x:c r="D692" s="10" t="str">
        <x:v>CTA006</x:v>
      </x:c>
      <x:c r="E692" s="10" t="str">
        <x:v>Entrada</x:v>
      </x:c>
      <x:c r="F692" s="10" t="str">
        <x:v>CAT003</x:v>
      </x:c>
      <x:c r="G692" s="10" t="str">
        <x:v>Venda de produtos</x:v>
      </x:c>
      <x:c r="H692" s="10" t="str">
        <x:v>REC00528</x:v>
      </x:c>
      <x:c r="I692" s="20" t="n">
        <x:v>126120.3</x:v>
      </x:c>
      <x:c r="J692" s="20" t="n">
        <x:v>126120.3</x:v>
      </x:c>
      <x:c r="K692" s="10" t="str">
        <x:v>Realizado</x:v>
      </x:c>
      <x:c r="L692" s="10" t="str">
        <x:v>Contas a Receber</x:v>
      </x:c>
    </x:row>
    <x:row r="693" ht="18" customHeight="1">
      <x:c r="A693" s="10" t="str">
        <x:v>MOV001043</x:v>
      </x:c>
      <x:c r="B693" s="16" t="n">
        <x:v>45601.70603671296</x:v>
      </x:c>
      <x:c r="C693" s="10" t="str">
        <x:v>EMP002</x:v>
      </x:c>
      <x:c r="D693" s="10" t="str">
        <x:v>CTA004</x:v>
      </x:c>
      <x:c r="E693" s="10" t="str">
        <x:v>Entrada</x:v>
      </x:c>
      <x:c r="F693" s="10" t="str">
        <x:v>CAT001</x:v>
      </x:c>
      <x:c r="G693" s="10" t="str">
        <x:v>Contrato mensal</x:v>
      </x:c>
      <x:c r="H693" s="10" t="str">
        <x:v>REC00353</x:v>
      </x:c>
      <x:c r="I693" s="20" t="n">
        <x:v>29284.38</x:v>
      </x:c>
      <x:c r="J693" s="20" t="n">
        <x:v>29284.38</x:v>
      </x:c>
      <x:c r="K693" s="10" t="str">
        <x:v>Realizado</x:v>
      </x:c>
      <x:c r="L693" s="10" t="str">
        <x:v>Contas a Receber</x:v>
      </x:c>
    </x:row>
    <x:row r="694" ht="18" customHeight="1">
      <x:c r="A694" s="10" t="str">
        <x:v>MOV001484</x:v>
      </x:c>
      <x:c r="B694" s="16" t="n">
        <x:v>45601.87385672454</x:v>
      </x:c>
      <x:c r="C694" s="10" t="str">
        <x:v>EMP002</x:v>
      </x:c>
      <x:c r="D694" s="10" t="str">
        <x:v>CTA004</x:v>
      </x:c>
      <x:c r="E694" s="10" t="str">
        <x:v>Entrada</x:v>
      </x:c>
      <x:c r="F694" s="10" t="str">
        <x:v>CAT001</x:v>
      </x:c>
      <x:c r="G694" s="10" t="str">
        <x:v>Frete faturado</x:v>
      </x:c>
      <x:c r="H694" s="10" t="str">
        <x:v>REC00887</x:v>
      </x:c>
      <x:c r="I694" s="20" t="n">
        <x:v>122455.2</x:v>
      </x:c>
      <x:c r="J694" s="20" t="n">
        <x:v>122455.2</x:v>
      </x:c>
      <x:c r="K694" s="10" t="str">
        <x:v>Realizado</x:v>
      </x:c>
      <x:c r="L694" s="10" t="str">
        <x:v>Contas a Receber</x:v>
      </x:c>
    </x:row>
    <x:row r="695" ht="18" customHeight="1">
      <x:c r="A695" s="10" t="str">
        <x:v>MOV001030</x:v>
      </x:c>
      <x:c r="B695" s="16" t="n">
        <x:v>45602.863247534726</x:v>
      </x:c>
      <x:c r="C695" s="10" t="str">
        <x:v>EMP001</x:v>
      </x:c>
      <x:c r="D695" s="10" t="str">
        <x:v>CTA001</x:v>
      </x:c>
      <x:c r="E695" s="10" t="str">
        <x:v>Entrada</x:v>
      </x:c>
      <x:c r="F695" s="10" t="str">
        <x:v>CAT004</x:v>
      </x:c>
      <x:c r="G695" s="10" t="str">
        <x:v>Frete faturado</x:v>
      </x:c>
      <x:c r="H695" s="10" t="str">
        <x:v>REC00335</x:v>
      </x:c>
      <x:c r="I695" s="20" t="n">
        <x:v>2795.11</x:v>
      </x:c>
      <x:c r="J695" s="20" t="n">
        <x:v>2795.11</x:v>
      </x:c>
      <x:c r="K695" s="10" t="str">
        <x:v>Realizado</x:v>
      </x:c>
      <x:c r="L695" s="10" t="str">
        <x:v>Contas a Receber</x:v>
      </x:c>
    </x:row>
    <x:row r="696" ht="18" customHeight="1">
      <x:c r="A696" s="10" t="str">
        <x:v>MOV001355</x:v>
      </x:c>
      <x:c r="B696" s="16" t="n">
        <x:v>45603.030812627316</x:v>
      </x:c>
      <x:c r="C696" s="10" t="str">
        <x:v>EMP002</x:v>
      </x:c>
      <x:c r="D696" s="10" t="str">
        <x:v>CTA003</x:v>
      </x:c>
      <x:c r="E696" s="10" t="str">
        <x:v>Entrada</x:v>
      </x:c>
      <x:c r="F696" s="10" t="str">
        <x:v>CAT003</x:v>
      </x:c>
      <x:c r="G696" s="10" t="str">
        <x:v>Projeto especial</x:v>
      </x:c>
      <x:c r="H696" s="10" t="str">
        <x:v>REC00724</x:v>
      </x:c>
      <x:c r="I696" s="20" t="n">
        <x:v>12354.7</x:v>
      </x:c>
      <x:c r="J696" s="20" t="n">
        <x:v>12354.7</x:v>
      </x:c>
      <x:c r="K696" s="10" t="str">
        <x:v>Realizado</x:v>
      </x:c>
      <x:c r="L696" s="10" t="str">
        <x:v>Contas a Receber</x:v>
      </x:c>
    </x:row>
    <x:row r="697" ht="18" customHeight="1">
      <x:c r="A697" s="10" t="str">
        <x:v>MOV001483</x:v>
      </x:c>
      <x:c r="B697" s="16" t="n">
        <x:v>45603.86350836806</x:v>
      </x:c>
      <x:c r="C697" s="10" t="str">
        <x:v>EMP001</x:v>
      </x:c>
      <x:c r="D697" s="10" t="str">
        <x:v>CTA001</x:v>
      </x:c>
      <x:c r="E697" s="10" t="str">
        <x:v>Entrada</x:v>
      </x:c>
      <x:c r="F697" s="10" t="str">
        <x:v>CAT001</x:v>
      </x:c>
      <x:c r="G697" s="10" t="str">
        <x:v>Contrato mensal</x:v>
      </x:c>
      <x:c r="H697" s="10" t="str">
        <x:v>REC00885</x:v>
      </x:c>
      <x:c r="I697" s="20" t="n">
        <x:v>25590.33</x:v>
      </x:c>
      <x:c r="J697" s="20" t="n">
        <x:v>25590.33</x:v>
      </x:c>
      <x:c r="K697" s="10" t="str">
        <x:v>Realizado</x:v>
      </x:c>
      <x:c r="L697" s="10" t="str">
        <x:v>Contas a Receber</x:v>
      </x:c>
    </x:row>
    <x:row r="698" ht="18" customHeight="1">
      <x:c r="A698" s="10" t="str">
        <x:v>MOV001593</x:v>
      </x:c>
      <x:c r="B698" s="16" t="n">
        <x:v>45603.93025188657</x:v>
      </x:c>
      <x:c r="C698" s="10" t="str">
        <x:v>EMP002</x:v>
      </x:c>
      <x:c r="D698" s="10" t="str">
        <x:v>CTA003</x:v>
      </x:c>
      <x:c r="E698" s="10" t="str">
        <x:v>Entrada</x:v>
      </x:c>
      <x:c r="F698" s="10" t="str">
        <x:v>CAT002</x:v>
      </x:c>
      <x:c r="G698" s="10" t="str">
        <x:v>Contrato mensal</x:v>
      </x:c>
      <x:c r="H698" s="10" t="str">
        <x:v>REC01020</x:v>
      </x:c>
      <x:c r="I698" s="20" t="n">
        <x:v>37795.02</x:v>
      </x:c>
      <x:c r="J698" s="20" t="n">
        <x:v>37795.02</x:v>
      </x:c>
      <x:c r="K698" s="10" t="str">
        <x:v>Realizado</x:v>
      </x:c>
      <x:c r="L698" s="10" t="str">
        <x:v>Contas a Receber</x:v>
      </x:c>
    </x:row>
    <x:row r="699" ht="18" customHeight="1">
      <x:c r="A699" s="10" t="str">
        <x:v>MOV000080</x:v>
      </x:c>
      <x:c r="B699" s="16" t="n">
        <x:v>45604.17073957176</x:v>
      </x:c>
      <x:c r="C699" s="10" t="str">
        <x:v>EMP002</x:v>
      </x:c>
      <x:c r="D699" s="10" t="str">
        <x:v>CTA004</x:v>
      </x:c>
      <x:c r="E699" s="10" t="str">
        <x:v>Saída</x:v>
      </x:c>
      <x:c r="F699" s="10" t="str">
        <x:v>CAT016</x:v>
      </x:c>
      <x:c r="G699" s="10" t="str">
        <x:v>Contrato recorrente</x:v>
      </x:c>
      <x:c r="H699" s="10" t="str">
        <x:v>PAG00090</x:v>
      </x:c>
      <x:c r="I699" s="20" t="n">
        <x:v>29891.07</x:v>
      </x:c>
      <x:c r="J699" s="20" t="n">
        <x:v>-29891.07</x:v>
      </x:c>
      <x:c r="K699" s="10" t="str">
        <x:v>Realizado</x:v>
      </x:c>
      <x:c r="L699" s="10" t="str">
        <x:v>Contas a Pagar</x:v>
      </x:c>
    </x:row>
    <x:row r="700" ht="18" customHeight="1">
      <x:c r="A700" s="10" t="str">
        <x:v>MOV000847</x:v>
      </x:c>
      <x:c r="B700" s="16" t="n">
        <x:v>45604.22913891204</x:v>
      </x:c>
      <x:c r="C700" s="10" t="str">
        <x:v>EMP001</x:v>
      </x:c>
      <x:c r="D700" s="10" t="str">
        <x:v>CTA001</x:v>
      </x:c>
      <x:c r="E700" s="10" t="str">
        <x:v>Entrada</x:v>
      </x:c>
      <x:c r="F700" s="10" t="str">
        <x:v>CAT001</x:v>
      </x:c>
      <x:c r="G700" s="10" t="str">
        <x:v>Venda de produtos</x:v>
      </x:c>
      <x:c r="H700" s="10" t="str">
        <x:v>REC00115</x:v>
      </x:c>
      <x:c r="I700" s="20" t="n">
        <x:v>51055.88</x:v>
      </x:c>
      <x:c r="J700" s="20" t="n">
        <x:v>51055.88</x:v>
      </x:c>
      <x:c r="K700" s="10" t="str">
        <x:v>Realizado</x:v>
      </x:c>
      <x:c r="L700" s="10" t="str">
        <x:v>Contas a Receber</x:v>
      </x:c>
    </x:row>
    <x:row r="701" ht="18" customHeight="1">
      <x:c r="A701" s="10" t="str">
        <x:v>MOV000978</x:v>
      </x:c>
      <x:c r="B701" s="16" t="n">
        <x:v>45605.13235627315</x:v>
      </x:c>
      <x:c r="C701" s="10" t="str">
        <x:v>EMP001</x:v>
      </x:c>
      <x:c r="D701" s="10" t="str">
        <x:v>CTA001</x:v>
      </x:c>
      <x:c r="E701" s="10" t="str">
        <x:v>Entrada</x:v>
      </x:c>
      <x:c r="F701" s="10" t="str">
        <x:v>CAT003</x:v>
      </x:c>
      <x:c r="G701" s="10" t="str">
        <x:v>Prestação de serviços</x:v>
      </x:c>
      <x:c r="H701" s="10" t="str">
        <x:v>REC00272</x:v>
      </x:c>
      <x:c r="I701" s="20" t="n">
        <x:v>139897.78</x:v>
      </x:c>
      <x:c r="J701" s="20" t="n">
        <x:v>139897.78</x:v>
      </x:c>
      <x:c r="K701" s="10" t="str">
        <x:v>Realizado</x:v>
      </x:c>
      <x:c r="L701" s="10" t="str">
        <x:v>Contas a Receber</x:v>
      </x:c>
    </x:row>
    <x:row r="702" ht="18" customHeight="1">
      <x:c r="A702" s="10" t="str">
        <x:v>MOV000625</x:v>
      </x:c>
      <x:c r="B702" s="16" t="n">
        <x:v>45605.30481133102</x:v>
      </x:c>
      <x:c r="C702" s="10" t="str">
        <x:v>EMP002</x:v>
      </x:c>
      <x:c r="D702" s="10" t="str">
        <x:v>CTA004</x:v>
      </x:c>
      <x:c r="E702" s="10" t="str">
        <x:v>Saída</x:v>
      </x:c>
      <x:c r="F702" s="10" t="str">
        <x:v>CAT015</x:v>
      </x:c>
      <x:c r="G702" s="10" t="str">
        <x:v>Prestação de serviços</x:v>
      </x:c>
      <x:c r="H702" s="10" t="str">
        <x:v>PAG00743</x:v>
      </x:c>
      <x:c r="I702" s="20" t="n">
        <x:v>14685.65</x:v>
      </x:c>
      <x:c r="J702" s="20" t="n">
        <x:v>-14685.65</x:v>
      </x:c>
      <x:c r="K702" s="10" t="str">
        <x:v>Realizado</x:v>
      </x:c>
      <x:c r="L702" s="10" t="str">
        <x:v>Contas a Pagar</x:v>
      </x:c>
    </x:row>
    <x:row r="703" ht="18" customHeight="1">
      <x:c r="A703" s="10" t="str">
        <x:v>MOV000264</x:v>
      </x:c>
      <x:c r="B703" s="16" t="n">
        <x:v>45605.31397747685</x:v>
      </x:c>
      <x:c r="C703" s="10" t="str">
        <x:v>EMP003</x:v>
      </x:c>
      <x:c r="D703" s="10" t="str">
        <x:v>CTA005</x:v>
      </x:c>
      <x:c r="E703" s="10" t="str">
        <x:v>Saída</x:v>
      </x:c>
      <x:c r="F703" s="10" t="str">
        <x:v>CAT007</x:v>
      </x:c>
      <x:c r="G703" s="10" t="str">
        <x:v>Despesa operacional</x:v>
      </x:c>
      <x:c r="H703" s="10" t="str">
        <x:v>PAG00307</x:v>
      </x:c>
      <x:c r="I703" s="20" t="n">
        <x:v>2718.33</x:v>
      </x:c>
      <x:c r="J703" s="20" t="n">
        <x:v>-2718.33</x:v>
      </x:c>
      <x:c r="K703" s="10" t="str">
        <x:v>Realizado</x:v>
      </x:c>
      <x:c r="L703" s="10" t="str">
        <x:v>Contas a Pagar</x:v>
      </x:c>
    </x:row>
    <x:row r="704" ht="18" customHeight="1">
      <x:c r="A704" s="10" t="str">
        <x:v>MOV001576</x:v>
      </x:c>
      <x:c r="B704" s="16" t="n">
        <x:v>45605.31779047454</x:v>
      </x:c>
      <x:c r="C704" s="10" t="str">
        <x:v>EMP002</x:v>
      </x:c>
      <x:c r="D704" s="10" t="str">
        <x:v>CTA004</x:v>
      </x:c>
      <x:c r="E704" s="10" t="str">
        <x:v>Entrada</x:v>
      </x:c>
      <x:c r="F704" s="10" t="str">
        <x:v>CAT004</x:v>
      </x:c>
      <x:c r="G704" s="10" t="str">
        <x:v>Projeto especial</x:v>
      </x:c>
      <x:c r="H704" s="10" t="str">
        <x:v>REC00998</x:v>
      </x:c>
      <x:c r="I704" s="20" t="n">
        <x:v>117730.71</x:v>
      </x:c>
      <x:c r="J704" s="20" t="n">
        <x:v>117730.71</x:v>
      </x:c>
      <x:c r="K704" s="10" t="str">
        <x:v>Realizado</x:v>
      </x:c>
      <x:c r="L704" s="10" t="str">
        <x:v>Contas a Receber</x:v>
      </x:c>
    </x:row>
    <x:row r="705" ht="18" customHeight="1">
      <x:c r="A705" s="10" t="str">
        <x:v>MOV001286</x:v>
      </x:c>
      <x:c r="B705" s="16" t="n">
        <x:v>45605.38867299769</x:v>
      </x:c>
      <x:c r="C705" s="10" t="str">
        <x:v>EMP003</x:v>
      </x:c>
      <x:c r="D705" s="10" t="str">
        <x:v>CTA005</x:v>
      </x:c>
      <x:c r="E705" s="10" t="str">
        <x:v>Entrada</x:v>
      </x:c>
      <x:c r="F705" s="10" t="str">
        <x:v>CAT002</x:v>
      </x:c>
      <x:c r="G705" s="10" t="str">
        <x:v>Projeto especial</x:v>
      </x:c>
      <x:c r="H705" s="10" t="str">
        <x:v>REC00646</x:v>
      </x:c>
      <x:c r="I705" s="20" t="n">
        <x:v>39150.36</x:v>
      </x:c>
      <x:c r="J705" s="20" t="n">
        <x:v>39150.36</x:v>
      </x:c>
      <x:c r="K705" s="10" t="str">
        <x:v>Realizado</x:v>
      </x:c>
      <x:c r="L705" s="10" t="str">
        <x:v>Contas a Receber</x:v>
      </x:c>
    </x:row>
    <x:row r="706" ht="18" customHeight="1">
      <x:c r="A706" s="10" t="str">
        <x:v>MOV000830</x:v>
      </x:c>
      <x:c r="B706" s="16" t="n">
        <x:v>45605.996620625</x:v>
      </x:c>
      <x:c r="C706" s="10" t="str">
        <x:v>EMP002</x:v>
      </x:c>
      <x:c r="D706" s="10" t="str">
        <x:v>CTA004</x:v>
      </x:c>
      <x:c r="E706" s="10" t="str">
        <x:v>Entrada</x:v>
      </x:c>
      <x:c r="F706" s="10" t="str">
        <x:v>CAT003</x:v>
      </x:c>
      <x:c r="G706" s="10" t="str">
        <x:v>Projeto especial</x:v>
      </x:c>
      <x:c r="H706" s="10" t="str">
        <x:v>REC00093</x:v>
      </x:c>
      <x:c r="I706" s="20" t="n">
        <x:v>52793.4</x:v>
      </x:c>
      <x:c r="J706" s="20" t="n">
        <x:v>52793.4</x:v>
      </x:c>
      <x:c r="K706" s="10" t="str">
        <x:v>Realizado</x:v>
      </x:c>
      <x:c r="L706" s="10" t="str">
        <x:v>Contas a Receber</x:v>
      </x:c>
    </x:row>
    <x:row r="707" ht="18" customHeight="1">
      <x:c r="A707" s="10" t="str">
        <x:v>MOV000751</x:v>
      </x:c>
      <x:c r="B707" s="16" t="n">
        <x:v>45606.13944899305</x:v>
      </x:c>
      <x:c r="C707" s="10" t="str">
        <x:v>EMP003</x:v>
      </x:c>
      <x:c r="D707" s="10" t="str">
        <x:v>CTA005</x:v>
      </x:c>
      <x:c r="E707" s="10" t="str">
        <x:v>Saída</x:v>
      </x:c>
      <x:c r="F707" s="10" t="str">
        <x:v>CAT012</x:v>
      </x:c>
      <x:c r="G707" s="10" t="str">
        <x:v>Despesa operacional</x:v>
      </x:c>
      <x:c r="H707" s="10" t="str">
        <x:v>PAG00892</x:v>
      </x:c>
      <x:c r="I707" s="20" t="n">
        <x:v>80934</x:v>
      </x:c>
      <x:c r="J707" s="20" t="n">
        <x:v>-80934</x:v>
      </x:c>
      <x:c r="K707" s="10" t="str">
        <x:v>Realizado</x:v>
      </x:c>
      <x:c r="L707" s="10" t="str">
        <x:v>Contas a Pagar</x:v>
      </x:c>
    </x:row>
    <x:row r="708" ht="18" customHeight="1">
      <x:c r="A708" s="10" t="str">
        <x:v>MOV000947</x:v>
      </x:c>
      <x:c r="B708" s="16" t="n">
        <x:v>45606.442396990744</x:v>
      </x:c>
      <x:c r="C708" s="10" t="str">
        <x:v>EMP003</x:v>
      </x:c>
      <x:c r="D708" s="10" t="str">
        <x:v>CTA006</x:v>
      </x:c>
      <x:c r="E708" s="10" t="str">
        <x:v>Entrada</x:v>
      </x:c>
      <x:c r="F708" s="10" t="str">
        <x:v>CAT001</x:v>
      </x:c>
      <x:c r="G708" s="10" t="str">
        <x:v>Projeto especial</x:v>
      </x:c>
      <x:c r="H708" s="10" t="str">
        <x:v>REC00228</x:v>
      </x:c>
      <x:c r="I708" s="20" t="n">
        <x:v>37598.29</x:v>
      </x:c>
      <x:c r="J708" s="20" t="n">
        <x:v>37598.29</x:v>
      </x:c>
      <x:c r="K708" s="10" t="str">
        <x:v>Realizado</x:v>
      </x:c>
      <x:c r="L708" s="10" t="str">
        <x:v>Contas a Receber</x:v>
      </x:c>
    </x:row>
    <x:row r="709" ht="18" customHeight="1">
      <x:c r="A709" s="10" t="str">
        <x:v>MOV000110</x:v>
      </x:c>
      <x:c r="B709" s="16" t="n">
        <x:v>45606.90775032408</x:v>
      </x:c>
      <x:c r="C709" s="10" t="str">
        <x:v>EMP001</x:v>
      </x:c>
      <x:c r="D709" s="10" t="str">
        <x:v>CTA001</x:v>
      </x:c>
      <x:c r="E709" s="10" t="str">
        <x:v>Saída</x:v>
      </x:c>
      <x:c r="F709" s="10" t="str">
        <x:v>CAT016</x:v>
      </x:c>
      <x:c r="G709" s="10" t="str">
        <x:v>Compra de materiais</x:v>
      </x:c>
      <x:c r="H709" s="10" t="str">
        <x:v>PAG00124</x:v>
      </x:c>
      <x:c r="I709" s="20" t="n">
        <x:v>37576.91</x:v>
      </x:c>
      <x:c r="J709" s="20" t="n">
        <x:v>-37576.91</x:v>
      </x:c>
      <x:c r="K709" s="10" t="str">
        <x:v>Realizado</x:v>
      </x:c>
      <x:c r="L709" s="10" t="str">
        <x:v>Contas a Pagar</x:v>
      </x:c>
    </x:row>
    <x:row r="710" ht="18" customHeight="1">
      <x:c r="A710" s="10" t="str">
        <x:v>MOV001636</x:v>
      </x:c>
      <x:c r="B710" s="16" t="n">
        <x:v>45606.97337846065</x:v>
      </x:c>
      <x:c r="C710" s="10" t="str">
        <x:v>EMP003</x:v>
      </x:c>
      <x:c r="D710" s="10" t="str">
        <x:v>CTA006</x:v>
      </x:c>
      <x:c r="E710" s="10" t="str">
        <x:v>Entrada</x:v>
      </x:c>
      <x:c r="F710" s="10" t="str">
        <x:v>CAT002</x:v>
      </x:c>
      <x:c r="G710" s="10" t="str">
        <x:v>Frete faturado</x:v>
      </x:c>
      <x:c r="H710" s="10" t="str">
        <x:v>REC01069</x:v>
      </x:c>
      <x:c r="I710" s="20" t="n">
        <x:v>858.68</x:v>
      </x:c>
      <x:c r="J710" s="20" t="n">
        <x:v>858.68</x:v>
      </x:c>
      <x:c r="K710" s="10" t="str">
        <x:v>Realizado</x:v>
      </x:c>
      <x:c r="L710" s="10" t="str">
        <x:v>Contas a Receber</x:v>
      </x:c>
    </x:row>
    <x:row r="711" ht="18" customHeight="1">
      <x:c r="A711" s="10" t="str">
        <x:v>MOV000742</x:v>
      </x:c>
      <x:c r="B711" s="16" t="n">
        <x:v>45607.015372407404</x:v>
      </x:c>
      <x:c r="C711" s="10" t="str">
        <x:v>EMP002</x:v>
      </x:c>
      <x:c r="D711" s="10" t="str">
        <x:v>CTA003</x:v>
      </x:c>
      <x:c r="E711" s="10" t="str">
        <x:v>Saída</x:v>
      </x:c>
      <x:c r="F711" s="10" t="str">
        <x:v>CAT012</x:v>
      </x:c>
      <x:c r="G711" s="10" t="str">
        <x:v>Despesa operacional</x:v>
      </x:c>
      <x:c r="H711" s="10" t="str">
        <x:v>PAG00882</x:v>
      </x:c>
      <x:c r="I711" s="20" t="n">
        <x:v>7104.82</x:v>
      </x:c>
      <x:c r="J711" s="20" t="n">
        <x:v>-7104.82</x:v>
      </x:c>
      <x:c r="K711" s="10" t="str">
        <x:v>Realizado</x:v>
      </x:c>
      <x:c r="L711" s="10" t="str">
        <x:v>Contas a Pagar</x:v>
      </x:c>
    </x:row>
    <x:row r="712" ht="18" customHeight="1">
      <x:c r="A712" s="10" t="str">
        <x:v>MOV000866</x:v>
      </x:c>
      <x:c r="B712" s="16" t="n">
        <x:v>45607.09033555556</x:v>
      </x:c>
      <x:c r="C712" s="10" t="str">
        <x:v>EMP001</x:v>
      </x:c>
      <x:c r="D712" s="10" t="str">
        <x:v>CTA001</x:v>
      </x:c>
      <x:c r="E712" s="10" t="str">
        <x:v>Entrada</x:v>
      </x:c>
      <x:c r="F712" s="10" t="str">
        <x:v>CAT002</x:v>
      </x:c>
      <x:c r="G712" s="10" t="str">
        <x:v>Prestação de serviços</x:v>
      </x:c>
      <x:c r="H712" s="10" t="str">
        <x:v>REC00136</x:v>
      </x:c>
      <x:c r="I712" s="20" t="n">
        <x:v>144620.61</x:v>
      </x:c>
      <x:c r="J712" s="20" t="n">
        <x:v>144620.61</x:v>
      </x:c>
      <x:c r="K712" s="10" t="str">
        <x:v>Realizado</x:v>
      </x:c>
      <x:c r="L712" s="10" t="str">
        <x:v>Contas a Receber</x:v>
      </x:c>
    </x:row>
    <x:row r="713" ht="18" customHeight="1">
      <x:c r="A713" s="10" t="str">
        <x:v>MOV001235</x:v>
      </x:c>
      <x:c r="B713" s="16" t="n">
        <x:v>45607.657630023146</x:v>
      </x:c>
      <x:c r="C713" s="10" t="str">
        <x:v>EMP002</x:v>
      </x:c>
      <x:c r="D713" s="10" t="str">
        <x:v>CTA004</x:v>
      </x:c>
      <x:c r="E713" s="10" t="str">
        <x:v>Entrada</x:v>
      </x:c>
      <x:c r="F713" s="10" t="str">
        <x:v>CAT003</x:v>
      </x:c>
      <x:c r="G713" s="10" t="str">
        <x:v>Frete faturado</x:v>
      </x:c>
      <x:c r="H713" s="10" t="str">
        <x:v>REC00587</x:v>
      </x:c>
      <x:c r="I713" s="20" t="n">
        <x:v>13840.98</x:v>
      </x:c>
      <x:c r="J713" s="20" t="n">
        <x:v>13840.98</x:v>
      </x:c>
      <x:c r="K713" s="10" t="str">
        <x:v>Realizado</x:v>
      </x:c>
      <x:c r="L713" s="10" t="str">
        <x:v>Contas a Receber</x:v>
      </x:c>
    </x:row>
    <x:row r="714" ht="18" customHeight="1">
      <x:c r="A714" s="10" t="str">
        <x:v>MOV001292</x:v>
      </x:c>
      <x:c r="B714" s="16" t="n">
        <x:v>45607.800285185185</x:v>
      </x:c>
      <x:c r="C714" s="10" t="str">
        <x:v>EMP002</x:v>
      </x:c>
      <x:c r="D714" s="10" t="str">
        <x:v>CTA004</x:v>
      </x:c>
      <x:c r="E714" s="10" t="str">
        <x:v>Entrada</x:v>
      </x:c>
      <x:c r="F714" s="10" t="str">
        <x:v>CAT001</x:v>
      </x:c>
      <x:c r="G714" s="10" t="str">
        <x:v>Prestação de serviços</x:v>
      </x:c>
      <x:c r="H714" s="10" t="str">
        <x:v>REC00654</x:v>
      </x:c>
      <x:c r="I714" s="20" t="n">
        <x:v>64124.81</x:v>
      </x:c>
      <x:c r="J714" s="20" t="n">
        <x:v>64124.81</x:v>
      </x:c>
      <x:c r="K714" s="10" t="str">
        <x:v>Realizado</x:v>
      </x:c>
      <x:c r="L714" s="10" t="str">
        <x:v>Contas a Receber</x:v>
      </x:c>
    </x:row>
    <x:row r="715" ht="18" customHeight="1">
      <x:c r="A715" s="10" t="str">
        <x:v>MOV000910</x:v>
      </x:c>
      <x:c r="B715" s="16" t="n">
        <x:v>45607.82354420139</x:v>
      </x:c>
      <x:c r="C715" s="10" t="str">
        <x:v>EMP003</x:v>
      </x:c>
      <x:c r="D715" s="10" t="str">
        <x:v>CTA006</x:v>
      </x:c>
      <x:c r="E715" s="10" t="str">
        <x:v>Entrada</x:v>
      </x:c>
      <x:c r="F715" s="10" t="str">
        <x:v>CAT001</x:v>
      </x:c>
      <x:c r="G715" s="10" t="str">
        <x:v>Frete faturado</x:v>
      </x:c>
      <x:c r="H715" s="10" t="str">
        <x:v>REC00188</x:v>
      </x:c>
      <x:c r="I715" s="20" t="n">
        <x:v>856.29</x:v>
      </x:c>
      <x:c r="J715" s="20" t="n">
        <x:v>856.29</x:v>
      </x:c>
      <x:c r="K715" s="10" t="str">
        <x:v>Realizado</x:v>
      </x:c>
      <x:c r="L715" s="10" t="str">
        <x:v>Contas a Receber</x:v>
      </x:c>
    </x:row>
    <x:row r="716" ht="18" customHeight="1">
      <x:c r="A716" s="10" t="str">
        <x:v>MOV000792</x:v>
      </x:c>
      <x:c r="B716" s="16" t="n">
        <x:v>45608.37887439815</x:v>
      </x:c>
      <x:c r="C716" s="10" t="str">
        <x:v>EMP003</x:v>
      </x:c>
      <x:c r="D716" s="10" t="str">
        <x:v>CTA005</x:v>
      </x:c>
      <x:c r="E716" s="10" t="str">
        <x:v>Entrada</x:v>
      </x:c>
      <x:c r="F716" s="10" t="str">
        <x:v>CAT004</x:v>
      </x:c>
      <x:c r="G716" s="10" t="str">
        <x:v>Contrato mensal</x:v>
      </x:c>
      <x:c r="H716" s="10" t="str">
        <x:v>REC00048</x:v>
      </x:c>
      <x:c r="I716" s="20" t="n">
        <x:v>4364.89</x:v>
      </x:c>
      <x:c r="J716" s="20" t="n">
        <x:v>4364.89</x:v>
      </x:c>
      <x:c r="K716" s="10" t="str">
        <x:v>Realizado</x:v>
      </x:c>
      <x:c r="L716" s="10" t="str">
        <x:v>Contas a Receber</x:v>
      </x:c>
    </x:row>
    <x:row r="717" ht="18" customHeight="1">
      <x:c r="A717" s="10" t="str">
        <x:v>MOV001020</x:v>
      </x:c>
      <x:c r="B717" s="16" t="n">
        <x:v>45608.69998820602</x:v>
      </x:c>
      <x:c r="C717" s="10" t="str">
        <x:v>EMP003</x:v>
      </x:c>
      <x:c r="D717" s="10" t="str">
        <x:v>CTA006</x:v>
      </x:c>
      <x:c r="E717" s="10" t="str">
        <x:v>Entrada</x:v>
      </x:c>
      <x:c r="F717" s="10" t="str">
        <x:v>CAT001</x:v>
      </x:c>
      <x:c r="G717" s="10" t="str">
        <x:v>Projeto especial</x:v>
      </x:c>
      <x:c r="H717" s="10" t="str">
        <x:v>REC00323</x:v>
      </x:c>
      <x:c r="I717" s="20" t="n">
        <x:v>63707.5</x:v>
      </x:c>
      <x:c r="J717" s="20" t="n">
        <x:v>63707.5</x:v>
      </x:c>
      <x:c r="K717" s="10" t="str">
        <x:v>Realizado</x:v>
      </x:c>
      <x:c r="L717" s="10" t="str">
        <x:v>Contas a Receber</x:v>
      </x:c>
    </x:row>
    <x:row r="718" ht="18" customHeight="1">
      <x:c r="A718" s="10" t="str">
        <x:v>MOV001070</x:v>
      </x:c>
      <x:c r="B718" s="16" t="n">
        <x:v>45608.76839730324</x:v>
      </x:c>
      <x:c r="C718" s="10" t="str">
        <x:v>EMP001</x:v>
      </x:c>
      <x:c r="D718" s="10" t="str">
        <x:v>CTA001</x:v>
      </x:c>
      <x:c r="E718" s="10" t="str">
        <x:v>Entrada</x:v>
      </x:c>
      <x:c r="F718" s="10" t="str">
        <x:v>CAT004</x:v>
      </x:c>
      <x:c r="G718" s="10" t="str">
        <x:v>Prestação de serviços</x:v>
      </x:c>
      <x:c r="H718" s="10" t="str">
        <x:v>REC00390</x:v>
      </x:c>
      <x:c r="I718" s="20" t="n">
        <x:v>58138.82</x:v>
      </x:c>
      <x:c r="J718" s="20" t="n">
        <x:v>58138.82</x:v>
      </x:c>
      <x:c r="K718" s="10" t="str">
        <x:v>Realizado</x:v>
      </x:c>
      <x:c r="L718" s="10" t="str">
        <x:v>Contas a Receber</x:v>
      </x:c>
    </x:row>
    <x:row r="719" ht="18" customHeight="1">
      <x:c r="A719" s="10" t="str">
        <x:v>MOV000199</x:v>
      </x:c>
      <x:c r="B719" s="16" t="n">
        <x:v>45608.792152407405</x:v>
      </x:c>
      <x:c r="C719" s="10" t="str">
        <x:v>EMP002</x:v>
      </x:c>
      <x:c r="D719" s="10" t="str">
        <x:v>CTA004</x:v>
      </x:c>
      <x:c r="E719" s="10" t="str">
        <x:v>Saída</x:v>
      </x:c>
      <x:c r="F719" s="10" t="str">
        <x:v>CAT009</x:v>
      </x:c>
      <x:c r="G719" s="10" t="str">
        <x:v>Prestação de serviços</x:v>
      </x:c>
      <x:c r="H719" s="10" t="str">
        <x:v>PAG00232</x:v>
      </x:c>
      <x:c r="I719" s="20" t="n">
        <x:v>54566.25</x:v>
      </x:c>
      <x:c r="J719" s="20" t="n">
        <x:v>-54566.25</x:v>
      </x:c>
      <x:c r="K719" s="10" t="str">
        <x:v>Realizado</x:v>
      </x:c>
      <x:c r="L719" s="10" t="str">
        <x:v>Contas a Pagar</x:v>
      </x:c>
    </x:row>
    <x:row r="720" ht="18" customHeight="1">
      <x:c r="A720" s="10" t="str">
        <x:v>MOV000073</x:v>
      </x:c>
      <x:c r="B720" s="16" t="n">
        <x:v>45608.89504914352</x:v>
      </x:c>
      <x:c r="C720" s="10" t="str">
        <x:v>EMP003</x:v>
      </x:c>
      <x:c r="D720" s="10" t="str">
        <x:v>CTA005</x:v>
      </x:c>
      <x:c r="E720" s="10" t="str">
        <x:v>Saída</x:v>
      </x:c>
      <x:c r="F720" s="10" t="str">
        <x:v>CAT016</x:v>
      </x:c>
      <x:c r="G720" s="10" t="str">
        <x:v>Compra de materiais</x:v>
      </x:c>
      <x:c r="H720" s="10" t="str">
        <x:v>PAG00081</x:v>
      </x:c>
      <x:c r="I720" s="20" t="n">
        <x:v>94448.8</x:v>
      </x:c>
      <x:c r="J720" s="20" t="n">
        <x:v>-94448.8</x:v>
      </x:c>
      <x:c r="K720" s="10" t="str">
        <x:v>Realizado</x:v>
      </x:c>
      <x:c r="L720" s="10" t="str">
        <x:v>Contas a Pagar</x:v>
      </x:c>
    </x:row>
    <x:row r="721" ht="18" customHeight="1">
      <x:c r="A721" s="10" t="str">
        <x:v>MOV000450</x:v>
      </x:c>
      <x:c r="B721" s="16" t="n">
        <x:v>45608.93456126157</x:v>
      </x:c>
      <x:c r="C721" s="10" t="str">
        <x:v>EMP003</x:v>
      </x:c>
      <x:c r="D721" s="10" t="str">
        <x:v>CTA006</x:v>
      </x:c>
      <x:c r="E721" s="10" t="str">
        <x:v>Saída</x:v>
      </x:c>
      <x:c r="F721" s="10" t="str">
        <x:v>CAT013</x:v>
      </x:c>
      <x:c r="G721" s="10" t="str">
        <x:v>Tributos e taxas</x:v>
      </x:c>
      <x:c r="H721" s="10" t="str">
        <x:v>PAG00528</x:v>
      </x:c>
      <x:c r="I721" s="20" t="n">
        <x:v>88537.61</x:v>
      </x:c>
      <x:c r="J721" s="20" t="n">
        <x:v>-88537.61</x:v>
      </x:c>
      <x:c r="K721" s="10" t="str">
        <x:v>Realizado</x:v>
      </x:c>
      <x:c r="L721" s="10" t="str">
        <x:v>Contas a Pagar</x:v>
      </x:c>
    </x:row>
    <x:row r="722" ht="18" customHeight="1">
      <x:c r="A722" s="10" t="str">
        <x:v>MOV000782</x:v>
      </x:c>
      <x:c r="B722" s="16" t="n">
        <x:v>45608.98248875</x:v>
      </x:c>
      <x:c r="C722" s="10" t="str">
        <x:v>EMP003</x:v>
      </x:c>
      <x:c r="D722" s="10" t="str">
        <x:v>CTA006</x:v>
      </x:c>
      <x:c r="E722" s="10" t="str">
        <x:v>Entrada</x:v>
      </x:c>
      <x:c r="F722" s="10" t="str">
        <x:v>CAT001</x:v>
      </x:c>
      <x:c r="G722" s="10" t="str">
        <x:v>Projeto especial</x:v>
      </x:c>
      <x:c r="H722" s="10" t="str">
        <x:v>REC00036</x:v>
      </x:c>
      <x:c r="I722" s="20" t="n">
        <x:v>64401.73</x:v>
      </x:c>
      <x:c r="J722" s="20" t="n">
        <x:v>64401.73</x:v>
      </x:c>
      <x:c r="K722" s="10" t="str">
        <x:v>Realizado</x:v>
      </x:c>
      <x:c r="L722" s="10" t="str">
        <x:v>Contas a Receber</x:v>
      </x:c>
    </x:row>
    <x:row r="723" ht="18" customHeight="1">
      <x:c r="A723" s="10" t="str">
        <x:v>MOV001459</x:v>
      </x:c>
      <x:c r="B723" s="16" t="n">
        <x:v>45609.13674702546</x:v>
      </x:c>
      <x:c r="C723" s="10" t="str">
        <x:v>EMP001</x:v>
      </x:c>
      <x:c r="D723" s="10" t="str">
        <x:v>CTA001</x:v>
      </x:c>
      <x:c r="E723" s="10" t="str">
        <x:v>Entrada</x:v>
      </x:c>
      <x:c r="F723" s="10" t="str">
        <x:v>CAT003</x:v>
      </x:c>
      <x:c r="G723" s="10" t="str">
        <x:v>Contrato mensal</x:v>
      </x:c>
      <x:c r="H723" s="10" t="str">
        <x:v>REC00855</x:v>
      </x:c>
      <x:c r="I723" s="20" t="n">
        <x:v>145488.58</x:v>
      </x:c>
      <x:c r="J723" s="20" t="n">
        <x:v>145488.58</x:v>
      </x:c>
      <x:c r="K723" s="10" t="str">
        <x:v>Realizado</x:v>
      </x:c>
      <x:c r="L723" s="10" t="str">
        <x:v>Contas a Receber</x:v>
      </x:c>
    </x:row>
    <x:row r="724" ht="18" customHeight="1">
      <x:c r="A724" s="10" t="str">
        <x:v>MOV001236</x:v>
      </x:c>
      <x:c r="B724" s="16" t="n">
        <x:v>45609.27568428241</x:v>
      </x:c>
      <x:c r="C724" s="10" t="str">
        <x:v>EMP001</x:v>
      </x:c>
      <x:c r="D724" s="10" t="str">
        <x:v>CTA001</x:v>
      </x:c>
      <x:c r="E724" s="10" t="str">
        <x:v>Entrada</x:v>
      </x:c>
      <x:c r="F724" s="10" t="str">
        <x:v>CAT004</x:v>
      </x:c>
      <x:c r="G724" s="10" t="str">
        <x:v>Prestação de serviços</x:v>
      </x:c>
      <x:c r="H724" s="10" t="str">
        <x:v>REC00588</x:v>
      </x:c>
      <x:c r="I724" s="20" t="n">
        <x:v>64220.41</x:v>
      </x:c>
      <x:c r="J724" s="20" t="n">
        <x:v>64220.41</x:v>
      </x:c>
      <x:c r="K724" s="10" t="str">
        <x:v>Realizado</x:v>
      </x:c>
      <x:c r="L724" s="10" t="str">
        <x:v>Contas a Receber</x:v>
      </x:c>
    </x:row>
    <x:row r="725" ht="18" customHeight="1">
      <x:c r="A725" s="10" t="str">
        <x:v>MOV001511</x:v>
      </x:c>
      <x:c r="B725" s="16" t="n">
        <x:v>45609.351970104166</x:v>
      </x:c>
      <x:c r="C725" s="10" t="str">
        <x:v>EMP001</x:v>
      </x:c>
      <x:c r="D725" s="10" t="str">
        <x:v>CTA001</x:v>
      </x:c>
      <x:c r="E725" s="10" t="str">
        <x:v>Entrada</x:v>
      </x:c>
      <x:c r="F725" s="10" t="str">
        <x:v>CAT002</x:v>
      </x:c>
      <x:c r="G725" s="10" t="str">
        <x:v>Projeto especial</x:v>
      </x:c>
      <x:c r="H725" s="10" t="str">
        <x:v>REC00921</x:v>
      </x:c>
      <x:c r="I725" s="20" t="n">
        <x:v>90130.31</x:v>
      </x:c>
      <x:c r="J725" s="20" t="n">
        <x:v>90130.31</x:v>
      </x:c>
      <x:c r="K725" s="10" t="str">
        <x:v>Realizado</x:v>
      </x:c>
      <x:c r="L725" s="10" t="str">
        <x:v>Contas a Receber</x:v>
      </x:c>
    </x:row>
    <x:row r="726" ht="18" customHeight="1">
      <x:c r="A726" s="10" t="str">
        <x:v>MOV000051</x:v>
      </x:c>
      <x:c r="B726" s="16" t="n">
        <x:v>45610.55696003472</x:v>
      </x:c>
      <x:c r="C726" s="10" t="str">
        <x:v>EMP002</x:v>
      </x:c>
      <x:c r="D726" s="10" t="str">
        <x:v>CTA003</x:v>
      </x:c>
      <x:c r="E726" s="10" t="str">
        <x:v>Saída</x:v>
      </x:c>
      <x:c r="F726" s="10" t="str">
        <x:v>CAT007</x:v>
      </x:c>
      <x:c r="G726" s="10" t="str">
        <x:v>Contrato recorrente</x:v>
      </x:c>
      <x:c r="H726" s="10" t="str">
        <x:v>PAG00052</x:v>
      </x:c>
      <x:c r="I726" s="20" t="n">
        <x:v>79596.41</x:v>
      </x:c>
      <x:c r="J726" s="20" t="n">
        <x:v>-79596.41</x:v>
      </x:c>
      <x:c r="K726" s="10" t="str">
        <x:v>Realizado</x:v>
      </x:c>
      <x:c r="L726" s="10" t="str">
        <x:v>Contas a Pagar</x:v>
      </x:c>
    </x:row>
    <x:row r="727" ht="18" customHeight="1">
      <x:c r="A727" s="10" t="str">
        <x:v>MOV001448</x:v>
      </x:c>
      <x:c r="B727" s="16" t="n">
        <x:v>45611.15513443287</x:v>
      </x:c>
      <x:c r="C727" s="10" t="str">
        <x:v>EMP003</x:v>
      </x:c>
      <x:c r="D727" s="10" t="str">
        <x:v>CTA005</x:v>
      </x:c>
      <x:c r="E727" s="10" t="str">
        <x:v>Entrada</x:v>
      </x:c>
      <x:c r="F727" s="10" t="str">
        <x:v>CAT001</x:v>
      </x:c>
      <x:c r="G727" s="10" t="str">
        <x:v>Prestação de serviços</x:v>
      </x:c>
      <x:c r="H727" s="10" t="str">
        <x:v>REC00841</x:v>
      </x:c>
      <x:c r="I727" s="20" t="n">
        <x:v>37945.02</x:v>
      </x:c>
      <x:c r="J727" s="20" t="n">
        <x:v>37945.02</x:v>
      </x:c>
      <x:c r="K727" s="10" t="str">
        <x:v>Realizado</x:v>
      </x:c>
      <x:c r="L727" s="10" t="str">
        <x:v>Contas a Receber</x:v>
      </x:c>
    </x:row>
    <x:row r="728" ht="18" customHeight="1">
      <x:c r="A728" s="10" t="str">
        <x:v>MOV000873</x:v>
      </x:c>
      <x:c r="B728" s="16" t="n">
        <x:v>45611.15907513889</x:v>
      </x:c>
      <x:c r="C728" s="10" t="str">
        <x:v>EMP002</x:v>
      </x:c>
      <x:c r="D728" s="10" t="str">
        <x:v>CTA003</x:v>
      </x:c>
      <x:c r="E728" s="10" t="str">
        <x:v>Entrada</x:v>
      </x:c>
      <x:c r="F728" s="10" t="str">
        <x:v>CAT004</x:v>
      </x:c>
      <x:c r="G728" s="10" t="str">
        <x:v>Venda de produtos</x:v>
      </x:c>
      <x:c r="H728" s="10" t="str">
        <x:v>REC00144</x:v>
      </x:c>
      <x:c r="I728" s="20" t="n">
        <x:v>136951.17</x:v>
      </x:c>
      <x:c r="J728" s="20" t="n">
        <x:v>136951.17</x:v>
      </x:c>
      <x:c r="K728" s="10" t="str">
        <x:v>Realizado</x:v>
      </x:c>
      <x:c r="L728" s="10" t="str">
        <x:v>Contas a Receber</x:v>
      </x:c>
    </x:row>
    <x:row r="729" ht="18" customHeight="1">
      <x:c r="A729" s="10" t="str">
        <x:v>MOV001092</x:v>
      </x:c>
      <x:c r="B729" s="16" t="n">
        <x:v>45611.97984930556</x:v>
      </x:c>
      <x:c r="C729" s="10" t="str">
        <x:v>EMP003</x:v>
      </x:c>
      <x:c r="D729" s="10" t="str">
        <x:v>CTA005</x:v>
      </x:c>
      <x:c r="E729" s="10" t="str">
        <x:v>Entrada</x:v>
      </x:c>
      <x:c r="F729" s="10" t="str">
        <x:v>CAT002</x:v>
      </x:c>
      <x:c r="G729" s="10" t="str">
        <x:v>Projeto especial</x:v>
      </x:c>
      <x:c r="H729" s="10" t="str">
        <x:v>REC00416</x:v>
      </x:c>
      <x:c r="I729" s="20" t="n">
        <x:v>112869.8</x:v>
      </x:c>
      <x:c r="J729" s="20" t="n">
        <x:v>112869.8</x:v>
      </x:c>
      <x:c r="K729" s="10" t="str">
        <x:v>Realizado</x:v>
      </x:c>
      <x:c r="L729" s="10" t="str">
        <x:v>Contas a Receber</x:v>
      </x:c>
    </x:row>
    <x:row r="730" ht="18" customHeight="1">
      <x:c r="A730" s="10" t="str">
        <x:v>MOV001081</x:v>
      </x:c>
      <x:c r="B730" s="16" t="n">
        <x:v>45612.330311921294</x:v>
      </x:c>
      <x:c r="C730" s="10" t="str">
        <x:v>EMP001</x:v>
      </x:c>
      <x:c r="D730" s="10" t="str">
        <x:v>CTA002</x:v>
      </x:c>
      <x:c r="E730" s="10" t="str">
        <x:v>Entrada</x:v>
      </x:c>
      <x:c r="F730" s="10" t="str">
        <x:v>CAT002</x:v>
      </x:c>
      <x:c r="G730" s="10" t="str">
        <x:v>Contrato mensal</x:v>
      </x:c>
      <x:c r="H730" s="10" t="str">
        <x:v>REC00402</x:v>
      </x:c>
      <x:c r="I730" s="20" t="n">
        <x:v>89339.8</x:v>
      </x:c>
      <x:c r="J730" s="20" t="n">
        <x:v>89339.8</x:v>
      </x:c>
      <x:c r="K730" s="10" t="str">
        <x:v>Realizado</x:v>
      </x:c>
      <x:c r="L730" s="10" t="str">
        <x:v>Contas a Receber</x:v>
      </x:c>
    </x:row>
    <x:row r="731" ht="18" customHeight="1">
      <x:c r="A731" s="10" t="str">
        <x:v>MOV001584</x:v>
      </x:c>
      <x:c r="B731" s="16" t="n">
        <x:v>45612.698804513886</x:v>
      </x:c>
      <x:c r="C731" s="10" t="str">
        <x:v>EMP003</x:v>
      </x:c>
      <x:c r="D731" s="10" t="str">
        <x:v>CTA006</x:v>
      </x:c>
      <x:c r="E731" s="10" t="str">
        <x:v>Entrada</x:v>
      </x:c>
      <x:c r="F731" s="10" t="str">
        <x:v>CAT001</x:v>
      </x:c>
      <x:c r="G731" s="10" t="str">
        <x:v>Venda de produtos</x:v>
      </x:c>
      <x:c r="H731" s="10" t="str">
        <x:v>REC01008</x:v>
      </x:c>
      <x:c r="I731" s="20" t="n">
        <x:v>105582.93</x:v>
      </x:c>
      <x:c r="J731" s="20" t="n">
        <x:v>105582.93</x:v>
      </x:c>
      <x:c r="K731" s="10" t="str">
        <x:v>Realizado</x:v>
      </x:c>
      <x:c r="L731" s="10" t="str">
        <x:v>Contas a Receber</x:v>
      </x:c>
    </x:row>
    <x:row r="732" ht="18" customHeight="1">
      <x:c r="A732" s="10" t="str">
        <x:v>MOV001415</x:v>
      </x:c>
      <x:c r="B732" s="16" t="n">
        <x:v>45614.25724273148</x:v>
      </x:c>
      <x:c r="C732" s="10" t="str">
        <x:v>EMP003</x:v>
      </x:c>
      <x:c r="D732" s="10" t="str">
        <x:v>CTA005</x:v>
      </x:c>
      <x:c r="E732" s="10" t="str">
        <x:v>Entrada</x:v>
      </x:c>
      <x:c r="F732" s="10" t="str">
        <x:v>CAT004</x:v>
      </x:c>
      <x:c r="G732" s="10" t="str">
        <x:v>Venda de produtos</x:v>
      </x:c>
      <x:c r="H732" s="10" t="str">
        <x:v>REC00797</x:v>
      </x:c>
      <x:c r="I732" s="20" t="n">
        <x:v>123904.31</x:v>
      </x:c>
      <x:c r="J732" s="20" t="n">
        <x:v>123904.31</x:v>
      </x:c>
      <x:c r="K732" s="10" t="str">
        <x:v>Realizado</x:v>
      </x:c>
      <x:c r="L732" s="10" t="str">
        <x:v>Contas a Receber</x:v>
      </x:c>
    </x:row>
    <x:row r="733" ht="18" customHeight="1">
      <x:c r="A733" s="10" t="str">
        <x:v>MOV001648</x:v>
      </x:c>
      <x:c r="B733" s="16" t="n">
        <x:v>45614.342748483796</x:v>
      </x:c>
      <x:c r="C733" s="10" t="str">
        <x:v>EMP002</x:v>
      </x:c>
      <x:c r="D733" s="10" t="str">
        <x:v>CTA003</x:v>
      </x:c>
      <x:c r="E733" s="10" t="str">
        <x:v>Entrada</x:v>
      </x:c>
      <x:c r="F733" s="10" t="str">
        <x:v>CAT003</x:v>
      </x:c>
      <x:c r="G733" s="10" t="str">
        <x:v>Prestação de serviços</x:v>
      </x:c>
      <x:c r="H733" s="10" t="str">
        <x:v>REC01087</x:v>
      </x:c>
      <x:c r="I733" s="20" t="n">
        <x:v>32905.54</x:v>
      </x:c>
      <x:c r="J733" s="20" t="n">
        <x:v>32905.54</x:v>
      </x:c>
      <x:c r="K733" s="10" t="str">
        <x:v>Realizado</x:v>
      </x:c>
      <x:c r="L733" s="10" t="str">
        <x:v>Contas a Receber</x:v>
      </x:c>
    </x:row>
    <x:row r="734" ht="18" customHeight="1">
      <x:c r="A734" s="10" t="str">
        <x:v>MOV001486</x:v>
      </x:c>
      <x:c r="B734" s="16" t="n">
        <x:v>45614.41561644676</x:v>
      </x:c>
      <x:c r="C734" s="10" t="str">
        <x:v>EMP001</x:v>
      </x:c>
      <x:c r="D734" s="10" t="str">
        <x:v>CTA002</x:v>
      </x:c>
      <x:c r="E734" s="10" t="str">
        <x:v>Entrada</x:v>
      </x:c>
      <x:c r="F734" s="10" t="str">
        <x:v>CAT001</x:v>
      </x:c>
      <x:c r="G734" s="10" t="str">
        <x:v>Prestação de serviços</x:v>
      </x:c>
      <x:c r="H734" s="10" t="str">
        <x:v>REC00890</x:v>
      </x:c>
      <x:c r="I734" s="20" t="n">
        <x:v>43292.47</x:v>
      </x:c>
      <x:c r="J734" s="20" t="n">
        <x:v>43292.47</x:v>
      </x:c>
      <x:c r="K734" s="10" t="str">
        <x:v>Realizado</x:v>
      </x:c>
      <x:c r="L734" s="10" t="str">
        <x:v>Contas a Receber</x:v>
      </x:c>
    </x:row>
    <x:row r="735" ht="18" customHeight="1">
      <x:c r="A735" s="10" t="str">
        <x:v>MOV001233</x:v>
      </x:c>
      <x:c r="B735" s="16" t="n">
        <x:v>45614.654609537036</x:v>
      </x:c>
      <x:c r="C735" s="10" t="str">
        <x:v>EMP001</x:v>
      </x:c>
      <x:c r="D735" s="10" t="str">
        <x:v>CTA001</x:v>
      </x:c>
      <x:c r="E735" s="10" t="str">
        <x:v>Entrada</x:v>
      </x:c>
      <x:c r="F735" s="10" t="str">
        <x:v>CAT002</x:v>
      </x:c>
      <x:c r="G735" s="10" t="str">
        <x:v>Frete faturado</x:v>
      </x:c>
      <x:c r="H735" s="10" t="str">
        <x:v>REC00585</x:v>
      </x:c>
      <x:c r="I735" s="20" t="n">
        <x:v>142200.36</x:v>
      </x:c>
      <x:c r="J735" s="20" t="n">
        <x:v>142200.36</x:v>
      </x:c>
      <x:c r="K735" s="10" t="str">
        <x:v>Realizado</x:v>
      </x:c>
      <x:c r="L735" s="10" t="str">
        <x:v>Contas a Receber</x:v>
      </x:c>
    </x:row>
    <x:row r="736" ht="18" customHeight="1">
      <x:c r="A736" s="10" t="str">
        <x:v>MOV000960</x:v>
      </x:c>
      <x:c r="B736" s="16" t="n">
        <x:v>45615.1016652662</x:v>
      </x:c>
      <x:c r="C736" s="10" t="str">
        <x:v>EMP003</x:v>
      </x:c>
      <x:c r="D736" s="10" t="str">
        <x:v>CTA005</x:v>
      </x:c>
      <x:c r="E736" s="10" t="str">
        <x:v>Entrada</x:v>
      </x:c>
      <x:c r="F736" s="10" t="str">
        <x:v>CAT001</x:v>
      </x:c>
      <x:c r="G736" s="10" t="str">
        <x:v>Venda de produtos</x:v>
      </x:c>
      <x:c r="H736" s="10" t="str">
        <x:v>REC00246</x:v>
      </x:c>
      <x:c r="I736" s="20" t="n">
        <x:v>69680.54</x:v>
      </x:c>
      <x:c r="J736" s="20" t="n">
        <x:v>69680.54</x:v>
      </x:c>
      <x:c r="K736" s="10" t="str">
        <x:v>Realizado</x:v>
      </x:c>
      <x:c r="L736" s="10" t="str">
        <x:v>Contas a Receber</x:v>
      </x:c>
    </x:row>
    <x:row r="737" ht="18" customHeight="1">
      <x:c r="A737" s="10" t="str">
        <x:v>MOV001402</x:v>
      </x:c>
      <x:c r="B737" s="16" t="n">
        <x:v>45615.47655987269</x:v>
      </x:c>
      <x:c r="C737" s="10" t="str">
        <x:v>EMP001</x:v>
      </x:c>
      <x:c r="D737" s="10" t="str">
        <x:v>CTA002</x:v>
      </x:c>
      <x:c r="E737" s="10" t="str">
        <x:v>Entrada</x:v>
      </x:c>
      <x:c r="F737" s="10" t="str">
        <x:v>CAT002</x:v>
      </x:c>
      <x:c r="G737" s="10" t="str">
        <x:v>Prestação de serviços</x:v>
      </x:c>
      <x:c r="H737" s="10" t="str">
        <x:v>REC00782</x:v>
      </x:c>
      <x:c r="I737" s="20" t="n">
        <x:v>144927.88</x:v>
      </x:c>
      <x:c r="J737" s="20" t="n">
        <x:v>144927.88</x:v>
      </x:c>
      <x:c r="K737" s="10" t="str">
        <x:v>Realizado</x:v>
      </x:c>
      <x:c r="L737" s="10" t="str">
        <x:v>Contas a Receber</x:v>
      </x:c>
    </x:row>
    <x:row r="738" ht="18" customHeight="1">
      <x:c r="A738" s="10" t="str">
        <x:v>MOV000651</x:v>
      </x:c>
      <x:c r="B738" s="16" t="n">
        <x:v>45615.54255092593</x:v>
      </x:c>
      <x:c r="C738" s="10" t="str">
        <x:v>EMP003</x:v>
      </x:c>
      <x:c r="D738" s="10" t="str">
        <x:v>CTA006</x:v>
      </x:c>
      <x:c r="E738" s="10" t="str">
        <x:v>Saída</x:v>
      </x:c>
      <x:c r="F738" s="10" t="str">
        <x:v>CAT015</x:v>
      </x:c>
      <x:c r="G738" s="10" t="str">
        <x:v>Despesa operacional</x:v>
      </x:c>
      <x:c r="H738" s="10" t="str">
        <x:v>PAG00771</x:v>
      </x:c>
      <x:c r="I738" s="20" t="n">
        <x:v>14026.68</x:v>
      </x:c>
      <x:c r="J738" s="20" t="n">
        <x:v>-14026.68</x:v>
      </x:c>
      <x:c r="K738" s="10" t="str">
        <x:v>Realizado</x:v>
      </x:c>
      <x:c r="L738" s="10" t="str">
        <x:v>Contas a Pagar</x:v>
      </x:c>
    </x:row>
    <x:row r="739" ht="18" customHeight="1">
      <x:c r="A739" s="10" t="str">
        <x:v>MOV000193</x:v>
      </x:c>
      <x:c r="B739" s="16" t="n">
        <x:v>45615.97297193287</x:v>
      </x:c>
      <x:c r="C739" s="10" t="str">
        <x:v>EMP002</x:v>
      </x:c>
      <x:c r="D739" s="10" t="str">
        <x:v>CTA003</x:v>
      </x:c>
      <x:c r="E739" s="10" t="str">
        <x:v>Saída</x:v>
      </x:c>
      <x:c r="F739" s="10" t="str">
        <x:v>CAT011</x:v>
      </x:c>
      <x:c r="G739" s="10" t="str">
        <x:v>Despesa operacional</x:v>
      </x:c>
      <x:c r="H739" s="10" t="str">
        <x:v>PAG00226</x:v>
      </x:c>
      <x:c r="I739" s="20" t="n">
        <x:v>2448.38</x:v>
      </x:c>
      <x:c r="J739" s="20" t="n">
        <x:v>-2448.38</x:v>
      </x:c>
      <x:c r="K739" s="10" t="str">
        <x:v>Realizado</x:v>
      </x:c>
      <x:c r="L739" s="10" t="str">
        <x:v>Contas a Pagar</x:v>
      </x:c>
    </x:row>
    <x:row r="740" ht="18" customHeight="1">
      <x:c r="A740" s="10" t="str">
        <x:v>MOV000632</x:v>
      </x:c>
      <x:c r="B740" s="16" t="n">
        <x:v>45616.21729774305</x:v>
      </x:c>
      <x:c r="C740" s="10" t="str">
        <x:v>EMP001</x:v>
      </x:c>
      <x:c r="D740" s="10" t="str">
        <x:v>CTA001</x:v>
      </x:c>
      <x:c r="E740" s="10" t="str">
        <x:v>Saída</x:v>
      </x:c>
      <x:c r="F740" s="10" t="str">
        <x:v>CAT007</x:v>
      </x:c>
      <x:c r="G740" s="10" t="str">
        <x:v>Despesa operacional</x:v>
      </x:c>
      <x:c r="H740" s="10" t="str">
        <x:v>PAG00750</x:v>
      </x:c>
      <x:c r="I740" s="20" t="n">
        <x:v>112286.61</x:v>
      </x:c>
      <x:c r="J740" s="20" t="n">
        <x:v>-112286.61</x:v>
      </x:c>
      <x:c r="K740" s="10" t="str">
        <x:v>Realizado</x:v>
      </x:c>
      <x:c r="L740" s="10" t="str">
        <x:v>Contas a Pagar</x:v>
      </x:c>
    </x:row>
    <x:row r="741" ht="18" customHeight="1">
      <x:c r="A741" s="10" t="str">
        <x:v>MOV000009</x:v>
      </x:c>
      <x:c r="B741" s="16" t="n">
        <x:v>45619.398615081016</x:v>
      </x:c>
      <x:c r="C741" s="10" t="str">
        <x:v>EMP002</x:v>
      </x:c>
      <x:c r="D741" s="10" t="str">
        <x:v>CTA004</x:v>
      </x:c>
      <x:c r="E741" s="10" t="str">
        <x:v>Saída</x:v>
      </x:c>
      <x:c r="F741" s="10" t="str">
        <x:v>CAT005</x:v>
      </x:c>
      <x:c r="G741" s="10" t="str">
        <x:v>Despesa operacional</x:v>
      </x:c>
      <x:c r="H741" s="10" t="str">
        <x:v>PAG00004</x:v>
      </x:c>
      <x:c r="I741" s="20" t="n">
        <x:v>23479.84</x:v>
      </x:c>
      <x:c r="J741" s="20" t="n">
        <x:v>-23479.84</x:v>
      </x:c>
      <x:c r="K741" s="10" t="str">
        <x:v>Realizado</x:v>
      </x:c>
      <x:c r="L741" s="10" t="str">
        <x:v>Contas a Pagar</x:v>
      </x:c>
    </x:row>
    <x:row r="742" ht="18" customHeight="1">
      <x:c r="A742" s="10" t="str">
        <x:v>MOV001007</x:v>
      </x:c>
      <x:c r="B742" s="16" t="n">
        <x:v>45619.60285400463</x:v>
      </x:c>
      <x:c r="C742" s="10" t="str">
        <x:v>EMP003</x:v>
      </x:c>
      <x:c r="D742" s="10" t="str">
        <x:v>CTA005</x:v>
      </x:c>
      <x:c r="E742" s="10" t="str">
        <x:v>Entrada</x:v>
      </x:c>
      <x:c r="F742" s="10" t="str">
        <x:v>CAT001</x:v>
      </x:c>
      <x:c r="G742" s="10" t="str">
        <x:v>Prestação de serviços</x:v>
      </x:c>
      <x:c r="H742" s="10" t="str">
        <x:v>REC00308</x:v>
      </x:c>
      <x:c r="I742" s="20" t="n">
        <x:v>107003.27</x:v>
      </x:c>
      <x:c r="J742" s="20" t="n">
        <x:v>107003.27</x:v>
      </x:c>
      <x:c r="K742" s="10" t="str">
        <x:v>Realizado</x:v>
      </x:c>
      <x:c r="L742" s="10" t="str">
        <x:v>Contas a Receber</x:v>
      </x:c>
    </x:row>
    <x:row r="743" ht="18" customHeight="1">
      <x:c r="A743" s="10" t="str">
        <x:v>MOV000103</x:v>
      </x:c>
      <x:c r="B743" s="16" t="n">
        <x:v>45619.74409579861</x:v>
      </x:c>
      <x:c r="C743" s="10" t="str">
        <x:v>EMP001</x:v>
      </x:c>
      <x:c r="D743" s="10" t="str">
        <x:v>CTA001</x:v>
      </x:c>
      <x:c r="E743" s="10" t="str">
        <x:v>Saída</x:v>
      </x:c>
      <x:c r="F743" s="10" t="str">
        <x:v>CAT018</x:v>
      </x:c>
      <x:c r="G743" s="10" t="str">
        <x:v>Compra de materiais</x:v>
      </x:c>
      <x:c r="H743" s="10" t="str">
        <x:v>PAG00114</x:v>
      </x:c>
      <x:c r="I743" s="20" t="n">
        <x:v>72985.81</x:v>
      </x:c>
      <x:c r="J743" s="20" t="n">
        <x:v>-72985.81</x:v>
      </x:c>
      <x:c r="K743" s="10" t="str">
        <x:v>Realizado</x:v>
      </x:c>
      <x:c r="L743" s="10" t="str">
        <x:v>Contas a Pagar</x:v>
      </x:c>
    </x:row>
    <x:row r="744" ht="18" customHeight="1">
      <x:c r="A744" s="10" t="str">
        <x:v>MOV000303</x:v>
      </x:c>
      <x:c r="B744" s="16" t="n">
        <x:v>45619.74457200232</x:v>
      </x:c>
      <x:c r="C744" s="10" t="str">
        <x:v>EMP001</x:v>
      </x:c>
      <x:c r="D744" s="10" t="str">
        <x:v>CTA001</x:v>
      </x:c>
      <x:c r="E744" s="10" t="str">
        <x:v>Saída</x:v>
      </x:c>
      <x:c r="F744" s="10" t="str">
        <x:v>CAT007</x:v>
      </x:c>
      <x:c r="G744" s="10" t="str">
        <x:v>Contrato recorrente</x:v>
      </x:c>
      <x:c r="H744" s="10" t="str">
        <x:v>PAG00352</x:v>
      </x:c>
      <x:c r="I744" s="20" t="n">
        <x:v>38535.73</x:v>
      </x:c>
      <x:c r="J744" s="20" t="n">
        <x:v>-38535.73</x:v>
      </x:c>
      <x:c r="K744" s="10" t="str">
        <x:v>Realizado</x:v>
      </x:c>
      <x:c r="L744" s="10" t="str">
        <x:v>Contas a Pagar</x:v>
      </x:c>
    </x:row>
    <x:row r="745" ht="18" customHeight="1">
      <x:c r="A745" s="10" t="str">
        <x:v>MOV001627</x:v>
      </x:c>
      <x:c r="B745" s="16" t="n">
        <x:v>45620.452185775466</x:v>
      </x:c>
      <x:c r="C745" s="10" t="str">
        <x:v>EMP003</x:v>
      </x:c>
      <x:c r="D745" s="10" t="str">
        <x:v>CTA005</x:v>
      </x:c>
      <x:c r="E745" s="10" t="str">
        <x:v>Entrada</x:v>
      </x:c>
      <x:c r="F745" s="10" t="str">
        <x:v>CAT001</x:v>
      </x:c>
      <x:c r="G745" s="10" t="str">
        <x:v>Venda de produtos</x:v>
      </x:c>
      <x:c r="H745" s="10" t="str">
        <x:v>REC01060</x:v>
      </x:c>
      <x:c r="I745" s="20" t="n">
        <x:v>12154.94</x:v>
      </x:c>
      <x:c r="J745" s="20" t="n">
        <x:v>12154.94</x:v>
      </x:c>
      <x:c r="K745" s="10" t="str">
        <x:v>Realizado</x:v>
      </x:c>
      <x:c r="L745" s="10" t="str">
        <x:v>Contas a Receber</x:v>
      </x:c>
    </x:row>
    <x:row r="746" ht="18" customHeight="1">
      <x:c r="A746" s="10" t="str">
        <x:v>MOV001380</x:v>
      </x:c>
      <x:c r="B746" s="16" t="n">
        <x:v>45620.972435625</x:v>
      </x:c>
      <x:c r="C746" s="10" t="str">
        <x:v>EMP001</x:v>
      </x:c>
      <x:c r="D746" s="10" t="str">
        <x:v>CTA001</x:v>
      </x:c>
      <x:c r="E746" s="10" t="str">
        <x:v>Entrada</x:v>
      </x:c>
      <x:c r="F746" s="10" t="str">
        <x:v>CAT003</x:v>
      </x:c>
      <x:c r="G746" s="10" t="str">
        <x:v>Frete faturado</x:v>
      </x:c>
      <x:c r="H746" s="10" t="str">
        <x:v>REC00753</x:v>
      </x:c>
      <x:c r="I746" s="20" t="n">
        <x:v>78713.71</x:v>
      </x:c>
      <x:c r="J746" s="20" t="n">
        <x:v>78713.71</x:v>
      </x:c>
      <x:c r="K746" s="10" t="str">
        <x:v>Realizado</x:v>
      </x:c>
      <x:c r="L746" s="10" t="str">
        <x:v>Contas a Receber</x:v>
      </x:c>
    </x:row>
    <x:row r="747" ht="18" customHeight="1">
      <x:c r="A747" s="10" t="str">
        <x:v>MOV000945</x:v>
      </x:c>
      <x:c r="B747" s="16" t="n">
        <x:v>45621.1217278125</x:v>
      </x:c>
      <x:c r="C747" s="10" t="str">
        <x:v>EMP001</x:v>
      </x:c>
      <x:c r="D747" s="10" t="str">
        <x:v>CTA002</x:v>
      </x:c>
      <x:c r="E747" s="10" t="str">
        <x:v>Entrada</x:v>
      </x:c>
      <x:c r="F747" s="10" t="str">
        <x:v>CAT004</x:v>
      </x:c>
      <x:c r="G747" s="10" t="str">
        <x:v>Venda de produtos</x:v>
      </x:c>
      <x:c r="H747" s="10" t="str">
        <x:v>REC00226</x:v>
      </x:c>
      <x:c r="I747" s="20" t="n">
        <x:v>81385.67</x:v>
      </x:c>
      <x:c r="J747" s="20" t="n">
        <x:v>81385.67</x:v>
      </x:c>
      <x:c r="K747" s="10" t="str">
        <x:v>Realizado</x:v>
      </x:c>
      <x:c r="L747" s="10" t="str">
        <x:v>Contas a Receber</x:v>
      </x:c>
    </x:row>
    <x:row r="748" ht="18" customHeight="1">
      <x:c r="A748" s="10" t="str">
        <x:v>MOV000437</x:v>
      </x:c>
      <x:c r="B748" s="16" t="n">
        <x:v>45621.84011762732</x:v>
      </x:c>
      <x:c r="C748" s="10" t="str">
        <x:v>EMP001</x:v>
      </x:c>
      <x:c r="D748" s="10" t="str">
        <x:v>CTA002</x:v>
      </x:c>
      <x:c r="E748" s="10" t="str">
        <x:v>Saída</x:v>
      </x:c>
      <x:c r="F748" s="10" t="str">
        <x:v>CAT006</x:v>
      </x:c>
      <x:c r="G748" s="10" t="str">
        <x:v>Despesa operacional</x:v>
      </x:c>
      <x:c r="H748" s="10" t="str">
        <x:v>PAG00511</x:v>
      </x:c>
      <x:c r="I748" s="20" t="n">
        <x:v>21910.16</x:v>
      </x:c>
      <x:c r="J748" s="20" t="n">
        <x:v>-21910.16</x:v>
      </x:c>
      <x:c r="K748" s="10" t="str">
        <x:v>Realizado</x:v>
      </x:c>
      <x:c r="L748" s="10" t="str">
        <x:v>Contas a Pagar</x:v>
      </x:c>
    </x:row>
    <x:row r="749" ht="18" customHeight="1">
      <x:c r="A749" s="10" t="str">
        <x:v>MOV000621</x:v>
      </x:c>
      <x:c r="B749" s="16" t="n">
        <x:v>45622.265619108795</x:v>
      </x:c>
      <x:c r="C749" s="10" t="str">
        <x:v>EMP001</x:v>
      </x:c>
      <x:c r="D749" s="10" t="str">
        <x:v>CTA001</x:v>
      </x:c>
      <x:c r="E749" s="10" t="str">
        <x:v>Saída</x:v>
      </x:c>
      <x:c r="F749" s="10" t="str">
        <x:v>CAT016</x:v>
      </x:c>
      <x:c r="G749" s="10" t="str">
        <x:v>Tributos e taxas</x:v>
      </x:c>
      <x:c r="H749" s="10" t="str">
        <x:v>PAG00735</x:v>
      </x:c>
      <x:c r="I749" s="20" t="n">
        <x:v>19040.6</x:v>
      </x:c>
      <x:c r="J749" s="20" t="n">
        <x:v>-19040.6</x:v>
      </x:c>
      <x:c r="K749" s="10" t="str">
        <x:v>Realizado</x:v>
      </x:c>
      <x:c r="L749" s="10" t="str">
        <x:v>Contas a Pagar</x:v>
      </x:c>
    </x:row>
    <x:row r="750" ht="18" customHeight="1">
      <x:c r="A750" s="10" t="str">
        <x:v>MOV001116</x:v>
      </x:c>
      <x:c r="B750" s="16" t="n">
        <x:v>45623.34751826389</x:v>
      </x:c>
      <x:c r="C750" s="10" t="str">
        <x:v>EMP002</x:v>
      </x:c>
      <x:c r="D750" s="10" t="str">
        <x:v>CTA004</x:v>
      </x:c>
      <x:c r="E750" s="10" t="str">
        <x:v>Entrada</x:v>
      </x:c>
      <x:c r="F750" s="10" t="str">
        <x:v>CAT002</x:v>
      </x:c>
      <x:c r="G750" s="10" t="str">
        <x:v>Projeto especial</x:v>
      </x:c>
      <x:c r="H750" s="10" t="str">
        <x:v>REC00445</x:v>
      </x:c>
      <x:c r="I750" s="20" t="n">
        <x:v>133041.14</x:v>
      </x:c>
      <x:c r="J750" s="20" t="n">
        <x:v>133041.14</x:v>
      </x:c>
      <x:c r="K750" s="10" t="str">
        <x:v>Realizado</x:v>
      </x:c>
      <x:c r="L750" s="10" t="str">
        <x:v>Contas a Receber</x:v>
      </x:c>
    </x:row>
    <x:row r="751" ht="18" customHeight="1">
      <x:c r="A751" s="10" t="str">
        <x:v>MOV001430</x:v>
      </x:c>
      <x:c r="B751" s="16" t="n">
        <x:v>45623.37652208333</x:v>
      </x:c>
      <x:c r="C751" s="10" t="str">
        <x:v>EMP001</x:v>
      </x:c>
      <x:c r="D751" s="10" t="str">
        <x:v>CTA001</x:v>
      </x:c>
      <x:c r="E751" s="10" t="str">
        <x:v>Entrada</x:v>
      </x:c>
      <x:c r="F751" s="10" t="str">
        <x:v>CAT003</x:v>
      </x:c>
      <x:c r="G751" s="10" t="str">
        <x:v>Prestação de serviços</x:v>
      </x:c>
      <x:c r="H751" s="10" t="str">
        <x:v>REC00820</x:v>
      </x:c>
      <x:c r="I751" s="20" t="n">
        <x:v>87986.85</x:v>
      </x:c>
      <x:c r="J751" s="20" t="n">
        <x:v>87986.85</x:v>
      </x:c>
      <x:c r="K751" s="10" t="str">
        <x:v>Realizado</x:v>
      </x:c>
      <x:c r="L751" s="10" t="str">
        <x:v>Contas a Receber</x:v>
      </x:c>
    </x:row>
    <x:row r="752" ht="18" customHeight="1">
      <x:c r="A752" s="10" t="str">
        <x:v>MOV001284</x:v>
      </x:c>
      <x:c r="B752" s="16" t="n">
        <x:v>45623.8571358912</x:v>
      </x:c>
      <x:c r="C752" s="10" t="str">
        <x:v>EMP001</x:v>
      </x:c>
      <x:c r="D752" s="10" t="str">
        <x:v>CTA002</x:v>
      </x:c>
      <x:c r="E752" s="10" t="str">
        <x:v>Entrada</x:v>
      </x:c>
      <x:c r="F752" s="10" t="str">
        <x:v>CAT001</x:v>
      </x:c>
      <x:c r="G752" s="10" t="str">
        <x:v>Venda de produtos</x:v>
      </x:c>
      <x:c r="H752" s="10" t="str">
        <x:v>REC00644</x:v>
      </x:c>
      <x:c r="I752" s="20" t="n">
        <x:v>83413.78</x:v>
      </x:c>
      <x:c r="J752" s="20" t="n">
        <x:v>83413.78</x:v>
      </x:c>
      <x:c r="K752" s="10" t="str">
        <x:v>Realizado</x:v>
      </x:c>
      <x:c r="L752" s="10" t="str">
        <x:v>Contas a Receber</x:v>
      </x:c>
    </x:row>
    <x:row r="753" ht="18" customHeight="1">
      <x:c r="A753" s="10" t="str">
        <x:v>MOV000957</x:v>
      </x:c>
      <x:c r="B753" s="16" t="n">
        <x:v>45624.41876298611</x:v>
      </x:c>
      <x:c r="C753" s="10" t="str">
        <x:v>EMP003</x:v>
      </x:c>
      <x:c r="D753" s="10" t="str">
        <x:v>CTA005</x:v>
      </x:c>
      <x:c r="E753" s="10" t="str">
        <x:v>Entrada</x:v>
      </x:c>
      <x:c r="F753" s="10" t="str">
        <x:v>CAT003</x:v>
      </x:c>
      <x:c r="G753" s="10" t="str">
        <x:v>Contrato mensal</x:v>
      </x:c>
      <x:c r="H753" s="10" t="str">
        <x:v>REC00243</x:v>
      </x:c>
      <x:c r="I753" s="20" t="n">
        <x:v>112440.73</x:v>
      </x:c>
      <x:c r="J753" s="20" t="n">
        <x:v>112440.73</x:v>
      </x:c>
      <x:c r="K753" s="10" t="str">
        <x:v>Realizado</x:v>
      </x:c>
      <x:c r="L753" s="10" t="str">
        <x:v>Contas a Receber</x:v>
      </x:c>
    </x:row>
    <x:row r="754" ht="18" customHeight="1">
      <x:c r="A754" s="10" t="str">
        <x:v>MOV001389</x:v>
      </x:c>
      <x:c r="B754" s="16" t="n">
        <x:v>45624.446563969905</x:v>
      </x:c>
      <x:c r="C754" s="10" t="str">
        <x:v>EMP002</x:v>
      </x:c>
      <x:c r="D754" s="10" t="str">
        <x:v>CTA003</x:v>
      </x:c>
      <x:c r="E754" s="10" t="str">
        <x:v>Entrada</x:v>
      </x:c>
      <x:c r="F754" s="10" t="str">
        <x:v>CAT001</x:v>
      </x:c>
      <x:c r="G754" s="10" t="str">
        <x:v>Prestação de serviços</x:v>
      </x:c>
      <x:c r="H754" s="10" t="str">
        <x:v>REC00768</x:v>
      </x:c>
      <x:c r="I754" s="20" t="n">
        <x:v>6801.25</x:v>
      </x:c>
      <x:c r="J754" s="20" t="n">
        <x:v>6801.25</x:v>
      </x:c>
      <x:c r="K754" s="10" t="str">
        <x:v>Realizado</x:v>
      </x:c>
      <x:c r="L754" s="10" t="str">
        <x:v>Contas a Receber</x:v>
      </x:c>
    </x:row>
    <x:row r="755" ht="18" customHeight="1">
      <x:c r="A755" s="10" t="str">
        <x:v>MOV000308</x:v>
      </x:c>
      <x:c r="B755" s="16" t="n">
        <x:v>45625.18740945602</x:v>
      </x:c>
      <x:c r="C755" s="10" t="str">
        <x:v>EMP003</x:v>
      </x:c>
      <x:c r="D755" s="10" t="str">
        <x:v>CTA005</x:v>
      </x:c>
      <x:c r="E755" s="10" t="str">
        <x:v>Saída</x:v>
      </x:c>
      <x:c r="F755" s="10" t="str">
        <x:v>CAT006</x:v>
      </x:c>
      <x:c r="G755" s="10" t="str">
        <x:v>Contrato recorrente</x:v>
      </x:c>
      <x:c r="H755" s="10" t="str">
        <x:v>PAG00357</x:v>
      </x:c>
      <x:c r="I755" s="20" t="n">
        <x:v>76805.58</x:v>
      </x:c>
      <x:c r="J755" s="20" t="n">
        <x:v>-76805.58</x:v>
      </x:c>
      <x:c r="K755" s="10" t="str">
        <x:v>Realizado</x:v>
      </x:c>
      <x:c r="L755" s="10" t="str">
        <x:v>Contas a Pagar</x:v>
      </x:c>
    </x:row>
    <x:row r="756" ht="18" customHeight="1">
      <x:c r="A756" s="10" t="str">
        <x:v>MOV000008</x:v>
      </x:c>
      <x:c r="B756" s="16" t="n">
        <x:v>45625.26105458333</x:v>
      </x:c>
      <x:c r="C756" s="10" t="str">
        <x:v>EMP003</x:v>
      </x:c>
      <x:c r="D756" s="10" t="str">
        <x:v>CTA005</x:v>
      </x:c>
      <x:c r="E756" s="10" t="str">
        <x:v>Saída</x:v>
      </x:c>
      <x:c r="F756" s="10" t="str">
        <x:v>CAT009</x:v>
      </x:c>
      <x:c r="G756" s="10" t="str">
        <x:v>Tributos e taxas</x:v>
      </x:c>
      <x:c r="H756" s="10" t="str">
        <x:v>PAG00002</x:v>
      </x:c>
      <x:c r="I756" s="20" t="n">
        <x:v>44450.74</x:v>
      </x:c>
      <x:c r="J756" s="20" t="n">
        <x:v>-44450.74</x:v>
      </x:c>
      <x:c r="K756" s="10" t="str">
        <x:v>Realizado</x:v>
      </x:c>
      <x:c r="L756" s="10" t="str">
        <x:v>Contas a Pagar</x:v>
      </x:c>
    </x:row>
    <x:row r="757" ht="18" customHeight="1">
      <x:c r="A757" s="10" t="str">
        <x:v>MOV000284</x:v>
      </x:c>
      <x:c r="B757" s="16" t="n">
        <x:v>45625.366879560184</x:v>
      </x:c>
      <x:c r="C757" s="10" t="str">
        <x:v>EMP001</x:v>
      </x:c>
      <x:c r="D757" s="10" t="str">
        <x:v>CTA001</x:v>
      </x:c>
      <x:c r="E757" s="10" t="str">
        <x:v>Saída</x:v>
      </x:c>
      <x:c r="F757" s="10" t="str">
        <x:v>CAT010</x:v>
      </x:c>
      <x:c r="G757" s="10" t="str">
        <x:v>Prestação de serviços</x:v>
      </x:c>
      <x:c r="H757" s="10" t="str">
        <x:v>PAG00330</x:v>
      </x:c>
      <x:c r="I757" s="20" t="n">
        <x:v>13530.94</x:v>
      </x:c>
      <x:c r="J757" s="20" t="n">
        <x:v>-13530.94</x:v>
      </x:c>
      <x:c r="K757" s="10" t="str">
        <x:v>Realizado</x:v>
      </x:c>
      <x:c r="L757" s="10" t="str">
        <x:v>Contas a Pagar</x:v>
      </x:c>
    </x:row>
    <x:row r="758" ht="18" customHeight="1">
      <x:c r="A758" s="10" t="str">
        <x:v>MOV000527</x:v>
      </x:c>
      <x:c r="B758" s="16" t="n">
        <x:v>45625.73567158565</x:v>
      </x:c>
      <x:c r="C758" s="10" t="str">
        <x:v>EMP003</x:v>
      </x:c>
      <x:c r="D758" s="10" t="str">
        <x:v>CTA006</x:v>
      </x:c>
      <x:c r="E758" s="10" t="str">
        <x:v>Saída</x:v>
      </x:c>
      <x:c r="F758" s="10" t="str">
        <x:v>CAT012</x:v>
      </x:c>
      <x:c r="G758" s="10" t="str">
        <x:v>Prestação de serviços</x:v>
      </x:c>
      <x:c r="H758" s="10" t="str">
        <x:v>PAG00617</x:v>
      </x:c>
      <x:c r="I758" s="20" t="n">
        <x:v>18964.06</x:v>
      </x:c>
      <x:c r="J758" s="20" t="n">
        <x:v>-18964.06</x:v>
      </x:c>
      <x:c r="K758" s="10" t="str">
        <x:v>Realizado</x:v>
      </x:c>
      <x:c r="L758" s="10" t="str">
        <x:v>Contas a Pagar</x:v>
      </x:c>
    </x:row>
    <x:row r="759" ht="18" customHeight="1">
      <x:c r="A759" s="10" t="str">
        <x:v>MOV001396</x:v>
      </x:c>
      <x:c r="B759" s="16" t="n">
        <x:v>45625.825157280095</x:v>
      </x:c>
      <x:c r="C759" s="10" t="str">
        <x:v>EMP001</x:v>
      </x:c>
      <x:c r="D759" s="10" t="str">
        <x:v>CTA002</x:v>
      </x:c>
      <x:c r="E759" s="10" t="str">
        <x:v>Entrada</x:v>
      </x:c>
      <x:c r="F759" s="10" t="str">
        <x:v>CAT002</x:v>
      </x:c>
      <x:c r="G759" s="10" t="str">
        <x:v>Prestação de serviços</x:v>
      </x:c>
      <x:c r="H759" s="10" t="str">
        <x:v>REC00776</x:v>
      </x:c>
      <x:c r="I759" s="20" t="n">
        <x:v>128898.65</x:v>
      </x:c>
      <x:c r="J759" s="20" t="n">
        <x:v>128898.65</x:v>
      </x:c>
      <x:c r="K759" s="10" t="str">
        <x:v>Realizado</x:v>
      </x:c>
      <x:c r="L759" s="10" t="str">
        <x:v>Contas a Receber</x:v>
      </x:c>
    </x:row>
    <x:row r="760" ht="18" customHeight="1">
      <x:c r="A760" s="10" t="str">
        <x:v>MOV000630</x:v>
      </x:c>
      <x:c r="B760" s="16" t="n">
        <x:v>45626.26949090278</x:v>
      </x:c>
      <x:c r="C760" s="10" t="str">
        <x:v>EMP003</x:v>
      </x:c>
      <x:c r="D760" s="10" t="str">
        <x:v>CTA006</x:v>
      </x:c>
      <x:c r="E760" s="10" t="str">
        <x:v>Saída</x:v>
      </x:c>
      <x:c r="F760" s="10" t="str">
        <x:v>CAT010</x:v>
      </x:c>
      <x:c r="G760" s="10" t="str">
        <x:v>Compra de materiais</x:v>
      </x:c>
      <x:c r="H760" s="10" t="str">
        <x:v>PAG00748</x:v>
      </x:c>
      <x:c r="I760" s="20" t="n">
        <x:v>68287.77</x:v>
      </x:c>
      <x:c r="J760" s="20" t="n">
        <x:v>-68287.77</x:v>
      </x:c>
      <x:c r="K760" s="10" t="str">
        <x:v>Realizado</x:v>
      </x:c>
      <x:c r="L760" s="10" t="str">
        <x:v>Contas a Pagar</x:v>
      </x:c>
    </x:row>
    <x:row r="761" ht="18" customHeight="1">
      <x:c r="A761" s="10" t="str">
        <x:v>MOV001171</x:v>
      </x:c>
      <x:c r="B761" s="16" t="n">
        <x:v>45626.778505243055</x:v>
      </x:c>
      <x:c r="C761" s="10" t="str">
        <x:v>EMP002</x:v>
      </x:c>
      <x:c r="D761" s="10" t="str">
        <x:v>CTA003</x:v>
      </x:c>
      <x:c r="E761" s="10" t="str">
        <x:v>Entrada</x:v>
      </x:c>
      <x:c r="F761" s="10" t="str">
        <x:v>CAT002</x:v>
      </x:c>
      <x:c r="G761" s="10" t="str">
        <x:v>Prestação de serviços</x:v>
      </x:c>
      <x:c r="H761" s="10" t="str">
        <x:v>REC00506</x:v>
      </x:c>
      <x:c r="I761" s="20" t="n">
        <x:v>3835.46</x:v>
      </x:c>
      <x:c r="J761" s="20" t="n">
        <x:v>3835.46</x:v>
      </x:c>
      <x:c r="K761" s="10" t="str">
        <x:v>Realizado</x:v>
      </x:c>
      <x:c r="L761" s="10" t="str">
        <x:v>Contas a Receber</x:v>
      </x:c>
    </x:row>
    <x:row r="762" ht="18" customHeight="1">
      <x:c r="A762" s="10" t="str">
        <x:v>MOV000469</x:v>
      </x:c>
      <x:c r="B762" s="16" t="n">
        <x:v>45627.3857093287</x:v>
      </x:c>
      <x:c r="C762" s="10" t="str">
        <x:v>EMP003</x:v>
      </x:c>
      <x:c r="D762" s="10" t="str">
        <x:v>CTA006</x:v>
      </x:c>
      <x:c r="E762" s="10" t="str">
        <x:v>Saída</x:v>
      </x:c>
      <x:c r="F762" s="10" t="str">
        <x:v>CAT017</x:v>
      </x:c>
      <x:c r="G762" s="10" t="str">
        <x:v>Tributos e taxas</x:v>
      </x:c>
      <x:c r="H762" s="10" t="str">
        <x:v>PAG00551</x:v>
      </x:c>
      <x:c r="I762" s="20" t="n">
        <x:v>19592.44</x:v>
      </x:c>
      <x:c r="J762" s="20" t="n">
        <x:v>-19592.44</x:v>
      </x:c>
      <x:c r="K762" s="10" t="str">
        <x:v>Realizado</x:v>
      </x:c>
      <x:c r="L762" s="10" t="str">
        <x:v>Contas a Pagar</x:v>
      </x:c>
    </x:row>
    <x:row r="763" ht="18" customHeight="1">
      <x:c r="A763" s="10" t="str">
        <x:v>MOV000690</x:v>
      </x:c>
      <x:c r="B763" s="16" t="n">
        <x:v>45627.599180081015</x:v>
      </x:c>
      <x:c r="C763" s="10" t="str">
        <x:v>EMP002</x:v>
      </x:c>
      <x:c r="D763" s="10" t="str">
        <x:v>CTA004</x:v>
      </x:c>
      <x:c r="E763" s="10" t="str">
        <x:v>Saída</x:v>
      </x:c>
      <x:c r="F763" s="10" t="str">
        <x:v>CAT010</x:v>
      </x:c>
      <x:c r="G763" s="10" t="str">
        <x:v>Prestação de serviços</x:v>
      </x:c>
      <x:c r="H763" s="10" t="str">
        <x:v>PAG00820</x:v>
      </x:c>
      <x:c r="I763" s="20" t="n">
        <x:v>15088.24</x:v>
      </x:c>
      <x:c r="J763" s="20" t="n">
        <x:v>-15088.24</x:v>
      </x:c>
      <x:c r="K763" s="10" t="str">
        <x:v>Realizado</x:v>
      </x:c>
      <x:c r="L763" s="10" t="str">
        <x:v>Contas a Pagar</x:v>
      </x:c>
    </x:row>
    <x:row r="764" ht="18" customHeight="1">
      <x:c r="A764" s="10" t="str">
        <x:v>MOV001357</x:v>
      </x:c>
      <x:c r="B764" s="16" t="n">
        <x:v>45627.61230927084</x:v>
      </x:c>
      <x:c r="C764" s="10" t="str">
        <x:v>EMP001</x:v>
      </x:c>
      <x:c r="D764" s="10" t="str">
        <x:v>CTA002</x:v>
      </x:c>
      <x:c r="E764" s="10" t="str">
        <x:v>Entrada</x:v>
      </x:c>
      <x:c r="F764" s="10" t="str">
        <x:v>CAT001</x:v>
      </x:c>
      <x:c r="G764" s="10" t="str">
        <x:v>Contrato mensal</x:v>
      </x:c>
      <x:c r="H764" s="10" t="str">
        <x:v>REC00726</x:v>
      </x:c>
      <x:c r="I764" s="20" t="n">
        <x:v>56863.62</x:v>
      </x:c>
      <x:c r="J764" s="20" t="n">
        <x:v>56863.62</x:v>
      </x:c>
      <x:c r="K764" s="10" t="str">
        <x:v>Realizado</x:v>
      </x:c>
      <x:c r="L764" s="10" t="str">
        <x:v>Contas a Receber</x:v>
      </x:c>
    </x:row>
    <x:row r="765" ht="18" customHeight="1">
      <x:c r="A765" s="10" t="str">
        <x:v>MOV001202</x:v>
      </x:c>
      <x:c r="B765" s="16" t="n">
        <x:v>45627.769223194446</x:v>
      </x:c>
      <x:c r="C765" s="10" t="str">
        <x:v>EMP002</x:v>
      </x:c>
      <x:c r="D765" s="10" t="str">
        <x:v>CTA003</x:v>
      </x:c>
      <x:c r="E765" s="10" t="str">
        <x:v>Entrada</x:v>
      </x:c>
      <x:c r="F765" s="10" t="str">
        <x:v>CAT004</x:v>
      </x:c>
      <x:c r="G765" s="10" t="str">
        <x:v>Prestação de serviços</x:v>
      </x:c>
      <x:c r="H765" s="10" t="str">
        <x:v>REC00547</x:v>
      </x:c>
      <x:c r="I765" s="20" t="n">
        <x:v>71846.19</x:v>
      </x:c>
      <x:c r="J765" s="20" t="n">
        <x:v>71846.19</x:v>
      </x:c>
      <x:c r="K765" s="10" t="str">
        <x:v>Realizado</x:v>
      </x:c>
      <x:c r="L765" s="10" t="str">
        <x:v>Contas a Receber</x:v>
      </x:c>
    </x:row>
    <x:row r="766" ht="18" customHeight="1">
      <x:c r="A766" s="10" t="str">
        <x:v>MOV001331</x:v>
      </x:c>
      <x:c r="B766" s="16" t="n">
        <x:v>45628.200585439816</x:v>
      </x:c>
      <x:c r="C766" s="10" t="str">
        <x:v>EMP003</x:v>
      </x:c>
      <x:c r="D766" s="10" t="str">
        <x:v>CTA005</x:v>
      </x:c>
      <x:c r="E766" s="10" t="str">
        <x:v>Entrada</x:v>
      </x:c>
      <x:c r="F766" s="10" t="str">
        <x:v>CAT002</x:v>
      </x:c>
      <x:c r="G766" s="10" t="str">
        <x:v>Contrato mensal</x:v>
      </x:c>
      <x:c r="H766" s="10" t="str">
        <x:v>REC00696</x:v>
      </x:c>
      <x:c r="I766" s="20" t="n">
        <x:v>78287.89</x:v>
      </x:c>
      <x:c r="J766" s="20" t="n">
        <x:v>78287.89</x:v>
      </x:c>
      <x:c r="K766" s="10" t="str">
        <x:v>Realizado</x:v>
      </x:c>
      <x:c r="L766" s="10" t="str">
        <x:v>Contas a Receber</x:v>
      </x:c>
    </x:row>
    <x:row r="767" ht="18" customHeight="1">
      <x:c r="A767" s="10" t="str">
        <x:v>MOV001420</x:v>
      </x:c>
      <x:c r="B767" s="16" t="n">
        <x:v>45629.37832363426</x:v>
      </x:c>
      <x:c r="C767" s="10" t="str">
        <x:v>EMP003</x:v>
      </x:c>
      <x:c r="D767" s="10" t="str">
        <x:v>CTA006</x:v>
      </x:c>
      <x:c r="E767" s="10" t="str">
        <x:v>Entrada</x:v>
      </x:c>
      <x:c r="F767" s="10" t="str">
        <x:v>CAT003</x:v>
      </x:c>
      <x:c r="G767" s="10" t="str">
        <x:v>Prestação de serviços</x:v>
      </x:c>
      <x:c r="H767" s="10" t="str">
        <x:v>REC00807</x:v>
      </x:c>
      <x:c r="I767" s="20" t="n">
        <x:v>79945.94</x:v>
      </x:c>
      <x:c r="J767" s="20" t="n">
        <x:v>79945.94</x:v>
      </x:c>
      <x:c r="K767" s="10" t="str">
        <x:v>Realizado</x:v>
      </x:c>
      <x:c r="L767" s="10" t="str">
        <x:v>Contas a Receber</x:v>
      </x:c>
    </x:row>
    <x:row r="768" ht="18" customHeight="1">
      <x:c r="A768" s="10" t="str">
        <x:v>MOV000360</x:v>
      </x:c>
      <x:c r="B768" s="16" t="n">
        <x:v>45629.715877002316</x:v>
      </x:c>
      <x:c r="C768" s="10" t="str">
        <x:v>EMP002</x:v>
      </x:c>
      <x:c r="D768" s="10" t="str">
        <x:v>CTA004</x:v>
      </x:c>
      <x:c r="E768" s="10" t="str">
        <x:v>Saída</x:v>
      </x:c>
      <x:c r="F768" s="10" t="str">
        <x:v>CAT006</x:v>
      </x:c>
      <x:c r="G768" s="10" t="str">
        <x:v>Prestação de serviços</x:v>
      </x:c>
      <x:c r="H768" s="10" t="str">
        <x:v>PAG00419</x:v>
      </x:c>
      <x:c r="I768" s="20" t="n">
        <x:v>709.45</x:v>
      </x:c>
      <x:c r="J768" s="20" t="n">
        <x:v>-709.45</x:v>
      </x:c>
      <x:c r="K768" s="10" t="str">
        <x:v>Realizado</x:v>
      </x:c>
      <x:c r="L768" s="10" t="str">
        <x:v>Contas a Pagar</x:v>
      </x:c>
    </x:row>
    <x:row r="769" ht="18" customHeight="1">
      <x:c r="A769" s="10" t="str">
        <x:v>MOV001572</x:v>
      </x:c>
      <x:c r="B769" s="16" t="n">
        <x:v>45630.13304576389</x:v>
      </x:c>
      <x:c r="C769" s="10" t="str">
        <x:v>EMP001</x:v>
      </x:c>
      <x:c r="D769" s="10" t="str">
        <x:v>CTA001</x:v>
      </x:c>
      <x:c r="E769" s="10" t="str">
        <x:v>Entrada</x:v>
      </x:c>
      <x:c r="F769" s="10" t="str">
        <x:v>CAT002</x:v>
      </x:c>
      <x:c r="G769" s="10" t="str">
        <x:v>Venda de produtos</x:v>
      </x:c>
      <x:c r="H769" s="10" t="str">
        <x:v>REC00994</x:v>
      </x:c>
      <x:c r="I769" s="20" t="n">
        <x:v>13321.68</x:v>
      </x:c>
      <x:c r="J769" s="20" t="n">
        <x:v>13321.68</x:v>
      </x:c>
      <x:c r="K769" s="10" t="str">
        <x:v>Realizado</x:v>
      </x:c>
      <x:c r="L769" s="10" t="str">
        <x:v>Contas a Receber</x:v>
      </x:c>
    </x:row>
    <x:row r="770" ht="18" customHeight="1">
      <x:c r="A770" s="10" t="str">
        <x:v>MOV000525</x:v>
      </x:c>
      <x:c r="B770" s="16" t="n">
        <x:v>45630.143076782406</x:v>
      </x:c>
      <x:c r="C770" s="10" t="str">
        <x:v>EMP001</x:v>
      </x:c>
      <x:c r="D770" s="10" t="str">
        <x:v>CTA001</x:v>
      </x:c>
      <x:c r="E770" s="10" t="str">
        <x:v>Saída</x:v>
      </x:c>
      <x:c r="F770" s="10" t="str">
        <x:v>CAT010</x:v>
      </x:c>
      <x:c r="G770" s="10" t="str">
        <x:v>Contrato recorrente</x:v>
      </x:c>
      <x:c r="H770" s="10" t="str">
        <x:v>PAG00615</x:v>
      </x:c>
      <x:c r="I770" s="20" t="n">
        <x:v>56518.56</x:v>
      </x:c>
      <x:c r="J770" s="20" t="n">
        <x:v>-56518.56</x:v>
      </x:c>
      <x:c r="K770" s="10" t="str">
        <x:v>Realizado</x:v>
      </x:c>
      <x:c r="L770" s="10" t="str">
        <x:v>Contas a Pagar</x:v>
      </x:c>
    </x:row>
    <x:row r="771" ht="18" customHeight="1">
      <x:c r="A771" s="10" t="str">
        <x:v>MOV001221</x:v>
      </x:c>
      <x:c r="B771" s="16" t="n">
        <x:v>45630.19293134259</x:v>
      </x:c>
      <x:c r="C771" s="10" t="str">
        <x:v>EMP001</x:v>
      </x:c>
      <x:c r="D771" s="10" t="str">
        <x:v>CTA002</x:v>
      </x:c>
      <x:c r="E771" s="10" t="str">
        <x:v>Entrada</x:v>
      </x:c>
      <x:c r="F771" s="10" t="str">
        <x:v>CAT003</x:v>
      </x:c>
      <x:c r="G771" s="10" t="str">
        <x:v>Projeto especial</x:v>
      </x:c>
      <x:c r="H771" s="10" t="str">
        <x:v>REC00572</x:v>
      </x:c>
      <x:c r="I771" s="20" t="n">
        <x:v>58862.49</x:v>
      </x:c>
      <x:c r="J771" s="20" t="n">
        <x:v>58862.49</x:v>
      </x:c>
      <x:c r="K771" s="10" t="str">
        <x:v>Realizado</x:v>
      </x:c>
      <x:c r="L771" s="10" t="str">
        <x:v>Contas a Receber</x:v>
      </x:c>
    </x:row>
    <x:row r="772" ht="18" customHeight="1">
      <x:c r="A772" s="10" t="str">
        <x:v>MOV001656</x:v>
      </x:c>
      <x:c r="B772" s="16" t="n">
        <x:v>45631.07998929398</x:v>
      </x:c>
      <x:c r="C772" s="10" t="str">
        <x:v>EMP001</x:v>
      </x:c>
      <x:c r="D772" s="10" t="str">
        <x:v>CTA001</x:v>
      </x:c>
      <x:c r="E772" s="10" t="str">
        <x:v>Entrada</x:v>
      </x:c>
      <x:c r="F772" s="10" t="str">
        <x:v>CAT002</x:v>
      </x:c>
      <x:c r="G772" s="10" t="str">
        <x:v>Frete faturado</x:v>
      </x:c>
      <x:c r="H772" s="10" t="str">
        <x:v>REC01096</x:v>
      </x:c>
      <x:c r="I772" s="20" t="n">
        <x:v>9964.57</x:v>
      </x:c>
      <x:c r="J772" s="20" t="n">
        <x:v>9964.57</x:v>
      </x:c>
      <x:c r="K772" s="10" t="str">
        <x:v>Realizado</x:v>
      </x:c>
      <x:c r="L772" s="10" t="str">
        <x:v>Contas a Receber</x:v>
      </x:c>
    </x:row>
    <x:row r="773" ht="18" customHeight="1">
      <x:c r="A773" s="10" t="str">
        <x:v>MOV001100</x:v>
      </x:c>
      <x:c r="B773" s="16" t="n">
        <x:v>45631.14482219907</x:v>
      </x:c>
      <x:c r="C773" s="10" t="str">
        <x:v>EMP002</x:v>
      </x:c>
      <x:c r="D773" s="10" t="str">
        <x:v>CTA003</x:v>
      </x:c>
      <x:c r="E773" s="10" t="str">
        <x:v>Entrada</x:v>
      </x:c>
      <x:c r="F773" s="10" t="str">
        <x:v>CAT003</x:v>
      </x:c>
      <x:c r="G773" s="10" t="str">
        <x:v>Projeto especial</x:v>
      </x:c>
      <x:c r="H773" s="10" t="str">
        <x:v>REC00426</x:v>
      </x:c>
      <x:c r="I773" s="20" t="n">
        <x:v>1625.62</x:v>
      </x:c>
      <x:c r="J773" s="20" t="n">
        <x:v>1625.62</x:v>
      </x:c>
      <x:c r="K773" s="10" t="str">
        <x:v>Realizado</x:v>
      </x:c>
      <x:c r="L773" s="10" t="str">
        <x:v>Contas a Receber</x:v>
      </x:c>
    </x:row>
    <x:row r="774" ht="18" customHeight="1">
      <x:c r="A774" s="10" t="str">
        <x:v>MOV001645</x:v>
      </x:c>
      <x:c r="B774" s="16" t="n">
        <x:v>45631.32376111111</x:v>
      </x:c>
      <x:c r="C774" s="10" t="str">
        <x:v>EMP002</x:v>
      </x:c>
      <x:c r="D774" s="10" t="str">
        <x:v>CTA004</x:v>
      </x:c>
      <x:c r="E774" s="10" t="str">
        <x:v>Entrada</x:v>
      </x:c>
      <x:c r="F774" s="10" t="str">
        <x:v>CAT003</x:v>
      </x:c>
      <x:c r="G774" s="10" t="str">
        <x:v>Contrato mensal</x:v>
      </x:c>
      <x:c r="H774" s="10" t="str">
        <x:v>REC01082</x:v>
      </x:c>
      <x:c r="I774" s="20" t="n">
        <x:v>46205.76</x:v>
      </x:c>
      <x:c r="J774" s="20" t="n">
        <x:v>46205.76</x:v>
      </x:c>
      <x:c r="K774" s="10" t="str">
        <x:v>Realizado</x:v>
      </x:c>
      <x:c r="L774" s="10" t="str">
        <x:v>Contas a Receber</x:v>
      </x:c>
    </x:row>
    <x:row r="775" ht="18" customHeight="1">
      <x:c r="A775" s="10" t="str">
        <x:v>MOV001338</x:v>
      </x:c>
      <x:c r="B775" s="16" t="n">
        <x:v>45631.92486378472</x:v>
      </x:c>
      <x:c r="C775" s="10" t="str">
        <x:v>EMP002</x:v>
      </x:c>
      <x:c r="D775" s="10" t="str">
        <x:v>CTA004</x:v>
      </x:c>
      <x:c r="E775" s="10" t="str">
        <x:v>Entrada</x:v>
      </x:c>
      <x:c r="F775" s="10" t="str">
        <x:v>CAT002</x:v>
      </x:c>
      <x:c r="G775" s="10" t="str">
        <x:v>Projeto especial</x:v>
      </x:c>
      <x:c r="H775" s="10" t="str">
        <x:v>REC00704</x:v>
      </x:c>
      <x:c r="I775" s="20" t="n">
        <x:v>77199.26</x:v>
      </x:c>
      <x:c r="J775" s="20" t="n">
        <x:v>77199.26</x:v>
      </x:c>
      <x:c r="K775" s="10" t="str">
        <x:v>Realizado</x:v>
      </x:c>
      <x:c r="L775" s="10" t="str">
        <x:v>Contas a Receber</x:v>
      </x:c>
    </x:row>
    <x:row r="776" ht="18" customHeight="1">
      <x:c r="A776" s="10" t="str">
        <x:v>MOV000656</x:v>
      </x:c>
      <x:c r="B776" s="16" t="n">
        <x:v>45631.9303309838</x:v>
      </x:c>
      <x:c r="C776" s="10" t="str">
        <x:v>EMP001</x:v>
      </x:c>
      <x:c r="D776" s="10" t="str">
        <x:v>CTA002</x:v>
      </x:c>
      <x:c r="E776" s="10" t="str">
        <x:v>Saída</x:v>
      </x:c>
      <x:c r="F776" s="10" t="str">
        <x:v>CAT008</x:v>
      </x:c>
      <x:c r="G776" s="10" t="str">
        <x:v>Prestação de serviços</x:v>
      </x:c>
      <x:c r="H776" s="10" t="str">
        <x:v>PAG00779</x:v>
      </x:c>
      <x:c r="I776" s="20" t="n">
        <x:v>10297.19</x:v>
      </x:c>
      <x:c r="J776" s="20" t="n">
        <x:v>-10297.19</x:v>
      </x:c>
      <x:c r="K776" s="10" t="str">
        <x:v>Realizado</x:v>
      </x:c>
      <x:c r="L776" s="10" t="str">
        <x:v>Contas a Pagar</x:v>
      </x:c>
    </x:row>
    <x:row r="777" ht="18" customHeight="1">
      <x:c r="A777" s="10" t="str">
        <x:v>MOV000694</x:v>
      </x:c>
      <x:c r="B777" s="16" t="n">
        <x:v>45632.881464375</x:v>
      </x:c>
      <x:c r="C777" s="10" t="str">
        <x:v>EMP002</x:v>
      </x:c>
      <x:c r="D777" s="10" t="str">
        <x:v>CTA004</x:v>
      </x:c>
      <x:c r="E777" s="10" t="str">
        <x:v>Saída</x:v>
      </x:c>
      <x:c r="F777" s="10" t="str">
        <x:v>CAT018</x:v>
      </x:c>
      <x:c r="G777" s="10" t="str">
        <x:v>Tributos e taxas</x:v>
      </x:c>
      <x:c r="H777" s="10" t="str">
        <x:v>PAG00824</x:v>
      </x:c>
      <x:c r="I777" s="20" t="n">
        <x:v>31016.44</x:v>
      </x:c>
      <x:c r="J777" s="20" t="n">
        <x:v>-31016.44</x:v>
      </x:c>
      <x:c r="K777" s="10" t="str">
        <x:v>Realizado</x:v>
      </x:c>
      <x:c r="L777" s="10" t="str">
        <x:v>Contas a Pagar</x:v>
      </x:c>
    </x:row>
    <x:row r="778" ht="18" customHeight="1">
      <x:c r="A778" s="10" t="str">
        <x:v>MOV000938</x:v>
      </x:c>
      <x:c r="B778" s="16" t="n">
        <x:v>45634.25623550926</x:v>
      </x:c>
      <x:c r="C778" s="10" t="str">
        <x:v>EMP001</x:v>
      </x:c>
      <x:c r="D778" s="10" t="str">
        <x:v>CTA002</x:v>
      </x:c>
      <x:c r="E778" s="10" t="str">
        <x:v>Entrada</x:v>
      </x:c>
      <x:c r="F778" s="10" t="str">
        <x:v>CAT004</x:v>
      </x:c>
      <x:c r="G778" s="10" t="str">
        <x:v>Frete faturado</x:v>
      </x:c>
      <x:c r="H778" s="10" t="str">
        <x:v>REC00219</x:v>
      </x:c>
      <x:c r="I778" s="20" t="n">
        <x:v>109955.31</x:v>
      </x:c>
      <x:c r="J778" s="20" t="n">
        <x:v>109955.31</x:v>
      </x:c>
      <x:c r="K778" s="10" t="str">
        <x:v>Realizado</x:v>
      </x:c>
      <x:c r="L778" s="10" t="str">
        <x:v>Contas a Receber</x:v>
      </x:c>
    </x:row>
    <x:row r="779" ht="18" customHeight="1">
      <x:c r="A779" s="10" t="str">
        <x:v>MOV000812</x:v>
      </x:c>
      <x:c r="B779" s="16" t="n">
        <x:v>45634.57538543981</x:v>
      </x:c>
      <x:c r="C779" s="10" t="str">
        <x:v>EMP001</x:v>
      </x:c>
      <x:c r="D779" s="10" t="str">
        <x:v>CTA002</x:v>
      </x:c>
      <x:c r="E779" s="10" t="str">
        <x:v>Entrada</x:v>
      </x:c>
      <x:c r="F779" s="10" t="str">
        <x:v>CAT001</x:v>
      </x:c>
      <x:c r="G779" s="10" t="str">
        <x:v>Venda de produtos</x:v>
      </x:c>
      <x:c r="H779" s="10" t="str">
        <x:v>REC00072</x:v>
      </x:c>
      <x:c r="I779" s="20" t="n">
        <x:v>69132.08</x:v>
      </x:c>
      <x:c r="J779" s="20" t="n">
        <x:v>69132.08</x:v>
      </x:c>
      <x:c r="K779" s="10" t="str">
        <x:v>Realizado</x:v>
      </x:c>
      <x:c r="L779" s="10" t="str">
        <x:v>Contas a Receber</x:v>
      </x:c>
    </x:row>
    <x:row r="780" ht="18" customHeight="1">
      <x:c r="A780" s="10" t="str">
        <x:v>MOV001037</x:v>
      </x:c>
      <x:c r="B780" s="16" t="n">
        <x:v>45634.593475960646</x:v>
      </x:c>
      <x:c r="C780" s="10" t="str">
        <x:v>EMP003</x:v>
      </x:c>
      <x:c r="D780" s="10" t="str">
        <x:v>CTA005</x:v>
      </x:c>
      <x:c r="E780" s="10" t="str">
        <x:v>Entrada</x:v>
      </x:c>
      <x:c r="F780" s="10" t="str">
        <x:v>CAT004</x:v>
      </x:c>
      <x:c r="G780" s="10" t="str">
        <x:v>Contrato mensal</x:v>
      </x:c>
      <x:c r="H780" s="10" t="str">
        <x:v>REC00347</x:v>
      </x:c>
      <x:c r="I780" s="20" t="n">
        <x:v>99356.42</x:v>
      </x:c>
      <x:c r="J780" s="20" t="n">
        <x:v>99356.42</x:v>
      </x:c>
      <x:c r="K780" s="10" t="str">
        <x:v>Realizado</x:v>
      </x:c>
      <x:c r="L780" s="10" t="str">
        <x:v>Contas a Receber</x:v>
      </x:c>
    </x:row>
    <x:row r="781" ht="18" customHeight="1">
      <x:c r="A781" s="10" t="str">
        <x:v>MOV001008</x:v>
      </x:c>
      <x:c r="B781" s="16" t="n">
        <x:v>45634.752073842596</x:v>
      </x:c>
      <x:c r="C781" s="10" t="str">
        <x:v>EMP002</x:v>
      </x:c>
      <x:c r="D781" s="10" t="str">
        <x:v>CTA004</x:v>
      </x:c>
      <x:c r="E781" s="10" t="str">
        <x:v>Entrada</x:v>
      </x:c>
      <x:c r="F781" s="10" t="str">
        <x:v>CAT004</x:v>
      </x:c>
      <x:c r="G781" s="10" t="str">
        <x:v>Venda de produtos</x:v>
      </x:c>
      <x:c r="H781" s="10" t="str">
        <x:v>REC00309</x:v>
      </x:c>
      <x:c r="I781" s="20" t="n">
        <x:v>1284.08</x:v>
      </x:c>
      <x:c r="J781" s="20" t="n">
        <x:v>1284.08</x:v>
      </x:c>
      <x:c r="K781" s="10" t="str">
        <x:v>Realizado</x:v>
      </x:c>
      <x:c r="L781" s="10" t="str">
        <x:v>Contas a Receber</x:v>
      </x:c>
    </x:row>
    <x:row r="782" ht="18" customHeight="1">
      <x:c r="A782" s="10" t="str">
        <x:v>MOV000021</x:v>
      </x:c>
      <x:c r="B782" s="16" t="n">
        <x:v>45635.38571372685</x:v>
      </x:c>
      <x:c r="C782" s="10" t="str">
        <x:v>EMP001</x:v>
      </x:c>
      <x:c r="D782" s="10" t="str">
        <x:v>CTA001</x:v>
      </x:c>
      <x:c r="E782" s="10" t="str">
        <x:v>Saída</x:v>
      </x:c>
      <x:c r="F782" s="10" t="str">
        <x:v>CAT011</x:v>
      </x:c>
      <x:c r="G782" s="10" t="str">
        <x:v>Compra de materiais</x:v>
      </x:c>
      <x:c r="H782" s="10" t="str">
        <x:v>PAG00019</x:v>
      </x:c>
      <x:c r="I782" s="20" t="n">
        <x:v>68801.56</x:v>
      </x:c>
      <x:c r="J782" s="20" t="n">
        <x:v>-68801.56</x:v>
      </x:c>
      <x:c r="K782" s="10" t="str">
        <x:v>Realizado</x:v>
      </x:c>
      <x:c r="L782" s="10" t="str">
        <x:v>Contas a Pagar</x:v>
      </x:c>
    </x:row>
    <x:row r="783" ht="18" customHeight="1">
      <x:c r="A783" s="10" t="str">
        <x:v>MOV000439</x:v>
      </x:c>
      <x:c r="B783" s="16" t="n">
        <x:v>45635.93807766204</x:v>
      </x:c>
      <x:c r="C783" s="10" t="str">
        <x:v>EMP001</x:v>
      </x:c>
      <x:c r="D783" s="10" t="str">
        <x:v>CTA001</x:v>
      </x:c>
      <x:c r="E783" s="10" t="str">
        <x:v>Saída</x:v>
      </x:c>
      <x:c r="F783" s="10" t="str">
        <x:v>CAT011</x:v>
      </x:c>
      <x:c r="G783" s="10" t="str">
        <x:v>Compra de materiais</x:v>
      </x:c>
      <x:c r="H783" s="10" t="str">
        <x:v>PAG00513</x:v>
      </x:c>
      <x:c r="I783" s="20" t="n">
        <x:v>17985.47</x:v>
      </x:c>
      <x:c r="J783" s="20" t="n">
        <x:v>-17985.47</x:v>
      </x:c>
      <x:c r="K783" s="10" t="str">
        <x:v>Realizado</x:v>
      </x:c>
      <x:c r="L783" s="10" t="str">
        <x:v>Contas a Pagar</x:v>
      </x:c>
    </x:row>
    <x:row r="784" ht="18" customHeight="1">
      <x:c r="A784" s="10" t="str">
        <x:v>MOV000777</x:v>
      </x:c>
      <x:c r="B784" s="16" t="n">
        <x:v>45636.053451817126</x:v>
      </x:c>
      <x:c r="C784" s="10" t="str">
        <x:v>EMP001</x:v>
      </x:c>
      <x:c r="D784" s="10" t="str">
        <x:v>CTA001</x:v>
      </x:c>
      <x:c r="E784" s="10" t="str">
        <x:v>Entrada</x:v>
      </x:c>
      <x:c r="F784" s="10" t="str">
        <x:v>CAT004</x:v>
      </x:c>
      <x:c r="G784" s="10" t="str">
        <x:v>Contrato mensal</x:v>
      </x:c>
      <x:c r="H784" s="10" t="str">
        <x:v>REC00029</x:v>
      </x:c>
      <x:c r="I784" s="20" t="n">
        <x:v>2237.19</x:v>
      </x:c>
      <x:c r="J784" s="20" t="n">
        <x:v>2237.19</x:v>
      </x:c>
      <x:c r="K784" s="10" t="str">
        <x:v>Realizado</x:v>
      </x:c>
      <x:c r="L784" s="10" t="str">
        <x:v>Contas a Receber</x:v>
      </x:c>
    </x:row>
    <x:row r="785" ht="18" customHeight="1">
      <x:c r="A785" s="10" t="str">
        <x:v>MOV001359</x:v>
      </x:c>
      <x:c r="B785" s="16" t="n">
        <x:v>45636.27017924769</x:v>
      </x:c>
      <x:c r="C785" s="10" t="str">
        <x:v>EMP001</x:v>
      </x:c>
      <x:c r="D785" s="10" t="str">
        <x:v>CTA001</x:v>
      </x:c>
      <x:c r="E785" s="10" t="str">
        <x:v>Entrada</x:v>
      </x:c>
      <x:c r="F785" s="10" t="str">
        <x:v>CAT004</x:v>
      </x:c>
      <x:c r="G785" s="10" t="str">
        <x:v>Prestação de serviços</x:v>
      </x:c>
      <x:c r="H785" s="10" t="str">
        <x:v>REC00728</x:v>
      </x:c>
      <x:c r="I785" s="20" t="n">
        <x:v>1687.34</x:v>
      </x:c>
      <x:c r="J785" s="20" t="n">
        <x:v>1687.34</x:v>
      </x:c>
      <x:c r="K785" s="10" t="str">
        <x:v>Realizado</x:v>
      </x:c>
      <x:c r="L785" s="10" t="str">
        <x:v>Contas a Receber</x:v>
      </x:c>
    </x:row>
    <x:row r="786" ht="18" customHeight="1">
      <x:c r="A786" s="10" t="str">
        <x:v>MOV000857</x:v>
      </x:c>
      <x:c r="B786" s="16" t="n">
        <x:v>45636.3722425463</x:v>
      </x:c>
      <x:c r="C786" s="10" t="str">
        <x:v>EMP002</x:v>
      </x:c>
      <x:c r="D786" s="10" t="str">
        <x:v>CTA004</x:v>
      </x:c>
      <x:c r="E786" s="10" t="str">
        <x:v>Entrada</x:v>
      </x:c>
      <x:c r="F786" s="10" t="str">
        <x:v>CAT002</x:v>
      </x:c>
      <x:c r="G786" s="10" t="str">
        <x:v>Frete faturado</x:v>
      </x:c>
      <x:c r="H786" s="10" t="str">
        <x:v>REC00127</x:v>
      </x:c>
      <x:c r="I786" s="20" t="n">
        <x:v>4836.14</x:v>
      </x:c>
      <x:c r="J786" s="20" t="n">
        <x:v>4836.14</x:v>
      </x:c>
      <x:c r="K786" s="10" t="str">
        <x:v>Realizado</x:v>
      </x:c>
      <x:c r="L786" s="10" t="str">
        <x:v>Contas a Receber</x:v>
      </x:c>
    </x:row>
    <x:row r="787" ht="18" customHeight="1">
      <x:c r="A787" s="10" t="str">
        <x:v>MOV000402</x:v>
      </x:c>
      <x:c r="B787" s="16" t="n">
        <x:v>45637.38245798611</x:v>
      </x:c>
      <x:c r="C787" s="10" t="str">
        <x:v>EMP002</x:v>
      </x:c>
      <x:c r="D787" s="10" t="str">
        <x:v>CTA004</x:v>
      </x:c>
      <x:c r="E787" s="10" t="str">
        <x:v>Saída</x:v>
      </x:c>
      <x:c r="F787" s="10" t="str">
        <x:v>CAT011</x:v>
      </x:c>
      <x:c r="G787" s="10" t="str">
        <x:v>Prestação de serviços</x:v>
      </x:c>
      <x:c r="H787" s="10" t="str">
        <x:v>PAG00468</x:v>
      </x:c>
      <x:c r="I787" s="20" t="n">
        <x:v>8990.73</x:v>
      </x:c>
      <x:c r="J787" s="20" t="n">
        <x:v>-8990.73</x:v>
      </x:c>
      <x:c r="K787" s="10" t="str">
        <x:v>Realizado</x:v>
      </x:c>
      <x:c r="L787" s="10" t="str">
        <x:v>Contas a Pagar</x:v>
      </x:c>
    </x:row>
    <x:row r="788" ht="18" customHeight="1">
      <x:c r="A788" s="10" t="str">
        <x:v>MOV000699</x:v>
      </x:c>
      <x:c r="B788" s="16" t="n">
        <x:v>45637.6011552662</x:v>
      </x:c>
      <x:c r="C788" s="10" t="str">
        <x:v>EMP001</x:v>
      </x:c>
      <x:c r="D788" s="10" t="str">
        <x:v>CTA001</x:v>
      </x:c>
      <x:c r="E788" s="10" t="str">
        <x:v>Saída</x:v>
      </x:c>
      <x:c r="F788" s="10" t="str">
        <x:v>CAT009</x:v>
      </x:c>
      <x:c r="G788" s="10" t="str">
        <x:v>Prestação de serviços</x:v>
      </x:c>
      <x:c r="H788" s="10" t="str">
        <x:v>PAG00829</x:v>
      </x:c>
      <x:c r="I788" s="20" t="n">
        <x:v>8270.7</x:v>
      </x:c>
      <x:c r="J788" s="20" t="n">
        <x:v>-8270.7</x:v>
      </x:c>
      <x:c r="K788" s="10" t="str">
        <x:v>Realizado</x:v>
      </x:c>
      <x:c r="L788" s="10" t="str">
        <x:v>Contas a Pagar</x:v>
      </x:c>
    </x:row>
    <x:row r="789" ht="18" customHeight="1">
      <x:c r="A789" s="10" t="str">
        <x:v>MOV001126</x:v>
      </x:c>
      <x:c r="B789" s="16" t="n">
        <x:v>45637.85202756945</x:v>
      </x:c>
      <x:c r="C789" s="10" t="str">
        <x:v>EMP002</x:v>
      </x:c>
      <x:c r="D789" s="10" t="str">
        <x:v>CTA004</x:v>
      </x:c>
      <x:c r="E789" s="10" t="str">
        <x:v>Entrada</x:v>
      </x:c>
      <x:c r="F789" s="10" t="str">
        <x:v>CAT003</x:v>
      </x:c>
      <x:c r="G789" s="10" t="str">
        <x:v>Venda de produtos</x:v>
      </x:c>
      <x:c r="H789" s="10" t="str">
        <x:v>REC00456</x:v>
      </x:c>
      <x:c r="I789" s="20" t="n">
        <x:v>23456.21</x:v>
      </x:c>
      <x:c r="J789" s="20" t="n">
        <x:v>23456.21</x:v>
      </x:c>
      <x:c r="K789" s="10" t="str">
        <x:v>Realizado</x:v>
      </x:c>
      <x:c r="L789" s="10" t="str">
        <x:v>Contas a Receber</x:v>
      </x:c>
    </x:row>
    <x:row r="790" ht="18" customHeight="1">
      <x:c r="A790" s="10" t="str">
        <x:v>MOV000378</x:v>
      </x:c>
      <x:c r="B790" s="16" t="n">
        <x:v>45638.46364670139</x:v>
      </x:c>
      <x:c r="C790" s="10" t="str">
        <x:v>EMP001</x:v>
      </x:c>
      <x:c r="D790" s="10" t="str">
        <x:v>CTA002</x:v>
      </x:c>
      <x:c r="E790" s="10" t="str">
        <x:v>Saída</x:v>
      </x:c>
      <x:c r="F790" s="10" t="str">
        <x:v>CAT018</x:v>
      </x:c>
      <x:c r="G790" s="10" t="str">
        <x:v>Tributos e taxas</x:v>
      </x:c>
      <x:c r="H790" s="10" t="str">
        <x:v>PAG00439</x:v>
      </x:c>
      <x:c r="I790" s="20" t="n">
        <x:v>7988.5</x:v>
      </x:c>
      <x:c r="J790" s="20" t="n">
        <x:v>-7988.5</x:v>
      </x:c>
      <x:c r="K790" s="10" t="str">
        <x:v>Realizado</x:v>
      </x:c>
      <x:c r="L790" s="10" t="str">
        <x:v>Contas a Pagar</x:v>
      </x:c>
    </x:row>
    <x:row r="791" ht="18" customHeight="1">
      <x:c r="A791" s="10" t="str">
        <x:v>MOV000983</x:v>
      </x:c>
      <x:c r="B791" s="16" t="n">
        <x:v>45639.373387141204</x:v>
      </x:c>
      <x:c r="C791" s="10" t="str">
        <x:v>EMP003</x:v>
      </x:c>
      <x:c r="D791" s="10" t="str">
        <x:v>CTA006</x:v>
      </x:c>
      <x:c r="E791" s="10" t="str">
        <x:v>Entrada</x:v>
      </x:c>
      <x:c r="F791" s="10" t="str">
        <x:v>CAT003</x:v>
      </x:c>
      <x:c r="G791" s="10" t="str">
        <x:v>Projeto especial</x:v>
      </x:c>
      <x:c r="H791" s="10" t="str">
        <x:v>REC00278</x:v>
      </x:c>
      <x:c r="I791" s="20" t="n">
        <x:v>75697.09</x:v>
      </x:c>
      <x:c r="J791" s="20" t="n">
        <x:v>75697.09</x:v>
      </x:c>
      <x:c r="K791" s="10" t="str">
        <x:v>Realizado</x:v>
      </x:c>
      <x:c r="L791" s="10" t="str">
        <x:v>Contas a Receber</x:v>
      </x:c>
    </x:row>
    <x:row r="792" ht="18" customHeight="1">
      <x:c r="A792" s="10" t="str">
        <x:v>MOV000687</x:v>
      </x:c>
      <x:c r="B792" s="16" t="n">
        <x:v>45639.71395133102</x:v>
      </x:c>
      <x:c r="C792" s="10" t="str">
        <x:v>EMP003</x:v>
      </x:c>
      <x:c r="D792" s="10" t="str">
        <x:v>CTA006</x:v>
      </x:c>
      <x:c r="E792" s="10" t="str">
        <x:v>Saída</x:v>
      </x:c>
      <x:c r="F792" s="10" t="str">
        <x:v>CAT014</x:v>
      </x:c>
      <x:c r="G792" s="10" t="str">
        <x:v>Tributos e taxas</x:v>
      </x:c>
      <x:c r="H792" s="10" t="str">
        <x:v>PAG00817</x:v>
      </x:c>
      <x:c r="I792" s="20" t="n">
        <x:v>12173.75</x:v>
      </x:c>
      <x:c r="J792" s="20" t="n">
        <x:v>-12173.75</x:v>
      </x:c>
      <x:c r="K792" s="10" t="str">
        <x:v>Realizado</x:v>
      </x:c>
      <x:c r="L792" s="10" t="str">
        <x:v>Contas a Pagar</x:v>
      </x:c>
    </x:row>
    <x:row r="793" ht="18" customHeight="1">
      <x:c r="A793" s="10" t="str">
        <x:v>MOV001275</x:v>
      </x:c>
      <x:c r="B793" s="16" t="n">
        <x:v>45639.90579380787</x:v>
      </x:c>
      <x:c r="C793" s="10" t="str">
        <x:v>EMP001</x:v>
      </x:c>
      <x:c r="D793" s="10" t="str">
        <x:v>CTA001</x:v>
      </x:c>
      <x:c r="E793" s="10" t="str">
        <x:v>Entrada</x:v>
      </x:c>
      <x:c r="F793" s="10" t="str">
        <x:v>CAT003</x:v>
      </x:c>
      <x:c r="G793" s="10" t="str">
        <x:v>Projeto especial</x:v>
      </x:c>
      <x:c r="H793" s="10" t="str">
        <x:v>REC00635</x:v>
      </x:c>
      <x:c r="I793" s="20" t="n">
        <x:v>8269.8</x:v>
      </x:c>
      <x:c r="J793" s="20" t="n">
        <x:v>8269.8</x:v>
      </x:c>
      <x:c r="K793" s="10" t="str">
        <x:v>Realizado</x:v>
      </x:c>
      <x:c r="L793" s="10" t="str">
        <x:v>Contas a Receber</x:v>
      </x:c>
    </x:row>
    <x:row r="794" ht="18" customHeight="1">
      <x:c r="A794" s="10" t="str">
        <x:v>MOV001514</x:v>
      </x:c>
      <x:c r="B794" s="16" t="n">
        <x:v>45640.62797648148</x:v>
      </x:c>
      <x:c r="C794" s="10" t="str">
        <x:v>EMP003</x:v>
      </x:c>
      <x:c r="D794" s="10" t="str">
        <x:v>CTA005</x:v>
      </x:c>
      <x:c r="E794" s="10" t="str">
        <x:v>Entrada</x:v>
      </x:c>
      <x:c r="F794" s="10" t="str">
        <x:v>CAT003</x:v>
      </x:c>
      <x:c r="G794" s="10" t="str">
        <x:v>Frete faturado</x:v>
      </x:c>
      <x:c r="H794" s="10" t="str">
        <x:v>REC00924</x:v>
      </x:c>
      <x:c r="I794" s="20" t="n">
        <x:v>74268.13</x:v>
      </x:c>
      <x:c r="J794" s="20" t="n">
        <x:v>74268.13</x:v>
      </x:c>
      <x:c r="K794" s="10" t="str">
        <x:v>Realizado</x:v>
      </x:c>
      <x:c r="L794" s="10" t="str">
        <x:v>Contas a Receber</x:v>
      </x:c>
    </x:row>
    <x:row r="795" ht="18" customHeight="1">
      <x:c r="A795" s="10" t="str">
        <x:v>MOV001186</x:v>
      </x:c>
      <x:c r="B795" s="16" t="n">
        <x:v>45641.14185179398</x:v>
      </x:c>
      <x:c r="C795" s="10" t="str">
        <x:v>EMP002</x:v>
      </x:c>
      <x:c r="D795" s="10" t="str">
        <x:v>CTA004</x:v>
      </x:c>
      <x:c r="E795" s="10" t="str">
        <x:v>Entrada</x:v>
      </x:c>
      <x:c r="F795" s="10" t="str">
        <x:v>CAT004</x:v>
      </x:c>
      <x:c r="G795" s="10" t="str">
        <x:v>Venda de produtos</x:v>
      </x:c>
      <x:c r="H795" s="10" t="str">
        <x:v>REC00527</x:v>
      </x:c>
      <x:c r="I795" s="20" t="n">
        <x:v>971.41</x:v>
      </x:c>
      <x:c r="J795" s="20" t="n">
        <x:v>971.41</x:v>
      </x:c>
      <x:c r="K795" s="10" t="str">
        <x:v>Realizado</x:v>
      </x:c>
      <x:c r="L795" s="10" t="str">
        <x:v>Contas a Receber</x:v>
      </x:c>
    </x:row>
    <x:row r="796" ht="18" customHeight="1">
      <x:c r="A796" s="10" t="str">
        <x:v>MOV001485</x:v>
      </x:c>
      <x:c r="B796" s="16" t="n">
        <x:v>45641.53081564815</x:v>
      </x:c>
      <x:c r="C796" s="10" t="str">
        <x:v>EMP002</x:v>
      </x:c>
      <x:c r="D796" s="10" t="str">
        <x:v>CTA004</x:v>
      </x:c>
      <x:c r="E796" s="10" t="str">
        <x:v>Entrada</x:v>
      </x:c>
      <x:c r="F796" s="10" t="str">
        <x:v>CAT002</x:v>
      </x:c>
      <x:c r="G796" s="10" t="str">
        <x:v>Contrato mensal</x:v>
      </x:c>
      <x:c r="H796" s="10" t="str">
        <x:v>REC00889</x:v>
      </x:c>
      <x:c r="I796" s="20" t="n">
        <x:v>73265.86</x:v>
      </x:c>
      <x:c r="J796" s="20" t="n">
        <x:v>73265.86</x:v>
      </x:c>
      <x:c r="K796" s="10" t="str">
        <x:v>Realizado</x:v>
      </x:c>
      <x:c r="L796" s="10" t="str">
        <x:v>Contas a Receber</x:v>
      </x:c>
    </x:row>
    <x:row r="797" ht="18" customHeight="1">
      <x:c r="A797" s="10" t="str">
        <x:v>MOV000772</x:v>
      </x:c>
      <x:c r="B797" s="16" t="n">
        <x:v>45642.03828159722</x:v>
      </x:c>
      <x:c r="C797" s="10" t="str">
        <x:v>EMP003</x:v>
      </x:c>
      <x:c r="D797" s="10" t="str">
        <x:v>CTA006</x:v>
      </x:c>
      <x:c r="E797" s="10" t="str">
        <x:v>Entrada</x:v>
      </x:c>
      <x:c r="F797" s="10" t="str">
        <x:v>CAT001</x:v>
      </x:c>
      <x:c r="G797" s="10" t="str">
        <x:v>Venda de produtos</x:v>
      </x:c>
      <x:c r="H797" s="10" t="str">
        <x:v>REC00022</x:v>
      </x:c>
      <x:c r="I797" s="20" t="n">
        <x:v>82611.52</x:v>
      </x:c>
      <x:c r="J797" s="20" t="n">
        <x:v>82611.52</x:v>
      </x:c>
      <x:c r="K797" s="10" t="str">
        <x:v>Realizado</x:v>
      </x:c>
      <x:c r="L797" s="10" t="str">
        <x:v>Contas a Receber</x:v>
      </x:c>
    </x:row>
    <x:row r="798" ht="18" customHeight="1">
      <x:c r="A798" s="10" t="str">
        <x:v>MOV000488</x:v>
      </x:c>
      <x:c r="B798" s="16" t="n">
        <x:v>45642.71914729167</x:v>
      </x:c>
      <x:c r="C798" s="10" t="str">
        <x:v>EMP002</x:v>
      </x:c>
      <x:c r="D798" s="10" t="str">
        <x:v>CTA004</x:v>
      </x:c>
      <x:c r="E798" s="10" t="str">
        <x:v>Saída</x:v>
      </x:c>
      <x:c r="F798" s="10" t="str">
        <x:v>CAT010</x:v>
      </x:c>
      <x:c r="G798" s="10" t="str">
        <x:v>Tributos e taxas</x:v>
      </x:c>
      <x:c r="H798" s="10" t="str">
        <x:v>PAG00572</x:v>
      </x:c>
      <x:c r="I798" s="20" t="n">
        <x:v>46195.87</x:v>
      </x:c>
      <x:c r="J798" s="20" t="n">
        <x:v>-46195.87</x:v>
      </x:c>
      <x:c r="K798" s="10" t="str">
        <x:v>Realizado</x:v>
      </x:c>
      <x:c r="L798" s="10" t="str">
        <x:v>Contas a Pagar</x:v>
      </x:c>
    </x:row>
    <x:row r="799" ht="18" customHeight="1">
      <x:c r="A799" s="10" t="str">
        <x:v>MOV000571</x:v>
      </x:c>
      <x:c r="B799" s="16" t="n">
        <x:v>45643.40107991898</x:v>
      </x:c>
      <x:c r="C799" s="10" t="str">
        <x:v>EMP002</x:v>
      </x:c>
      <x:c r="D799" s="10" t="str">
        <x:v>CTA004</x:v>
      </x:c>
      <x:c r="E799" s="10" t="str">
        <x:v>Saída</x:v>
      </x:c>
      <x:c r="F799" s="10" t="str">
        <x:v>CAT017</x:v>
      </x:c>
      <x:c r="G799" s="10" t="str">
        <x:v>Compra de materiais</x:v>
      </x:c>
      <x:c r="H799" s="10" t="str">
        <x:v>PAG00670</x:v>
      </x:c>
      <x:c r="I799" s="20" t="n">
        <x:v>68917.98</x:v>
      </x:c>
      <x:c r="J799" s="20" t="n">
        <x:v>-68917.98</x:v>
      </x:c>
      <x:c r="K799" s="10" t="str">
        <x:v>Realizado</x:v>
      </x:c>
      <x:c r="L799" s="10" t="str">
        <x:v>Contas a Pagar</x:v>
      </x:c>
    </x:row>
    <x:row r="800" ht="18" customHeight="1">
      <x:c r="A800" s="10" t="str">
        <x:v>MOV000524</x:v>
      </x:c>
      <x:c r="B800" s="16" t="n">
        <x:v>45643.56250460648</x:v>
      </x:c>
      <x:c r="C800" s="10" t="str">
        <x:v>EMP003</x:v>
      </x:c>
      <x:c r="D800" s="10" t="str">
        <x:v>CTA006</x:v>
      </x:c>
      <x:c r="E800" s="10" t="str">
        <x:v>Saída</x:v>
      </x:c>
      <x:c r="F800" s="10" t="str">
        <x:v>CAT012</x:v>
      </x:c>
      <x:c r="G800" s="10" t="str">
        <x:v>Contrato recorrente</x:v>
      </x:c>
      <x:c r="H800" s="10" t="str">
        <x:v>PAG00614</x:v>
      </x:c>
      <x:c r="I800" s="20" t="n">
        <x:v>66627.12</x:v>
      </x:c>
      <x:c r="J800" s="20" t="n">
        <x:v>-66627.12</x:v>
      </x:c>
      <x:c r="K800" s="10" t="str">
        <x:v>Realizado</x:v>
      </x:c>
      <x:c r="L800" s="10" t="str">
        <x:v>Contas a Pagar</x:v>
      </x:c>
    </x:row>
    <x:row r="801" ht="18" customHeight="1">
      <x:c r="A801" s="10" t="str">
        <x:v>MOV001465</x:v>
      </x:c>
      <x:c r="B801" s="16" t="n">
        <x:v>45643.762558449074</x:v>
      </x:c>
      <x:c r="C801" s="10" t="str">
        <x:v>EMP002</x:v>
      </x:c>
      <x:c r="D801" s="10" t="str">
        <x:v>CTA004</x:v>
      </x:c>
      <x:c r="E801" s="10" t="str">
        <x:v>Entrada</x:v>
      </x:c>
      <x:c r="F801" s="10" t="str">
        <x:v>CAT001</x:v>
      </x:c>
      <x:c r="G801" s="10" t="str">
        <x:v>Frete faturado</x:v>
      </x:c>
      <x:c r="H801" s="10" t="str">
        <x:v>REC00862</x:v>
      </x:c>
      <x:c r="I801" s="20" t="n">
        <x:v>82627.02</x:v>
      </x:c>
      <x:c r="J801" s="20" t="n">
        <x:v>82627.02</x:v>
      </x:c>
      <x:c r="K801" s="10" t="str">
        <x:v>Realizado</x:v>
      </x:c>
      <x:c r="L801" s="10" t="str">
        <x:v>Contas a Receber</x:v>
      </x:c>
    </x:row>
    <x:row r="802" ht="18" customHeight="1">
      <x:c r="A802" s="10" t="str">
        <x:v>MOV000760</x:v>
      </x:c>
      <x:c r="B802" s="16" t="n">
        <x:v>45644.022097291665</x:v>
      </x:c>
      <x:c r="C802" s="10" t="str">
        <x:v>EMP002</x:v>
      </x:c>
      <x:c r="D802" s="10" t="str">
        <x:v>CTA003</x:v>
      </x:c>
      <x:c r="E802" s="10" t="str">
        <x:v>Entrada</x:v>
      </x:c>
      <x:c r="F802" s="10" t="str">
        <x:v>CAT001</x:v>
      </x:c>
      <x:c r="G802" s="10" t="str">
        <x:v>Projeto especial</x:v>
      </x:c>
      <x:c r="H802" s="10" t="str">
        <x:v>REC00003</x:v>
      </x:c>
      <x:c r="I802" s="20" t="n">
        <x:v>105927.78</x:v>
      </x:c>
      <x:c r="J802" s="20" t="n">
        <x:v>105927.78</x:v>
      </x:c>
      <x:c r="K802" s="10" t="str">
        <x:v>Realizado</x:v>
      </x:c>
      <x:c r="L802" s="10" t="str">
        <x:v>Contas a Receber</x:v>
      </x:c>
    </x:row>
    <x:row r="803" ht="18" customHeight="1">
      <x:c r="A803" s="10" t="str">
        <x:v>MOV000869</x:v>
      </x:c>
      <x:c r="B803" s="16" t="n">
        <x:v>45645.06504209491</x:v>
      </x:c>
      <x:c r="C803" s="10" t="str">
        <x:v>EMP001</x:v>
      </x:c>
      <x:c r="D803" s="10" t="str">
        <x:v>CTA002</x:v>
      </x:c>
      <x:c r="E803" s="10" t="str">
        <x:v>Entrada</x:v>
      </x:c>
      <x:c r="F803" s="10" t="str">
        <x:v>CAT001</x:v>
      </x:c>
      <x:c r="G803" s="10" t="str">
        <x:v>Contrato mensal</x:v>
      </x:c>
      <x:c r="H803" s="10" t="str">
        <x:v>REC00139</x:v>
      </x:c>
      <x:c r="I803" s="20" t="n">
        <x:v>69499.42</x:v>
      </x:c>
      <x:c r="J803" s="20" t="n">
        <x:v>69499.42</x:v>
      </x:c>
      <x:c r="K803" s="10" t="str">
        <x:v>Realizado</x:v>
      </x:c>
      <x:c r="L803" s="10" t="str">
        <x:v>Contas a Receber</x:v>
      </x:c>
    </x:row>
    <x:row r="804" ht="18" customHeight="1">
      <x:c r="A804" s="10" t="str">
        <x:v>MOV001312</x:v>
      </x:c>
      <x:c r="B804" s="16" t="n">
        <x:v>45645.69835978009</x:v>
      </x:c>
      <x:c r="C804" s="10" t="str">
        <x:v>EMP003</x:v>
      </x:c>
      <x:c r="D804" s="10" t="str">
        <x:v>CTA005</x:v>
      </x:c>
      <x:c r="E804" s="10" t="str">
        <x:v>Entrada</x:v>
      </x:c>
      <x:c r="F804" s="10" t="str">
        <x:v>CAT001</x:v>
      </x:c>
      <x:c r="G804" s="10" t="str">
        <x:v>Frete faturado</x:v>
      </x:c>
      <x:c r="H804" s="10" t="str">
        <x:v>REC00675</x:v>
      </x:c>
      <x:c r="I804" s="20" t="n">
        <x:v>84588.72</x:v>
      </x:c>
      <x:c r="J804" s="20" t="n">
        <x:v>84588.72</x:v>
      </x:c>
      <x:c r="K804" s="10" t="str">
        <x:v>Realizado</x:v>
      </x:c>
      <x:c r="L804" s="10" t="str">
        <x:v>Contas a Receber</x:v>
      </x:c>
    </x:row>
    <x:row r="805" ht="18" customHeight="1">
      <x:c r="A805" s="10" t="str">
        <x:v>MOV000101</x:v>
      </x:c>
      <x:c r="B805" s="16" t="n">
        <x:v>45645.85791025463</x:v>
      </x:c>
      <x:c r="C805" s="10" t="str">
        <x:v>EMP001</x:v>
      </x:c>
      <x:c r="D805" s="10" t="str">
        <x:v>CTA002</x:v>
      </x:c>
      <x:c r="E805" s="10" t="str">
        <x:v>Saída</x:v>
      </x:c>
      <x:c r="F805" s="10" t="str">
        <x:v>CAT015</x:v>
      </x:c>
      <x:c r="G805" s="10" t="str">
        <x:v>Tributos e taxas</x:v>
      </x:c>
      <x:c r="H805" s="10" t="str">
        <x:v>PAG00112</x:v>
      </x:c>
      <x:c r="I805" s="20" t="n">
        <x:v>49532.1</x:v>
      </x:c>
      <x:c r="J805" s="20" t="n">
        <x:v>-49532.1</x:v>
      </x:c>
      <x:c r="K805" s="10" t="str">
        <x:v>Realizado</x:v>
      </x:c>
      <x:c r="L805" s="10" t="str">
        <x:v>Contas a Pagar</x:v>
      </x:c>
    </x:row>
    <x:row r="806" ht="18" customHeight="1">
      <x:c r="A806" s="10" t="str">
        <x:v>MOV000288</x:v>
      </x:c>
      <x:c r="B806" s="16" t="n">
        <x:v>45646.72855891204</x:v>
      </x:c>
      <x:c r="C806" s="10" t="str">
        <x:v>EMP001</x:v>
      </x:c>
      <x:c r="D806" s="10" t="str">
        <x:v>CTA001</x:v>
      </x:c>
      <x:c r="E806" s="10" t="str">
        <x:v>Saída</x:v>
      </x:c>
      <x:c r="F806" s="10" t="str">
        <x:v>CAT007</x:v>
      </x:c>
      <x:c r="G806" s="10" t="str">
        <x:v>Contrato recorrente</x:v>
      </x:c>
      <x:c r="H806" s="10" t="str">
        <x:v>PAG00334</x:v>
      </x:c>
      <x:c r="I806" s="20" t="n">
        <x:v>16018.77</x:v>
      </x:c>
      <x:c r="J806" s="20" t="n">
        <x:v>-16018.77</x:v>
      </x:c>
      <x:c r="K806" s="10" t="str">
        <x:v>Realizado</x:v>
      </x:c>
      <x:c r="L806" s="10" t="str">
        <x:v>Contas a Pagar</x:v>
      </x:c>
    </x:row>
    <x:row r="807" ht="18" customHeight="1">
      <x:c r="A807" s="10" t="str">
        <x:v>MOV000393</x:v>
      </x:c>
      <x:c r="B807" s="16" t="n">
        <x:v>45647.05213542824</x:v>
      </x:c>
      <x:c r="C807" s="10" t="str">
        <x:v>EMP001</x:v>
      </x:c>
      <x:c r="D807" s="10" t="str">
        <x:v>CTA002</x:v>
      </x:c>
      <x:c r="E807" s="10" t="str">
        <x:v>Saída</x:v>
      </x:c>
      <x:c r="F807" s="10" t="str">
        <x:v>CAT016</x:v>
      </x:c>
      <x:c r="G807" s="10" t="str">
        <x:v>Contrato recorrente</x:v>
      </x:c>
      <x:c r="H807" s="10" t="str">
        <x:v>PAG00457</x:v>
      </x:c>
      <x:c r="I807" s="20" t="n">
        <x:v>59427.08</x:v>
      </x:c>
      <x:c r="J807" s="20" t="n">
        <x:v>-59427.08</x:v>
      </x:c>
      <x:c r="K807" s="10" t="str">
        <x:v>Realizado</x:v>
      </x:c>
      <x:c r="L807" s="10" t="str">
        <x:v>Contas a Pagar</x:v>
      </x:c>
    </x:row>
    <x:row r="808" ht="18" customHeight="1">
      <x:c r="A808" s="10" t="str">
        <x:v>MOV000249</x:v>
      </x:c>
      <x:c r="B808" s="16" t="n">
        <x:v>45647.11847634259</x:v>
      </x:c>
      <x:c r="C808" s="10" t="str">
        <x:v>EMP003</x:v>
      </x:c>
      <x:c r="D808" s="10" t="str">
        <x:v>CTA005</x:v>
      </x:c>
      <x:c r="E808" s="10" t="str">
        <x:v>Saída</x:v>
      </x:c>
      <x:c r="F808" s="10" t="str">
        <x:v>CAT012</x:v>
      </x:c>
      <x:c r="G808" s="10" t="str">
        <x:v>Contrato recorrente</x:v>
      </x:c>
      <x:c r="H808" s="10" t="str">
        <x:v>PAG00291</x:v>
      </x:c>
      <x:c r="I808" s="20" t="n">
        <x:v>94310.07</x:v>
      </x:c>
      <x:c r="J808" s="20" t="n">
        <x:v>-94310.07</x:v>
      </x:c>
      <x:c r="K808" s="10" t="str">
        <x:v>Realizado</x:v>
      </x:c>
      <x:c r="L808" s="10" t="str">
        <x:v>Contas a Pagar</x:v>
      </x:c>
    </x:row>
    <x:row r="809" ht="18" customHeight="1">
      <x:c r="A809" s="10" t="str">
        <x:v>MOV001112</x:v>
      </x:c>
      <x:c r="B809" s="16" t="n">
        <x:v>45648.49962357639</x:v>
      </x:c>
      <x:c r="C809" s="10" t="str">
        <x:v>EMP002</x:v>
      </x:c>
      <x:c r="D809" s="10" t="str">
        <x:v>CTA004</x:v>
      </x:c>
      <x:c r="E809" s="10" t="str">
        <x:v>Entrada</x:v>
      </x:c>
      <x:c r="F809" s="10" t="str">
        <x:v>CAT002</x:v>
      </x:c>
      <x:c r="G809" s="10" t="str">
        <x:v>Venda de produtos</x:v>
      </x:c>
      <x:c r="H809" s="10" t="str">
        <x:v>REC00438</x:v>
      </x:c>
      <x:c r="I809" s="20" t="n">
        <x:v>90418.13</x:v>
      </x:c>
      <x:c r="J809" s="20" t="n">
        <x:v>90418.13</x:v>
      </x:c>
      <x:c r="K809" s="10" t="str">
        <x:v>Realizado</x:v>
      </x:c>
      <x:c r="L809" s="10" t="str">
        <x:v>Contas a Receber</x:v>
      </x:c>
    </x:row>
    <x:row r="810" ht="18" customHeight="1">
      <x:c r="A810" s="10" t="str">
        <x:v>MOV001307</x:v>
      </x:c>
      <x:c r="B810" s="16" t="n">
        <x:v>45648.708961331016</x:v>
      </x:c>
      <x:c r="C810" s="10" t="str">
        <x:v>EMP003</x:v>
      </x:c>
      <x:c r="D810" s="10" t="str">
        <x:v>CTA006</x:v>
      </x:c>
      <x:c r="E810" s="10" t="str">
        <x:v>Entrada</x:v>
      </x:c>
      <x:c r="F810" s="10" t="str">
        <x:v>CAT004</x:v>
      </x:c>
      <x:c r="G810" s="10" t="str">
        <x:v>Projeto especial</x:v>
      </x:c>
      <x:c r="H810" s="10" t="str">
        <x:v>REC00670</x:v>
      </x:c>
      <x:c r="I810" s="20" t="n">
        <x:v>60074.08</x:v>
      </x:c>
      <x:c r="J810" s="20" t="n">
        <x:v>60074.08</x:v>
      </x:c>
      <x:c r="K810" s="10" t="str">
        <x:v>Realizado</x:v>
      </x:c>
      <x:c r="L810" s="10" t="str">
        <x:v>Contas a Receber</x:v>
      </x:c>
    </x:row>
    <x:row r="811" ht="18" customHeight="1">
      <x:c r="A811" s="10" t="str">
        <x:v>MOV001534</x:v>
      </x:c>
      <x:c r="B811" s="16" t="n">
        <x:v>45649.399179479165</x:v>
      </x:c>
      <x:c r="C811" s="10" t="str">
        <x:v>EMP001</x:v>
      </x:c>
      <x:c r="D811" s="10" t="str">
        <x:v>CTA001</x:v>
      </x:c>
      <x:c r="E811" s="10" t="str">
        <x:v>Entrada</x:v>
      </x:c>
      <x:c r="F811" s="10" t="str">
        <x:v>CAT003</x:v>
      </x:c>
      <x:c r="G811" s="10" t="str">
        <x:v>Projeto especial</x:v>
      </x:c>
      <x:c r="H811" s="10" t="str">
        <x:v>REC00949</x:v>
      </x:c>
      <x:c r="I811" s="20" t="n">
        <x:v>89486.96</x:v>
      </x:c>
      <x:c r="J811" s="20" t="n">
        <x:v>89486.96</x:v>
      </x:c>
      <x:c r="K811" s="10" t="str">
        <x:v>Realizado</x:v>
      </x:c>
      <x:c r="L811" s="10" t="str">
        <x:v>Contas a Receber</x:v>
      </x:c>
    </x:row>
    <x:row r="812" ht="18" customHeight="1">
      <x:c r="A812" s="10" t="str">
        <x:v>MOV001097</x:v>
      </x:c>
      <x:c r="B812" s="16" t="n">
        <x:v>45650.18067706018</x:v>
      </x:c>
      <x:c r="C812" s="10" t="str">
        <x:v>EMP002</x:v>
      </x:c>
      <x:c r="D812" s="10" t="str">
        <x:v>CTA004</x:v>
      </x:c>
      <x:c r="E812" s="10" t="str">
        <x:v>Entrada</x:v>
      </x:c>
      <x:c r="F812" s="10" t="str">
        <x:v>CAT002</x:v>
      </x:c>
      <x:c r="G812" s="10" t="str">
        <x:v>Venda de produtos</x:v>
      </x:c>
      <x:c r="H812" s="10" t="str">
        <x:v>REC00423</x:v>
      </x:c>
      <x:c r="I812" s="20" t="n">
        <x:v>70827.52</x:v>
      </x:c>
      <x:c r="J812" s="20" t="n">
        <x:v>70827.52</x:v>
      </x:c>
      <x:c r="K812" s="10" t="str">
        <x:v>Realizado</x:v>
      </x:c>
      <x:c r="L812" s="10" t="str">
        <x:v>Contas a Receber</x:v>
      </x:c>
    </x:row>
    <x:row r="813" ht="18" customHeight="1">
      <x:c r="A813" s="10" t="str">
        <x:v>MOV000027</x:v>
      </x:c>
      <x:c r="B813" s="16" t="n">
        <x:v>45650.1932358912</x:v>
      </x:c>
      <x:c r="C813" s="10" t="str">
        <x:v>EMP001</x:v>
      </x:c>
      <x:c r="D813" s="10" t="str">
        <x:v>CTA002</x:v>
      </x:c>
      <x:c r="E813" s="10" t="str">
        <x:v>Saída</x:v>
      </x:c>
      <x:c r="F813" s="10" t="str">
        <x:v>CAT012</x:v>
      </x:c>
      <x:c r="G813" s="10" t="str">
        <x:v>Prestação de serviços</x:v>
      </x:c>
      <x:c r="H813" s="10" t="str">
        <x:v>PAG00026</x:v>
      </x:c>
      <x:c r="I813" s="20" t="n">
        <x:v>35483.38</x:v>
      </x:c>
      <x:c r="J813" s="20" t="n">
        <x:v>-35483.38</x:v>
      </x:c>
      <x:c r="K813" s="10" t="str">
        <x:v>Realizado</x:v>
      </x:c>
      <x:c r="L813" s="10" t="str">
        <x:v>Contas a Pagar</x:v>
      </x:c>
    </x:row>
    <x:row r="814" ht="18" customHeight="1">
      <x:c r="A814" s="10" t="str">
        <x:v>MOV001110</x:v>
      </x:c>
      <x:c r="B814" s="16" t="n">
        <x:v>45650.29495678241</x:v>
      </x:c>
      <x:c r="C814" s="10" t="str">
        <x:v>EMP001</x:v>
      </x:c>
      <x:c r="D814" s="10" t="str">
        <x:v>CTA001</x:v>
      </x:c>
      <x:c r="E814" s="10" t="str">
        <x:v>Entrada</x:v>
      </x:c>
      <x:c r="F814" s="10" t="str">
        <x:v>CAT004</x:v>
      </x:c>
      <x:c r="G814" s="10" t="str">
        <x:v>Contrato mensal</x:v>
      </x:c>
      <x:c r="H814" s="10" t="str">
        <x:v>REC00436</x:v>
      </x:c>
      <x:c r="I814" s="20" t="n">
        <x:v>17890.43</x:v>
      </x:c>
      <x:c r="J814" s="20" t="n">
        <x:v>17890.43</x:v>
      </x:c>
      <x:c r="K814" s="10" t="str">
        <x:v>Realizado</x:v>
      </x:c>
      <x:c r="L814" s="10" t="str">
        <x:v>Contas a Receber</x:v>
      </x:c>
    </x:row>
    <x:row r="815" ht="18" customHeight="1">
      <x:c r="A815" s="10" t="str">
        <x:v>MOV000739</x:v>
      </x:c>
      <x:c r="B815" s="16" t="n">
        <x:v>45651.35387269676</x:v>
      </x:c>
      <x:c r="C815" s="10" t="str">
        <x:v>EMP002</x:v>
      </x:c>
      <x:c r="D815" s="10" t="str">
        <x:v>CTA004</x:v>
      </x:c>
      <x:c r="E815" s="10" t="str">
        <x:v>Saída</x:v>
      </x:c>
      <x:c r="F815" s="10" t="str">
        <x:v>CAT005</x:v>
      </x:c>
      <x:c r="G815" s="10" t="str">
        <x:v>Despesa operacional</x:v>
      </x:c>
      <x:c r="H815" s="10" t="str">
        <x:v>PAG00878</x:v>
      </x:c>
      <x:c r="I815" s="20" t="n">
        <x:v>16884.72</x:v>
      </x:c>
      <x:c r="J815" s="20" t="n">
        <x:v>-16884.72</x:v>
      </x:c>
      <x:c r="K815" s="10" t="str">
        <x:v>Realizado</x:v>
      </x:c>
      <x:c r="L815" s="10" t="str">
        <x:v>Contas a Pagar</x:v>
      </x:c>
    </x:row>
    <x:row r="816" ht="18" customHeight="1">
      <x:c r="A816" s="10" t="str">
        <x:v>MOV001597</x:v>
      </x:c>
      <x:c r="B816" s="16" t="n">
        <x:v>45651.46225783565</x:v>
      </x:c>
      <x:c r="C816" s="10" t="str">
        <x:v>EMP002</x:v>
      </x:c>
      <x:c r="D816" s="10" t="str">
        <x:v>CTA004</x:v>
      </x:c>
      <x:c r="E816" s="10" t="str">
        <x:v>Entrada</x:v>
      </x:c>
      <x:c r="F816" s="10" t="str">
        <x:v>CAT002</x:v>
      </x:c>
      <x:c r="G816" s="10" t="str">
        <x:v>Frete faturado</x:v>
      </x:c>
      <x:c r="H816" s="10" t="str">
        <x:v>REC01025</x:v>
      </x:c>
      <x:c r="I816" s="20" t="n">
        <x:v>130830.16</x:v>
      </x:c>
      <x:c r="J816" s="20" t="n">
        <x:v>130830.16</x:v>
      </x:c>
      <x:c r="K816" s="10" t="str">
        <x:v>Realizado</x:v>
      </x:c>
      <x:c r="L816" s="10" t="str">
        <x:v>Contas a Receber</x:v>
      </x:c>
    </x:row>
    <x:row r="817" ht="18" customHeight="1">
      <x:c r="A817" s="10" t="str">
        <x:v>MOV000922</x:v>
      </x:c>
      <x:c r="B817" s="16" t="n">
        <x:v>45651.88991899305</x:v>
      </x:c>
      <x:c r="C817" s="10" t="str">
        <x:v>EMP003</x:v>
      </x:c>
      <x:c r="D817" s="10" t="str">
        <x:v>CTA005</x:v>
      </x:c>
      <x:c r="E817" s="10" t="str">
        <x:v>Entrada</x:v>
      </x:c>
      <x:c r="F817" s="10" t="str">
        <x:v>CAT003</x:v>
      </x:c>
      <x:c r="G817" s="10" t="str">
        <x:v>Contrato mensal</x:v>
      </x:c>
      <x:c r="H817" s="10" t="str">
        <x:v>REC00200</x:v>
      </x:c>
      <x:c r="I817" s="20" t="n">
        <x:v>55081.72</x:v>
      </x:c>
      <x:c r="J817" s="20" t="n">
        <x:v>55081.72</x:v>
      </x:c>
      <x:c r="K817" s="10" t="str">
        <x:v>Realizado</x:v>
      </x:c>
      <x:c r="L817" s="10" t="str">
        <x:v>Contas a Receber</x:v>
      </x:c>
    </x:row>
    <x:row r="818" ht="18" customHeight="1">
      <x:c r="A818" s="10" t="str">
        <x:v>MOV001638</x:v>
      </x:c>
      <x:c r="B818" s="16" t="n">
        <x:v>45652.06687483796</x:v>
      </x:c>
      <x:c r="C818" s="10" t="str">
        <x:v>EMP001</x:v>
      </x:c>
      <x:c r="D818" s="10" t="str">
        <x:v>CTA001</x:v>
      </x:c>
      <x:c r="E818" s="10" t="str">
        <x:v>Entrada</x:v>
      </x:c>
      <x:c r="F818" s="10" t="str">
        <x:v>CAT001</x:v>
      </x:c>
      <x:c r="G818" s="10" t="str">
        <x:v>Projeto especial</x:v>
      </x:c>
      <x:c r="H818" s="10" t="str">
        <x:v>REC01073</x:v>
      </x:c>
      <x:c r="I818" s="20" t="n">
        <x:v>20035.85</x:v>
      </x:c>
      <x:c r="J818" s="20" t="n">
        <x:v>20035.85</x:v>
      </x:c>
      <x:c r="K818" s="10" t="str">
        <x:v>Realizado</x:v>
      </x:c>
      <x:c r="L818" s="10" t="str">
        <x:v>Contas a Receber</x:v>
      </x:c>
    </x:row>
    <x:row r="819" ht="18" customHeight="1">
      <x:c r="A819" s="10" t="str">
        <x:v>MOV000377</x:v>
      </x:c>
      <x:c r="B819" s="16" t="n">
        <x:v>45652.382904652775</x:v>
      </x:c>
      <x:c r="C819" s="10" t="str">
        <x:v>EMP003</x:v>
      </x:c>
      <x:c r="D819" s="10" t="str">
        <x:v>CTA005</x:v>
      </x:c>
      <x:c r="E819" s="10" t="str">
        <x:v>Saída</x:v>
      </x:c>
      <x:c r="F819" s="10" t="str">
        <x:v>CAT016</x:v>
      </x:c>
      <x:c r="G819" s="10" t="str">
        <x:v>Compra de materiais</x:v>
      </x:c>
      <x:c r="H819" s="10" t="str">
        <x:v>PAG00438</x:v>
      </x:c>
      <x:c r="I819" s="20" t="n">
        <x:v>2167.21</x:v>
      </x:c>
      <x:c r="J819" s="20" t="n">
        <x:v>-2167.21</x:v>
      </x:c>
      <x:c r="K819" s="10" t="str">
        <x:v>Realizado</x:v>
      </x:c>
      <x:c r="L819" s="10" t="str">
        <x:v>Contas a Pagar</x:v>
      </x:c>
    </x:row>
    <x:row r="820" ht="18" customHeight="1">
      <x:c r="A820" s="10" t="str">
        <x:v>MOV001598</x:v>
      </x:c>
      <x:c r="B820" s="16" t="n">
        <x:v>45653.3698037963</x:v>
      </x:c>
      <x:c r="C820" s="10" t="str">
        <x:v>EMP003</x:v>
      </x:c>
      <x:c r="D820" s="10" t="str">
        <x:v>CTA006</x:v>
      </x:c>
      <x:c r="E820" s="10" t="str">
        <x:v>Entrada</x:v>
      </x:c>
      <x:c r="F820" s="10" t="str">
        <x:v>CAT002</x:v>
      </x:c>
      <x:c r="G820" s="10" t="str">
        <x:v>Frete faturado</x:v>
      </x:c>
      <x:c r="H820" s="10" t="str">
        <x:v>REC01026</x:v>
      </x:c>
      <x:c r="I820" s="20" t="n">
        <x:v>54572.01</x:v>
      </x:c>
      <x:c r="J820" s="20" t="n">
        <x:v>54572.01</x:v>
      </x:c>
      <x:c r="K820" s="10" t="str">
        <x:v>Realizado</x:v>
      </x:c>
      <x:c r="L820" s="10" t="str">
        <x:v>Contas a Receber</x:v>
      </x:c>
    </x:row>
    <x:row r="821" ht="18" customHeight="1">
      <x:c r="A821" s="10" t="str">
        <x:v>MOV000428</x:v>
      </x:c>
      <x:c r="B821" s="16" t="n">
        <x:v>45653.54761978009</x:v>
      </x:c>
      <x:c r="C821" s="10" t="str">
        <x:v>EMP003</x:v>
      </x:c>
      <x:c r="D821" s="10" t="str">
        <x:v>CTA005</x:v>
      </x:c>
      <x:c r="E821" s="10" t="str">
        <x:v>Saída</x:v>
      </x:c>
      <x:c r="F821" s="10" t="str">
        <x:v>CAT018</x:v>
      </x:c>
      <x:c r="G821" s="10" t="str">
        <x:v>Prestação de serviços</x:v>
      </x:c>
      <x:c r="H821" s="10" t="str">
        <x:v>PAG00501</x:v>
      </x:c>
      <x:c r="I821" s="20" t="n">
        <x:v>61316.66</x:v>
      </x:c>
      <x:c r="J821" s="20" t="n">
        <x:v>-61316.66</x:v>
      </x:c>
      <x:c r="K821" s="10" t="str">
        <x:v>Realizado</x:v>
      </x:c>
      <x:c r="L821" s="10" t="str">
        <x:v>Contas a Pagar</x:v>
      </x:c>
    </x:row>
    <x:row r="822" ht="18" customHeight="1">
      <x:c r="A822" s="10" t="str">
        <x:v>MOV000853</x:v>
      </x:c>
      <x:c r="B822" s="16" t="n">
        <x:v>45653.69952502315</x:v>
      </x:c>
      <x:c r="C822" s="10" t="str">
        <x:v>EMP001</x:v>
      </x:c>
      <x:c r="D822" s="10" t="str">
        <x:v>CTA002</x:v>
      </x:c>
      <x:c r="E822" s="10" t="str">
        <x:v>Entrada</x:v>
      </x:c>
      <x:c r="F822" s="10" t="str">
        <x:v>CAT003</x:v>
      </x:c>
      <x:c r="G822" s="10" t="str">
        <x:v>Venda de produtos</x:v>
      </x:c>
      <x:c r="H822" s="10" t="str">
        <x:v>REC00122</x:v>
      </x:c>
      <x:c r="I822" s="20" t="n">
        <x:v>134876.04</x:v>
      </x:c>
      <x:c r="J822" s="20" t="n">
        <x:v>134876.04</x:v>
      </x:c>
      <x:c r="K822" s="10" t="str">
        <x:v>Realizado</x:v>
      </x:c>
      <x:c r="L822" s="10" t="str">
        <x:v>Contas a Receber</x:v>
      </x:c>
    </x:row>
    <x:row r="823" ht="18" customHeight="1">
      <x:c r="A823" s="10" t="str">
        <x:v>MOV000854</x:v>
      </x:c>
      <x:c r="B823" s="16" t="n">
        <x:v>45654.108907939815</x:v>
      </x:c>
      <x:c r="C823" s="10" t="str">
        <x:v>EMP001</x:v>
      </x:c>
      <x:c r="D823" s="10" t="str">
        <x:v>CTA001</x:v>
      </x:c>
      <x:c r="E823" s="10" t="str">
        <x:v>Entrada</x:v>
      </x:c>
      <x:c r="F823" s="10" t="str">
        <x:v>CAT003</x:v>
      </x:c>
      <x:c r="G823" s="10" t="str">
        <x:v>Venda de produtos</x:v>
      </x:c>
      <x:c r="H823" s="10" t="str">
        <x:v>REC00123</x:v>
      </x:c>
      <x:c r="I823" s="20" t="n">
        <x:v>60102.31</x:v>
      </x:c>
      <x:c r="J823" s="20" t="n">
        <x:v>60102.31</x:v>
      </x:c>
      <x:c r="K823" s="10" t="str">
        <x:v>Realizado</x:v>
      </x:c>
      <x:c r="L823" s="10" t="str">
        <x:v>Contas a Receber</x:v>
      </x:c>
    </x:row>
    <x:row r="824" ht="18" customHeight="1">
      <x:c r="A824" s="10" t="str">
        <x:v>MOV001501</x:v>
      </x:c>
      <x:c r="B824" s="16" t="n">
        <x:v>45654.134298171295</x:v>
      </x:c>
      <x:c r="C824" s="10" t="str">
        <x:v>EMP002</x:v>
      </x:c>
      <x:c r="D824" s="10" t="str">
        <x:v>CTA003</x:v>
      </x:c>
      <x:c r="E824" s="10" t="str">
        <x:v>Entrada</x:v>
      </x:c>
      <x:c r="F824" s="10" t="str">
        <x:v>CAT002</x:v>
      </x:c>
      <x:c r="G824" s="10" t="str">
        <x:v>Projeto especial</x:v>
      </x:c>
      <x:c r="H824" s="10" t="str">
        <x:v>REC00909</x:v>
      </x:c>
      <x:c r="I824" s="20" t="n">
        <x:v>2358.72</x:v>
      </x:c>
      <x:c r="J824" s="20" t="n">
        <x:v>2358.72</x:v>
      </x:c>
      <x:c r="K824" s="10" t="str">
        <x:v>Realizado</x:v>
      </x:c>
      <x:c r="L824" s="10" t="str">
        <x:v>Contas a Receber</x:v>
      </x:c>
    </x:row>
    <x:row r="825" ht="18" customHeight="1">
      <x:c r="A825" s="10" t="str">
        <x:v>MOV001352</x:v>
      </x:c>
      <x:c r="B825" s="16" t="n">
        <x:v>45654.14872693287</x:v>
      </x:c>
      <x:c r="C825" s="10" t="str">
        <x:v>EMP001</x:v>
      </x:c>
      <x:c r="D825" s="10" t="str">
        <x:v>CTA001</x:v>
      </x:c>
      <x:c r="E825" s="10" t="str">
        <x:v>Entrada</x:v>
      </x:c>
      <x:c r="F825" s="10" t="str">
        <x:v>CAT001</x:v>
      </x:c>
      <x:c r="G825" s="10" t="str">
        <x:v>Projeto especial</x:v>
      </x:c>
      <x:c r="H825" s="10" t="str">
        <x:v>REC00719</x:v>
      </x:c>
      <x:c r="I825" s="20" t="n">
        <x:v>146837.05</x:v>
      </x:c>
      <x:c r="J825" s="20" t="n">
        <x:v>146837.05</x:v>
      </x:c>
      <x:c r="K825" s="10" t="str">
        <x:v>Realizado</x:v>
      </x:c>
      <x:c r="L825" s="10" t="str">
        <x:v>Contas a Receber</x:v>
      </x:c>
    </x:row>
    <x:row r="826" ht="18" customHeight="1">
      <x:c r="A826" s="10" t="str">
        <x:v>MOV000444</x:v>
      </x:c>
      <x:c r="B826" s="16" t="n">
        <x:v>45654.2258896875</x:v>
      </x:c>
      <x:c r="C826" s="10" t="str">
        <x:v>EMP003</x:v>
      </x:c>
      <x:c r="D826" s="10" t="str">
        <x:v>CTA005</x:v>
      </x:c>
      <x:c r="E826" s="10" t="str">
        <x:v>Saída</x:v>
      </x:c>
      <x:c r="F826" s="10" t="str">
        <x:v>CAT006</x:v>
      </x:c>
      <x:c r="G826" s="10" t="str">
        <x:v>Contrato recorrente</x:v>
      </x:c>
      <x:c r="H826" s="10" t="str">
        <x:v>PAG00520</x:v>
      </x:c>
      <x:c r="I826" s="20" t="n">
        <x:v>12811.82</x:v>
      </x:c>
      <x:c r="J826" s="20" t="n">
        <x:v>-12811.82</x:v>
      </x:c>
      <x:c r="K826" s="10" t="str">
        <x:v>Realizado</x:v>
      </x:c>
      <x:c r="L826" s="10" t="str">
        <x:v>Contas a Pagar</x:v>
      </x:c>
    </x:row>
    <x:row r="827" ht="18" customHeight="1">
      <x:c r="A827" s="10" t="str">
        <x:v>MOV000456</x:v>
      </x:c>
      <x:c r="B827" s="16" t="n">
        <x:v>45654.69409824074</x:v>
      </x:c>
      <x:c r="C827" s="10" t="str">
        <x:v>EMP003</x:v>
      </x:c>
      <x:c r="D827" s="10" t="str">
        <x:v>CTA005</x:v>
      </x:c>
      <x:c r="E827" s="10" t="str">
        <x:v>Saída</x:v>
      </x:c>
      <x:c r="F827" s="10" t="str">
        <x:v>CAT014</x:v>
      </x:c>
      <x:c r="G827" s="10" t="str">
        <x:v>Prestação de serviços</x:v>
      </x:c>
      <x:c r="H827" s="10" t="str">
        <x:v>PAG00535</x:v>
      </x:c>
      <x:c r="I827" s="20" t="n">
        <x:v>88937.93</x:v>
      </x:c>
      <x:c r="J827" s="20" t="n">
        <x:v>-88937.93</x:v>
      </x:c>
      <x:c r="K827" s="10" t="str">
        <x:v>Realizado</x:v>
      </x:c>
      <x:c r="L827" s="10" t="str">
        <x:v>Contas a Pagar</x:v>
      </x:c>
    </x:row>
    <x:row r="828" ht="18" customHeight="1">
      <x:c r="A828" s="10" t="str">
        <x:v>MOV000850</x:v>
      </x:c>
      <x:c r="B828" s="16" t="n">
        <x:v>45655.179619490744</x:v>
      </x:c>
      <x:c r="C828" s="10" t="str">
        <x:v>EMP002</x:v>
      </x:c>
      <x:c r="D828" s="10" t="str">
        <x:v>CTA004</x:v>
      </x:c>
      <x:c r="E828" s="10" t="str">
        <x:v>Entrada</x:v>
      </x:c>
      <x:c r="F828" s="10" t="str">
        <x:v>CAT003</x:v>
      </x:c>
      <x:c r="G828" s="10" t="str">
        <x:v>Frete faturado</x:v>
      </x:c>
      <x:c r="H828" s="10" t="str">
        <x:v>REC00119</x:v>
      </x:c>
      <x:c r="I828" s="20" t="n">
        <x:v>30165.12</x:v>
      </x:c>
      <x:c r="J828" s="20" t="n">
        <x:v>30165.12</x:v>
      </x:c>
      <x:c r="K828" s="10" t="str">
        <x:v>Realizado</x:v>
      </x:c>
      <x:c r="L828" s="10" t="str">
        <x:v>Contas a Receber</x:v>
      </x:c>
    </x:row>
    <x:row r="829" ht="18" customHeight="1">
      <x:c r="A829" s="10" t="str">
        <x:v>MOV000189</x:v>
      </x:c>
      <x:c r="B829" s="16" t="n">
        <x:v>45655.69891009259</x:v>
      </x:c>
      <x:c r="C829" s="10" t="str">
        <x:v>EMP001</x:v>
      </x:c>
      <x:c r="D829" s="10" t="str">
        <x:v>CTA001</x:v>
      </x:c>
      <x:c r="E829" s="10" t="str">
        <x:v>Saída</x:v>
      </x:c>
      <x:c r="F829" s="10" t="str">
        <x:v>CAT010</x:v>
      </x:c>
      <x:c r="G829" s="10" t="str">
        <x:v>Compra de materiais</x:v>
      </x:c>
      <x:c r="H829" s="10" t="str">
        <x:v>PAG00222</x:v>
      </x:c>
      <x:c r="I829" s="20" t="n">
        <x:v>80895.57</x:v>
      </x:c>
      <x:c r="J829" s="20" t="n">
        <x:v>-80895.57</x:v>
      </x:c>
      <x:c r="K829" s="10" t="str">
        <x:v>Realizado</x:v>
      </x:c>
      <x:c r="L829" s="10" t="str">
        <x:v>Contas a Pagar</x:v>
      </x:c>
    </x:row>
    <x:row r="830" ht="18" customHeight="1">
      <x:c r="A830" s="10" t="str">
        <x:v>MOV001075</x:v>
      </x:c>
      <x:c r="B830" s="16" t="n">
        <x:v>45657.04238245371</x:v>
      </x:c>
      <x:c r="C830" s="10" t="str">
        <x:v>EMP003</x:v>
      </x:c>
      <x:c r="D830" s="10" t="str">
        <x:v>CTA005</x:v>
      </x:c>
      <x:c r="E830" s="10" t="str">
        <x:v>Entrada</x:v>
      </x:c>
      <x:c r="F830" s="10" t="str">
        <x:v>CAT003</x:v>
      </x:c>
      <x:c r="G830" s="10" t="str">
        <x:v>Contrato mensal</x:v>
      </x:c>
      <x:c r="H830" s="10" t="str">
        <x:v>REC00396</x:v>
      </x:c>
      <x:c r="I830" s="20" t="n">
        <x:v>140353.67</x:v>
      </x:c>
      <x:c r="J830" s="20" t="n">
        <x:v>140353.67</x:v>
      </x:c>
      <x:c r="K830" s="10" t="str">
        <x:v>Realizado</x:v>
      </x:c>
      <x:c r="L830" s="10" t="str">
        <x:v>Contas a Receber</x:v>
      </x:c>
    </x:row>
    <x:row r="831" ht="18" customHeight="1">
      <x:c r="A831" s="10" t="str">
        <x:v>MOV000801</x:v>
      </x:c>
      <x:c r="B831" s="16" t="n">
        <x:v>45657.64333587963</x:v>
      </x:c>
      <x:c r="C831" s="10" t="str">
        <x:v>EMP001</x:v>
      </x:c>
      <x:c r="D831" s="10" t="str">
        <x:v>CTA001</x:v>
      </x:c>
      <x:c r="E831" s="10" t="str">
        <x:v>Entrada</x:v>
      </x:c>
      <x:c r="F831" s="10" t="str">
        <x:v>CAT004</x:v>
      </x:c>
      <x:c r="G831" s="10" t="str">
        <x:v>Venda de produtos</x:v>
      </x:c>
      <x:c r="H831" s="10" t="str">
        <x:v>REC00059</x:v>
      </x:c>
      <x:c r="I831" s="20" t="n">
        <x:v>111734.59</x:v>
      </x:c>
      <x:c r="J831" s="20" t="n">
        <x:v>111734.59</x:v>
      </x:c>
      <x:c r="K831" s="10" t="str">
        <x:v>Realizado</x:v>
      </x:c>
      <x:c r="L831" s="10" t="str">
        <x:v>Contas a Receber</x:v>
      </x:c>
    </x:row>
    <x:row r="832" ht="18" customHeight="1">
      <x:c r="A832" s="10" t="str">
        <x:v>MOV000786</x:v>
      </x:c>
      <x:c r="B832" s="16" t="n">
        <x:v>45658.12129525463</x:v>
      </x:c>
      <x:c r="C832" s="10" t="str">
        <x:v>EMP002</x:v>
      </x:c>
      <x:c r="D832" s="10" t="str">
        <x:v>CTA003</x:v>
      </x:c>
      <x:c r="E832" s="10" t="str">
        <x:v>Entrada</x:v>
      </x:c>
      <x:c r="F832" s="10" t="str">
        <x:v>CAT001</x:v>
      </x:c>
      <x:c r="G832" s="10" t="str">
        <x:v>Prestação de serviços</x:v>
      </x:c>
      <x:c r="H832" s="10" t="str">
        <x:v>REC00042</x:v>
      </x:c>
      <x:c r="I832" s="20" t="n">
        <x:v>9328.35</x:v>
      </x:c>
      <x:c r="J832" s="20" t="n">
        <x:v>9328.35</x:v>
      </x:c>
      <x:c r="K832" s="10" t="str">
        <x:v>Realizado</x:v>
      </x:c>
      <x:c r="L832" s="10" t="str">
        <x:v>Contas a Receber</x:v>
      </x:c>
    </x:row>
    <x:row r="833" ht="18" customHeight="1">
      <x:c r="A833" s="10" t="str">
        <x:v>MOV001143</x:v>
      </x:c>
      <x:c r="B833" s="16" t="n">
        <x:v>45658.25540642361</x:v>
      </x:c>
      <x:c r="C833" s="10" t="str">
        <x:v>EMP003</x:v>
      </x:c>
      <x:c r="D833" s="10" t="str">
        <x:v>CTA006</x:v>
      </x:c>
      <x:c r="E833" s="10" t="str">
        <x:v>Entrada</x:v>
      </x:c>
      <x:c r="F833" s="10" t="str">
        <x:v>CAT002</x:v>
      </x:c>
      <x:c r="G833" s="10" t="str">
        <x:v>Projeto especial</x:v>
      </x:c>
      <x:c r="H833" s="10" t="str">
        <x:v>REC00475</x:v>
      </x:c>
      <x:c r="I833" s="20" t="n">
        <x:v>29756.9</x:v>
      </x:c>
      <x:c r="J833" s="20" t="n">
        <x:v>29756.9</x:v>
      </x:c>
      <x:c r="K833" s="10" t="str">
        <x:v>Realizado</x:v>
      </x:c>
      <x:c r="L833" s="10" t="str">
        <x:v>Contas a Receber</x:v>
      </x:c>
    </x:row>
    <x:row r="834" ht="18" customHeight="1">
      <x:c r="A834" s="10" t="str">
        <x:v>MOV001242</x:v>
      </x:c>
      <x:c r="B834" s="16" t="n">
        <x:v>45659.60175326389</x:v>
      </x:c>
      <x:c r="C834" s="10" t="str">
        <x:v>EMP001</x:v>
      </x:c>
      <x:c r="D834" s="10" t="str">
        <x:v>CTA001</x:v>
      </x:c>
      <x:c r="E834" s="10" t="str">
        <x:v>Entrada</x:v>
      </x:c>
      <x:c r="F834" s="10" t="str">
        <x:v>CAT004</x:v>
      </x:c>
      <x:c r="G834" s="10" t="str">
        <x:v>Contrato mensal</x:v>
      </x:c>
      <x:c r="H834" s="10" t="str">
        <x:v>REC00594</x:v>
      </x:c>
      <x:c r="I834" s="20" t="n">
        <x:v>52916.82</x:v>
      </x:c>
      <x:c r="J834" s="20" t="n">
        <x:v>52916.82</x:v>
      </x:c>
      <x:c r="K834" s="10" t="str">
        <x:v>Realizado</x:v>
      </x:c>
      <x:c r="L834" s="10" t="str">
        <x:v>Contas a Receber</x:v>
      </x:c>
    </x:row>
    <x:row r="835" ht="18" customHeight="1">
      <x:c r="A835" s="10" t="str">
        <x:v>MOV000761</x:v>
      </x:c>
      <x:c r="B835" s="16" t="n">
        <x:v>45659.6312015625</x:v>
      </x:c>
      <x:c r="C835" s="10" t="str">
        <x:v>EMP002</x:v>
      </x:c>
      <x:c r="D835" s="10" t="str">
        <x:v>CTA004</x:v>
      </x:c>
      <x:c r="E835" s="10" t="str">
        <x:v>Entrada</x:v>
      </x:c>
      <x:c r="F835" s="10" t="str">
        <x:v>CAT002</x:v>
      </x:c>
      <x:c r="G835" s="10" t="str">
        <x:v>Venda de produtos</x:v>
      </x:c>
      <x:c r="H835" s="10" t="str">
        <x:v>REC00004</x:v>
      </x:c>
      <x:c r="I835" s="20" t="n">
        <x:v>60049.49</x:v>
      </x:c>
      <x:c r="J835" s="20" t="n">
        <x:v>60049.49</x:v>
      </x:c>
      <x:c r="K835" s="10" t="str">
        <x:v>Realizado</x:v>
      </x:c>
      <x:c r="L835" s="10" t="str">
        <x:v>Contas a Receber</x:v>
      </x:c>
    </x:row>
    <x:row r="836" ht="18" customHeight="1">
      <x:c r="A836" s="10" t="str">
        <x:v>MOV001468</x:v>
      </x:c>
      <x:c r="B836" s="16" t="n">
        <x:v>45660.21868392361</x:v>
      </x:c>
      <x:c r="C836" s="10" t="str">
        <x:v>EMP001</x:v>
      </x:c>
      <x:c r="D836" s="10" t="str">
        <x:v>CTA002</x:v>
      </x:c>
      <x:c r="E836" s="10" t="str">
        <x:v>Entrada</x:v>
      </x:c>
      <x:c r="F836" s="10" t="str">
        <x:v>CAT002</x:v>
      </x:c>
      <x:c r="G836" s="10" t="str">
        <x:v>Projeto especial</x:v>
      </x:c>
      <x:c r="H836" s="10" t="str">
        <x:v>REC00866</x:v>
      </x:c>
      <x:c r="I836" s="20" t="n">
        <x:v>15191.64</x:v>
      </x:c>
      <x:c r="J836" s="20" t="n">
        <x:v>15191.64</x:v>
      </x:c>
      <x:c r="K836" s="10" t="str">
        <x:v>Realizado</x:v>
      </x:c>
      <x:c r="L836" s="10" t="str">
        <x:v>Contas a Receber</x:v>
      </x:c>
    </x:row>
    <x:row r="837" ht="18" customHeight="1">
      <x:c r="A837" s="10" t="str">
        <x:v>MOV000963</x:v>
      </x:c>
      <x:c r="B837" s="16" t="n">
        <x:v>45661.47658229167</x:v>
      </x:c>
      <x:c r="C837" s="10" t="str">
        <x:v>EMP002</x:v>
      </x:c>
      <x:c r="D837" s="10" t="str">
        <x:v>CTA003</x:v>
      </x:c>
      <x:c r="E837" s="10" t="str">
        <x:v>Entrada</x:v>
      </x:c>
      <x:c r="F837" s="10" t="str">
        <x:v>CAT003</x:v>
      </x:c>
      <x:c r="G837" s="10" t="str">
        <x:v>Prestação de serviços</x:v>
      </x:c>
      <x:c r="H837" s="10" t="str">
        <x:v>REC00250</x:v>
      </x:c>
      <x:c r="I837" s="20" t="n">
        <x:v>2039.53</x:v>
      </x:c>
      <x:c r="J837" s="20" t="n">
        <x:v>2039.53</x:v>
      </x:c>
      <x:c r="K837" s="10" t="str">
        <x:v>Realizado</x:v>
      </x:c>
      <x:c r="L837" s="10" t="str">
        <x:v>Contas a Receber</x:v>
      </x:c>
    </x:row>
    <x:row r="838" ht="18" customHeight="1">
      <x:c r="A838" s="10" t="str">
        <x:v>MOV000861</x:v>
      </x:c>
      <x:c r="B838" s="16" t="n">
        <x:v>45661.52809505787</x:v>
      </x:c>
      <x:c r="C838" s="10" t="str">
        <x:v>EMP002</x:v>
      </x:c>
      <x:c r="D838" s="10" t="str">
        <x:v>CTA003</x:v>
      </x:c>
      <x:c r="E838" s="10" t="str">
        <x:v>Entrada</x:v>
      </x:c>
      <x:c r="F838" s="10" t="str">
        <x:v>CAT001</x:v>
      </x:c>
      <x:c r="G838" s="10" t="str">
        <x:v>Frete faturado</x:v>
      </x:c>
      <x:c r="H838" s="10" t="str">
        <x:v>REC00131</x:v>
      </x:c>
      <x:c r="I838" s="20" t="n">
        <x:v>124080.1</x:v>
      </x:c>
      <x:c r="J838" s="20" t="n">
        <x:v>124080.1</x:v>
      </x:c>
      <x:c r="K838" s="10" t="str">
        <x:v>Realizado</x:v>
      </x:c>
      <x:c r="L838" s="10" t="str">
        <x:v>Contas a Receber</x:v>
      </x:c>
    </x:row>
    <x:row r="839" ht="18" customHeight="1">
      <x:c r="A839" s="10" t="str">
        <x:v>MOV001350</x:v>
      </x:c>
      <x:c r="B839" s="16" t="n">
        <x:v>45662.318849780095</x:v>
      </x:c>
      <x:c r="C839" s="10" t="str">
        <x:v>EMP003</x:v>
      </x:c>
      <x:c r="D839" s="10" t="str">
        <x:v>CTA005</x:v>
      </x:c>
      <x:c r="E839" s="10" t="str">
        <x:v>Entrada</x:v>
      </x:c>
      <x:c r="F839" s="10" t="str">
        <x:v>CAT003</x:v>
      </x:c>
      <x:c r="G839" s="10" t="str">
        <x:v>Frete faturado</x:v>
      </x:c>
      <x:c r="H839" s="10" t="str">
        <x:v>REC00717</x:v>
      </x:c>
      <x:c r="I839" s="20" t="n">
        <x:v>30058.07</x:v>
      </x:c>
      <x:c r="J839" s="20" t="n">
        <x:v>30058.07</x:v>
      </x:c>
      <x:c r="K839" s="10" t="str">
        <x:v>Realizado</x:v>
      </x:c>
      <x:c r="L839" s="10" t="str">
        <x:v>Contas a Receber</x:v>
      </x:c>
    </x:row>
    <x:row r="840" ht="18" customHeight="1">
      <x:c r="A840" s="10" t="str">
        <x:v>MOV001423</x:v>
      </x:c>
      <x:c r="B840" s="16" t="n">
        <x:v>45663.74845954861</x:v>
      </x:c>
      <x:c r="C840" s="10" t="str">
        <x:v>EMP001</x:v>
      </x:c>
      <x:c r="D840" s="10" t="str">
        <x:v>CTA002</x:v>
      </x:c>
      <x:c r="E840" s="10" t="str">
        <x:v>Entrada</x:v>
      </x:c>
      <x:c r="F840" s="10" t="str">
        <x:v>CAT004</x:v>
      </x:c>
      <x:c r="G840" s="10" t="str">
        <x:v>Venda de produtos</x:v>
      </x:c>
      <x:c r="H840" s="10" t="str">
        <x:v>REC00813</x:v>
      </x:c>
      <x:c r="I840" s="20" t="n">
        <x:v>59943.08</x:v>
      </x:c>
      <x:c r="J840" s="20" t="n">
        <x:v>59943.08</x:v>
      </x:c>
      <x:c r="K840" s="10" t="str">
        <x:v>Realizado</x:v>
      </x:c>
      <x:c r="L840" s="10" t="str">
        <x:v>Contas a Receber</x:v>
      </x:c>
    </x:row>
    <x:row r="841" ht="18" customHeight="1">
      <x:c r="A841" s="10" t="str">
        <x:v>MOV001239</x:v>
      </x:c>
      <x:c r="B841" s="16" t="n">
        <x:v>45664.31501890047</x:v>
      </x:c>
      <x:c r="C841" s="10" t="str">
        <x:v>EMP002</x:v>
      </x:c>
      <x:c r="D841" s="10" t="str">
        <x:v>CTA004</x:v>
      </x:c>
      <x:c r="E841" s="10" t="str">
        <x:v>Entrada</x:v>
      </x:c>
      <x:c r="F841" s="10" t="str">
        <x:v>CAT003</x:v>
      </x:c>
      <x:c r="G841" s="10" t="str">
        <x:v>Projeto especial</x:v>
      </x:c>
      <x:c r="H841" s="10" t="str">
        <x:v>REC00591</x:v>
      </x:c>
      <x:c r="I841" s="20" t="n">
        <x:v>98789.58</x:v>
      </x:c>
      <x:c r="J841" s="20" t="n">
        <x:v>98789.58</x:v>
      </x:c>
      <x:c r="K841" s="10" t="str">
        <x:v>Realizado</x:v>
      </x:c>
      <x:c r="L841" s="10" t="str">
        <x:v>Contas a Receber</x:v>
      </x:c>
    </x:row>
    <x:row r="842" ht="18" customHeight="1">
      <x:c r="A842" s="10" t="str">
        <x:v>MOV000271</x:v>
      </x:c>
      <x:c r="B842" s="16" t="n">
        <x:v>45664.35365324074</x:v>
      </x:c>
      <x:c r="C842" s="10" t="str">
        <x:v>EMP002</x:v>
      </x:c>
      <x:c r="D842" s="10" t="str">
        <x:v>CTA003</x:v>
      </x:c>
      <x:c r="E842" s="10" t="str">
        <x:v>Saída</x:v>
      </x:c>
      <x:c r="F842" s="10" t="str">
        <x:v>CAT008</x:v>
      </x:c>
      <x:c r="G842" s="10" t="str">
        <x:v>Despesa operacional</x:v>
      </x:c>
      <x:c r="H842" s="10" t="str">
        <x:v>PAG00315</x:v>
      </x:c>
      <x:c r="I842" s="20" t="n">
        <x:v>55254.31</x:v>
      </x:c>
      <x:c r="J842" s="20" t="n">
        <x:v>-55254.31</x:v>
      </x:c>
      <x:c r="K842" s="10" t="str">
        <x:v>Realizado</x:v>
      </x:c>
      <x:c r="L842" s="10" t="str">
        <x:v>Contas a Pagar</x:v>
      </x:c>
    </x:row>
    <x:row r="843" ht="18" customHeight="1">
      <x:c r="A843" s="10" t="str">
        <x:v>MOV001370</x:v>
      </x:c>
      <x:c r="B843" s="16" t="n">
        <x:v>45664.75926372685</x:v>
      </x:c>
      <x:c r="C843" s="10" t="str">
        <x:v>EMP001</x:v>
      </x:c>
      <x:c r="D843" s="10" t="str">
        <x:v>CTA002</x:v>
      </x:c>
      <x:c r="E843" s="10" t="str">
        <x:v>Entrada</x:v>
      </x:c>
      <x:c r="F843" s="10" t="str">
        <x:v>CAT004</x:v>
      </x:c>
      <x:c r="G843" s="10" t="str">
        <x:v>Projeto especial</x:v>
      </x:c>
      <x:c r="H843" s="10" t="str">
        <x:v>REC00740</x:v>
      </x:c>
      <x:c r="I843" s="20" t="n">
        <x:v>136029.37</x:v>
      </x:c>
      <x:c r="J843" s="20" t="n">
        <x:v>136029.37</x:v>
      </x:c>
      <x:c r="K843" s="10" t="str">
        <x:v>Realizado</x:v>
      </x:c>
      <x:c r="L843" s="10" t="str">
        <x:v>Contas a Receber</x:v>
      </x:c>
    </x:row>
    <x:row r="844" ht="18" customHeight="1">
      <x:c r="A844" s="10" t="str">
        <x:v>MOV001610</x:v>
      </x:c>
      <x:c r="B844" s="16" t="n">
        <x:v>45664.86704388889</x:v>
      </x:c>
      <x:c r="C844" s="10" t="str">
        <x:v>EMP001</x:v>
      </x:c>
      <x:c r="D844" s="10" t="str">
        <x:v>CTA002</x:v>
      </x:c>
      <x:c r="E844" s="10" t="str">
        <x:v>Entrada</x:v>
      </x:c>
      <x:c r="F844" s="10" t="str">
        <x:v>CAT001</x:v>
      </x:c>
      <x:c r="G844" s="10" t="str">
        <x:v>Venda de produtos</x:v>
      </x:c>
      <x:c r="H844" s="10" t="str">
        <x:v>REC01039</x:v>
      </x:c>
      <x:c r="I844" s="20" t="n">
        <x:v>5495.88</x:v>
      </x:c>
      <x:c r="J844" s="20" t="n">
        <x:v>5495.88</x:v>
      </x:c>
      <x:c r="K844" s="10" t="str">
        <x:v>Realizado</x:v>
      </x:c>
      <x:c r="L844" s="10" t="str">
        <x:v>Contas a Receber</x:v>
      </x:c>
    </x:row>
    <x:row r="845" ht="18" customHeight="1">
      <x:c r="A845" s="10" t="str">
        <x:v>MOV000698</x:v>
      </x:c>
      <x:c r="B845" s="16" t="n">
        <x:v>45666.140309201386</x:v>
      </x:c>
      <x:c r="C845" s="10" t="str">
        <x:v>EMP003</x:v>
      </x:c>
      <x:c r="D845" s="10" t="str">
        <x:v>CTA006</x:v>
      </x:c>
      <x:c r="E845" s="10" t="str">
        <x:v>Saída</x:v>
      </x:c>
      <x:c r="F845" s="10" t="str">
        <x:v>CAT018</x:v>
      </x:c>
      <x:c r="G845" s="10" t="str">
        <x:v>Contrato recorrente</x:v>
      </x:c>
      <x:c r="H845" s="10" t="str">
        <x:v>PAG00828</x:v>
      </x:c>
      <x:c r="I845" s="20" t="n">
        <x:v>57018.87</x:v>
      </x:c>
      <x:c r="J845" s="20" t="n">
        <x:v>-57018.87</x:v>
      </x:c>
      <x:c r="K845" s="10" t="str">
        <x:v>Realizado</x:v>
      </x:c>
      <x:c r="L845" s="10" t="str">
        <x:v>Contas a Pagar</x:v>
      </x:c>
    </x:row>
    <x:row r="846" ht="18" customHeight="1">
      <x:c r="A846" s="10" t="str">
        <x:v>MOV001302</x:v>
      </x:c>
      <x:c r="B846" s="16" t="n">
        <x:v>45666.65416929398</x:v>
      </x:c>
      <x:c r="C846" s="10" t="str">
        <x:v>EMP003</x:v>
      </x:c>
      <x:c r="D846" s="10" t="str">
        <x:v>CTA005</x:v>
      </x:c>
      <x:c r="E846" s="10" t="str">
        <x:v>Entrada</x:v>
      </x:c>
      <x:c r="F846" s="10" t="str">
        <x:v>CAT004</x:v>
      </x:c>
      <x:c r="G846" s="10" t="str">
        <x:v>Prestação de serviços</x:v>
      </x:c>
      <x:c r="H846" s="10" t="str">
        <x:v>REC00664</x:v>
      </x:c>
      <x:c r="I846" s="20" t="n">
        <x:v>8182.23</x:v>
      </x:c>
      <x:c r="J846" s="20" t="n">
        <x:v>8182.23</x:v>
      </x:c>
      <x:c r="K846" s="10" t="str">
        <x:v>Realizado</x:v>
      </x:c>
      <x:c r="L846" s="10" t="str">
        <x:v>Contas a Receber</x:v>
      </x:c>
    </x:row>
    <x:row r="847" ht="18" customHeight="1">
      <x:c r="A847" s="10" t="str">
        <x:v>MOV001436</x:v>
      </x:c>
      <x:c r="B847" s="16" t="n">
        <x:v>45667.54108282407</x:v>
      </x:c>
      <x:c r="C847" s="10" t="str">
        <x:v>EMP001</x:v>
      </x:c>
      <x:c r="D847" s="10" t="str">
        <x:v>CTA001</x:v>
      </x:c>
      <x:c r="E847" s="10" t="str">
        <x:v>Entrada</x:v>
      </x:c>
      <x:c r="F847" s="10" t="str">
        <x:v>CAT004</x:v>
      </x:c>
      <x:c r="G847" s="10" t="str">
        <x:v>Contrato mensal</x:v>
      </x:c>
      <x:c r="H847" s="10" t="str">
        <x:v>REC00826</x:v>
      </x:c>
      <x:c r="I847" s="20" t="n">
        <x:v>11802.03</x:v>
      </x:c>
      <x:c r="J847" s="20" t="n">
        <x:v>11802.03</x:v>
      </x:c>
      <x:c r="K847" s="10" t="str">
        <x:v>Realizado</x:v>
      </x:c>
      <x:c r="L847" s="10" t="str">
        <x:v>Contas a Receber</x:v>
      </x:c>
    </x:row>
    <x:row r="848" ht="18" customHeight="1">
      <x:c r="A848" s="10" t="str">
        <x:v>MOV001277</x:v>
      </x:c>
      <x:c r="B848" s="16" t="n">
        <x:v>45668.66504675926</x:v>
      </x:c>
      <x:c r="C848" s="10" t="str">
        <x:v>EMP001</x:v>
      </x:c>
      <x:c r="D848" s="10" t="str">
        <x:v>CTA001</x:v>
      </x:c>
      <x:c r="E848" s="10" t="str">
        <x:v>Entrada</x:v>
      </x:c>
      <x:c r="F848" s="10" t="str">
        <x:v>CAT003</x:v>
      </x:c>
      <x:c r="G848" s="10" t="str">
        <x:v>Prestação de serviços</x:v>
      </x:c>
      <x:c r="H848" s="10" t="str">
        <x:v>REC00637</x:v>
      </x:c>
      <x:c r="I848" s="20" t="n">
        <x:v>125567.72</x:v>
      </x:c>
      <x:c r="J848" s="20" t="n">
        <x:v>125567.72</x:v>
      </x:c>
      <x:c r="K848" s="10" t="str">
        <x:v>Realizado</x:v>
      </x:c>
      <x:c r="L848" s="10" t="str">
        <x:v>Contas a Receber</x:v>
      </x:c>
    </x:row>
    <x:row r="849" ht="18" customHeight="1">
      <x:c r="A849" s="10" t="str">
        <x:v>MOV000600</x:v>
      </x:c>
      <x:c r="B849" s="16" t="n">
        <x:v>45668.726676956016</x:v>
      </x:c>
      <x:c r="C849" s="10" t="str">
        <x:v>EMP001</x:v>
      </x:c>
      <x:c r="D849" s="10" t="str">
        <x:v>CTA002</x:v>
      </x:c>
      <x:c r="E849" s="10" t="str">
        <x:v>Saída</x:v>
      </x:c>
      <x:c r="F849" s="10" t="str">
        <x:v>CAT008</x:v>
      </x:c>
      <x:c r="G849" s="10" t="str">
        <x:v>Despesa operacional</x:v>
      </x:c>
      <x:c r="H849" s="10" t="str">
        <x:v>PAG00710</x:v>
      </x:c>
      <x:c r="I849" s="20" t="n">
        <x:v>79136.63</x:v>
      </x:c>
      <x:c r="J849" s="20" t="n">
        <x:v>-79136.63</x:v>
      </x:c>
      <x:c r="K849" s="10" t="str">
        <x:v>Realizado</x:v>
      </x:c>
      <x:c r="L849" s="10" t="str">
        <x:v>Contas a Pagar</x:v>
      </x:c>
    </x:row>
    <x:row r="850" ht="18" customHeight="1">
      <x:c r="A850" s="10" t="str">
        <x:v>MOV000499</x:v>
      </x:c>
      <x:c r="B850" s="16" t="n">
        <x:v>45668.97284679398</x:v>
      </x:c>
      <x:c r="C850" s="10" t="str">
        <x:v>EMP002</x:v>
      </x:c>
      <x:c r="D850" s="10" t="str">
        <x:v>CTA003</x:v>
      </x:c>
      <x:c r="E850" s="10" t="str">
        <x:v>Saída</x:v>
      </x:c>
      <x:c r="F850" s="10" t="str">
        <x:v>CAT017</x:v>
      </x:c>
      <x:c r="G850" s="10" t="str">
        <x:v>Despesa operacional</x:v>
      </x:c>
      <x:c r="H850" s="10" t="str">
        <x:v>PAG00584</x:v>
      </x:c>
      <x:c r="I850" s="20" t="n">
        <x:v>29839</x:v>
      </x:c>
      <x:c r="J850" s="20" t="n">
        <x:v>-29839</x:v>
      </x:c>
      <x:c r="K850" s="10" t="str">
        <x:v>Realizado</x:v>
      </x:c>
      <x:c r="L850" s="10" t="str">
        <x:v>Contas a Pagar</x:v>
      </x:c>
    </x:row>
    <x:row r="851" ht="18" customHeight="1">
      <x:c r="A851" s="10" t="str">
        <x:v>MOV000415</x:v>
      </x:c>
      <x:c r="B851" s="16" t="n">
        <x:v>45669.29651893518</x:v>
      </x:c>
      <x:c r="C851" s="10" t="str">
        <x:v>EMP003</x:v>
      </x:c>
      <x:c r="D851" s="10" t="str">
        <x:v>CTA005</x:v>
      </x:c>
      <x:c r="E851" s="10" t="str">
        <x:v>Saída</x:v>
      </x:c>
      <x:c r="F851" s="10" t="str">
        <x:v>CAT006</x:v>
      </x:c>
      <x:c r="G851" s="10" t="str">
        <x:v>Contrato recorrente</x:v>
      </x:c>
      <x:c r="H851" s="10" t="str">
        <x:v>PAG00484</x:v>
      </x:c>
      <x:c r="I851" s="20" t="n">
        <x:v>47665.43</x:v>
      </x:c>
      <x:c r="J851" s="20" t="n">
        <x:v>-47665.43</x:v>
      </x:c>
      <x:c r="K851" s="10" t="str">
        <x:v>Realizado</x:v>
      </x:c>
      <x:c r="L851" s="10" t="str">
        <x:v>Contas a Pagar</x:v>
      </x:c>
    </x:row>
    <x:row r="852" ht="18" customHeight="1">
      <x:c r="A852" s="10" t="str">
        <x:v>MOV000953</x:v>
      </x:c>
      <x:c r="B852" s="16" t="n">
        <x:v>45669.880899780095</x:v>
      </x:c>
      <x:c r="C852" s="10" t="str">
        <x:v>EMP001</x:v>
      </x:c>
      <x:c r="D852" s="10" t="str">
        <x:v>CTA002</x:v>
      </x:c>
      <x:c r="E852" s="10" t="str">
        <x:v>Entrada</x:v>
      </x:c>
      <x:c r="F852" s="10" t="str">
        <x:v>CAT004</x:v>
      </x:c>
      <x:c r="G852" s="10" t="str">
        <x:v>Projeto especial</x:v>
      </x:c>
      <x:c r="H852" s="10" t="str">
        <x:v>REC00236</x:v>
      </x:c>
      <x:c r="I852" s="20" t="n">
        <x:v>71462.48</x:v>
      </x:c>
      <x:c r="J852" s="20" t="n">
        <x:v>71462.48</x:v>
      </x:c>
      <x:c r="K852" s="10" t="str">
        <x:v>Realizado</x:v>
      </x:c>
      <x:c r="L852" s="10" t="str">
        <x:v>Contas a Receber</x:v>
      </x:c>
    </x:row>
    <x:row r="853" ht="18" customHeight="1">
      <x:c r="A853" s="10" t="str">
        <x:v>MOV000461</x:v>
      </x:c>
      <x:c r="B853" s="16" t="n">
        <x:v>45669.93562793981</x:v>
      </x:c>
      <x:c r="C853" s="10" t="str">
        <x:v>EMP001</x:v>
      </x:c>
      <x:c r="D853" s="10" t="str">
        <x:v>CTA001</x:v>
      </x:c>
      <x:c r="E853" s="10" t="str">
        <x:v>Saída</x:v>
      </x:c>
      <x:c r="F853" s="10" t="str">
        <x:v>CAT012</x:v>
      </x:c>
      <x:c r="G853" s="10" t="str">
        <x:v>Compra de materiais</x:v>
      </x:c>
      <x:c r="H853" s="10" t="str">
        <x:v>PAG00540</x:v>
      </x:c>
      <x:c r="I853" s="20" t="n">
        <x:v>97744.04</x:v>
      </x:c>
      <x:c r="J853" s="20" t="n">
        <x:v>-97744.04</x:v>
      </x:c>
      <x:c r="K853" s="10" t="str">
        <x:v>Realizado</x:v>
      </x:c>
      <x:c r="L853" s="10" t="str">
        <x:v>Contas a Pagar</x:v>
      </x:c>
    </x:row>
    <x:row r="854" ht="18" customHeight="1">
      <x:c r="A854" s="10" t="str">
        <x:v>MOV000917</x:v>
      </x:c>
      <x:c r="B854" s="16" t="n">
        <x:v>45669.990339317126</x:v>
      </x:c>
      <x:c r="C854" s="10" t="str">
        <x:v>EMP002</x:v>
      </x:c>
      <x:c r="D854" s="10" t="str">
        <x:v>CTA004</x:v>
      </x:c>
      <x:c r="E854" s="10" t="str">
        <x:v>Entrada</x:v>
      </x:c>
      <x:c r="F854" s="10" t="str">
        <x:v>CAT003</x:v>
      </x:c>
      <x:c r="G854" s="10" t="str">
        <x:v>Contrato mensal</x:v>
      </x:c>
      <x:c r="H854" s="10" t="str">
        <x:v>REC00195</x:v>
      </x:c>
      <x:c r="I854" s="20" t="n">
        <x:v>66066.25</x:v>
      </x:c>
      <x:c r="J854" s="20" t="n">
        <x:v>66066.25</x:v>
      </x:c>
      <x:c r="K854" s="10" t="str">
        <x:v>Realizado</x:v>
      </x:c>
      <x:c r="L854" s="10" t="str">
        <x:v>Contas a Receber</x:v>
      </x:c>
    </x:row>
    <x:row r="855" ht="18" customHeight="1">
      <x:c r="A855" s="10" t="str">
        <x:v>MOV001634</x:v>
      </x:c>
      <x:c r="B855" s="16" t="n">
        <x:v>45670.717635347224</x:v>
      </x:c>
      <x:c r="C855" s="10" t="str">
        <x:v>EMP003</x:v>
      </x:c>
      <x:c r="D855" s="10" t="str">
        <x:v>CTA005</x:v>
      </x:c>
      <x:c r="E855" s="10" t="str">
        <x:v>Entrada</x:v>
      </x:c>
      <x:c r="F855" s="10" t="str">
        <x:v>CAT003</x:v>
      </x:c>
      <x:c r="G855" s="10" t="str">
        <x:v>Projeto especial</x:v>
      </x:c>
      <x:c r="H855" s="10" t="str">
        <x:v>REC01067</x:v>
      </x:c>
      <x:c r="I855" s="20" t="n">
        <x:v>68875.06</x:v>
      </x:c>
      <x:c r="J855" s="20" t="n">
        <x:v>68875.06</x:v>
      </x:c>
      <x:c r="K855" s="10" t="str">
        <x:v>Realizado</x:v>
      </x:c>
      <x:c r="L855" s="10" t="str">
        <x:v>Contas a Receber</x:v>
      </x:c>
    </x:row>
    <x:row r="856" ht="18" customHeight="1">
      <x:c r="A856" s="10" t="str">
        <x:v>MOV001306</x:v>
      </x:c>
      <x:c r="B856" s="16" t="n">
        <x:v>45671.051209895835</x:v>
      </x:c>
      <x:c r="C856" s="10" t="str">
        <x:v>EMP003</x:v>
      </x:c>
      <x:c r="D856" s="10" t="str">
        <x:v>CTA006</x:v>
      </x:c>
      <x:c r="E856" s="10" t="str">
        <x:v>Entrada</x:v>
      </x:c>
      <x:c r="F856" s="10" t="str">
        <x:v>CAT003</x:v>
      </x:c>
      <x:c r="G856" s="10" t="str">
        <x:v>Contrato mensal</x:v>
      </x:c>
      <x:c r="H856" s="10" t="str">
        <x:v>REC00669</x:v>
      </x:c>
      <x:c r="I856" s="20" t="n">
        <x:v>89996.94</x:v>
      </x:c>
      <x:c r="J856" s="20" t="n">
        <x:v>89996.94</x:v>
      </x:c>
      <x:c r="K856" s="10" t="str">
        <x:v>Realizado</x:v>
      </x:c>
      <x:c r="L856" s="10" t="str">
        <x:v>Contas a Receber</x:v>
      </x:c>
    </x:row>
    <x:row r="857" ht="18" customHeight="1">
      <x:c r="A857" s="10" t="str">
        <x:v>MOV001523</x:v>
      </x:c>
      <x:c r="B857" s="16" t="n">
        <x:v>45671.07490685185</x:v>
      </x:c>
      <x:c r="C857" s="10" t="str">
        <x:v>EMP003</x:v>
      </x:c>
      <x:c r="D857" s="10" t="str">
        <x:v>CTA005</x:v>
      </x:c>
      <x:c r="E857" s="10" t="str">
        <x:v>Entrada</x:v>
      </x:c>
      <x:c r="F857" s="10" t="str">
        <x:v>CAT001</x:v>
      </x:c>
      <x:c r="G857" s="10" t="str">
        <x:v>Prestação de serviços</x:v>
      </x:c>
      <x:c r="H857" s="10" t="str">
        <x:v>REC00935</x:v>
      </x:c>
      <x:c r="I857" s="20" t="n">
        <x:v>127692.21</x:v>
      </x:c>
      <x:c r="J857" s="20" t="n">
        <x:v>127692.21</x:v>
      </x:c>
      <x:c r="K857" s="10" t="str">
        <x:v>Realizado</x:v>
      </x:c>
      <x:c r="L857" s="10" t="str">
        <x:v>Contas a Receber</x:v>
      </x:c>
    </x:row>
    <x:row r="858" ht="18" customHeight="1">
      <x:c r="A858" s="10" t="str">
        <x:v>MOV000924</x:v>
      </x:c>
      <x:c r="B858" s="16" t="n">
        <x:v>45671.13117017361</x:v>
      </x:c>
      <x:c r="C858" s="10" t="str">
        <x:v>EMP001</x:v>
      </x:c>
      <x:c r="D858" s="10" t="str">
        <x:v>CTA002</x:v>
      </x:c>
      <x:c r="E858" s="10" t="str">
        <x:v>Entrada</x:v>
      </x:c>
      <x:c r="F858" s="10" t="str">
        <x:v>CAT004</x:v>
      </x:c>
      <x:c r="G858" s="10" t="str">
        <x:v>Frete faturado</x:v>
      </x:c>
      <x:c r="H858" s="10" t="str">
        <x:v>REC00202</x:v>
      </x:c>
      <x:c r="I858" s="20" t="n">
        <x:v>2242.82</x:v>
      </x:c>
      <x:c r="J858" s="20" t="n">
        <x:v>2242.82</x:v>
      </x:c>
      <x:c r="K858" s="10" t="str">
        <x:v>Realizado</x:v>
      </x:c>
      <x:c r="L858" s="10" t="str">
        <x:v>Contas a Receber</x:v>
      </x:c>
    </x:row>
    <x:row r="859" ht="18" customHeight="1">
      <x:c r="A859" s="10" t="str">
        <x:v>MOV001372</x:v>
      </x:c>
      <x:c r="B859" s="16" t="n">
        <x:v>45671.62486135417</x:v>
      </x:c>
      <x:c r="C859" s="10" t="str">
        <x:v>EMP001</x:v>
      </x:c>
      <x:c r="D859" s="10" t="str">
        <x:v>CTA001</x:v>
      </x:c>
      <x:c r="E859" s="10" t="str">
        <x:v>Entrada</x:v>
      </x:c>
      <x:c r="F859" s="10" t="str">
        <x:v>CAT002</x:v>
      </x:c>
      <x:c r="G859" s="10" t="str">
        <x:v>Venda de produtos</x:v>
      </x:c>
      <x:c r="H859" s="10" t="str">
        <x:v>REC00742</x:v>
      </x:c>
      <x:c r="I859" s="20" t="n">
        <x:v>2129.18</x:v>
      </x:c>
      <x:c r="J859" s="20" t="n">
        <x:v>2129.18</x:v>
      </x:c>
      <x:c r="K859" s="10" t="str">
        <x:v>Realizado</x:v>
      </x:c>
      <x:c r="L859" s="10" t="str">
        <x:v>Contas a Receber</x:v>
      </x:c>
    </x:row>
    <x:row r="860" ht="18" customHeight="1">
      <x:c r="A860" s="10" t="str">
        <x:v>MOV000047</x:v>
      </x:c>
      <x:c r="B860" s="16" t="n">
        <x:v>45671.627321168984</x:v>
      </x:c>
      <x:c r="C860" s="10" t="str">
        <x:v>EMP001</x:v>
      </x:c>
      <x:c r="D860" s="10" t="str">
        <x:v>CTA002</x:v>
      </x:c>
      <x:c r="E860" s="10" t="str">
        <x:v>Saída</x:v>
      </x:c>
      <x:c r="F860" s="10" t="str">
        <x:v>CAT017</x:v>
      </x:c>
      <x:c r="G860" s="10" t="str">
        <x:v>Despesa operacional</x:v>
      </x:c>
      <x:c r="H860" s="10" t="str">
        <x:v>PAG00047</x:v>
      </x:c>
      <x:c r="I860" s="20" t="n">
        <x:v>23615.24</x:v>
      </x:c>
      <x:c r="J860" s="20" t="n">
        <x:v>-23615.24</x:v>
      </x:c>
      <x:c r="K860" s="10" t="str">
        <x:v>Realizado</x:v>
      </x:c>
      <x:c r="L860" s="10" t="str">
        <x:v>Contas a Pagar</x:v>
      </x:c>
    </x:row>
    <x:row r="861" ht="18" customHeight="1">
      <x:c r="A861" s="10" t="str">
        <x:v>MOV000278</x:v>
      </x:c>
      <x:c r="B861" s="16" t="n">
        <x:v>45672.48106373843</x:v>
      </x:c>
      <x:c r="C861" s="10" t="str">
        <x:v>EMP003</x:v>
      </x:c>
      <x:c r="D861" s="10" t="str">
        <x:v>CTA005</x:v>
      </x:c>
      <x:c r="E861" s="10" t="str">
        <x:v>Saída</x:v>
      </x:c>
      <x:c r="F861" s="10" t="str">
        <x:v>CAT016</x:v>
      </x:c>
      <x:c r="G861" s="10" t="str">
        <x:v>Contrato recorrente</x:v>
      </x:c>
      <x:c r="H861" s="10" t="str">
        <x:v>PAG00323</x:v>
      </x:c>
      <x:c r="I861" s="20" t="n">
        <x:v>2194.3</x:v>
      </x:c>
      <x:c r="J861" s="20" t="n">
        <x:v>-2194.3</x:v>
      </x:c>
      <x:c r="K861" s="10" t="str">
        <x:v>Realizado</x:v>
      </x:c>
      <x:c r="L861" s="10" t="str">
        <x:v>Contas a Pagar</x:v>
      </x:c>
    </x:row>
    <x:row r="862" ht="18" customHeight="1">
      <x:c r="A862" s="10" t="str">
        <x:v>MOV001042</x:v>
      </x:c>
      <x:c r="B862" s="16" t="n">
        <x:v>45672.581729652775</x:v>
      </x:c>
      <x:c r="C862" s="10" t="str">
        <x:v>EMP003</x:v>
      </x:c>
      <x:c r="D862" s="10" t="str">
        <x:v>CTA006</x:v>
      </x:c>
      <x:c r="E862" s="10" t="str">
        <x:v>Entrada</x:v>
      </x:c>
      <x:c r="F862" s="10" t="str">
        <x:v>CAT001</x:v>
      </x:c>
      <x:c r="G862" s="10" t="str">
        <x:v>Projeto especial</x:v>
      </x:c>
      <x:c r="H862" s="10" t="str">
        <x:v>REC00352</x:v>
      </x:c>
      <x:c r="I862" s="20" t="n">
        <x:v>45718.9</x:v>
      </x:c>
      <x:c r="J862" s="20" t="n">
        <x:v>45718.9</x:v>
      </x:c>
      <x:c r="K862" s="10" t="str">
        <x:v>Realizado</x:v>
      </x:c>
      <x:c r="L862" s="10" t="str">
        <x:v>Contas a Receber</x:v>
      </x:c>
    </x:row>
    <x:row r="863" ht="18" customHeight="1">
      <x:c r="A863" s="10" t="str">
        <x:v>MOV001549</x:v>
      </x:c>
      <x:c r="B863" s="16" t="n">
        <x:v>45673.059083506945</x:v>
      </x:c>
      <x:c r="C863" s="10" t="str">
        <x:v>EMP003</x:v>
      </x:c>
      <x:c r="D863" s="10" t="str">
        <x:v>CTA005</x:v>
      </x:c>
      <x:c r="E863" s="10" t="str">
        <x:v>Entrada</x:v>
      </x:c>
      <x:c r="F863" s="10" t="str">
        <x:v>CAT004</x:v>
      </x:c>
      <x:c r="G863" s="10" t="str">
        <x:v>Frete faturado</x:v>
      </x:c>
      <x:c r="H863" s="10" t="str">
        <x:v>REC00966</x:v>
      </x:c>
      <x:c r="I863" s="20" t="n">
        <x:v>58467</x:v>
      </x:c>
      <x:c r="J863" s="20" t="n">
        <x:v>58467</x:v>
      </x:c>
      <x:c r="K863" s="10" t="str">
        <x:v>Realizado</x:v>
      </x:c>
      <x:c r="L863" s="10" t="str">
        <x:v>Contas a Receber</x:v>
      </x:c>
    </x:row>
    <x:row r="864" ht="18" customHeight="1">
      <x:c r="A864" s="10" t="str">
        <x:v>MOV001333</x:v>
      </x:c>
      <x:c r="B864" s="16" t="n">
        <x:v>45673.322733113426</x:v>
      </x:c>
      <x:c r="C864" s="10" t="str">
        <x:v>EMP001</x:v>
      </x:c>
      <x:c r="D864" s="10" t="str">
        <x:v>CTA001</x:v>
      </x:c>
      <x:c r="E864" s="10" t="str">
        <x:v>Entrada</x:v>
      </x:c>
      <x:c r="F864" s="10" t="str">
        <x:v>CAT001</x:v>
      </x:c>
      <x:c r="G864" s="10" t="str">
        <x:v>Frete faturado</x:v>
      </x:c>
      <x:c r="H864" s="10" t="str">
        <x:v>REC00699</x:v>
      </x:c>
      <x:c r="I864" s="20" t="n">
        <x:v>52844.06</x:v>
      </x:c>
      <x:c r="J864" s="20" t="n">
        <x:v>52844.06</x:v>
      </x:c>
      <x:c r="K864" s="10" t="str">
        <x:v>Realizado</x:v>
      </x:c>
      <x:c r="L864" s="10" t="str">
        <x:v>Contas a Receber</x:v>
      </x:c>
    </x:row>
    <x:row r="865" ht="18" customHeight="1">
      <x:c r="A865" s="10" t="str">
        <x:v>MOV001405</x:v>
      </x:c>
      <x:c r="B865" s="16" t="n">
        <x:v>45673.43437016204</x:v>
      </x:c>
      <x:c r="C865" s="10" t="str">
        <x:v>EMP003</x:v>
      </x:c>
      <x:c r="D865" s="10" t="str">
        <x:v>CTA006</x:v>
      </x:c>
      <x:c r="E865" s="10" t="str">
        <x:v>Entrada</x:v>
      </x:c>
      <x:c r="F865" s="10" t="str">
        <x:v>CAT002</x:v>
      </x:c>
      <x:c r="G865" s="10" t="str">
        <x:v>Contrato mensal</x:v>
      </x:c>
      <x:c r="H865" s="10" t="str">
        <x:v>REC00787</x:v>
      </x:c>
      <x:c r="I865" s="20" t="n">
        <x:v>64784.54</x:v>
      </x:c>
      <x:c r="J865" s="20" t="n">
        <x:v>64784.54</x:v>
      </x:c>
      <x:c r="K865" s="10" t="str">
        <x:v>Realizado</x:v>
      </x:c>
      <x:c r="L865" s="10" t="str">
        <x:v>Contas a Receber</x:v>
      </x:c>
    </x:row>
    <x:row r="866" ht="18" customHeight="1">
      <x:c r="A866" s="10" t="str">
        <x:v>MOV000426</x:v>
      </x:c>
      <x:c r="B866" s="16" t="n">
        <x:v>45673.461688020834</x:v>
      </x:c>
      <x:c r="C866" s="10" t="str">
        <x:v>EMP001</x:v>
      </x:c>
      <x:c r="D866" s="10" t="str">
        <x:v>CTA001</x:v>
      </x:c>
      <x:c r="E866" s="10" t="str">
        <x:v>Saída</x:v>
      </x:c>
      <x:c r="F866" s="10" t="str">
        <x:v>CAT008</x:v>
      </x:c>
      <x:c r="G866" s="10" t="str">
        <x:v>Contrato recorrente</x:v>
      </x:c>
      <x:c r="H866" s="10" t="str">
        <x:v>PAG00499</x:v>
      </x:c>
      <x:c r="I866" s="20" t="n">
        <x:v>16657.59</x:v>
      </x:c>
      <x:c r="J866" s="20" t="n">
        <x:v>-16657.59</x:v>
      </x:c>
      <x:c r="K866" s="10" t="str">
        <x:v>Realizado</x:v>
      </x:c>
      <x:c r="L866" s="10" t="str">
        <x:v>Contas a Pagar</x:v>
      </x:c>
    </x:row>
    <x:row r="867" ht="18" customHeight="1">
      <x:c r="A867" s="10" t="str">
        <x:v>MOV000285</x:v>
      </x:c>
      <x:c r="B867" s="16" t="n">
        <x:v>45673.87120184028</x:v>
      </x:c>
      <x:c r="C867" s="10" t="str">
        <x:v>EMP002</x:v>
      </x:c>
      <x:c r="D867" s="10" t="str">
        <x:v>CTA004</x:v>
      </x:c>
      <x:c r="E867" s="10" t="str">
        <x:v>Saída</x:v>
      </x:c>
      <x:c r="F867" s="10" t="str">
        <x:v>CAT005</x:v>
      </x:c>
      <x:c r="G867" s="10" t="str">
        <x:v>Despesa operacional</x:v>
      </x:c>
      <x:c r="H867" s="10" t="str">
        <x:v>PAG00331</x:v>
      </x:c>
      <x:c r="I867" s="20" t="n">
        <x:v>46677.46</x:v>
      </x:c>
      <x:c r="J867" s="20" t="n">
        <x:v>-46677.46</x:v>
      </x:c>
      <x:c r="K867" s="10" t="str">
        <x:v>Realizado</x:v>
      </x:c>
      <x:c r="L867" s="10" t="str">
        <x:v>Contas a Pagar</x:v>
      </x:c>
    </x:row>
    <x:row r="868" ht="18" customHeight="1">
      <x:c r="A868" s="10" t="str">
        <x:v>MOV001135</x:v>
      </x:c>
      <x:c r="B868" s="16" t="n">
        <x:v>45674.21242790509</x:v>
      </x:c>
      <x:c r="C868" s="10" t="str">
        <x:v>EMP001</x:v>
      </x:c>
      <x:c r="D868" s="10" t="str">
        <x:v>CTA001</x:v>
      </x:c>
      <x:c r="E868" s="10" t="str">
        <x:v>Entrada</x:v>
      </x:c>
      <x:c r="F868" s="10" t="str">
        <x:v>CAT001</x:v>
      </x:c>
      <x:c r="G868" s="10" t="str">
        <x:v>Frete faturado</x:v>
      </x:c>
      <x:c r="H868" s="10" t="str">
        <x:v>REC00467</x:v>
      </x:c>
      <x:c r="I868" s="20" t="n">
        <x:v>50757.86</x:v>
      </x:c>
      <x:c r="J868" s="20" t="n">
        <x:v>50757.86</x:v>
      </x:c>
      <x:c r="K868" s="10" t="str">
        <x:v>Realizado</x:v>
      </x:c>
      <x:c r="L868" s="10" t="str">
        <x:v>Contas a Receber</x:v>
      </x:c>
    </x:row>
    <x:row r="869" ht="18" customHeight="1">
      <x:c r="A869" s="10" t="str">
        <x:v>MOV000686</x:v>
      </x:c>
      <x:c r="B869" s="16" t="n">
        <x:v>45674.38092662037</x:v>
      </x:c>
      <x:c r="C869" s="10" t="str">
        <x:v>EMP002</x:v>
      </x:c>
      <x:c r="D869" s="10" t="str">
        <x:v>CTA004</x:v>
      </x:c>
      <x:c r="E869" s="10" t="str">
        <x:v>Saída</x:v>
      </x:c>
      <x:c r="F869" s="10" t="str">
        <x:v>CAT007</x:v>
      </x:c>
      <x:c r="G869" s="10" t="str">
        <x:v>Despesa operacional</x:v>
      </x:c>
      <x:c r="H869" s="10" t="str">
        <x:v>PAG00815</x:v>
      </x:c>
      <x:c r="I869" s="20" t="n">
        <x:v>4366.92</x:v>
      </x:c>
      <x:c r="J869" s="20" t="n">
        <x:v>-4366.92</x:v>
      </x:c>
      <x:c r="K869" s="10" t="str">
        <x:v>Realizado</x:v>
      </x:c>
      <x:c r="L869" s="10" t="str">
        <x:v>Contas a Pagar</x:v>
      </x:c>
    </x:row>
    <x:row r="870" ht="18" customHeight="1">
      <x:c r="A870" s="10" t="str">
        <x:v>MOV001189</x:v>
      </x:c>
      <x:c r="B870" s="16" t="n">
        <x:v>45674.56578670139</x:v>
      </x:c>
      <x:c r="C870" s="10" t="str">
        <x:v>EMP002</x:v>
      </x:c>
      <x:c r="D870" s="10" t="str">
        <x:v>CTA004</x:v>
      </x:c>
      <x:c r="E870" s="10" t="str">
        <x:v>Entrada</x:v>
      </x:c>
      <x:c r="F870" s="10" t="str">
        <x:v>CAT004</x:v>
      </x:c>
      <x:c r="G870" s="10" t="str">
        <x:v>Frete faturado</x:v>
      </x:c>
      <x:c r="H870" s="10" t="str">
        <x:v>REC00531</x:v>
      </x:c>
      <x:c r="I870" s="20" t="n">
        <x:v>9238.26</x:v>
      </x:c>
      <x:c r="J870" s="20" t="n">
        <x:v>9238.26</x:v>
      </x:c>
      <x:c r="K870" s="10" t="str">
        <x:v>Realizado</x:v>
      </x:c>
      <x:c r="L870" s="10" t="str">
        <x:v>Contas a Receber</x:v>
      </x:c>
    </x:row>
    <x:row r="871" ht="18" customHeight="1">
      <x:c r="A871" s="10" t="str">
        <x:v>MOV000590</x:v>
      </x:c>
      <x:c r="B871" s="16" t="n">
        <x:v>45674.591501793984</x:v>
      </x:c>
      <x:c r="C871" s="10" t="str">
        <x:v>EMP003</x:v>
      </x:c>
      <x:c r="D871" s="10" t="str">
        <x:v>CTA005</x:v>
      </x:c>
      <x:c r="E871" s="10" t="str">
        <x:v>Saída</x:v>
      </x:c>
      <x:c r="F871" s="10" t="str">
        <x:v>CAT014</x:v>
      </x:c>
      <x:c r="G871" s="10" t="str">
        <x:v>Despesa operacional</x:v>
      </x:c>
      <x:c r="H871" s="10" t="str">
        <x:v>PAG00695</x:v>
      </x:c>
      <x:c r="I871" s="20" t="n">
        <x:v>1890.39</x:v>
      </x:c>
      <x:c r="J871" s="20" t="n">
        <x:v>-1890.39</x:v>
      </x:c>
      <x:c r="K871" s="10" t="str">
        <x:v>Realizado</x:v>
      </x:c>
      <x:c r="L871" s="10" t="str">
        <x:v>Contas a Pagar</x:v>
      </x:c>
    </x:row>
    <x:row r="872" ht="18" customHeight="1">
      <x:c r="A872" s="10" t="str">
        <x:v>MOV001329</x:v>
      </x:c>
      <x:c r="B872" s="16" t="n">
        <x:v>45675.86744261574</x:v>
      </x:c>
      <x:c r="C872" s="10" t="str">
        <x:v>EMP002</x:v>
      </x:c>
      <x:c r="D872" s="10" t="str">
        <x:v>CTA004</x:v>
      </x:c>
      <x:c r="E872" s="10" t="str">
        <x:v>Entrada</x:v>
      </x:c>
      <x:c r="F872" s="10" t="str">
        <x:v>CAT001</x:v>
      </x:c>
      <x:c r="G872" s="10" t="str">
        <x:v>Frete faturado</x:v>
      </x:c>
      <x:c r="H872" s="10" t="str">
        <x:v>REC00693</x:v>
      </x:c>
      <x:c r="I872" s="20" t="n">
        <x:v>11719.33</x:v>
      </x:c>
      <x:c r="J872" s="20" t="n">
        <x:v>11719.33</x:v>
      </x:c>
      <x:c r="K872" s="10" t="str">
        <x:v>Realizado</x:v>
      </x:c>
      <x:c r="L872" s="10" t="str">
        <x:v>Contas a Receber</x:v>
      </x:c>
    </x:row>
    <x:row r="873" ht="18" customHeight="1">
      <x:c r="A873" s="10" t="str">
        <x:v>MOV001241</x:v>
      </x:c>
      <x:c r="B873" s="16" t="n">
        <x:v>45675.87252247685</x:v>
      </x:c>
      <x:c r="C873" s="10" t="str">
        <x:v>EMP001</x:v>
      </x:c>
      <x:c r="D873" s="10" t="str">
        <x:v>CTA001</x:v>
      </x:c>
      <x:c r="E873" s="10" t="str">
        <x:v>Entrada</x:v>
      </x:c>
      <x:c r="F873" s="10" t="str">
        <x:v>CAT003</x:v>
      </x:c>
      <x:c r="G873" s="10" t="str">
        <x:v>Projeto especial</x:v>
      </x:c>
      <x:c r="H873" s="10" t="str">
        <x:v>REC00593</x:v>
      </x:c>
      <x:c r="I873" s="20" t="n">
        <x:v>86272.53</x:v>
      </x:c>
      <x:c r="J873" s="20" t="n">
        <x:v>86272.53</x:v>
      </x:c>
      <x:c r="K873" s="10" t="str">
        <x:v>Realizado</x:v>
      </x:c>
      <x:c r="L873" s="10" t="str">
        <x:v>Contas a Receber</x:v>
      </x:c>
    </x:row>
    <x:row r="874" ht="18" customHeight="1">
      <x:c r="A874" s="10" t="str">
        <x:v>MOV000486</x:v>
      </x:c>
      <x:c r="B874" s="16" t="n">
        <x:v>45676.281834270834</x:v>
      </x:c>
      <x:c r="C874" s="10" t="str">
        <x:v>EMP003</x:v>
      </x:c>
      <x:c r="D874" s="10" t="str">
        <x:v>CTA005</x:v>
      </x:c>
      <x:c r="E874" s="10" t="str">
        <x:v>Saída</x:v>
      </x:c>
      <x:c r="F874" s="10" t="str">
        <x:v>CAT016</x:v>
      </x:c>
      <x:c r="G874" s="10" t="str">
        <x:v>Despesa operacional</x:v>
      </x:c>
      <x:c r="H874" s="10" t="str">
        <x:v>PAG00570</x:v>
      </x:c>
      <x:c r="I874" s="20" t="n">
        <x:v>8617.14</x:v>
      </x:c>
      <x:c r="J874" s="20" t="n">
        <x:v>-8617.14</x:v>
      </x:c>
      <x:c r="K874" s="10" t="str">
        <x:v>Realizado</x:v>
      </x:c>
      <x:c r="L874" s="10" t="str">
        <x:v>Contas a Pagar</x:v>
      </x:c>
    </x:row>
    <x:row r="875" ht="18" customHeight="1">
      <x:c r="A875" s="10" t="str">
        <x:v>MOV001625</x:v>
      </x:c>
      <x:c r="B875" s="16" t="n">
        <x:v>45676.63588032407</x:v>
      </x:c>
      <x:c r="C875" s="10" t="str">
        <x:v>EMP002</x:v>
      </x:c>
      <x:c r="D875" s="10" t="str">
        <x:v>CTA003</x:v>
      </x:c>
      <x:c r="E875" s="10" t="str">
        <x:v>Entrada</x:v>
      </x:c>
      <x:c r="F875" s="10" t="str">
        <x:v>CAT002</x:v>
      </x:c>
      <x:c r="G875" s="10" t="str">
        <x:v>Contrato mensal</x:v>
      </x:c>
      <x:c r="H875" s="10" t="str">
        <x:v>REC01057</x:v>
      </x:c>
      <x:c r="I875" s="20" t="n">
        <x:v>2164.58</x:v>
      </x:c>
      <x:c r="J875" s="20" t="n">
        <x:v>2164.58</x:v>
      </x:c>
      <x:c r="K875" s="10" t="str">
        <x:v>Realizado</x:v>
      </x:c>
      <x:c r="L875" s="10" t="str">
        <x:v>Contas a Receber</x:v>
      </x:c>
    </x:row>
    <x:row r="876" ht="18" customHeight="1">
      <x:c r="A876" s="10" t="str">
        <x:v>MOV000557</x:v>
      </x:c>
      <x:c r="B876" s="16" t="n">
        <x:v>45676.707028715275</x:v>
      </x:c>
      <x:c r="C876" s="10" t="str">
        <x:v>EMP002</x:v>
      </x:c>
      <x:c r="D876" s="10" t="str">
        <x:v>CTA003</x:v>
      </x:c>
      <x:c r="E876" s="10" t="str">
        <x:v>Saída</x:v>
      </x:c>
      <x:c r="F876" s="10" t="str">
        <x:v>CAT013</x:v>
      </x:c>
      <x:c r="G876" s="10" t="str">
        <x:v>Despesa operacional</x:v>
      </x:c>
      <x:c r="H876" s="10" t="str">
        <x:v>PAG00651</x:v>
      </x:c>
      <x:c r="I876" s="20" t="n">
        <x:v>1466.92</x:v>
      </x:c>
      <x:c r="J876" s="20" t="n">
        <x:v>-1466.92</x:v>
      </x:c>
      <x:c r="K876" s="10" t="str">
        <x:v>Realizado</x:v>
      </x:c>
      <x:c r="L876" s="10" t="str">
        <x:v>Contas a Pagar</x:v>
      </x:c>
    </x:row>
    <x:row r="877" ht="18" customHeight="1">
      <x:c r="A877" s="10" t="str">
        <x:v>MOV001264</x:v>
      </x:c>
      <x:c r="B877" s="16" t="n">
        <x:v>45677.366468657405</x:v>
      </x:c>
      <x:c r="C877" s="10" t="str">
        <x:v>EMP002</x:v>
      </x:c>
      <x:c r="D877" s="10" t="str">
        <x:v>CTA003</x:v>
      </x:c>
      <x:c r="E877" s="10" t="str">
        <x:v>Entrada</x:v>
      </x:c>
      <x:c r="F877" s="10" t="str">
        <x:v>CAT004</x:v>
      </x:c>
      <x:c r="G877" s="10" t="str">
        <x:v>Projeto especial</x:v>
      </x:c>
      <x:c r="H877" s="10" t="str">
        <x:v>REC00621</x:v>
      </x:c>
      <x:c r="I877" s="20" t="n">
        <x:v>103486.77</x:v>
      </x:c>
      <x:c r="J877" s="20" t="n">
        <x:v>103486.77</x:v>
      </x:c>
      <x:c r="K877" s="10" t="str">
        <x:v>Realizado</x:v>
      </x:c>
      <x:c r="L877" s="10" t="str">
        <x:v>Contas a Receber</x:v>
      </x:c>
    </x:row>
    <x:row r="878" ht="18" customHeight="1">
      <x:c r="A878" s="10" t="str">
        <x:v>MOV000366</x:v>
      </x:c>
      <x:c r="B878" s="16" t="n">
        <x:v>45677.38610570602</x:v>
      </x:c>
      <x:c r="C878" s="10" t="str">
        <x:v>EMP002</x:v>
      </x:c>
      <x:c r="D878" s="10" t="str">
        <x:v>CTA003</x:v>
      </x:c>
      <x:c r="E878" s="10" t="str">
        <x:v>Saída</x:v>
      </x:c>
      <x:c r="F878" s="10" t="str">
        <x:v>CAT017</x:v>
      </x:c>
      <x:c r="G878" s="10" t="str">
        <x:v>Contrato recorrente</x:v>
      </x:c>
      <x:c r="H878" s="10" t="str">
        <x:v>PAG00425</x:v>
      </x:c>
      <x:c r="I878" s="20" t="n">
        <x:v>622.82</x:v>
      </x:c>
      <x:c r="J878" s="20" t="n">
        <x:v>-622.82</x:v>
      </x:c>
      <x:c r="K878" s="10" t="str">
        <x:v>Realizado</x:v>
      </x:c>
      <x:c r="L878" s="10" t="str">
        <x:v>Contas a Pagar</x:v>
      </x:c>
    </x:row>
    <x:row r="879" ht="18" customHeight="1">
      <x:c r="A879" s="10" t="str">
        <x:v>MOV000200</x:v>
      </x:c>
      <x:c r="B879" s="16" t="n">
        <x:v>45678.03791100695</x:v>
      </x:c>
      <x:c r="C879" s="10" t="str">
        <x:v>EMP003</x:v>
      </x:c>
      <x:c r="D879" s="10" t="str">
        <x:v>CTA005</x:v>
      </x:c>
      <x:c r="E879" s="10" t="str">
        <x:v>Saída</x:v>
      </x:c>
      <x:c r="F879" s="10" t="str">
        <x:v>CAT016</x:v>
      </x:c>
      <x:c r="G879" s="10" t="str">
        <x:v>Compra de materiais</x:v>
      </x:c>
      <x:c r="H879" s="10" t="str">
        <x:v>PAG00233</x:v>
      </x:c>
      <x:c r="I879" s="20" t="n">
        <x:v>18060.04</x:v>
      </x:c>
      <x:c r="J879" s="20" t="n">
        <x:v>-18060.04</x:v>
      </x:c>
      <x:c r="K879" s="10" t="str">
        <x:v>Realizado</x:v>
      </x:c>
      <x:c r="L879" s="10" t="str">
        <x:v>Contas a Pagar</x:v>
      </x:c>
    </x:row>
    <x:row r="880" ht="18" customHeight="1">
      <x:c r="A880" s="10" t="str">
        <x:v>MOV000297</x:v>
      </x:c>
      <x:c r="B880" s="16" t="n">
        <x:v>45678.38597944444</x:v>
      </x:c>
      <x:c r="C880" s="10" t="str">
        <x:v>EMP003</x:v>
      </x:c>
      <x:c r="D880" s="10" t="str">
        <x:v>CTA006</x:v>
      </x:c>
      <x:c r="E880" s="10" t="str">
        <x:v>Saída</x:v>
      </x:c>
      <x:c r="F880" s="10" t="str">
        <x:v>CAT011</x:v>
      </x:c>
      <x:c r="G880" s="10" t="str">
        <x:v>Prestação de serviços</x:v>
      </x:c>
      <x:c r="H880" s="10" t="str">
        <x:v>PAG00345</x:v>
      </x:c>
      <x:c r="I880" s="20" t="n">
        <x:v>105437.09</x:v>
      </x:c>
      <x:c r="J880" s="20" t="n">
        <x:v>-105437.09</x:v>
      </x:c>
      <x:c r="K880" s="10" t="str">
        <x:v>Realizado</x:v>
      </x:c>
      <x:c r="L880" s="10" t="str">
        <x:v>Contas a Pagar</x:v>
      </x:c>
    </x:row>
    <x:row r="881" ht="18" customHeight="1">
      <x:c r="A881" s="10" t="str">
        <x:v>MOV000112</x:v>
      </x:c>
      <x:c r="B881" s="16" t="n">
        <x:v>45678.62083506944</x:v>
      </x:c>
      <x:c r="C881" s="10" t="str">
        <x:v>EMP003</x:v>
      </x:c>
      <x:c r="D881" s="10" t="str">
        <x:v>CTA005</x:v>
      </x:c>
      <x:c r="E881" s="10" t="str">
        <x:v>Saída</x:v>
      </x:c>
      <x:c r="F881" s="10" t="str">
        <x:v>CAT017</x:v>
      </x:c>
      <x:c r="G881" s="10" t="str">
        <x:v>Tributos e taxas</x:v>
      </x:c>
      <x:c r="H881" s="10" t="str">
        <x:v>PAG00129</x:v>
      </x:c>
      <x:c r="I881" s="20" t="n">
        <x:v>2122.62</x:v>
      </x:c>
      <x:c r="J881" s="20" t="n">
        <x:v>-2122.62</x:v>
      </x:c>
      <x:c r="K881" s="10" t="str">
        <x:v>Realizado</x:v>
      </x:c>
      <x:c r="L881" s="10" t="str">
        <x:v>Contas a Pagar</x:v>
      </x:c>
    </x:row>
    <x:row r="882" ht="18" customHeight="1">
      <x:c r="A882" s="10" t="str">
        <x:v>MOV000886</x:v>
      </x:c>
      <x:c r="B882" s="16" t="n">
        <x:v>45679.51549640046</x:v>
      </x:c>
      <x:c r="C882" s="10" t="str">
        <x:v>EMP001</x:v>
      </x:c>
      <x:c r="D882" s="10" t="str">
        <x:v>CTA002</x:v>
      </x:c>
      <x:c r="E882" s="10" t="str">
        <x:v>Entrada</x:v>
      </x:c>
      <x:c r="F882" s="10" t="str">
        <x:v>CAT001</x:v>
      </x:c>
      <x:c r="G882" s="10" t="str">
        <x:v>Projeto especial</x:v>
      </x:c>
      <x:c r="H882" s="10" t="str">
        <x:v>REC00158</x:v>
      </x:c>
      <x:c r="I882" s="20" t="n">
        <x:v>106443.46</x:v>
      </x:c>
      <x:c r="J882" s="20" t="n">
        <x:v>106443.46</x:v>
      </x:c>
      <x:c r="K882" s="10" t="str">
        <x:v>Realizado</x:v>
      </x:c>
      <x:c r="L882" s="10" t="str">
        <x:v>Contas a Receber</x:v>
      </x:c>
    </x:row>
    <x:row r="883" ht="18" customHeight="1">
      <x:c r="A883" s="10" t="str">
        <x:v>MOV000764</x:v>
      </x:c>
      <x:c r="B883" s="16" t="n">
        <x:v>45680.19652831018</x:v>
      </x:c>
      <x:c r="C883" s="10" t="str">
        <x:v>EMP003</x:v>
      </x:c>
      <x:c r="D883" s="10" t="str">
        <x:v>CTA006</x:v>
      </x:c>
      <x:c r="E883" s="10" t="str">
        <x:v>Entrada</x:v>
      </x:c>
      <x:c r="F883" s="10" t="str">
        <x:v>CAT001</x:v>
      </x:c>
      <x:c r="G883" s="10" t="str">
        <x:v>Projeto especial</x:v>
      </x:c>
      <x:c r="H883" s="10" t="str">
        <x:v>REC00009</x:v>
      </x:c>
      <x:c r="I883" s="20" t="n">
        <x:v>95830.24</x:v>
      </x:c>
      <x:c r="J883" s="20" t="n">
        <x:v>95830.24</x:v>
      </x:c>
      <x:c r="K883" s="10" t="str">
        <x:v>Realizado</x:v>
      </x:c>
      <x:c r="L883" s="10" t="str">
        <x:v>Contas a Receber</x:v>
      </x:c>
    </x:row>
    <x:row r="884" ht="18" customHeight="1">
      <x:c r="A884" s="10" t="str">
        <x:v>MOV001237</x:v>
      </x:c>
      <x:c r="B884" s="16" t="n">
        <x:v>45680.3637415162</x:v>
      </x:c>
      <x:c r="C884" s="10" t="str">
        <x:v>EMP002</x:v>
      </x:c>
      <x:c r="D884" s="10" t="str">
        <x:v>CTA003</x:v>
      </x:c>
      <x:c r="E884" s="10" t="str">
        <x:v>Entrada</x:v>
      </x:c>
      <x:c r="F884" s="10" t="str">
        <x:v>CAT001</x:v>
      </x:c>
      <x:c r="G884" s="10" t="str">
        <x:v>Contrato mensal</x:v>
      </x:c>
      <x:c r="H884" s="10" t="str">
        <x:v>REC00589</x:v>
      </x:c>
      <x:c r="I884" s="20" t="n">
        <x:v>75464.01</x:v>
      </x:c>
      <x:c r="J884" s="20" t="n">
        <x:v>75464.01</x:v>
      </x:c>
      <x:c r="K884" s="10" t="str">
        <x:v>Realizado</x:v>
      </x:c>
      <x:c r="L884" s="10" t="str">
        <x:v>Contas a Receber</x:v>
      </x:c>
    </x:row>
    <x:row r="885" ht="18" customHeight="1">
      <x:c r="A885" s="10" t="str">
        <x:v>MOV000163</x:v>
      </x:c>
      <x:c r="B885" s="16" t="n">
        <x:v>45680.80020650463</x:v>
      </x:c>
      <x:c r="C885" s="10" t="str">
        <x:v>EMP002</x:v>
      </x:c>
      <x:c r="D885" s="10" t="str">
        <x:v>CTA003</x:v>
      </x:c>
      <x:c r="E885" s="10" t="str">
        <x:v>Saída</x:v>
      </x:c>
      <x:c r="F885" s="10" t="str">
        <x:v>CAT014</x:v>
      </x:c>
      <x:c r="G885" s="10" t="str">
        <x:v>Despesa operacional</x:v>
      </x:c>
      <x:c r="H885" s="10" t="str">
        <x:v>PAG00191</x:v>
      </x:c>
      <x:c r="I885" s="20" t="n">
        <x:v>100695.97</x:v>
      </x:c>
      <x:c r="J885" s="20" t="n">
        <x:v>-100695.97</x:v>
      </x:c>
      <x:c r="K885" s="10" t="str">
        <x:v>Realizado</x:v>
      </x:c>
      <x:c r="L885" s="10" t="str">
        <x:v>Contas a Pagar</x:v>
      </x:c>
    </x:row>
    <x:row r="886" ht="18" customHeight="1">
      <x:c r="A886" s="10" t="str">
        <x:v>MOV000665</x:v>
      </x:c>
      <x:c r="B886" s="16" t="n">
        <x:v>45681.022256944445</x:v>
      </x:c>
      <x:c r="C886" s="10" t="str">
        <x:v>EMP002</x:v>
      </x:c>
      <x:c r="D886" s="10" t="str">
        <x:v>CTA003</x:v>
      </x:c>
      <x:c r="E886" s="10" t="str">
        <x:v>Saída</x:v>
      </x:c>
      <x:c r="F886" s="10" t="str">
        <x:v>CAT018</x:v>
      </x:c>
      <x:c r="G886" s="10" t="str">
        <x:v>Despesa operacional</x:v>
      </x:c>
      <x:c r="H886" s="10" t="str">
        <x:v>PAG00790</x:v>
      </x:c>
      <x:c r="I886" s="20" t="n">
        <x:v>80437.4</x:v>
      </x:c>
      <x:c r="J886" s="20" t="n">
        <x:v>-80437.4</x:v>
      </x:c>
      <x:c r="K886" s="10" t="str">
        <x:v>Realizado</x:v>
      </x:c>
      <x:c r="L886" s="10" t="str">
        <x:v>Contas a Pagar</x:v>
      </x:c>
    </x:row>
    <x:row r="887" ht="18" customHeight="1">
      <x:c r="A887" s="10" t="str">
        <x:v>MOV000837</x:v>
      </x:c>
      <x:c r="B887" s="16" t="n">
        <x:v>45681.54994767361</x:v>
      </x:c>
      <x:c r="C887" s="10" t="str">
        <x:v>EMP002</x:v>
      </x:c>
      <x:c r="D887" s="10" t="str">
        <x:v>CTA004</x:v>
      </x:c>
      <x:c r="E887" s="10" t="str">
        <x:v>Entrada</x:v>
      </x:c>
      <x:c r="F887" s="10" t="str">
        <x:v>CAT002</x:v>
      </x:c>
      <x:c r="G887" s="10" t="str">
        <x:v>Prestação de serviços</x:v>
      </x:c>
      <x:c r="H887" s="10" t="str">
        <x:v>REC00102</x:v>
      </x:c>
      <x:c r="I887" s="20" t="n">
        <x:v>140156.01</x:v>
      </x:c>
      <x:c r="J887" s="20" t="n">
        <x:v>140156.01</x:v>
      </x:c>
      <x:c r="K887" s="10" t="str">
        <x:v>Realizado</x:v>
      </x:c>
      <x:c r="L887" s="10" t="str">
        <x:v>Contas a Receber</x:v>
      </x:c>
    </x:row>
    <x:row r="888" ht="18" customHeight="1">
      <x:c r="A888" s="10" t="str">
        <x:v>MOV001113</x:v>
      </x:c>
      <x:c r="B888" s="16" t="n">
        <x:v>45681.64904494213</x:v>
      </x:c>
      <x:c r="C888" s="10" t="str">
        <x:v>EMP001</x:v>
      </x:c>
      <x:c r="D888" s="10" t="str">
        <x:v>CTA001</x:v>
      </x:c>
      <x:c r="E888" s="10" t="str">
        <x:v>Entrada</x:v>
      </x:c>
      <x:c r="F888" s="10" t="str">
        <x:v>CAT001</x:v>
      </x:c>
      <x:c r="G888" s="10" t="str">
        <x:v>Prestação de serviços</x:v>
      </x:c>
      <x:c r="H888" s="10" t="str">
        <x:v>REC00441</x:v>
      </x:c>
      <x:c r="I888" s="20" t="n">
        <x:v>31982.3</x:v>
      </x:c>
      <x:c r="J888" s="20" t="n">
        <x:v>31982.3</x:v>
      </x:c>
      <x:c r="K888" s="10" t="str">
        <x:v>Realizado</x:v>
      </x:c>
      <x:c r="L888" s="10" t="str">
        <x:v>Contas a Receber</x:v>
      </x:c>
    </x:row>
    <x:row r="889" ht="18" customHeight="1">
      <x:c r="A889" s="10" t="str">
        <x:v>MOV001127</x:v>
      </x:c>
      <x:c r="B889" s="16" t="n">
        <x:v>45682.125879085645</x:v>
      </x:c>
      <x:c r="C889" s="10" t="str">
        <x:v>EMP002</x:v>
      </x:c>
      <x:c r="D889" s="10" t="str">
        <x:v>CTA003</x:v>
      </x:c>
      <x:c r="E889" s="10" t="str">
        <x:v>Entrada</x:v>
      </x:c>
      <x:c r="F889" s="10" t="str">
        <x:v>CAT004</x:v>
      </x:c>
      <x:c r="G889" s="10" t="str">
        <x:v>Projeto especial</x:v>
      </x:c>
      <x:c r="H889" s="10" t="str">
        <x:v>REC00457</x:v>
      </x:c>
      <x:c r="I889" s="20" t="n">
        <x:v>31928.28</x:v>
      </x:c>
      <x:c r="J889" s="20" t="n">
        <x:v>31928.28</x:v>
      </x:c>
      <x:c r="K889" s="10" t="str">
        <x:v>Realizado</x:v>
      </x:c>
      <x:c r="L889" s="10" t="str">
        <x:v>Contas a Receber</x:v>
      </x:c>
    </x:row>
    <x:row r="890" ht="18" customHeight="1">
      <x:c r="A890" s="10" t="str">
        <x:v>MOV001266</x:v>
      </x:c>
      <x:c r="B890" s="16" t="n">
        <x:v>45682.575365509256</x:v>
      </x:c>
      <x:c r="C890" s="10" t="str">
        <x:v>EMP003</x:v>
      </x:c>
      <x:c r="D890" s="10" t="str">
        <x:v>CTA006</x:v>
      </x:c>
      <x:c r="E890" s="10" t="str">
        <x:v>Entrada</x:v>
      </x:c>
      <x:c r="F890" s="10" t="str">
        <x:v>CAT001</x:v>
      </x:c>
      <x:c r="G890" s="10" t="str">
        <x:v>Prestação de serviços</x:v>
      </x:c>
      <x:c r="H890" s="10" t="str">
        <x:v>REC00623</x:v>
      </x:c>
      <x:c r="I890" s="20" t="n">
        <x:v>34060.71</x:v>
      </x:c>
      <x:c r="J890" s="20" t="n">
        <x:v>34060.71</x:v>
      </x:c>
      <x:c r="K890" s="10" t="str">
        <x:v>Realizado</x:v>
      </x:c>
      <x:c r="L890" s="10" t="str">
        <x:v>Contas a Receber</x:v>
      </x:c>
    </x:row>
    <x:row r="891" ht="18" customHeight="1">
      <x:c r="A891" s="10" t="str">
        <x:v>MOV000868</x:v>
      </x:c>
      <x:c r="B891" s="16" t="n">
        <x:v>45682.80749045139</x:v>
      </x:c>
      <x:c r="C891" s="10" t="str">
        <x:v>EMP002</x:v>
      </x:c>
      <x:c r="D891" s="10" t="str">
        <x:v>CTA003</x:v>
      </x:c>
      <x:c r="E891" s="10" t="str">
        <x:v>Entrada</x:v>
      </x:c>
      <x:c r="F891" s="10" t="str">
        <x:v>CAT001</x:v>
      </x:c>
      <x:c r="G891" s="10" t="str">
        <x:v>Frete faturado</x:v>
      </x:c>
      <x:c r="H891" s="10" t="str">
        <x:v>REC00138</x:v>
      </x:c>
      <x:c r="I891" s="20" t="n">
        <x:v>69259.25</x:v>
      </x:c>
      <x:c r="J891" s="20" t="n">
        <x:v>69259.25</x:v>
      </x:c>
      <x:c r="K891" s="10" t="str">
        <x:v>Realizado</x:v>
      </x:c>
      <x:c r="L891" s="10" t="str">
        <x:v>Contas a Receber</x:v>
      </x:c>
    </x:row>
    <x:row r="892" ht="18" customHeight="1">
      <x:c r="A892" s="10" t="str">
        <x:v>MOV001227</x:v>
      </x:c>
      <x:c r="B892" s="16" t="n">
        <x:v>45682.897027719904</x:v>
      </x:c>
      <x:c r="C892" s="10" t="str">
        <x:v>EMP002</x:v>
      </x:c>
      <x:c r="D892" s="10" t="str">
        <x:v>CTA003</x:v>
      </x:c>
      <x:c r="E892" s="10" t="str">
        <x:v>Entrada</x:v>
      </x:c>
      <x:c r="F892" s="10" t="str">
        <x:v>CAT002</x:v>
      </x:c>
      <x:c r="G892" s="10" t="str">
        <x:v>Contrato mensal</x:v>
      </x:c>
      <x:c r="H892" s="10" t="str">
        <x:v>REC00579</x:v>
      </x:c>
      <x:c r="I892" s="20" t="n">
        <x:v>19597.22</x:v>
      </x:c>
      <x:c r="J892" s="20" t="n">
        <x:v>19597.22</x:v>
      </x:c>
      <x:c r="K892" s="10" t="str">
        <x:v>Realizado</x:v>
      </x:c>
      <x:c r="L892" s="10" t="str">
        <x:v>Contas a Receber</x:v>
      </x:c>
    </x:row>
    <x:row r="893" ht="18" customHeight="1">
      <x:c r="A893" s="10" t="str">
        <x:v>MOV001078</x:v>
      </x:c>
      <x:c r="B893" s="16" t="n">
        <x:v>45683.04275274306</x:v>
      </x:c>
      <x:c r="C893" s="10" t="str">
        <x:v>EMP001</x:v>
      </x:c>
      <x:c r="D893" s="10" t="str">
        <x:v>CTA001</x:v>
      </x:c>
      <x:c r="E893" s="10" t="str">
        <x:v>Entrada</x:v>
      </x:c>
      <x:c r="F893" s="10" t="str">
        <x:v>CAT002</x:v>
      </x:c>
      <x:c r="G893" s="10" t="str">
        <x:v>Venda de produtos</x:v>
      </x:c>
      <x:c r="H893" s="10" t="str">
        <x:v>REC00399</x:v>
      </x:c>
      <x:c r="I893" s="20" t="n">
        <x:v>86439.21</x:v>
      </x:c>
      <x:c r="J893" s="20" t="n">
        <x:v>86439.21</x:v>
      </x:c>
      <x:c r="K893" s="10" t="str">
        <x:v>Realizado</x:v>
      </x:c>
      <x:c r="L893" s="10" t="str">
        <x:v>Contas a Receber</x:v>
      </x:c>
    </x:row>
    <x:row r="894" ht="18" customHeight="1">
      <x:c r="A894" s="10" t="str">
        <x:v>MOV000302</x:v>
      </x:c>
      <x:c r="B894" s="16" t="n">
        <x:v>45683.321870011576</x:v>
      </x:c>
      <x:c r="C894" s="10" t="str">
        <x:v>EMP001</x:v>
      </x:c>
      <x:c r="D894" s="10" t="str">
        <x:v>CTA001</x:v>
      </x:c>
      <x:c r="E894" s="10" t="str">
        <x:v>Saída</x:v>
      </x:c>
      <x:c r="F894" s="10" t="str">
        <x:v>CAT011</x:v>
      </x:c>
      <x:c r="G894" s="10" t="str">
        <x:v>Tributos e taxas</x:v>
      </x:c>
      <x:c r="H894" s="10" t="str">
        <x:v>PAG00351</x:v>
      </x:c>
      <x:c r="I894" s="20" t="n">
        <x:v>5811.84</x:v>
      </x:c>
      <x:c r="J894" s="20" t="n">
        <x:v>-5811.84</x:v>
      </x:c>
      <x:c r="K894" s="10" t="str">
        <x:v>Realizado</x:v>
      </x:c>
      <x:c r="L894" s="10" t="str">
        <x:v>Contas a Pagar</x:v>
      </x:c>
    </x:row>
    <x:row r="895" ht="18" customHeight="1">
      <x:c r="A895" s="10" t="str">
        <x:v>MOV001363</x:v>
      </x:c>
      <x:c r="B895" s="16" t="n">
        <x:v>45683.46977791667</x:v>
      </x:c>
      <x:c r="C895" s="10" t="str">
        <x:v>EMP003</x:v>
      </x:c>
      <x:c r="D895" s="10" t="str">
        <x:v>CTA006</x:v>
      </x:c>
      <x:c r="E895" s="10" t="str">
        <x:v>Entrada</x:v>
      </x:c>
      <x:c r="F895" s="10" t="str">
        <x:v>CAT004</x:v>
      </x:c>
      <x:c r="G895" s="10" t="str">
        <x:v>Venda de produtos</x:v>
      </x:c>
      <x:c r="H895" s="10" t="str">
        <x:v>REC00732</x:v>
      </x:c>
      <x:c r="I895" s="20" t="n">
        <x:v>82403.07</x:v>
      </x:c>
      <x:c r="J895" s="20" t="n">
        <x:v>82403.07</x:v>
      </x:c>
      <x:c r="K895" s="10" t="str">
        <x:v>Realizado</x:v>
      </x:c>
      <x:c r="L895" s="10" t="str">
        <x:v>Contas a Receber</x:v>
      </x:c>
    </x:row>
    <x:row r="896" ht="18" customHeight="1">
      <x:c r="A896" s="10" t="str">
        <x:v>MOV000643</x:v>
      </x:c>
      <x:c r="B896" s="16" t="n">
        <x:v>45683.68243107639</x:v>
      </x:c>
      <x:c r="C896" s="10" t="str">
        <x:v>EMP003</x:v>
      </x:c>
      <x:c r="D896" s="10" t="str">
        <x:v>CTA006</x:v>
      </x:c>
      <x:c r="E896" s="10" t="str">
        <x:v>Saída</x:v>
      </x:c>
      <x:c r="F896" s="10" t="str">
        <x:v>CAT016</x:v>
      </x:c>
      <x:c r="G896" s="10" t="str">
        <x:v>Tributos e taxas</x:v>
      </x:c>
      <x:c r="H896" s="10" t="str">
        <x:v>PAG00763</x:v>
      </x:c>
      <x:c r="I896" s="20" t="n">
        <x:v>1960.24</x:v>
      </x:c>
      <x:c r="J896" s="20" t="n">
        <x:v>-1960.24</x:v>
      </x:c>
      <x:c r="K896" s="10" t="str">
        <x:v>Realizado</x:v>
      </x:c>
      <x:c r="L896" s="10" t="str">
        <x:v>Contas a Pagar</x:v>
      </x:c>
    </x:row>
    <x:row r="897" ht="18" customHeight="1">
      <x:c r="A897" s="10" t="str">
        <x:v>MOV001272</x:v>
      </x:c>
      <x:c r="B897" s="16" t="n">
        <x:v>45685.48954869213</x:v>
      </x:c>
      <x:c r="C897" s="10" t="str">
        <x:v>EMP002</x:v>
      </x:c>
      <x:c r="D897" s="10" t="str">
        <x:v>CTA003</x:v>
      </x:c>
      <x:c r="E897" s="10" t="str">
        <x:v>Entrada</x:v>
      </x:c>
      <x:c r="F897" s="10" t="str">
        <x:v>CAT002</x:v>
      </x:c>
      <x:c r="G897" s="10" t="str">
        <x:v>Venda de produtos</x:v>
      </x:c>
      <x:c r="H897" s="10" t="str">
        <x:v>REC00632</x:v>
      </x:c>
      <x:c r="I897" s="20" t="n">
        <x:v>97878.07</x:v>
      </x:c>
      <x:c r="J897" s="20" t="n">
        <x:v>97878.07</x:v>
      </x:c>
      <x:c r="K897" s="10" t="str">
        <x:v>Realizado</x:v>
      </x:c>
      <x:c r="L897" s="10" t="str">
        <x:v>Contas a Receber</x:v>
      </x:c>
    </x:row>
    <x:row r="898" ht="18" customHeight="1">
      <x:c r="A898" s="10" t="str">
        <x:v>MOV001574</x:v>
      </x:c>
      <x:c r="B898" s="16" t="n">
        <x:v>45685.97326938657</x:v>
      </x:c>
      <x:c r="C898" s="10" t="str">
        <x:v>EMP002</x:v>
      </x:c>
      <x:c r="D898" s="10" t="str">
        <x:v>CTA004</x:v>
      </x:c>
      <x:c r="E898" s="10" t="str">
        <x:v>Entrada</x:v>
      </x:c>
      <x:c r="F898" s="10" t="str">
        <x:v>CAT004</x:v>
      </x:c>
      <x:c r="G898" s="10" t="str">
        <x:v>Contrato mensal</x:v>
      </x:c>
      <x:c r="H898" s="10" t="str">
        <x:v>REC00996</x:v>
      </x:c>
      <x:c r="I898" s="20" t="n">
        <x:v>123418.49</x:v>
      </x:c>
      <x:c r="J898" s="20" t="n">
        <x:v>123418.49</x:v>
      </x:c>
      <x:c r="K898" s="10" t="str">
        <x:v>Realizado</x:v>
      </x:c>
      <x:c r="L898" s="10" t="str">
        <x:v>Contas a Receber</x:v>
      </x:c>
    </x:row>
    <x:row r="899" ht="18" customHeight="1">
      <x:c r="A899" s="10" t="str">
        <x:v>MOV001046</x:v>
      </x:c>
      <x:c r="B899" s="16" t="n">
        <x:v>45687.573819618054</x:v>
      </x:c>
      <x:c r="C899" s="10" t="str">
        <x:v>EMP003</x:v>
      </x:c>
      <x:c r="D899" s="10" t="str">
        <x:v>CTA006</x:v>
      </x:c>
      <x:c r="E899" s="10" t="str">
        <x:v>Entrada</x:v>
      </x:c>
      <x:c r="F899" s="10" t="str">
        <x:v>CAT003</x:v>
      </x:c>
      <x:c r="G899" s="10" t="str">
        <x:v>Projeto especial</x:v>
      </x:c>
      <x:c r="H899" s="10" t="str">
        <x:v>REC00357</x:v>
      </x:c>
      <x:c r="I899" s="20" t="n">
        <x:v>75673.38</x:v>
      </x:c>
      <x:c r="J899" s="20" t="n">
        <x:v>75673.38</x:v>
      </x:c>
      <x:c r="K899" s="10" t="str">
        <x:v>Realizado</x:v>
      </x:c>
      <x:c r="L899" s="10" t="str">
        <x:v>Contas a Receber</x:v>
      </x:c>
    </x:row>
    <x:row r="900" ht="18" customHeight="1">
      <x:c r="A900" s="10" t="str">
        <x:v>MOV000744</x:v>
      </x:c>
      <x:c r="B900" s="16" t="n">
        <x:v>45687.98944863426</x:v>
      </x:c>
      <x:c r="C900" s="10" t="str">
        <x:v>EMP002</x:v>
      </x:c>
      <x:c r="D900" s="10" t="str">
        <x:v>CTA003</x:v>
      </x:c>
      <x:c r="E900" s="10" t="str">
        <x:v>Saída</x:v>
      </x:c>
      <x:c r="F900" s="10" t="str">
        <x:v>CAT005</x:v>
      </x:c>
      <x:c r="G900" s="10" t="str">
        <x:v>Contrato recorrente</x:v>
      </x:c>
      <x:c r="H900" s="10" t="str">
        <x:v>PAG00884</x:v>
      </x:c>
      <x:c r="I900" s="20" t="n">
        <x:v>4044.83</x:v>
      </x:c>
      <x:c r="J900" s="20" t="n">
        <x:v>-4044.83</x:v>
      </x:c>
      <x:c r="K900" s="10" t="str">
        <x:v>Realizado</x:v>
      </x:c>
      <x:c r="L900" s="10" t="str">
        <x:v>Contas a Pagar</x:v>
      </x:c>
    </x:row>
    <x:row r="901" ht="18" customHeight="1">
      <x:c r="A901" s="10" t="str">
        <x:v>MOV001365</x:v>
      </x:c>
      <x:c r="B901" s="16" t="n">
        <x:v>45688.70521277778</x:v>
      </x:c>
      <x:c r="C901" s="10" t="str">
        <x:v>EMP003</x:v>
      </x:c>
      <x:c r="D901" s="10" t="str">
        <x:v>CTA006</x:v>
      </x:c>
      <x:c r="E901" s="10" t="str">
        <x:v>Entrada</x:v>
      </x:c>
      <x:c r="F901" s="10" t="str">
        <x:v>CAT001</x:v>
      </x:c>
      <x:c r="G901" s="10" t="str">
        <x:v>Projeto especial</x:v>
      </x:c>
      <x:c r="H901" s="10" t="str">
        <x:v>REC00734</x:v>
      </x:c>
      <x:c r="I901" s="20" t="n">
        <x:v>20173.25</x:v>
      </x:c>
      <x:c r="J901" s="20" t="n">
        <x:v>20173.25</x:v>
      </x:c>
      <x:c r="K901" s="10" t="str">
        <x:v>Realizado</x:v>
      </x:c>
      <x:c r="L901" s="10" t="str">
        <x:v>Contas a Receber</x:v>
      </x:c>
    </x:row>
    <x:row r="902" ht="18" customHeight="1">
      <x:c r="A902" s="10" t="str">
        <x:v>MOV000140</x:v>
      </x:c>
      <x:c r="B902" s="16" t="n">
        <x:v>45689.45765192129</x:v>
      </x:c>
      <x:c r="C902" s="10" t="str">
        <x:v>EMP003</x:v>
      </x:c>
      <x:c r="D902" s="10" t="str">
        <x:v>CTA005</x:v>
      </x:c>
      <x:c r="E902" s="10" t="str">
        <x:v>Saída</x:v>
      </x:c>
      <x:c r="F902" s="10" t="str">
        <x:v>CAT015</x:v>
      </x:c>
      <x:c r="G902" s="10" t="str">
        <x:v>Despesa operacional</x:v>
      </x:c>
      <x:c r="H902" s="10" t="str">
        <x:v>PAG00161</x:v>
      </x:c>
      <x:c r="I902" s="20" t="n">
        <x:v>27719.82</x:v>
      </x:c>
      <x:c r="J902" s="20" t="n">
        <x:v>-27719.82</x:v>
      </x:c>
      <x:c r="K902" s="10" t="str">
        <x:v>Realizado</x:v>
      </x:c>
      <x:c r="L902" s="10" t="str">
        <x:v>Contas a Pagar</x:v>
      </x:c>
    </x:row>
    <x:row r="903" ht="18" customHeight="1">
      <x:c r="A903" s="10" t="str">
        <x:v>MOV000235</x:v>
      </x:c>
      <x:c r="B903" s="16" t="n">
        <x:v>45689.51908255787</x:v>
      </x:c>
      <x:c r="C903" s="10" t="str">
        <x:v>EMP002</x:v>
      </x:c>
      <x:c r="D903" s="10" t="str">
        <x:v>CTA004</x:v>
      </x:c>
      <x:c r="E903" s="10" t="str">
        <x:v>Saída</x:v>
      </x:c>
      <x:c r="F903" s="10" t="str">
        <x:v>CAT005</x:v>
      </x:c>
      <x:c r="G903" s="10" t="str">
        <x:v>Prestação de serviços</x:v>
      </x:c>
      <x:c r="H903" s="10" t="str">
        <x:v>PAG00275</x:v>
      </x:c>
      <x:c r="I903" s="20" t="n">
        <x:v>16585.38</x:v>
      </x:c>
      <x:c r="J903" s="20" t="n">
        <x:v>-16585.38</x:v>
      </x:c>
      <x:c r="K903" s="10" t="str">
        <x:v>Realizado</x:v>
      </x:c>
      <x:c r="L903" s="10" t="str">
        <x:v>Contas a Pagar</x:v>
      </x:c>
    </x:row>
    <x:row r="904" ht="18" customHeight="1">
      <x:c r="A904" s="10" t="str">
        <x:v>MOV001617</x:v>
      </x:c>
      <x:c r="B904" s="16" t="n">
        <x:v>45689.612283842594</x:v>
      </x:c>
      <x:c r="C904" s="10" t="str">
        <x:v>EMP003</x:v>
      </x:c>
      <x:c r="D904" s="10" t="str">
        <x:v>CTA005</x:v>
      </x:c>
      <x:c r="E904" s="10" t="str">
        <x:v>Entrada</x:v>
      </x:c>
      <x:c r="F904" s="10" t="str">
        <x:v>CAT001</x:v>
      </x:c>
      <x:c r="G904" s="10" t="str">
        <x:v>Venda de produtos</x:v>
      </x:c>
      <x:c r="H904" s="10" t="str">
        <x:v>REC01046</x:v>
      </x:c>
      <x:c r="I904" s="20" t="n">
        <x:v>15967.24</x:v>
      </x:c>
      <x:c r="J904" s="20" t="n">
        <x:v>15967.24</x:v>
      </x:c>
      <x:c r="K904" s="10" t="str">
        <x:v>Realizado</x:v>
      </x:c>
      <x:c r="L904" s="10" t="str">
        <x:v>Contas a Receber</x:v>
      </x:c>
    </x:row>
    <x:row r="905" ht="18" customHeight="1">
      <x:c r="A905" s="10" t="str">
        <x:v>MOV000930</x:v>
      </x:c>
      <x:c r="B905" s="16" t="n">
        <x:v>45689.81345616898</x:v>
      </x:c>
      <x:c r="C905" s="10" t="str">
        <x:v>EMP003</x:v>
      </x:c>
      <x:c r="D905" s="10" t="str">
        <x:v>CTA005</x:v>
      </x:c>
      <x:c r="E905" s="10" t="str">
        <x:v>Entrada</x:v>
      </x:c>
      <x:c r="F905" s="10" t="str">
        <x:v>CAT004</x:v>
      </x:c>
      <x:c r="G905" s="10" t="str">
        <x:v>Projeto especial</x:v>
      </x:c>
      <x:c r="H905" s="10" t="str">
        <x:v>REC00209</x:v>
      </x:c>
      <x:c r="I905" s="20" t="n">
        <x:v>75162.29</x:v>
      </x:c>
      <x:c r="J905" s="20" t="n">
        <x:v>75162.29</x:v>
      </x:c>
      <x:c r="K905" s="10" t="str">
        <x:v>Realizado</x:v>
      </x:c>
      <x:c r="L905" s="10" t="str">
        <x:v>Contas a Receber</x:v>
      </x:c>
    </x:row>
    <x:row r="906" ht="18" customHeight="1">
      <x:c r="A906" s="10" t="str">
        <x:v>MOV000148</x:v>
      </x:c>
      <x:c r="B906" s="16" t="n">
        <x:v>45690.45897076389</x:v>
      </x:c>
      <x:c r="C906" s="10" t="str">
        <x:v>EMP003</x:v>
      </x:c>
      <x:c r="D906" s="10" t="str">
        <x:v>CTA005</x:v>
      </x:c>
      <x:c r="E906" s="10" t="str">
        <x:v>Saída</x:v>
      </x:c>
      <x:c r="F906" s="10" t="str">
        <x:v>CAT015</x:v>
      </x:c>
      <x:c r="G906" s="10" t="str">
        <x:v>Tributos e taxas</x:v>
      </x:c>
      <x:c r="H906" s="10" t="str">
        <x:v>PAG00171</x:v>
      </x:c>
      <x:c r="I906" s="20" t="n">
        <x:v>100564.35</x:v>
      </x:c>
      <x:c r="J906" s="20" t="n">
        <x:v>-100564.35</x:v>
      </x:c>
      <x:c r="K906" s="10" t="str">
        <x:v>Realizado</x:v>
      </x:c>
      <x:c r="L906" s="10" t="str">
        <x:v>Contas a Pagar</x:v>
      </x:c>
    </x:row>
    <x:row r="907" ht="18" customHeight="1">
      <x:c r="A907" s="10" t="str">
        <x:v>MOV001137</x:v>
      </x:c>
      <x:c r="B907" s="16" t="n">
        <x:v>45691.875314641205</x:v>
      </x:c>
      <x:c r="C907" s="10" t="str">
        <x:v>EMP001</x:v>
      </x:c>
      <x:c r="D907" s="10" t="str">
        <x:v>CTA002</x:v>
      </x:c>
      <x:c r="E907" s="10" t="str">
        <x:v>Entrada</x:v>
      </x:c>
      <x:c r="F907" s="10" t="str">
        <x:v>CAT002</x:v>
      </x:c>
      <x:c r="G907" s="10" t="str">
        <x:v>Prestação de serviços</x:v>
      </x:c>
      <x:c r="H907" s="10" t="str">
        <x:v>REC00469</x:v>
      </x:c>
      <x:c r="I907" s="20" t="n">
        <x:v>22527</x:v>
      </x:c>
      <x:c r="J907" s="20" t="n">
        <x:v>22527</x:v>
      </x:c>
      <x:c r="K907" s="10" t="str">
        <x:v>Realizado</x:v>
      </x:c>
      <x:c r="L907" s="10" t="str">
        <x:v>Contas a Receber</x:v>
      </x:c>
    </x:row>
    <x:row r="908" ht="18" customHeight="1">
      <x:c r="A908" s="10" t="str">
        <x:v>MOV000388</x:v>
      </x:c>
      <x:c r="B908" s="16" t="n">
        <x:v>45691.88677700231</x:v>
      </x:c>
      <x:c r="C908" s="10" t="str">
        <x:v>EMP003</x:v>
      </x:c>
      <x:c r="D908" s="10" t="str">
        <x:v>CTA005</x:v>
      </x:c>
      <x:c r="E908" s="10" t="str">
        <x:v>Saída</x:v>
      </x:c>
      <x:c r="F908" s="10" t="str">
        <x:v>CAT014</x:v>
      </x:c>
      <x:c r="G908" s="10" t="str">
        <x:v>Contrato recorrente</x:v>
      </x:c>
      <x:c r="H908" s="10" t="str">
        <x:v>PAG00452</x:v>
      </x:c>
      <x:c r="I908" s="20" t="n">
        <x:v>8750.66</x:v>
      </x:c>
      <x:c r="J908" s="20" t="n">
        <x:v>-8750.66</x:v>
      </x:c>
      <x:c r="K908" s="10" t="str">
        <x:v>Realizado</x:v>
      </x:c>
      <x:c r="L908" s="10" t="str">
        <x:v>Contas a Pagar</x:v>
      </x:c>
    </x:row>
    <x:row r="909" ht="18" customHeight="1">
      <x:c r="A909" s="10" t="str">
        <x:v>MOV000818</x:v>
      </x:c>
      <x:c r="B909" s="16" t="n">
        <x:v>45692.17551247685</x:v>
      </x:c>
      <x:c r="C909" s="10" t="str">
        <x:v>EMP002</x:v>
      </x:c>
      <x:c r="D909" s="10" t="str">
        <x:v>CTA003</x:v>
      </x:c>
      <x:c r="E909" s="10" t="str">
        <x:v>Entrada</x:v>
      </x:c>
      <x:c r="F909" s="10" t="str">
        <x:v>CAT004</x:v>
      </x:c>
      <x:c r="G909" s="10" t="str">
        <x:v>Prestação de serviços</x:v>
      </x:c>
      <x:c r="H909" s="10" t="str">
        <x:v>REC00079</x:v>
      </x:c>
      <x:c r="I909" s="20" t="n">
        <x:v>58619.99</x:v>
      </x:c>
      <x:c r="J909" s="20" t="n">
        <x:v>58619.99</x:v>
      </x:c>
      <x:c r="K909" s="10" t="str">
        <x:v>Realizado</x:v>
      </x:c>
      <x:c r="L909" s="10" t="str">
        <x:v>Contas a Receber</x:v>
      </x:c>
    </x:row>
    <x:row r="910" ht="18" customHeight="1">
      <x:c r="A910" s="10" t="str">
        <x:v>MOV001212</x:v>
      </x:c>
      <x:c r="B910" s="16" t="n">
        <x:v>45692.19765054398</x:v>
      </x:c>
      <x:c r="C910" s="10" t="str">
        <x:v>EMP001</x:v>
      </x:c>
      <x:c r="D910" s="10" t="str">
        <x:v>CTA002</x:v>
      </x:c>
      <x:c r="E910" s="10" t="str">
        <x:v>Entrada</x:v>
      </x:c>
      <x:c r="F910" s="10" t="str">
        <x:v>CAT002</x:v>
      </x:c>
      <x:c r="G910" s="10" t="str">
        <x:v>Venda de produtos</x:v>
      </x:c>
      <x:c r="H910" s="10" t="str">
        <x:v>REC00558</x:v>
      </x:c>
      <x:c r="I910" s="20" t="n">
        <x:v>13986.12</x:v>
      </x:c>
      <x:c r="J910" s="20" t="n">
        <x:v>13986.12</x:v>
      </x:c>
      <x:c r="K910" s="10" t="str">
        <x:v>Realizado</x:v>
      </x:c>
      <x:c r="L910" s="10" t="str">
        <x:v>Contas a Receber</x:v>
      </x:c>
    </x:row>
    <x:row r="911" ht="18" customHeight="1">
      <x:c r="A911" s="10" t="str">
        <x:v>MOV000075</x:v>
      </x:c>
      <x:c r="B911" s="16" t="n">
        <x:v>45692.31110752315</x:v>
      </x:c>
      <x:c r="C911" s="10" t="str">
        <x:v>EMP002</x:v>
      </x:c>
      <x:c r="D911" s="10" t="str">
        <x:v>CTA004</x:v>
      </x:c>
      <x:c r="E911" s="10" t="str">
        <x:v>Saída</x:v>
      </x:c>
      <x:c r="F911" s="10" t="str">
        <x:v>CAT011</x:v>
      </x:c>
      <x:c r="G911" s="10" t="str">
        <x:v>Prestação de serviços</x:v>
      </x:c>
      <x:c r="H911" s="10" t="str">
        <x:v>PAG00084</x:v>
      </x:c>
      <x:c r="I911" s="20" t="n">
        <x:v>40591.34</x:v>
      </x:c>
      <x:c r="J911" s="20" t="n">
        <x:v>-40591.34</x:v>
      </x:c>
      <x:c r="K911" s="10" t="str">
        <x:v>Realizado</x:v>
      </x:c>
      <x:c r="L911" s="10" t="str">
        <x:v>Contas a Pagar</x:v>
      </x:c>
    </x:row>
    <x:row r="912" ht="18" customHeight="1">
      <x:c r="A912" s="10" t="str">
        <x:v>MOV000844</x:v>
      </x:c>
      <x:c r="B912" s="16" t="n">
        <x:v>45692.41319759259</x:v>
      </x:c>
      <x:c r="C912" s="10" t="str">
        <x:v>EMP001</x:v>
      </x:c>
      <x:c r="D912" s="10" t="str">
        <x:v>CTA001</x:v>
      </x:c>
      <x:c r="E912" s="10" t="str">
        <x:v>Entrada</x:v>
      </x:c>
      <x:c r="F912" s="10" t="str">
        <x:v>CAT002</x:v>
      </x:c>
      <x:c r="G912" s="10" t="str">
        <x:v>Prestação de serviços</x:v>
      </x:c>
      <x:c r="H912" s="10" t="str">
        <x:v>REC00111</x:v>
      </x:c>
      <x:c r="I912" s="20" t="n">
        <x:v>50064.86</x:v>
      </x:c>
      <x:c r="J912" s="20" t="n">
        <x:v>50064.86</x:v>
      </x:c>
      <x:c r="K912" s="10" t="str">
        <x:v>Realizado</x:v>
      </x:c>
      <x:c r="L912" s="10" t="str">
        <x:v>Contas a Receber</x:v>
      </x:c>
    </x:row>
    <x:row r="913" ht="18" customHeight="1">
      <x:c r="A913" s="10" t="str">
        <x:v>MOV000519</x:v>
      </x:c>
      <x:c r="B913" s="16" t="n">
        <x:v>45692.43197428241</x:v>
      </x:c>
      <x:c r="C913" s="10" t="str">
        <x:v>EMP001</x:v>
      </x:c>
      <x:c r="D913" s="10" t="str">
        <x:v>CTA002</x:v>
      </x:c>
      <x:c r="E913" s="10" t="str">
        <x:v>Saída</x:v>
      </x:c>
      <x:c r="F913" s="10" t="str">
        <x:v>CAT009</x:v>
      </x:c>
      <x:c r="G913" s="10" t="str">
        <x:v>Tributos e taxas</x:v>
      </x:c>
      <x:c r="H913" s="10" t="str">
        <x:v>PAG00609</x:v>
      </x:c>
      <x:c r="I913" s="20" t="n">
        <x:v>116769.56</x:v>
      </x:c>
      <x:c r="J913" s="20" t="n">
        <x:v>-116769.56</x:v>
      </x:c>
      <x:c r="K913" s="10" t="str">
        <x:v>Realizado</x:v>
      </x:c>
      <x:c r="L913" s="10" t="str">
        <x:v>Contas a Pagar</x:v>
      </x:c>
    </x:row>
    <x:row r="914" ht="18" customHeight="1">
      <x:c r="A914" s="10" t="str">
        <x:v>MOV001344</x:v>
      </x:c>
      <x:c r="B914" s="16" t="n">
        <x:v>45692.56075708333</x:v>
      </x:c>
      <x:c r="C914" s="10" t="str">
        <x:v>EMP003</x:v>
      </x:c>
      <x:c r="D914" s="10" t="str">
        <x:v>CTA005</x:v>
      </x:c>
      <x:c r="E914" s="10" t="str">
        <x:v>Entrada</x:v>
      </x:c>
      <x:c r="F914" s="10" t="str">
        <x:v>CAT003</x:v>
      </x:c>
      <x:c r="G914" s="10" t="str">
        <x:v>Frete faturado</x:v>
      </x:c>
      <x:c r="H914" s="10" t="str">
        <x:v>REC00711</x:v>
      </x:c>
      <x:c r="I914" s="20" t="n">
        <x:v>71700.66</x:v>
      </x:c>
      <x:c r="J914" s="20" t="n">
        <x:v>71700.66</x:v>
      </x:c>
      <x:c r="K914" s="10" t="str">
        <x:v>Realizado</x:v>
      </x:c>
      <x:c r="L914" s="10" t="str">
        <x:v>Contas a Receber</x:v>
      </x:c>
    </x:row>
    <x:row r="915" ht="18" customHeight="1">
      <x:c r="A915" s="10" t="str">
        <x:v>MOV001018</x:v>
      </x:c>
      <x:c r="B915" s="16" t="n">
        <x:v>45692.59963202546</x:v>
      </x:c>
      <x:c r="C915" s="10" t="str">
        <x:v>EMP003</x:v>
      </x:c>
      <x:c r="D915" s="10" t="str">
        <x:v>CTA006</x:v>
      </x:c>
      <x:c r="E915" s="10" t="str">
        <x:v>Entrada</x:v>
      </x:c>
      <x:c r="F915" s="10" t="str">
        <x:v>CAT003</x:v>
      </x:c>
      <x:c r="G915" s="10" t="str">
        <x:v>Venda de produtos</x:v>
      </x:c>
      <x:c r="H915" s="10" t="str">
        <x:v>REC00321</x:v>
      </x:c>
      <x:c r="I915" s="20" t="n">
        <x:v>57172.69</x:v>
      </x:c>
      <x:c r="J915" s="20" t="n">
        <x:v>57172.69</x:v>
      </x:c>
      <x:c r="K915" s="10" t="str">
        <x:v>Realizado</x:v>
      </x:c>
      <x:c r="L915" s="10" t="str">
        <x:v>Contas a Receber</x:v>
      </x:c>
    </x:row>
    <x:row r="916" ht="18" customHeight="1">
      <x:c r="A916" s="10" t="str">
        <x:v>MOV001090</x:v>
      </x:c>
      <x:c r="B916" s="16" t="n">
        <x:v>45692.97986542824</x:v>
      </x:c>
      <x:c r="C916" s="10" t="str">
        <x:v>EMP002</x:v>
      </x:c>
      <x:c r="D916" s="10" t="str">
        <x:v>CTA003</x:v>
      </x:c>
      <x:c r="E916" s="10" t="str">
        <x:v>Entrada</x:v>
      </x:c>
      <x:c r="F916" s="10" t="str">
        <x:v>CAT002</x:v>
      </x:c>
      <x:c r="G916" s="10" t="str">
        <x:v>Contrato mensal</x:v>
      </x:c>
      <x:c r="H916" s="10" t="str">
        <x:v>REC00413</x:v>
      </x:c>
      <x:c r="I916" s="20" t="n">
        <x:v>120409.95</x:v>
      </x:c>
      <x:c r="J916" s="20" t="n">
        <x:v>120409.95</x:v>
      </x:c>
      <x:c r="K916" s="10" t="str">
        <x:v>Realizado</x:v>
      </x:c>
      <x:c r="L916" s="10" t="str">
        <x:v>Contas a Receber</x:v>
      </x:c>
    </x:row>
    <x:row r="917" ht="18" customHeight="1">
      <x:c r="A917" s="10" t="str">
        <x:v>MOV001317</x:v>
      </x:c>
      <x:c r="B917" s="16" t="n">
        <x:v>45694.099708773145</x:v>
      </x:c>
      <x:c r="C917" s="10" t="str">
        <x:v>EMP002</x:v>
      </x:c>
      <x:c r="D917" s="10" t="str">
        <x:v>CTA003</x:v>
      </x:c>
      <x:c r="E917" s="10" t="str">
        <x:v>Entrada</x:v>
      </x:c>
      <x:c r="F917" s="10" t="str">
        <x:v>CAT001</x:v>
      </x:c>
      <x:c r="G917" s="10" t="str">
        <x:v>Frete faturado</x:v>
      </x:c>
      <x:c r="H917" s="10" t="str">
        <x:v>REC00680</x:v>
      </x:c>
      <x:c r="I917" s="20" t="n">
        <x:v>36475.86</x:v>
      </x:c>
      <x:c r="J917" s="20" t="n">
        <x:v>36475.86</x:v>
      </x:c>
      <x:c r="K917" s="10" t="str">
        <x:v>Realizado</x:v>
      </x:c>
      <x:c r="L917" s="10" t="str">
        <x:v>Contas a Receber</x:v>
      </x:c>
    </x:row>
    <x:row r="918" ht="18" customHeight="1">
      <x:c r="A918" s="10" t="str">
        <x:v>MOV000683</x:v>
      </x:c>
      <x:c r="B918" s="16" t="n">
        <x:v>45694.41598184028</x:v>
      </x:c>
      <x:c r="C918" s="10" t="str">
        <x:v>EMP001</x:v>
      </x:c>
      <x:c r="D918" s="10" t="str">
        <x:v>CTA001</x:v>
      </x:c>
      <x:c r="E918" s="10" t="str">
        <x:v>Saída</x:v>
      </x:c>
      <x:c r="F918" s="10" t="str">
        <x:v>CAT014</x:v>
      </x:c>
      <x:c r="G918" s="10" t="str">
        <x:v>Compra de materiais</x:v>
      </x:c>
      <x:c r="H918" s="10" t="str">
        <x:v>PAG00812</x:v>
      </x:c>
      <x:c r="I918" s="20" t="n">
        <x:v>105583.27</x:v>
      </x:c>
      <x:c r="J918" s="20" t="n">
        <x:v>-105583.27</x:v>
      </x:c>
      <x:c r="K918" s="10" t="str">
        <x:v>Realizado</x:v>
      </x:c>
      <x:c r="L918" s="10" t="str">
        <x:v>Contas a Pagar</x:v>
      </x:c>
    </x:row>
    <x:row r="919" ht="18" customHeight="1">
      <x:c r="A919" s="10" t="str">
        <x:v>MOV000312</x:v>
      </x:c>
      <x:c r="B919" s="16" t="n">
        <x:v>45694.485171886576</x:v>
      </x:c>
      <x:c r="C919" s="10" t="str">
        <x:v>EMP001</x:v>
      </x:c>
      <x:c r="D919" s="10" t="str">
        <x:v>CTA001</x:v>
      </x:c>
      <x:c r="E919" s="10" t="str">
        <x:v>Saída</x:v>
      </x:c>
      <x:c r="F919" s="10" t="str">
        <x:v>CAT008</x:v>
      </x:c>
      <x:c r="G919" s="10" t="str">
        <x:v>Despesa operacional</x:v>
      </x:c>
      <x:c r="H919" s="10" t="str">
        <x:v>PAG00362</x:v>
      </x:c>
      <x:c r="I919" s="20" t="n">
        <x:v>35500.49</x:v>
      </x:c>
      <x:c r="J919" s="20" t="n">
        <x:v>-35500.49</x:v>
      </x:c>
      <x:c r="K919" s="10" t="str">
        <x:v>Realizado</x:v>
      </x:c>
      <x:c r="L919" s="10" t="str">
        <x:v>Contas a Pagar</x:v>
      </x:c>
    </x:row>
    <x:row r="920" ht="18" customHeight="1">
      <x:c r="A920" s="10" t="str">
        <x:v>MOV000466</x:v>
      </x:c>
      <x:c r="B920" s="16" t="n">
        <x:v>45694.503773993056</x:v>
      </x:c>
      <x:c r="C920" s="10" t="str">
        <x:v>EMP001</x:v>
      </x:c>
      <x:c r="D920" s="10" t="str">
        <x:v>CTA002</x:v>
      </x:c>
      <x:c r="E920" s="10" t="str">
        <x:v>Saída</x:v>
      </x:c>
      <x:c r="F920" s="10" t="str">
        <x:v>CAT011</x:v>
      </x:c>
      <x:c r="G920" s="10" t="str">
        <x:v>Prestação de serviços</x:v>
      </x:c>
      <x:c r="H920" s="10" t="str">
        <x:v>PAG00547</x:v>
      </x:c>
      <x:c r="I920" s="20" t="n">
        <x:v>89658.37</x:v>
      </x:c>
      <x:c r="J920" s="20" t="n">
        <x:v>-89658.37</x:v>
      </x:c>
      <x:c r="K920" s="10" t="str">
        <x:v>Realizado</x:v>
      </x:c>
      <x:c r="L920" s="10" t="str">
        <x:v>Contas a Pagar</x:v>
      </x:c>
    </x:row>
    <x:row r="921" ht="18" customHeight="1">
      <x:c r="A921" s="10" t="str">
        <x:v>MOV000020</x:v>
      </x:c>
      <x:c r="B921" s="16" t="n">
        <x:v>45694.65321142361</x:v>
      </x:c>
      <x:c r="C921" s="10" t="str">
        <x:v>EMP002</x:v>
      </x:c>
      <x:c r="D921" s="10" t="str">
        <x:v>CTA004</x:v>
      </x:c>
      <x:c r="E921" s="10" t="str">
        <x:v>Saída</x:v>
      </x:c>
      <x:c r="F921" s="10" t="str">
        <x:v>CAT007</x:v>
      </x:c>
      <x:c r="G921" s="10" t="str">
        <x:v>Tributos e taxas</x:v>
      </x:c>
      <x:c r="H921" s="10" t="str">
        <x:v>PAG00018</x:v>
      </x:c>
      <x:c r="I921" s="20" t="n">
        <x:v>97035.49</x:v>
      </x:c>
      <x:c r="J921" s="20" t="n">
        <x:v>-97035.49</x:v>
      </x:c>
      <x:c r="K921" s="10" t="str">
        <x:v>Realizado</x:v>
      </x:c>
      <x:c r="L921" s="10" t="str">
        <x:v>Contas a Pagar</x:v>
      </x:c>
    </x:row>
    <x:row r="922" ht="18" customHeight="1">
      <x:c r="A922" s="10" t="str">
        <x:v>MOV000872</x:v>
      </x:c>
      <x:c r="B922" s="16" t="n">
        <x:v>45695.842711446756</x:v>
      </x:c>
      <x:c r="C922" s="10" t="str">
        <x:v>EMP001</x:v>
      </x:c>
      <x:c r="D922" s="10" t="str">
        <x:v>CTA001</x:v>
      </x:c>
      <x:c r="E922" s="10" t="str">
        <x:v>Entrada</x:v>
      </x:c>
      <x:c r="F922" s="10" t="str">
        <x:v>CAT004</x:v>
      </x:c>
      <x:c r="G922" s="10" t="str">
        <x:v>Prestação de serviços</x:v>
      </x:c>
      <x:c r="H922" s="10" t="str">
        <x:v>REC00143</x:v>
      </x:c>
      <x:c r="I922" s="20" t="n">
        <x:v>40189.41</x:v>
      </x:c>
      <x:c r="J922" s="20" t="n">
        <x:v>40189.41</x:v>
      </x:c>
      <x:c r="K922" s="10" t="str">
        <x:v>Realizado</x:v>
      </x:c>
      <x:c r="L922" s="10" t="str">
        <x:v>Contas a Receber</x:v>
      </x:c>
    </x:row>
    <x:row r="923" ht="18" customHeight="1">
      <x:c r="A923" s="10" t="str">
        <x:v>MOV000799</x:v>
      </x:c>
      <x:c r="B923" s="16" t="n">
        <x:v>45696.392315613426</x:v>
      </x:c>
      <x:c r="C923" s="10" t="str">
        <x:v>EMP001</x:v>
      </x:c>
      <x:c r="D923" s="10" t="str">
        <x:v>CTA002</x:v>
      </x:c>
      <x:c r="E923" s="10" t="str">
        <x:v>Entrada</x:v>
      </x:c>
      <x:c r="F923" s="10" t="str">
        <x:v>CAT002</x:v>
      </x:c>
      <x:c r="G923" s="10" t="str">
        <x:v>Venda de produtos</x:v>
      </x:c>
      <x:c r="H923" s="10" t="str">
        <x:v>REC00057</x:v>
      </x:c>
      <x:c r="I923" s="20" t="n">
        <x:v>2434.65</x:v>
      </x:c>
      <x:c r="J923" s="20" t="n">
        <x:v>2434.65</x:v>
      </x:c>
      <x:c r="K923" s="10" t="str">
        <x:v>Realizado</x:v>
      </x:c>
      <x:c r="L923" s="10" t="str">
        <x:v>Contas a Receber</x:v>
      </x:c>
    </x:row>
    <x:row r="924" ht="18" customHeight="1">
      <x:c r="A924" s="10" t="str">
        <x:v>MOV001035</x:v>
      </x:c>
      <x:c r="B924" s="16" t="n">
        <x:v>45696.65732145833</x:v>
      </x:c>
      <x:c r="C924" s="10" t="str">
        <x:v>EMP001</x:v>
      </x:c>
      <x:c r="D924" s="10" t="str">
        <x:v>CTA002</x:v>
      </x:c>
      <x:c r="E924" s="10" t="str">
        <x:v>Entrada</x:v>
      </x:c>
      <x:c r="F924" s="10" t="str">
        <x:v>CAT002</x:v>
      </x:c>
      <x:c r="G924" s="10" t="str">
        <x:v>Projeto especial</x:v>
      </x:c>
      <x:c r="H924" s="10" t="str">
        <x:v>REC00342</x:v>
      </x:c>
      <x:c r="I924" s="20" t="n">
        <x:v>76159.57</x:v>
      </x:c>
      <x:c r="J924" s="20" t="n">
        <x:v>76159.57</x:v>
      </x:c>
      <x:c r="K924" s="10" t="str">
        <x:v>Realizado</x:v>
      </x:c>
      <x:c r="L924" s="10" t="str">
        <x:v>Contas a Receber</x:v>
      </x:c>
    </x:row>
    <x:row r="925" ht="18" customHeight="1">
      <x:c r="A925" s="10" t="str">
        <x:v>MOV001245</x:v>
      </x:c>
      <x:c r="B925" s="16" t="n">
        <x:v>45697.41208230324</x:v>
      </x:c>
      <x:c r="C925" s="10" t="str">
        <x:v>EMP001</x:v>
      </x:c>
      <x:c r="D925" s="10" t="str">
        <x:v>CTA002</x:v>
      </x:c>
      <x:c r="E925" s="10" t="str">
        <x:v>Entrada</x:v>
      </x:c>
      <x:c r="F925" s="10" t="str">
        <x:v>CAT001</x:v>
      </x:c>
      <x:c r="G925" s="10" t="str">
        <x:v>Venda de produtos</x:v>
      </x:c>
      <x:c r="H925" s="10" t="str">
        <x:v>REC00597</x:v>
      </x:c>
      <x:c r="I925" s="20" t="n">
        <x:v>108209.75</x:v>
      </x:c>
      <x:c r="J925" s="20" t="n">
        <x:v>108209.75</x:v>
      </x:c>
      <x:c r="K925" s="10" t="str">
        <x:v>Realizado</x:v>
      </x:c>
      <x:c r="L925" s="10" t="str">
        <x:v>Contas a Receber</x:v>
      </x:c>
    </x:row>
    <x:row r="926" ht="18" customHeight="1">
      <x:c r="A926" s="10" t="str">
        <x:v>MOV001494</x:v>
      </x:c>
      <x:c r="B926" s="16" t="n">
        <x:v>45698.249558483796</x:v>
      </x:c>
      <x:c r="C926" s="10" t="str">
        <x:v>EMP003</x:v>
      </x:c>
      <x:c r="D926" s="10" t="str">
        <x:v>CTA005</x:v>
      </x:c>
      <x:c r="E926" s="10" t="str">
        <x:v>Entrada</x:v>
      </x:c>
      <x:c r="F926" s="10" t="str">
        <x:v>CAT001</x:v>
      </x:c>
      <x:c r="G926" s="10" t="str">
        <x:v>Contrato mensal</x:v>
      </x:c>
      <x:c r="H926" s="10" t="str">
        <x:v>REC00899</x:v>
      </x:c>
      <x:c r="I926" s="20" t="n">
        <x:v>66012.48</x:v>
      </x:c>
      <x:c r="J926" s="20" t="n">
        <x:v>66012.48</x:v>
      </x:c>
      <x:c r="K926" s="10" t="str">
        <x:v>Realizado</x:v>
      </x:c>
      <x:c r="L926" s="10" t="str">
        <x:v>Contas a Receber</x:v>
      </x:c>
    </x:row>
    <x:row r="927" ht="18" customHeight="1">
      <x:c r="A927" s="10" t="str">
        <x:v>MOV000634</x:v>
      </x:c>
      <x:c r="B927" s="16" t="n">
        <x:v>45698.51218806713</x:v>
      </x:c>
      <x:c r="C927" s="10" t="str">
        <x:v>EMP002</x:v>
      </x:c>
      <x:c r="D927" s="10" t="str">
        <x:v>CTA003</x:v>
      </x:c>
      <x:c r="E927" s="10" t="str">
        <x:v>Saída</x:v>
      </x:c>
      <x:c r="F927" s="10" t="str">
        <x:v>CAT016</x:v>
      </x:c>
      <x:c r="G927" s="10" t="str">
        <x:v>Contrato recorrente</x:v>
      </x:c>
      <x:c r="H927" s="10" t="str">
        <x:v>PAG00752</x:v>
      </x:c>
      <x:c r="I927" s="20" t="n">
        <x:v>601.15</x:v>
      </x:c>
      <x:c r="J927" s="20" t="n">
        <x:v>-601.15</x:v>
      </x:c>
      <x:c r="K927" s="10" t="str">
        <x:v>Realizado</x:v>
      </x:c>
      <x:c r="L927" s="10" t="str">
        <x:v>Contas a Pagar</x:v>
      </x:c>
    </x:row>
    <x:row r="928" ht="18" customHeight="1">
      <x:c r="A928" s="10" t="str">
        <x:v>MOV000215</x:v>
      </x:c>
      <x:c r="B928" s="16" t="n">
        <x:v>45698.94479728009</x:v>
      </x:c>
      <x:c r="C928" s="10" t="str">
        <x:v>EMP002</x:v>
      </x:c>
      <x:c r="D928" s="10" t="str">
        <x:v>CTA003</x:v>
      </x:c>
      <x:c r="E928" s="10" t="str">
        <x:v>Saída</x:v>
      </x:c>
      <x:c r="F928" s="10" t="str">
        <x:v>CAT014</x:v>
      </x:c>
      <x:c r="G928" s="10" t="str">
        <x:v>Compra de materiais</x:v>
      </x:c>
      <x:c r="H928" s="10" t="str">
        <x:v>PAG00249</x:v>
      </x:c>
      <x:c r="I928" s="20" t="n">
        <x:v>106454.81</x:v>
      </x:c>
      <x:c r="J928" s="20" t="n">
        <x:v>-106454.81</x:v>
      </x:c>
      <x:c r="K928" s="10" t="str">
        <x:v>Realizado</x:v>
      </x:c>
      <x:c r="L928" s="10" t="str">
        <x:v>Contas a Pagar</x:v>
      </x:c>
    </x:row>
    <x:row r="929" ht="18" customHeight="1">
      <x:c r="A929" s="10" t="str">
        <x:v>MOV000529</x:v>
      </x:c>
      <x:c r="B929" s="16" t="n">
        <x:v>45699.889386284725</x:v>
      </x:c>
      <x:c r="C929" s="10" t="str">
        <x:v>EMP003</x:v>
      </x:c>
      <x:c r="D929" s="10" t="str">
        <x:v>CTA005</x:v>
      </x:c>
      <x:c r="E929" s="10" t="str">
        <x:v>Saída</x:v>
      </x:c>
      <x:c r="F929" s="10" t="str">
        <x:v>CAT012</x:v>
      </x:c>
      <x:c r="G929" s="10" t="str">
        <x:v>Despesa operacional</x:v>
      </x:c>
      <x:c r="H929" s="10" t="str">
        <x:v>PAG00619</x:v>
      </x:c>
      <x:c r="I929" s="20" t="n">
        <x:v>2689.74</x:v>
      </x:c>
      <x:c r="J929" s="20" t="n">
        <x:v>-2689.74</x:v>
      </x:c>
      <x:c r="K929" s="10" t="str">
        <x:v>Realizado</x:v>
      </x:c>
      <x:c r="L929" s="10" t="str">
        <x:v>Contas a Pagar</x:v>
      </x:c>
    </x:row>
    <x:row r="930" ht="18" customHeight="1">
      <x:c r="A930" s="10" t="str">
        <x:v>MOV000842</x:v>
      </x:c>
      <x:c r="B930" s="16" t="n">
        <x:v>45699.93748190972</x:v>
      </x:c>
      <x:c r="C930" s="10" t="str">
        <x:v>EMP001</x:v>
      </x:c>
      <x:c r="D930" s="10" t="str">
        <x:v>CTA002</x:v>
      </x:c>
      <x:c r="E930" s="10" t="str">
        <x:v>Entrada</x:v>
      </x:c>
      <x:c r="F930" s="10" t="str">
        <x:v>CAT002</x:v>
      </x:c>
      <x:c r="G930" s="10" t="str">
        <x:v>Venda de produtos</x:v>
      </x:c>
      <x:c r="H930" s="10" t="str">
        <x:v>REC00108</x:v>
      </x:c>
      <x:c r="I930" s="20" t="n">
        <x:v>142783.8</x:v>
      </x:c>
      <x:c r="J930" s="20" t="n">
        <x:v>142783.8</x:v>
      </x:c>
      <x:c r="K930" s="10" t="str">
        <x:v>Realizado</x:v>
      </x:c>
      <x:c r="L930" s="10" t="str">
        <x:v>Contas a Receber</x:v>
      </x:c>
    </x:row>
    <x:row r="931" ht="18" customHeight="1">
      <x:c r="A931" s="10" t="str">
        <x:v>MOV000052</x:v>
      </x:c>
      <x:c r="B931" s="16" t="n">
        <x:v>45700.329218611114</x:v>
      </x:c>
      <x:c r="C931" s="10" t="str">
        <x:v>EMP003</x:v>
      </x:c>
      <x:c r="D931" s="10" t="str">
        <x:v>CTA005</x:v>
      </x:c>
      <x:c r="E931" s="10" t="str">
        <x:v>Saída</x:v>
      </x:c>
      <x:c r="F931" s="10" t="str">
        <x:v>CAT005</x:v>
      </x:c>
      <x:c r="G931" s="10" t="str">
        <x:v>Compra de materiais</x:v>
      </x:c>
      <x:c r="H931" s="10" t="str">
        <x:v>PAG00053</x:v>
      </x:c>
      <x:c r="I931" s="20" t="n">
        <x:v>22667.27</x:v>
      </x:c>
      <x:c r="J931" s="20" t="n">
        <x:v>-22667.27</x:v>
      </x:c>
      <x:c r="K931" s="10" t="str">
        <x:v>Realizado</x:v>
      </x:c>
      <x:c r="L931" s="10" t="str">
        <x:v>Contas a Pagar</x:v>
      </x:c>
    </x:row>
    <x:row r="932" ht="18" customHeight="1">
      <x:c r="A932" s="10" t="str">
        <x:v>MOV001621</x:v>
      </x:c>
      <x:c r="B932" s="16" t="n">
        <x:v>45700.35836038194</x:v>
      </x:c>
      <x:c r="C932" s="10" t="str">
        <x:v>EMP002</x:v>
      </x:c>
      <x:c r="D932" s="10" t="str">
        <x:v>CTA003</x:v>
      </x:c>
      <x:c r="E932" s="10" t="str">
        <x:v>Entrada</x:v>
      </x:c>
      <x:c r="F932" s="10" t="str">
        <x:v>CAT002</x:v>
      </x:c>
      <x:c r="G932" s="10" t="str">
        <x:v>Prestação de serviços</x:v>
      </x:c>
      <x:c r="H932" s="10" t="str">
        <x:v>REC01051</x:v>
      </x:c>
      <x:c r="I932" s="20" t="n">
        <x:v>134669.99</x:v>
      </x:c>
      <x:c r="J932" s="20" t="n">
        <x:v>134669.99</x:v>
      </x:c>
      <x:c r="K932" s="10" t="str">
        <x:v>Realizado</x:v>
      </x:c>
      <x:c r="L932" s="10" t="str">
        <x:v>Contas a Receber</x:v>
      </x:c>
    </x:row>
    <x:row r="933" ht="18" customHeight="1">
      <x:c r="A933" s="10" t="str">
        <x:v>MOV001068</x:v>
      </x:c>
      <x:c r="B933" s="16" t="n">
        <x:v>45701.2407330787</x:v>
      </x:c>
      <x:c r="C933" s="10" t="str">
        <x:v>EMP001</x:v>
      </x:c>
      <x:c r="D933" s="10" t="str">
        <x:v>CTA002</x:v>
      </x:c>
      <x:c r="E933" s="10" t="str">
        <x:v>Entrada</x:v>
      </x:c>
      <x:c r="F933" s="10" t="str">
        <x:v>CAT002</x:v>
      </x:c>
      <x:c r="G933" s="10" t="str">
        <x:v>Venda de produtos</x:v>
      </x:c>
      <x:c r="H933" s="10" t="str">
        <x:v>REC00387</x:v>
      </x:c>
      <x:c r="I933" s="20" t="n">
        <x:v>23711</x:v>
      </x:c>
      <x:c r="J933" s="20" t="n">
        <x:v>23711</x:v>
      </x:c>
      <x:c r="K933" s="10" t="str">
        <x:v>Realizado</x:v>
      </x:c>
      <x:c r="L933" s="10" t="str">
        <x:v>Contas a Receber</x:v>
      </x:c>
    </x:row>
    <x:row r="934" ht="18" customHeight="1">
      <x:c r="A934" s="10" t="str">
        <x:v>MOV000790</x:v>
      </x:c>
      <x:c r="B934" s="16" t="n">
        <x:v>45701.866107511574</x:v>
      </x:c>
      <x:c r="C934" s="10" t="str">
        <x:v>EMP003</x:v>
      </x:c>
      <x:c r="D934" s="10" t="str">
        <x:v>CTA005</x:v>
      </x:c>
      <x:c r="E934" s="10" t="str">
        <x:v>Entrada</x:v>
      </x:c>
      <x:c r="F934" s="10" t="str">
        <x:v>CAT002</x:v>
      </x:c>
      <x:c r="G934" s="10" t="str">
        <x:v>Venda de produtos</x:v>
      </x:c>
      <x:c r="H934" s="10" t="str">
        <x:v>REC00046</x:v>
      </x:c>
      <x:c r="I934" s="20" t="n">
        <x:v>7929.79</x:v>
      </x:c>
      <x:c r="J934" s="20" t="n">
        <x:v>7929.79</x:v>
      </x:c>
      <x:c r="K934" s="10" t="str">
        <x:v>Realizado</x:v>
      </x:c>
      <x:c r="L934" s="10" t="str">
        <x:v>Contas a Receber</x:v>
      </x:c>
    </x:row>
    <x:row r="935" ht="18" customHeight="1">
      <x:c r="A935" s="10" t="str">
        <x:v>MOV000132</x:v>
      </x:c>
      <x:c r="B935" s="16" t="n">
        <x:v>45702.947084907406</x:v>
      </x:c>
      <x:c r="C935" s="10" t="str">
        <x:v>EMP001</x:v>
      </x:c>
      <x:c r="D935" s="10" t="str">
        <x:v>CTA002</x:v>
      </x:c>
      <x:c r="E935" s="10" t="str">
        <x:v>Saída</x:v>
      </x:c>
      <x:c r="F935" s="10" t="str">
        <x:v>CAT009</x:v>
      </x:c>
      <x:c r="G935" s="10" t="str">
        <x:v>Despesa operacional</x:v>
      </x:c>
      <x:c r="H935" s="10" t="str">
        <x:v>PAG00153</x:v>
      </x:c>
      <x:c r="I935" s="20" t="n">
        <x:v>46014.51</x:v>
      </x:c>
      <x:c r="J935" s="20" t="n">
        <x:v>-46014.51</x:v>
      </x:c>
      <x:c r="K935" s="10" t="str">
        <x:v>Realizado</x:v>
      </x:c>
      <x:c r="L935" s="10" t="str">
        <x:v>Contas a Pagar</x:v>
      </x:c>
    </x:row>
    <x:row r="936" ht="18" customHeight="1">
      <x:c r="A936" s="10" t="str">
        <x:v>MOV001422</x:v>
      </x:c>
      <x:c r="B936" s="16" t="n">
        <x:v>45703.74483216435</x:v>
      </x:c>
      <x:c r="C936" s="10" t="str">
        <x:v>EMP002</x:v>
      </x:c>
      <x:c r="D936" s="10" t="str">
        <x:v>CTA004</x:v>
      </x:c>
      <x:c r="E936" s="10" t="str">
        <x:v>Entrada</x:v>
      </x:c>
      <x:c r="F936" s="10" t="str">
        <x:v>CAT001</x:v>
      </x:c>
      <x:c r="G936" s="10" t="str">
        <x:v>Prestação de serviços</x:v>
      </x:c>
      <x:c r="H936" s="10" t="str">
        <x:v>REC00812</x:v>
      </x:c>
      <x:c r="I936" s="20" t="n">
        <x:v>103492.17</x:v>
      </x:c>
      <x:c r="J936" s="20" t="n">
        <x:v>103492.17</x:v>
      </x:c>
      <x:c r="K936" s="10" t="str">
        <x:v>Realizado</x:v>
      </x:c>
      <x:c r="L936" s="10" t="str">
        <x:v>Contas a Receber</x:v>
      </x:c>
    </x:row>
    <x:row r="937" ht="18" customHeight="1">
      <x:c r="A937" s="10" t="str">
        <x:v>MOV000099</x:v>
      </x:c>
      <x:c r="B937" s="16" t="n">
        <x:v>45703.85289070602</x:v>
      </x:c>
      <x:c r="C937" s="10" t="str">
        <x:v>EMP002</x:v>
      </x:c>
      <x:c r="D937" s="10" t="str">
        <x:v>CTA004</x:v>
      </x:c>
      <x:c r="E937" s="10" t="str">
        <x:v>Saída</x:v>
      </x:c>
      <x:c r="F937" s="10" t="str">
        <x:v>CAT008</x:v>
      </x:c>
      <x:c r="G937" s="10" t="str">
        <x:v>Tributos e taxas</x:v>
      </x:c>
      <x:c r="H937" s="10" t="str">
        <x:v>PAG00110</x:v>
      </x:c>
      <x:c r="I937" s="20" t="n">
        <x:v>66677.59</x:v>
      </x:c>
      <x:c r="J937" s="20" t="n">
        <x:v>-66677.59</x:v>
      </x:c>
      <x:c r="K937" s="10" t="str">
        <x:v>Realizado</x:v>
      </x:c>
      <x:c r="L937" s="10" t="str">
        <x:v>Contas a Pagar</x:v>
      </x:c>
    </x:row>
    <x:row r="938" ht="18" customHeight="1">
      <x:c r="A938" s="10" t="str">
        <x:v>MOV000662</x:v>
      </x:c>
      <x:c r="B938" s="16" t="n">
        <x:v>45703.87381788195</x:v>
      </x:c>
      <x:c r="C938" s="10" t="str">
        <x:v>EMP001</x:v>
      </x:c>
      <x:c r="D938" s="10" t="str">
        <x:v>CTA002</x:v>
      </x:c>
      <x:c r="E938" s="10" t="str">
        <x:v>Saída</x:v>
      </x:c>
      <x:c r="F938" s="10" t="str">
        <x:v>CAT010</x:v>
      </x:c>
      <x:c r="G938" s="10" t="str">
        <x:v>Compra de materiais</x:v>
      </x:c>
      <x:c r="H938" s="10" t="str">
        <x:v>PAG00786</x:v>
      </x:c>
      <x:c r="I938" s="20" t="n">
        <x:v>4989.25</x:v>
      </x:c>
      <x:c r="J938" s="20" t="n">
        <x:v>-4989.25</x:v>
      </x:c>
      <x:c r="K938" s="10" t="str">
        <x:v>Realizado</x:v>
      </x:c>
      <x:c r="L938" s="10" t="str">
        <x:v>Contas a Pagar</x:v>
      </x:c>
    </x:row>
    <x:row r="939" ht="18" customHeight="1">
      <x:c r="A939" s="10" t="str">
        <x:v>MOV000939</x:v>
      </x:c>
      <x:c r="B939" s="16" t="n">
        <x:v>45705.72531193287</x:v>
      </x:c>
      <x:c r="C939" s="10" t="str">
        <x:v>EMP001</x:v>
      </x:c>
      <x:c r="D939" s="10" t="str">
        <x:v>CTA001</x:v>
      </x:c>
      <x:c r="E939" s="10" t="str">
        <x:v>Entrada</x:v>
      </x:c>
      <x:c r="F939" s="10" t="str">
        <x:v>CAT002</x:v>
      </x:c>
      <x:c r="G939" s="10" t="str">
        <x:v>Frete faturado</x:v>
      </x:c>
      <x:c r="H939" s="10" t="str">
        <x:v>REC00220</x:v>
      </x:c>
      <x:c r="I939" s="20" t="n">
        <x:v>51818.95</x:v>
      </x:c>
      <x:c r="J939" s="20" t="n">
        <x:v>51818.95</x:v>
      </x:c>
      <x:c r="K939" s="10" t="str">
        <x:v>Realizado</x:v>
      </x:c>
      <x:c r="L939" s="10" t="str">
        <x:v>Contas a Receber</x:v>
      </x:c>
    </x:row>
    <x:row r="940" ht="18" customHeight="1">
      <x:c r="A940" s="10" t="str">
        <x:v>MOV001297</x:v>
      </x:c>
      <x:c r="B940" s="16" t="n">
        <x:v>45706.024874930554</x:v>
      </x:c>
      <x:c r="C940" s="10" t="str">
        <x:v>EMP001</x:v>
      </x:c>
      <x:c r="D940" s="10" t="str">
        <x:v>CTA002</x:v>
      </x:c>
      <x:c r="E940" s="10" t="str">
        <x:v>Entrada</x:v>
      </x:c>
      <x:c r="F940" s="10" t="str">
        <x:v>CAT002</x:v>
      </x:c>
      <x:c r="G940" s="10" t="str">
        <x:v>Frete faturado</x:v>
      </x:c>
      <x:c r="H940" s="10" t="str">
        <x:v>REC00659</x:v>
      </x:c>
      <x:c r="I940" s="20" t="n">
        <x:v>44393.25</x:v>
      </x:c>
      <x:c r="J940" s="20" t="n">
        <x:v>44393.25</x:v>
      </x:c>
      <x:c r="K940" s="10" t="str">
        <x:v>Realizado</x:v>
      </x:c>
      <x:c r="L940" s="10" t="str">
        <x:v>Contas a Receber</x:v>
      </x:c>
    </x:row>
    <x:row r="941" ht="18" customHeight="1">
      <x:c r="A941" s="10" t="str">
        <x:v>MOV001188</x:v>
      </x:c>
      <x:c r="B941" s="16" t="n">
        <x:v>45707.04044949074</x:v>
      </x:c>
      <x:c r="C941" s="10" t="str">
        <x:v>EMP001</x:v>
      </x:c>
      <x:c r="D941" s="10" t="str">
        <x:v>CTA002</x:v>
      </x:c>
      <x:c r="E941" s="10" t="str">
        <x:v>Entrada</x:v>
      </x:c>
      <x:c r="F941" s="10" t="str">
        <x:v>CAT003</x:v>
      </x:c>
      <x:c r="G941" s="10" t="str">
        <x:v>Venda de produtos</x:v>
      </x:c>
      <x:c r="H941" s="10" t="str">
        <x:v>REC00530</x:v>
      </x:c>
      <x:c r="I941" s="20" t="n">
        <x:v>42909.75</x:v>
      </x:c>
      <x:c r="J941" s="20" t="n">
        <x:v>42909.75</x:v>
      </x:c>
      <x:c r="K941" s="10" t="str">
        <x:v>Realizado</x:v>
      </x:c>
      <x:c r="L941" s="10" t="str">
        <x:v>Contas a Receber</x:v>
      </x:c>
    </x:row>
    <x:row r="942" ht="18" customHeight="1">
      <x:c r="A942" s="10" t="str">
        <x:v>MOV000540</x:v>
      </x:c>
      <x:c r="B942" s="16" t="n">
        <x:v>45707.299309953705</x:v>
      </x:c>
      <x:c r="C942" s="10" t="str">
        <x:v>EMP003</x:v>
      </x:c>
      <x:c r="D942" s="10" t="str">
        <x:v>CTA006</x:v>
      </x:c>
      <x:c r="E942" s="10" t="str">
        <x:v>Saída</x:v>
      </x:c>
      <x:c r="F942" s="10" t="str">
        <x:v>CAT012</x:v>
      </x:c>
      <x:c r="G942" s="10" t="str">
        <x:v>Tributos e taxas</x:v>
      </x:c>
      <x:c r="H942" s="10" t="str">
        <x:v>PAG00632</x:v>
      </x:c>
      <x:c r="I942" s="20" t="n">
        <x:v>26121.73</x:v>
      </x:c>
      <x:c r="J942" s="20" t="n">
        <x:v>-26121.73</x:v>
      </x:c>
      <x:c r="K942" s="10" t="str">
        <x:v>Realizado</x:v>
      </x:c>
      <x:c r="L942" s="10" t="str">
        <x:v>Contas a Pagar</x:v>
      </x:c>
    </x:row>
    <x:row r="943" ht="18" customHeight="1">
      <x:c r="A943" s="10" t="str">
        <x:v>MOV000417</x:v>
      </x:c>
      <x:c r="B943" s="16" t="n">
        <x:v>45707.92099831018</x:v>
      </x:c>
      <x:c r="C943" s="10" t="str">
        <x:v>EMP002</x:v>
      </x:c>
      <x:c r="D943" s="10" t="str">
        <x:v>CTA004</x:v>
      </x:c>
      <x:c r="E943" s="10" t="str">
        <x:v>Saída</x:v>
      </x:c>
      <x:c r="F943" s="10" t="str">
        <x:v>CAT015</x:v>
      </x:c>
      <x:c r="G943" s="10" t="str">
        <x:v>Tributos e taxas</x:v>
      </x:c>
      <x:c r="H943" s="10" t="str">
        <x:v>PAG00486</x:v>
      </x:c>
      <x:c r="I943" s="20" t="n">
        <x:v>109260.06</x:v>
      </x:c>
      <x:c r="J943" s="20" t="n">
        <x:v>-109260.06</x:v>
      </x:c>
      <x:c r="K943" s="10" t="str">
        <x:v>Realizado</x:v>
      </x:c>
      <x:c r="L943" s="10" t="str">
        <x:v>Contas a Pagar</x:v>
      </x:c>
    </x:row>
    <x:row r="944" ht="18" customHeight="1">
      <x:c r="A944" s="10" t="str">
        <x:v>MOV000398</x:v>
      </x:c>
      <x:c r="B944" s="16" t="n">
        <x:v>45708.10609688657</x:v>
      </x:c>
      <x:c r="C944" s="10" t="str">
        <x:v>EMP002</x:v>
      </x:c>
      <x:c r="D944" s="10" t="str">
        <x:v>CTA003</x:v>
      </x:c>
      <x:c r="E944" s="10" t="str">
        <x:v>Saída</x:v>
      </x:c>
      <x:c r="F944" s="10" t="str">
        <x:v>CAT013</x:v>
      </x:c>
      <x:c r="G944" s="10" t="str">
        <x:v>Tributos e taxas</x:v>
      </x:c>
      <x:c r="H944" s="10" t="str">
        <x:v>PAG00463</x:v>
      </x:c>
      <x:c r="I944" s="20" t="n">
        <x:v>67859.55</x:v>
      </x:c>
      <x:c r="J944" s="20" t="n">
        <x:v>-67859.55</x:v>
      </x:c>
      <x:c r="K944" s="10" t="str">
        <x:v>Realizado</x:v>
      </x:c>
      <x:c r="L944" s="10" t="str">
        <x:v>Contas a Pagar</x:v>
      </x:c>
    </x:row>
    <x:row r="945" ht="18" customHeight="1">
      <x:c r="A945" s="10" t="str">
        <x:v>MOV000894</x:v>
      </x:c>
      <x:c r="B945" s="16" t="n">
        <x:v>45709.3057802662</x:v>
      </x:c>
      <x:c r="C945" s="10" t="str">
        <x:v>EMP001</x:v>
      </x:c>
      <x:c r="D945" s="10" t="str">
        <x:v>CTA001</x:v>
      </x:c>
      <x:c r="E945" s="10" t="str">
        <x:v>Entrada</x:v>
      </x:c>
      <x:c r="F945" s="10" t="str">
        <x:v>CAT002</x:v>
      </x:c>
      <x:c r="G945" s="10" t="str">
        <x:v>Frete faturado</x:v>
      </x:c>
      <x:c r="H945" s="10" t="str">
        <x:v>REC00170</x:v>
      </x:c>
      <x:c r="I945" s="20" t="n">
        <x:v>57459</x:v>
      </x:c>
      <x:c r="J945" s="20" t="n">
        <x:v>57459</x:v>
      </x:c>
      <x:c r="K945" s="10" t="str">
        <x:v>Realizado</x:v>
      </x:c>
      <x:c r="L945" s="10" t="str">
        <x:v>Contas a Receber</x:v>
      </x:c>
    </x:row>
    <x:row r="946" ht="18" customHeight="1">
      <x:c r="A946" s="10" t="str">
        <x:v>MOV000320</x:v>
      </x:c>
      <x:c r="B946" s="16" t="n">
        <x:v>45710.28802133102</x:v>
      </x:c>
      <x:c r="C946" s="10" t="str">
        <x:v>EMP001</x:v>
      </x:c>
      <x:c r="D946" s="10" t="str">
        <x:v>CTA002</x:v>
      </x:c>
      <x:c r="E946" s="10" t="str">
        <x:v>Saída</x:v>
      </x:c>
      <x:c r="F946" s="10" t="str">
        <x:v>CAT017</x:v>
      </x:c>
      <x:c r="G946" s="10" t="str">
        <x:v>Prestação de serviços</x:v>
      </x:c>
      <x:c r="H946" s="10" t="str">
        <x:v>PAG00372</x:v>
      </x:c>
      <x:c r="I946" s="20" t="n">
        <x:v>86477.47</x:v>
      </x:c>
      <x:c r="J946" s="20" t="n">
        <x:v>-86477.47</x:v>
      </x:c>
      <x:c r="K946" s="10" t="str">
        <x:v>Realizado</x:v>
      </x:c>
      <x:c r="L946" s="10" t="str">
        <x:v>Contas a Pagar</x:v>
      </x:c>
    </x:row>
    <x:row r="947" ht="18" customHeight="1">
      <x:c r="A947" s="10" t="str">
        <x:v>MOV000635</x:v>
      </x:c>
      <x:c r="B947" s="16" t="n">
        <x:v>45710.59097564815</x:v>
      </x:c>
      <x:c r="C947" s="10" t="str">
        <x:v>EMP002</x:v>
      </x:c>
      <x:c r="D947" s="10" t="str">
        <x:v>CTA003</x:v>
      </x:c>
      <x:c r="E947" s="10" t="str">
        <x:v>Saída</x:v>
      </x:c>
      <x:c r="F947" s="10" t="str">
        <x:v>CAT014</x:v>
      </x:c>
      <x:c r="G947" s="10" t="str">
        <x:v>Compra de materiais</x:v>
      </x:c>
      <x:c r="H947" s="10" t="str">
        <x:v>PAG00753</x:v>
      </x:c>
      <x:c r="I947" s="20" t="n">
        <x:v>92208.14</x:v>
      </x:c>
      <x:c r="J947" s="20" t="n">
        <x:v>-92208.14</x:v>
      </x:c>
      <x:c r="K947" s="10" t="str">
        <x:v>Realizado</x:v>
      </x:c>
      <x:c r="L947" s="10" t="str">
        <x:v>Contas a Pagar</x:v>
      </x:c>
    </x:row>
    <x:row r="948" ht="18" customHeight="1">
      <x:c r="A948" s="10" t="str">
        <x:v>MOV001192</x:v>
      </x:c>
      <x:c r="B948" s="16" t="n">
        <x:v>45711.12155078704</x:v>
      </x:c>
      <x:c r="C948" s="10" t="str">
        <x:v>EMP003</x:v>
      </x:c>
      <x:c r="D948" s="10" t="str">
        <x:v>CTA006</x:v>
      </x:c>
      <x:c r="E948" s="10" t="str">
        <x:v>Entrada</x:v>
      </x:c>
      <x:c r="F948" s="10" t="str">
        <x:v>CAT002</x:v>
      </x:c>
      <x:c r="G948" s="10" t="str">
        <x:v>Venda de produtos</x:v>
      </x:c>
      <x:c r="H948" s="10" t="str">
        <x:v>REC00535</x:v>
      </x:c>
      <x:c r="I948" s="20" t="n">
        <x:v>3856.45</x:v>
      </x:c>
      <x:c r="J948" s="20" t="n">
        <x:v>3856.45</x:v>
      </x:c>
      <x:c r="K948" s="10" t="str">
        <x:v>Realizado</x:v>
      </x:c>
      <x:c r="L948" s="10" t="str">
        <x:v>Contas a Receber</x:v>
      </x:c>
    </x:row>
    <x:row r="949" ht="18" customHeight="1">
      <x:c r="A949" s="10" t="str">
        <x:v>MOV000932</x:v>
      </x:c>
      <x:c r="B949" s="16" t="n">
        <x:v>45711.52191496528</x:v>
      </x:c>
      <x:c r="C949" s="10" t="str">
        <x:v>EMP001</x:v>
      </x:c>
      <x:c r="D949" s="10" t="str">
        <x:v>CTA002</x:v>
      </x:c>
      <x:c r="E949" s="10" t="str">
        <x:v>Entrada</x:v>
      </x:c>
      <x:c r="F949" s="10" t="str">
        <x:v>CAT001</x:v>
      </x:c>
      <x:c r="G949" s="10" t="str">
        <x:v>Projeto especial</x:v>
      </x:c>
      <x:c r="H949" s="10" t="str">
        <x:v>REC00212</x:v>
      </x:c>
      <x:c r="I949" s="20" t="n">
        <x:v>99533.2</x:v>
      </x:c>
      <x:c r="J949" s="20" t="n">
        <x:v>99533.2</x:v>
      </x:c>
      <x:c r="K949" s="10" t="str">
        <x:v>Realizado</x:v>
      </x:c>
      <x:c r="L949" s="10" t="str">
        <x:v>Contas a Receber</x:v>
      </x:c>
    </x:row>
    <x:row r="950" ht="18" customHeight="1">
      <x:c r="A950" s="10" t="str">
        <x:v>MOV000483</x:v>
      </x:c>
      <x:c r="B950" s="16" t="n">
        <x:v>45711.58717556713</x:v>
      </x:c>
      <x:c r="C950" s="10" t="str">
        <x:v>EMP003</x:v>
      </x:c>
      <x:c r="D950" s="10" t="str">
        <x:v>CTA006</x:v>
      </x:c>
      <x:c r="E950" s="10" t="str">
        <x:v>Saída</x:v>
      </x:c>
      <x:c r="F950" s="10" t="str">
        <x:v>CAT010</x:v>
      </x:c>
      <x:c r="G950" s="10" t="str">
        <x:v>Tributos e taxas</x:v>
      </x:c>
      <x:c r="H950" s="10" t="str">
        <x:v>PAG00567</x:v>
      </x:c>
      <x:c r="I950" s="20" t="n">
        <x:v>2831.88</x:v>
      </x:c>
      <x:c r="J950" s="20" t="n">
        <x:v>-2831.88</x:v>
      </x:c>
      <x:c r="K950" s="10" t="str">
        <x:v>Realizado</x:v>
      </x:c>
      <x:c r="L950" s="10" t="str">
        <x:v>Contas a Pagar</x:v>
      </x:c>
    </x:row>
    <x:row r="951" ht="18" customHeight="1">
      <x:c r="A951" s="10" t="str">
        <x:v>MOV000627</x:v>
      </x:c>
      <x:c r="B951" s="16" t="n">
        <x:v>45711.78419760417</x:v>
      </x:c>
      <x:c r="C951" s="10" t="str">
        <x:v>EMP001</x:v>
      </x:c>
      <x:c r="D951" s="10" t="str">
        <x:v>CTA001</x:v>
      </x:c>
      <x:c r="E951" s="10" t="str">
        <x:v>Saída</x:v>
      </x:c>
      <x:c r="F951" s="10" t="str">
        <x:v>CAT016</x:v>
      </x:c>
      <x:c r="G951" s="10" t="str">
        <x:v>Contrato recorrente</x:v>
      </x:c>
      <x:c r="H951" s="10" t="str">
        <x:v>PAG00745</x:v>
      </x:c>
      <x:c r="I951" s="20" t="n">
        <x:v>63847.86</x:v>
      </x:c>
      <x:c r="J951" s="20" t="n">
        <x:v>-63847.86</x:v>
      </x:c>
      <x:c r="K951" s="10" t="str">
        <x:v>Realizado</x:v>
      </x:c>
      <x:c r="L951" s="10" t="str">
        <x:v>Contas a Pagar</x:v>
      </x:c>
    </x:row>
    <x:row r="952" ht="18" customHeight="1">
      <x:c r="A952" s="10" t="str">
        <x:v>MOV000463</x:v>
      </x:c>
      <x:c r="B952" s="16" t="n">
        <x:v>45712.061685810186</x:v>
      </x:c>
      <x:c r="C952" s="10" t="str">
        <x:v>EMP003</x:v>
      </x:c>
      <x:c r="D952" s="10" t="str">
        <x:v>CTA006</x:v>
      </x:c>
      <x:c r="E952" s="10" t="str">
        <x:v>Saída</x:v>
      </x:c>
      <x:c r="F952" s="10" t="str">
        <x:v>CAT005</x:v>
      </x:c>
      <x:c r="G952" s="10" t="str">
        <x:v>Despesa operacional</x:v>
      </x:c>
      <x:c r="H952" s="10" t="str">
        <x:v>PAG00543</x:v>
      </x:c>
      <x:c r="I952" s="20" t="n">
        <x:v>5811.83</x:v>
      </x:c>
      <x:c r="J952" s="20" t="n">
        <x:v>-5811.83</x:v>
      </x:c>
      <x:c r="K952" s="10" t="str">
        <x:v>Realizado</x:v>
      </x:c>
      <x:c r="L952" s="10" t="str">
        <x:v>Contas a Pagar</x:v>
      </x:c>
    </x:row>
    <x:row r="953" ht="18" customHeight="1">
      <x:c r="A953" s="10" t="str">
        <x:v>MOV000354</x:v>
      </x:c>
      <x:c r="B953" s="16" t="n">
        <x:v>45712.22774701389</x:v>
      </x:c>
      <x:c r="C953" s="10" t="str">
        <x:v>EMP003</x:v>
      </x:c>
      <x:c r="D953" s="10" t="str">
        <x:v>CTA005</x:v>
      </x:c>
      <x:c r="E953" s="10" t="str">
        <x:v>Saída</x:v>
      </x:c>
      <x:c r="F953" s="10" t="str">
        <x:v>CAT015</x:v>
      </x:c>
      <x:c r="G953" s="10" t="str">
        <x:v>Tributos e taxas</x:v>
      </x:c>
      <x:c r="H953" s="10" t="str">
        <x:v>PAG00410</x:v>
      </x:c>
      <x:c r="I953" s="20" t="n">
        <x:v>35728.21</x:v>
      </x:c>
      <x:c r="J953" s="20" t="n">
        <x:v>-35728.21</x:v>
      </x:c>
      <x:c r="K953" s="10" t="str">
        <x:v>Realizado</x:v>
      </x:c>
      <x:c r="L953" s="10" t="str">
        <x:v>Contas a Pagar</x:v>
      </x:c>
    </x:row>
    <x:row r="954" ht="18" customHeight="1">
      <x:c r="A954" s="10" t="str">
        <x:v>MOV001246</x:v>
      </x:c>
      <x:c r="B954" s="16" t="n">
        <x:v>45712.61021953704</x:v>
      </x:c>
      <x:c r="C954" s="10" t="str">
        <x:v>EMP003</x:v>
      </x:c>
      <x:c r="D954" s="10" t="str">
        <x:v>CTA005</x:v>
      </x:c>
      <x:c r="E954" s="10" t="str">
        <x:v>Entrada</x:v>
      </x:c>
      <x:c r="F954" s="10" t="str">
        <x:v>CAT002</x:v>
      </x:c>
      <x:c r="G954" s="10" t="str">
        <x:v>Frete faturado</x:v>
      </x:c>
      <x:c r="H954" s="10" t="str">
        <x:v>REC00598</x:v>
      </x:c>
      <x:c r="I954" s="20" t="n">
        <x:v>103154.87</x:v>
      </x:c>
      <x:c r="J954" s="20" t="n">
        <x:v>103154.87</x:v>
      </x:c>
      <x:c r="K954" s="10" t="str">
        <x:v>Realizado</x:v>
      </x:c>
      <x:c r="L954" s="10" t="str">
        <x:v>Contas a Receber</x:v>
      </x:c>
    </x:row>
    <x:row r="955" ht="18" customHeight="1">
      <x:c r="A955" s="10" t="str">
        <x:v>MOV000855</x:v>
      </x:c>
      <x:c r="B955" s="16" t="n">
        <x:v>45712.75910966435</x:v>
      </x:c>
      <x:c r="C955" s="10" t="str">
        <x:v>EMP002</x:v>
      </x:c>
      <x:c r="D955" s="10" t="str">
        <x:v>CTA003</x:v>
      </x:c>
      <x:c r="E955" s="10" t="str">
        <x:v>Entrada</x:v>
      </x:c>
      <x:c r="F955" s="10" t="str">
        <x:v>CAT001</x:v>
      </x:c>
      <x:c r="G955" s="10" t="str">
        <x:v>Contrato mensal</x:v>
      </x:c>
      <x:c r="H955" s="10" t="str">
        <x:v>REC00125</x:v>
      </x:c>
      <x:c r="I955" s="20" t="n">
        <x:v>111484.38</x:v>
      </x:c>
      <x:c r="J955" s="20" t="n">
        <x:v>111484.38</x:v>
      </x:c>
      <x:c r="K955" s="10" t="str">
        <x:v>Realizado</x:v>
      </x:c>
      <x:c r="L955" s="10" t="str">
        <x:v>Contas a Receber</x:v>
      </x:c>
    </x:row>
    <x:row r="956" ht="18" customHeight="1">
      <x:c r="A956" s="10" t="str">
        <x:v>MOV000657</x:v>
      </x:c>
      <x:c r="B956" s="16" t="n">
        <x:v>45713.22323993056</x:v>
      </x:c>
      <x:c r="C956" s="10" t="str">
        <x:v>EMP003</x:v>
      </x:c>
      <x:c r="D956" s="10" t="str">
        <x:v>CTA005</x:v>
      </x:c>
      <x:c r="E956" s="10" t="str">
        <x:v>Saída</x:v>
      </x:c>
      <x:c r="F956" s="10" t="str">
        <x:v>CAT015</x:v>
      </x:c>
      <x:c r="G956" s="10" t="str">
        <x:v>Despesa operacional</x:v>
      </x:c>
      <x:c r="H956" s="10" t="str">
        <x:v>PAG00780</x:v>
      </x:c>
      <x:c r="I956" s="20" t="n">
        <x:v>627.14</x:v>
      </x:c>
      <x:c r="J956" s="20" t="n">
        <x:v>-627.14</x:v>
      </x:c>
      <x:c r="K956" s="10" t="str">
        <x:v>Realizado</x:v>
      </x:c>
      <x:c r="L956" s="10" t="str">
        <x:v>Contas a Pagar</x:v>
      </x:c>
    </x:row>
    <x:row r="957" ht="18" customHeight="1">
      <x:c r="A957" s="10" t="str">
        <x:v>MOV000109</x:v>
      </x:c>
      <x:c r="B957" s="16" t="n">
        <x:v>45713.36973443287</x:v>
      </x:c>
      <x:c r="C957" s="10" t="str">
        <x:v>EMP002</x:v>
      </x:c>
      <x:c r="D957" s="10" t="str">
        <x:v>CTA004</x:v>
      </x:c>
      <x:c r="E957" s="10" t="str">
        <x:v>Saída</x:v>
      </x:c>
      <x:c r="F957" s="10" t="str">
        <x:v>CAT018</x:v>
      </x:c>
      <x:c r="G957" s="10" t="str">
        <x:v>Contrato recorrente</x:v>
      </x:c>
      <x:c r="H957" s="10" t="str">
        <x:v>PAG00123</x:v>
      </x:c>
      <x:c r="I957" s="20" t="n">
        <x:v>1715.61</x:v>
      </x:c>
      <x:c r="J957" s="20" t="n">
        <x:v>-1715.61</x:v>
      </x:c>
      <x:c r="K957" s="10" t="str">
        <x:v>Realizado</x:v>
      </x:c>
      <x:c r="L957" s="10" t="str">
        <x:v>Contas a Pagar</x:v>
      </x:c>
    </x:row>
    <x:row r="958" ht="18" customHeight="1">
      <x:c r="A958" s="10" t="str">
        <x:v>MOV000480</x:v>
      </x:c>
      <x:c r="B958" s="16" t="n">
        <x:v>45713.6581441088</x:v>
      </x:c>
      <x:c r="C958" s="10" t="str">
        <x:v>EMP002</x:v>
      </x:c>
      <x:c r="D958" s="10" t="str">
        <x:v>CTA004</x:v>
      </x:c>
      <x:c r="E958" s="10" t="str">
        <x:v>Saída</x:v>
      </x:c>
      <x:c r="F958" s="10" t="str">
        <x:v>CAT018</x:v>
      </x:c>
      <x:c r="G958" s="10" t="str">
        <x:v>Compra de materiais</x:v>
      </x:c>
      <x:c r="H958" s="10" t="str">
        <x:v>PAG00563</x:v>
      </x:c>
      <x:c r="I958" s="20" t="n">
        <x:v>82677.12</x:v>
      </x:c>
      <x:c r="J958" s="20" t="n">
        <x:v>-82677.12</x:v>
      </x:c>
      <x:c r="K958" s="10" t="str">
        <x:v>Realizado</x:v>
      </x:c>
      <x:c r="L958" s="10" t="str">
        <x:v>Contas a Pagar</x:v>
      </x:c>
    </x:row>
    <x:row r="959" ht="18" customHeight="1">
      <x:c r="A959" s="10" t="str">
        <x:v>MOV001181</x:v>
      </x:c>
      <x:c r="B959" s="16" t="n">
        <x:v>45713.899307314816</x:v>
      </x:c>
      <x:c r="C959" s="10" t="str">
        <x:v>EMP003</x:v>
      </x:c>
      <x:c r="D959" s="10" t="str">
        <x:v>CTA005</x:v>
      </x:c>
      <x:c r="E959" s="10" t="str">
        <x:v>Entrada</x:v>
      </x:c>
      <x:c r="F959" s="10" t="str">
        <x:v>CAT004</x:v>
      </x:c>
      <x:c r="G959" s="10" t="str">
        <x:v>Contrato mensal</x:v>
      </x:c>
      <x:c r="H959" s="10" t="str">
        <x:v>REC00518</x:v>
      </x:c>
      <x:c r="I959" s="20" t="n">
        <x:v>107489.81</x:v>
      </x:c>
      <x:c r="J959" s="20" t="n">
        <x:v>107489.81</x:v>
      </x:c>
      <x:c r="K959" s="10" t="str">
        <x:v>Realizado</x:v>
      </x:c>
      <x:c r="L959" s="10" t="str">
        <x:v>Contas a Receber</x:v>
      </x:c>
    </x:row>
    <x:row r="960" ht="18" customHeight="1">
      <x:c r="A960" s="10" t="str">
        <x:v>MOV001482</x:v>
      </x:c>
      <x:c r="B960" s="16" t="n">
        <x:v>45714.12379200231</x:v>
      </x:c>
      <x:c r="C960" s="10" t="str">
        <x:v>EMP001</x:v>
      </x:c>
      <x:c r="D960" s="10" t="str">
        <x:v>CTA002</x:v>
      </x:c>
      <x:c r="E960" s="10" t="str">
        <x:v>Entrada</x:v>
      </x:c>
      <x:c r="F960" s="10" t="str">
        <x:v>CAT004</x:v>
      </x:c>
      <x:c r="G960" s="10" t="str">
        <x:v>Contrato mensal</x:v>
      </x:c>
      <x:c r="H960" s="10" t="str">
        <x:v>REC00883</x:v>
      </x:c>
      <x:c r="I960" s="20" t="n">
        <x:v>143541.31</x:v>
      </x:c>
      <x:c r="J960" s="20" t="n">
        <x:v>143541.31</x:v>
      </x:c>
      <x:c r="K960" s="10" t="str">
        <x:v>Realizado</x:v>
      </x:c>
      <x:c r="L960" s="10" t="str">
        <x:v>Contas a Receber</x:v>
      </x:c>
    </x:row>
    <x:row r="961" ht="18" customHeight="1">
      <x:c r="A961" s="10" t="str">
        <x:v>MOV001151</x:v>
      </x:c>
      <x:c r="B961" s="16" t="n">
        <x:v>45714.22533579861</x:v>
      </x:c>
      <x:c r="C961" s="10" t="str">
        <x:v>EMP003</x:v>
      </x:c>
      <x:c r="D961" s="10" t="str">
        <x:v>CTA005</x:v>
      </x:c>
      <x:c r="E961" s="10" t="str">
        <x:v>Entrada</x:v>
      </x:c>
      <x:c r="F961" s="10" t="str">
        <x:v>CAT001</x:v>
      </x:c>
      <x:c r="G961" s="10" t="str">
        <x:v>Contrato mensal</x:v>
      </x:c>
      <x:c r="H961" s="10" t="str">
        <x:v>REC00484</x:v>
      </x:c>
      <x:c r="I961" s="20" t="n">
        <x:v>56160.22</x:v>
      </x:c>
      <x:c r="J961" s="20" t="n">
        <x:v>56160.22</x:v>
      </x:c>
      <x:c r="K961" s="10" t="str">
        <x:v>Realizado</x:v>
      </x:c>
      <x:c r="L961" s="10" t="str">
        <x:v>Contas a Receber</x:v>
      </x:c>
    </x:row>
    <x:row r="962" ht="18" customHeight="1">
      <x:c r="A962" s="10" t="str">
        <x:v>MOV001498</x:v>
      </x:c>
      <x:c r="B962" s="16" t="n">
        <x:v>45715.364955717596</x:v>
      </x:c>
      <x:c r="C962" s="10" t="str">
        <x:v>EMP002</x:v>
      </x:c>
      <x:c r="D962" s="10" t="str">
        <x:v>CTA003</x:v>
      </x:c>
      <x:c r="E962" s="10" t="str">
        <x:v>Entrada</x:v>
      </x:c>
      <x:c r="F962" s="10" t="str">
        <x:v>CAT001</x:v>
      </x:c>
      <x:c r="G962" s="10" t="str">
        <x:v>Projeto especial</x:v>
      </x:c>
      <x:c r="H962" s="10" t="str">
        <x:v>REC00904</x:v>
      </x:c>
      <x:c r="I962" s="20" t="n">
        <x:v>138711.01</x:v>
      </x:c>
      <x:c r="J962" s="20" t="n">
        <x:v>138711.01</x:v>
      </x:c>
      <x:c r="K962" s="10" t="str">
        <x:v>Realizado</x:v>
      </x:c>
      <x:c r="L962" s="10" t="str">
        <x:v>Contas a Receber</x:v>
      </x:c>
    </x:row>
    <x:row r="963" ht="18" customHeight="1">
      <x:c r="A963" s="10" t="str">
        <x:v>MOV000174</x:v>
      </x:c>
      <x:c r="B963" s="16" t="n">
        <x:v>45715.83014908565</x:v>
      </x:c>
      <x:c r="C963" s="10" t="str">
        <x:v>EMP003</x:v>
      </x:c>
      <x:c r="D963" s="10" t="str">
        <x:v>CTA006</x:v>
      </x:c>
      <x:c r="E963" s="10" t="str">
        <x:v>Saída</x:v>
      </x:c>
      <x:c r="F963" s="10" t="str">
        <x:v>CAT016</x:v>
      </x:c>
      <x:c r="G963" s="10" t="str">
        <x:v>Prestação de serviços</x:v>
      </x:c>
      <x:c r="H963" s="10" t="str">
        <x:v>PAG00204</x:v>
      </x:c>
      <x:c r="I963" s="20" t="n">
        <x:v>40080.51</x:v>
      </x:c>
      <x:c r="J963" s="20" t="n">
        <x:v>-40080.51</x:v>
      </x:c>
      <x:c r="K963" s="10" t="str">
        <x:v>Realizado</x:v>
      </x:c>
      <x:c r="L963" s="10" t="str">
        <x:v>Contas a Pagar</x:v>
      </x:c>
    </x:row>
    <x:row r="964" ht="18" customHeight="1">
      <x:c r="A964" s="10" t="str">
        <x:v>MOV000095</x:v>
      </x:c>
      <x:c r="B964" s="16" t="n">
        <x:v>45716.52291626157</x:v>
      </x:c>
      <x:c r="C964" s="10" t="str">
        <x:v>EMP003</x:v>
      </x:c>
      <x:c r="D964" s="10" t="str">
        <x:v>CTA006</x:v>
      </x:c>
      <x:c r="E964" s="10" t="str">
        <x:v>Saída</x:v>
      </x:c>
      <x:c r="F964" s="10" t="str">
        <x:v>CAT009</x:v>
      </x:c>
      <x:c r="G964" s="10" t="str">
        <x:v>Compra de materiais</x:v>
      </x:c>
      <x:c r="H964" s="10" t="str">
        <x:v>PAG00106</x:v>
      </x:c>
      <x:c r="I964" s="20" t="n">
        <x:v>627.46</x:v>
      </x:c>
      <x:c r="J964" s="20" t="n">
        <x:v>-627.46</x:v>
      </x:c>
      <x:c r="K964" s="10" t="str">
        <x:v>Realizado</x:v>
      </x:c>
      <x:c r="L964" s="10" t="str">
        <x:v>Contas a Pagar</x:v>
      </x:c>
    </x:row>
    <x:row r="965" ht="18" customHeight="1">
      <x:c r="A965" s="10" t="str">
        <x:v>MOV000595</x:v>
      </x:c>
      <x:c r="B965" s="16" t="n">
        <x:v>45716.88913537037</x:v>
      </x:c>
      <x:c r="C965" s="10" t="str">
        <x:v>EMP001</x:v>
      </x:c>
      <x:c r="D965" s="10" t="str">
        <x:v>CTA001</x:v>
      </x:c>
      <x:c r="E965" s="10" t="str">
        <x:v>Saída</x:v>
      </x:c>
      <x:c r="F965" s="10" t="str">
        <x:v>CAT007</x:v>
      </x:c>
      <x:c r="G965" s="10" t="str">
        <x:v>Prestação de serviços</x:v>
      </x:c>
      <x:c r="H965" s="10" t="str">
        <x:v>PAG00702</x:v>
      </x:c>
      <x:c r="I965" s="20" t="n">
        <x:v>15711.34</x:v>
      </x:c>
      <x:c r="J965" s="20" t="n">
        <x:v>-15711.34</x:v>
      </x:c>
      <x:c r="K965" s="10" t="str">
        <x:v>Realizado</x:v>
      </x:c>
      <x:c r="L965" s="10" t="str">
        <x:v>Contas a Pagar</x:v>
      </x:c>
    </x:row>
    <x:row r="966" ht="18" customHeight="1">
      <x:c r="A966" s="10" t="str">
        <x:v>MOV001547</x:v>
      </x:c>
      <x:c r="B966" s="16" t="n">
        <x:v>45716.96286013889</x:v>
      </x:c>
      <x:c r="C966" s="10" t="str">
        <x:v>EMP002</x:v>
      </x:c>
      <x:c r="D966" s="10" t="str">
        <x:v>CTA003</x:v>
      </x:c>
      <x:c r="E966" s="10" t="str">
        <x:v>Entrada</x:v>
      </x:c>
      <x:c r="F966" s="10" t="str">
        <x:v>CAT002</x:v>
      </x:c>
      <x:c r="G966" s="10" t="str">
        <x:v>Projeto especial</x:v>
      </x:c>
      <x:c r="H966" s="10" t="str">
        <x:v>REC00964</x:v>
      </x:c>
      <x:c r="I966" s="20" t="n">
        <x:v>147250.47</x:v>
      </x:c>
      <x:c r="J966" s="20" t="n">
        <x:v>147250.47</x:v>
      </x:c>
      <x:c r="K966" s="10" t="str">
        <x:v>Realizado</x:v>
      </x:c>
      <x:c r="L966" s="10" t="str">
        <x:v>Contas a Receber</x:v>
      </x:c>
    </x:row>
    <x:row r="967" ht="18" customHeight="1">
      <x:c r="A967" s="10" t="str">
        <x:v>MOV000576</x:v>
      </x:c>
      <x:c r="B967" s="16" t="n">
        <x:v>45717.42002680556</x:v>
      </x:c>
      <x:c r="C967" s="10" t="str">
        <x:v>EMP001</x:v>
      </x:c>
      <x:c r="D967" s="10" t="str">
        <x:v>CTA001</x:v>
      </x:c>
      <x:c r="E967" s="10" t="str">
        <x:v>Saída</x:v>
      </x:c>
      <x:c r="F967" s="10" t="str">
        <x:v>CAT010</x:v>
      </x:c>
      <x:c r="G967" s="10" t="str">
        <x:v>Despesa operacional</x:v>
      </x:c>
      <x:c r="H967" s="10" t="str">
        <x:v>PAG00677</x:v>
      </x:c>
      <x:c r="I967" s="20" t="n">
        <x:v>46079.52</x:v>
      </x:c>
      <x:c r="J967" s="20" t="n">
        <x:v>-46079.52</x:v>
      </x:c>
      <x:c r="K967" s="10" t="str">
        <x:v>Realizado</x:v>
      </x:c>
      <x:c r="L967" s="10" t="str">
        <x:v>Contas a Pagar</x:v>
      </x:c>
    </x:row>
    <x:row r="968" ht="18" customHeight="1">
      <x:c r="A968" s="10" t="str">
        <x:v>MOV001613</x:v>
      </x:c>
      <x:c r="B968" s="16" t="n">
        <x:v>45717.57970971065</x:v>
      </x:c>
      <x:c r="C968" s="10" t="str">
        <x:v>EMP002</x:v>
      </x:c>
      <x:c r="D968" s="10" t="str">
        <x:v>CTA004</x:v>
      </x:c>
      <x:c r="E968" s="10" t="str">
        <x:v>Entrada</x:v>
      </x:c>
      <x:c r="F968" s="10" t="str">
        <x:v>CAT001</x:v>
      </x:c>
      <x:c r="G968" s="10" t="str">
        <x:v>Frete faturado</x:v>
      </x:c>
      <x:c r="H968" s="10" t="str">
        <x:v>REC01042</x:v>
      </x:c>
      <x:c r="I968" s="20" t="n">
        <x:v>9555.08</x:v>
      </x:c>
      <x:c r="J968" s="20" t="n">
        <x:v>9555.08</x:v>
      </x:c>
      <x:c r="K968" s="10" t="str">
        <x:v>Realizado</x:v>
      </x:c>
      <x:c r="L968" s="10" t="str">
        <x:v>Contas a Receber</x:v>
      </x:c>
    </x:row>
    <x:row r="969" ht="18" customHeight="1">
      <x:c r="A969" s="10" t="str">
        <x:v>MOV000871</x:v>
      </x:c>
      <x:c r="B969" s="16" t="n">
        <x:v>45717.75119635417</x:v>
      </x:c>
      <x:c r="C969" s="10" t="str">
        <x:v>EMP001</x:v>
      </x:c>
      <x:c r="D969" s="10" t="str">
        <x:v>CTA002</x:v>
      </x:c>
      <x:c r="E969" s="10" t="str">
        <x:v>Entrada</x:v>
      </x:c>
      <x:c r="F969" s="10" t="str">
        <x:v>CAT001</x:v>
      </x:c>
      <x:c r="G969" s="10" t="str">
        <x:v>Venda de produtos</x:v>
      </x:c>
      <x:c r="H969" s="10" t="str">
        <x:v>REC00141</x:v>
      </x:c>
      <x:c r="I969" s="20" t="n">
        <x:v>62028.23</x:v>
      </x:c>
      <x:c r="J969" s="20" t="n">
        <x:v>62028.23</x:v>
      </x:c>
      <x:c r="K969" s="10" t="str">
        <x:v>Realizado</x:v>
      </x:c>
      <x:c r="L969" s="10" t="str">
        <x:v>Contas a Receber</x:v>
      </x:c>
    </x:row>
    <x:row r="970" ht="18" customHeight="1">
      <x:c r="A970" s="10" t="str">
        <x:v>MOV000130</x:v>
      </x:c>
      <x:c r="B970" s="16" t="n">
        <x:v>45718.205196030096</x:v>
      </x:c>
      <x:c r="C970" s="10" t="str">
        <x:v>EMP002</x:v>
      </x:c>
      <x:c r="D970" s="10" t="str">
        <x:v>CTA003</x:v>
      </x:c>
      <x:c r="E970" s="10" t="str">
        <x:v>Saída</x:v>
      </x:c>
      <x:c r="F970" s="10" t="str">
        <x:v>CAT016</x:v>
      </x:c>
      <x:c r="G970" s="10" t="str">
        <x:v>Prestação de serviços</x:v>
      </x:c>
      <x:c r="H970" s="10" t="str">
        <x:v>PAG00151</x:v>
      </x:c>
      <x:c r="I970" s="20" t="n">
        <x:v>64000.65</x:v>
      </x:c>
      <x:c r="J970" s="20" t="n">
        <x:v>-64000.65</x:v>
      </x:c>
      <x:c r="K970" s="10" t="str">
        <x:v>Realizado</x:v>
      </x:c>
      <x:c r="L970" s="10" t="str">
        <x:v>Contas a Pagar</x:v>
      </x:c>
    </x:row>
    <x:row r="971" ht="18" customHeight="1">
      <x:c r="A971" s="10" t="str">
        <x:v>MOV001322</x:v>
      </x:c>
      <x:c r="B971" s="16" t="n">
        <x:v>45718.5905621875</x:v>
      </x:c>
      <x:c r="C971" s="10" t="str">
        <x:v>EMP001</x:v>
      </x:c>
      <x:c r="D971" s="10" t="str">
        <x:v>CTA001</x:v>
      </x:c>
      <x:c r="E971" s="10" t="str">
        <x:v>Entrada</x:v>
      </x:c>
      <x:c r="F971" s="10" t="str">
        <x:v>CAT003</x:v>
      </x:c>
      <x:c r="G971" s="10" t="str">
        <x:v>Prestação de serviços</x:v>
      </x:c>
      <x:c r="H971" s="10" t="str">
        <x:v>REC00685</x:v>
      </x:c>
      <x:c r="I971" s="20" t="n">
        <x:v>83565.17</x:v>
      </x:c>
      <x:c r="J971" s="20" t="n">
        <x:v>83565.17</x:v>
      </x:c>
      <x:c r="K971" s="10" t="str">
        <x:v>Realizado</x:v>
      </x:c>
      <x:c r="L971" s="10" t="str">
        <x:v>Contas a Receber</x:v>
      </x:c>
    </x:row>
    <x:row r="972" ht="18" customHeight="1">
      <x:c r="A972" s="10" t="str">
        <x:v>MOV001019</x:v>
      </x:c>
      <x:c r="B972" s="16" t="n">
        <x:v>45718.616409166665</x:v>
      </x:c>
      <x:c r="C972" s="10" t="str">
        <x:v>EMP001</x:v>
      </x:c>
      <x:c r="D972" s="10" t="str">
        <x:v>CTA002</x:v>
      </x:c>
      <x:c r="E972" s="10" t="str">
        <x:v>Entrada</x:v>
      </x:c>
      <x:c r="F972" s="10" t="str">
        <x:v>CAT004</x:v>
      </x:c>
      <x:c r="G972" s="10" t="str">
        <x:v>Frete faturado</x:v>
      </x:c>
      <x:c r="H972" s="10" t="str">
        <x:v>REC00322</x:v>
      </x:c>
      <x:c r="I972" s="20" t="n">
        <x:v>71479.19</x:v>
      </x:c>
      <x:c r="J972" s="20" t="n">
        <x:v>71479.19</x:v>
      </x:c>
      <x:c r="K972" s="10" t="str">
        <x:v>Realizado</x:v>
      </x:c>
      <x:c r="L972" s="10" t="str">
        <x:v>Contas a Receber</x:v>
      </x:c>
    </x:row>
    <x:row r="973" ht="18" customHeight="1">
      <x:c r="A973" s="10" t="str">
        <x:v>MOV000322</x:v>
      </x:c>
      <x:c r="B973" s="16" t="n">
        <x:v>45718.74600962963</x:v>
      </x:c>
      <x:c r="C973" s="10" t="str">
        <x:v>EMP003</x:v>
      </x:c>
      <x:c r="D973" s="10" t="str">
        <x:v>CTA006</x:v>
      </x:c>
      <x:c r="E973" s="10" t="str">
        <x:v>Saída</x:v>
      </x:c>
      <x:c r="F973" s="10" t="str">
        <x:v>CAT005</x:v>
      </x:c>
      <x:c r="G973" s="10" t="str">
        <x:v>Prestação de serviços</x:v>
      </x:c>
      <x:c r="H973" s="10" t="str">
        <x:v>PAG00375</x:v>
      </x:c>
      <x:c r="I973" s="20" t="n">
        <x:v>6449.5</x:v>
      </x:c>
      <x:c r="J973" s="20" t="n">
        <x:v>-6449.5</x:v>
      </x:c>
      <x:c r="K973" s="10" t="str">
        <x:v>Realizado</x:v>
      </x:c>
      <x:c r="L973" s="10" t="str">
        <x:v>Contas a Pagar</x:v>
      </x:c>
    </x:row>
    <x:row r="974" ht="18" customHeight="1">
      <x:c r="A974" s="10" t="str">
        <x:v>MOV001411</x:v>
      </x:c>
      <x:c r="B974" s="16" t="n">
        <x:v>45719.24689048611</x:v>
      </x:c>
      <x:c r="C974" s="10" t="str">
        <x:v>EMP003</x:v>
      </x:c>
      <x:c r="D974" s="10" t="str">
        <x:v>CTA006</x:v>
      </x:c>
      <x:c r="E974" s="10" t="str">
        <x:v>Entrada</x:v>
      </x:c>
      <x:c r="F974" s="10" t="str">
        <x:v>CAT001</x:v>
      </x:c>
      <x:c r="G974" s="10" t="str">
        <x:v>Prestação de serviços</x:v>
      </x:c>
      <x:c r="H974" s="10" t="str">
        <x:v>REC00793</x:v>
      </x:c>
      <x:c r="I974" s="20" t="n">
        <x:v>72198.98</x:v>
      </x:c>
      <x:c r="J974" s="20" t="n">
        <x:v>72198.98</x:v>
      </x:c>
      <x:c r="K974" s="10" t="str">
        <x:v>Realizado</x:v>
      </x:c>
      <x:c r="L974" s="10" t="str">
        <x:v>Contas a Receber</x:v>
      </x:c>
    </x:row>
    <x:row r="975" ht="18" customHeight="1">
      <x:c r="A975" s="10" t="str">
        <x:v>MOV001492</x:v>
      </x:c>
      <x:c r="B975" s="16" t="n">
        <x:v>45719.84324454861</x:v>
      </x:c>
      <x:c r="C975" s="10" t="str">
        <x:v>EMP001</x:v>
      </x:c>
      <x:c r="D975" s="10" t="str">
        <x:v>CTA002</x:v>
      </x:c>
      <x:c r="E975" s="10" t="str">
        <x:v>Entrada</x:v>
      </x:c>
      <x:c r="F975" s="10" t="str">
        <x:v>CAT003</x:v>
      </x:c>
      <x:c r="G975" s="10" t="str">
        <x:v>Frete faturado</x:v>
      </x:c>
      <x:c r="H975" s="10" t="str">
        <x:v>REC00896</x:v>
      </x:c>
      <x:c r="I975" s="20" t="n">
        <x:v>856.46</x:v>
      </x:c>
      <x:c r="J975" s="20" t="n">
        <x:v>856.46</x:v>
      </x:c>
      <x:c r="K975" s="10" t="str">
        <x:v>Realizado</x:v>
      </x:c>
      <x:c r="L975" s="10" t="str">
        <x:v>Contas a Receber</x:v>
      </x:c>
    </x:row>
    <x:row r="976" ht="18" customHeight="1">
      <x:c r="A976" s="10" t="str">
        <x:v>MOV001640</x:v>
      </x:c>
      <x:c r="B976" s="16" t="n">
        <x:v>45719.92518305556</x:v>
      </x:c>
      <x:c r="C976" s="10" t="str">
        <x:v>EMP002</x:v>
      </x:c>
      <x:c r="D976" s="10" t="str">
        <x:v>CTA003</x:v>
      </x:c>
      <x:c r="E976" s="10" t="str">
        <x:v>Entrada</x:v>
      </x:c>
      <x:c r="F976" s="10" t="str">
        <x:v>CAT002</x:v>
      </x:c>
      <x:c r="G976" s="10" t="str">
        <x:v>Venda de produtos</x:v>
      </x:c>
      <x:c r="H976" s="10" t="str">
        <x:v>REC01075</x:v>
      </x:c>
      <x:c r="I976" s="20" t="n">
        <x:v>86147.74</x:v>
      </x:c>
      <x:c r="J976" s="20" t="n">
        <x:v>86147.74</x:v>
      </x:c>
      <x:c r="K976" s="10" t="str">
        <x:v>Realizado</x:v>
      </x:c>
      <x:c r="L976" s="10" t="str">
        <x:v>Contas a Receber</x:v>
      </x:c>
    </x:row>
    <x:row r="977" ht="18" customHeight="1">
      <x:c r="A977" s="10" t="str">
        <x:v>MOV000053</x:v>
      </x:c>
      <x:c r="B977" s="16" t="n">
        <x:v>45720.00129291667</x:v>
      </x:c>
      <x:c r="C977" s="10" t="str">
        <x:v>EMP003</x:v>
      </x:c>
      <x:c r="D977" s="10" t="str">
        <x:v>CTA005</x:v>
      </x:c>
      <x:c r="E977" s="10" t="str">
        <x:v>Saída</x:v>
      </x:c>
      <x:c r="F977" s="10" t="str">
        <x:v>CAT018</x:v>
      </x:c>
      <x:c r="G977" s="10" t="str">
        <x:v>Contrato recorrente</x:v>
      </x:c>
      <x:c r="H977" s="10" t="str">
        <x:v>PAG00054</x:v>
      </x:c>
      <x:c r="I977" s="20" t="n">
        <x:v>38564.11</x:v>
      </x:c>
      <x:c r="J977" s="20" t="n">
        <x:v>-38564.11</x:v>
      </x:c>
      <x:c r="K977" s="10" t="str">
        <x:v>Realizado</x:v>
      </x:c>
      <x:c r="L977" s="10" t="str">
        <x:v>Contas a Pagar</x:v>
      </x:c>
    </x:row>
    <x:row r="978" ht="18" customHeight="1">
      <x:c r="A978" s="10" t="str">
        <x:v>MOV001165</x:v>
      </x:c>
      <x:c r="B978" s="16" t="n">
        <x:v>45720.24889879629</x:v>
      </x:c>
      <x:c r="C978" s="10" t="str">
        <x:v>EMP003</x:v>
      </x:c>
      <x:c r="D978" s="10" t="str">
        <x:v>CTA006</x:v>
      </x:c>
      <x:c r="E978" s="10" t="str">
        <x:v>Entrada</x:v>
      </x:c>
      <x:c r="F978" s="10" t="str">
        <x:v>CAT003</x:v>
      </x:c>
      <x:c r="G978" s="10" t="str">
        <x:v>Venda de produtos</x:v>
      </x:c>
      <x:c r="H978" s="10" t="str">
        <x:v>REC00498</x:v>
      </x:c>
      <x:c r="I978" s="20" t="n">
        <x:v>65241.41</x:v>
      </x:c>
      <x:c r="J978" s="20" t="n">
        <x:v>65241.41</x:v>
      </x:c>
      <x:c r="K978" s="10" t="str">
        <x:v>Realizado</x:v>
      </x:c>
      <x:c r="L978" s="10" t="str">
        <x:v>Contas a Receber</x:v>
      </x:c>
    </x:row>
    <x:row r="979" ht="18" customHeight="1">
      <x:c r="A979" s="10" t="str">
        <x:v>MOV000931</x:v>
      </x:c>
      <x:c r="B979" s="16" t="n">
        <x:v>45720.422115960646</x:v>
      </x:c>
      <x:c r="C979" s="10" t="str">
        <x:v>EMP003</x:v>
      </x:c>
      <x:c r="D979" s="10" t="str">
        <x:v>CTA005</x:v>
      </x:c>
      <x:c r="E979" s="10" t="str">
        <x:v>Entrada</x:v>
      </x:c>
      <x:c r="F979" s="10" t="str">
        <x:v>CAT003</x:v>
      </x:c>
      <x:c r="G979" s="10" t="str">
        <x:v>Contrato mensal</x:v>
      </x:c>
      <x:c r="H979" s="10" t="str">
        <x:v>REC00210</x:v>
      </x:c>
      <x:c r="I979" s="20" t="n">
        <x:v>53085.16</x:v>
      </x:c>
      <x:c r="J979" s="20" t="n">
        <x:v>53085.16</x:v>
      </x:c>
      <x:c r="K979" s="10" t="str">
        <x:v>Realizado</x:v>
      </x:c>
      <x:c r="L979" s="10" t="str">
        <x:v>Contas a Receber</x:v>
      </x:c>
    </x:row>
    <x:row r="980" ht="18" customHeight="1">
      <x:c r="A980" s="10" t="str">
        <x:v>MOV000572</x:v>
      </x:c>
      <x:c r="B980" s="16" t="n">
        <x:v>45720.515845625</x:v>
      </x:c>
      <x:c r="C980" s="10" t="str">
        <x:v>EMP001</x:v>
      </x:c>
      <x:c r="D980" s="10" t="str">
        <x:v>CTA002</x:v>
      </x:c>
      <x:c r="E980" s="10" t="str">
        <x:v>Saída</x:v>
      </x:c>
      <x:c r="F980" s="10" t="str">
        <x:v>CAT010</x:v>
      </x:c>
      <x:c r="G980" s="10" t="str">
        <x:v>Contrato recorrente</x:v>
      </x:c>
      <x:c r="H980" s="10" t="str">
        <x:v>PAG00672</x:v>
      </x:c>
      <x:c r="I980" s="20" t="n">
        <x:v>50381.06</x:v>
      </x:c>
      <x:c r="J980" s="20" t="n">
        <x:v>-50381.06</x:v>
      </x:c>
      <x:c r="K980" s="10" t="str">
        <x:v>Realizado</x:v>
      </x:c>
      <x:c r="L980" s="10" t="str">
        <x:v>Contas a Pagar</x:v>
      </x:c>
    </x:row>
    <x:row r="981" ht="18" customHeight="1">
      <x:c r="A981" s="10" t="str">
        <x:v>MOV001432</x:v>
      </x:c>
      <x:c r="B981" s="16" t="n">
        <x:v>45720.55772907408</x:v>
      </x:c>
      <x:c r="C981" s="10" t="str">
        <x:v>EMP002</x:v>
      </x:c>
      <x:c r="D981" s="10" t="str">
        <x:v>CTA003</x:v>
      </x:c>
      <x:c r="E981" s="10" t="str">
        <x:v>Entrada</x:v>
      </x:c>
      <x:c r="F981" s="10" t="str">
        <x:v>CAT001</x:v>
      </x:c>
      <x:c r="G981" s="10" t="str">
        <x:v>Frete faturado</x:v>
      </x:c>
      <x:c r="H981" s="10" t="str">
        <x:v>REC00822</x:v>
      </x:c>
      <x:c r="I981" s="20" t="n">
        <x:v>37275.94</x:v>
      </x:c>
      <x:c r="J981" s="20" t="n">
        <x:v>37275.94</x:v>
      </x:c>
      <x:c r="K981" s="10" t="str">
        <x:v>Realizado</x:v>
      </x:c>
      <x:c r="L981" s="10" t="str">
        <x:v>Contas a Receber</x:v>
      </x:c>
    </x:row>
    <x:row r="982" ht="18" customHeight="1">
      <x:c r="A982" s="10" t="str">
        <x:v>MOV001305</x:v>
      </x:c>
      <x:c r="B982" s="16" t="n">
        <x:v>45722.52738835648</x:v>
      </x:c>
      <x:c r="C982" s="10" t="str">
        <x:v>EMP002</x:v>
      </x:c>
      <x:c r="D982" s="10" t="str">
        <x:v>CTA003</x:v>
      </x:c>
      <x:c r="E982" s="10" t="str">
        <x:v>Entrada</x:v>
      </x:c>
      <x:c r="F982" s="10" t="str">
        <x:v>CAT003</x:v>
      </x:c>
      <x:c r="G982" s="10" t="str">
        <x:v>Projeto especial</x:v>
      </x:c>
      <x:c r="H982" s="10" t="str">
        <x:v>REC00668</x:v>
      </x:c>
      <x:c r="I982" s="20" t="n">
        <x:v>30974.06</x:v>
      </x:c>
      <x:c r="J982" s="20" t="n">
        <x:v>30974.06</x:v>
      </x:c>
      <x:c r="K982" s="10" t="str">
        <x:v>Realizado</x:v>
      </x:c>
      <x:c r="L982" s="10" t="str">
        <x:v>Contas a Receber</x:v>
      </x:c>
    </x:row>
    <x:row r="983" ht="18" customHeight="1">
      <x:c r="A983" s="10" t="str">
        <x:v>MOV001279</x:v>
      </x:c>
      <x:c r="B983" s="16" t="n">
        <x:v>45722.68243017361</x:v>
      </x:c>
      <x:c r="C983" s="10" t="str">
        <x:v>EMP003</x:v>
      </x:c>
      <x:c r="D983" s="10" t="str">
        <x:v>CTA006</x:v>
      </x:c>
      <x:c r="E983" s="10" t="str">
        <x:v>Entrada</x:v>
      </x:c>
      <x:c r="F983" s="10" t="str">
        <x:v>CAT001</x:v>
      </x:c>
      <x:c r="G983" s="10" t="str">
        <x:v>Venda de produtos</x:v>
      </x:c>
      <x:c r="H983" s="10" t="str">
        <x:v>REC00639</x:v>
      </x:c>
      <x:c r="I983" s="20" t="n">
        <x:v>36355.83</x:v>
      </x:c>
      <x:c r="J983" s="20" t="n">
        <x:v>36355.83</x:v>
      </x:c>
      <x:c r="K983" s="10" t="str">
        <x:v>Realizado</x:v>
      </x:c>
      <x:c r="L983" s="10" t="str">
        <x:v>Contas a Receber</x:v>
      </x:c>
    </x:row>
    <x:row r="984" ht="18" customHeight="1">
      <x:c r="A984" s="10" t="str">
        <x:v>MOV000606</x:v>
      </x:c>
      <x:c r="B984" s="16" t="n">
        <x:v>45723.99866049769</x:v>
      </x:c>
      <x:c r="C984" s="10" t="str">
        <x:v>EMP001</x:v>
      </x:c>
      <x:c r="D984" s="10" t="str">
        <x:v>CTA001</x:v>
      </x:c>
      <x:c r="E984" s="10" t="str">
        <x:v>Saída</x:v>
      </x:c>
      <x:c r="F984" s="10" t="str">
        <x:v>CAT006</x:v>
      </x:c>
      <x:c r="G984" s="10" t="str">
        <x:v>Contrato recorrente</x:v>
      </x:c>
      <x:c r="H984" s="10" t="str">
        <x:v>PAG00718</x:v>
      </x:c>
      <x:c r="I984" s="20" t="n">
        <x:v>18344.25</x:v>
      </x:c>
      <x:c r="J984" s="20" t="n">
        <x:v>-18344.25</x:v>
      </x:c>
      <x:c r="K984" s="10" t="str">
        <x:v>Realizado</x:v>
      </x:c>
      <x:c r="L984" s="10" t="str">
        <x:v>Contas a Pagar</x:v>
      </x:c>
    </x:row>
    <x:row r="985" ht="18" customHeight="1">
      <x:c r="A985" s="10" t="str">
        <x:v>MOV000268</x:v>
      </x:c>
      <x:c r="B985" s="16" t="n">
        <x:v>45724.34300649306</x:v>
      </x:c>
      <x:c r="C985" s="10" t="str">
        <x:v>EMP003</x:v>
      </x:c>
      <x:c r="D985" s="10" t="str">
        <x:v>CTA005</x:v>
      </x:c>
      <x:c r="E985" s="10" t="str">
        <x:v>Saída</x:v>
      </x:c>
      <x:c r="F985" s="10" t="str">
        <x:v>CAT008</x:v>
      </x:c>
      <x:c r="G985" s="10" t="str">
        <x:v>Tributos e taxas</x:v>
      </x:c>
      <x:c r="H985" s="10" t="str">
        <x:v>PAG00312</x:v>
      </x:c>
      <x:c r="I985" s="20" t="n">
        <x:v>5841.33</x:v>
      </x:c>
      <x:c r="J985" s="20" t="n">
        <x:v>-5841.33</x:v>
      </x:c>
      <x:c r="K985" s="10" t="str">
        <x:v>Realizado</x:v>
      </x:c>
      <x:c r="L985" s="10" t="str">
        <x:v>Contas a Pagar</x:v>
      </x:c>
    </x:row>
    <x:row r="986" ht="18" customHeight="1">
      <x:c r="A986" s="10" t="str">
        <x:v>MOV000584</x:v>
      </x:c>
      <x:c r="B986" s="16" t="n">
        <x:v>45724.41355474537</x:v>
      </x:c>
      <x:c r="C986" s="10" t="str">
        <x:v>EMP001</x:v>
      </x:c>
      <x:c r="D986" s="10" t="str">
        <x:v>CTA001</x:v>
      </x:c>
      <x:c r="E986" s="10" t="str">
        <x:v>Saída</x:v>
      </x:c>
      <x:c r="F986" s="10" t="str">
        <x:v>CAT008</x:v>
      </x:c>
      <x:c r="G986" s="10" t="str">
        <x:v>Contrato recorrente</x:v>
      </x:c>
      <x:c r="H986" s="10" t="str">
        <x:v>PAG00687</x:v>
      </x:c>
      <x:c r="I986" s="20" t="n">
        <x:v>37210.1</x:v>
      </x:c>
      <x:c r="J986" s="20" t="n">
        <x:v>-37210.1</x:v>
      </x:c>
      <x:c r="K986" s="10" t="str">
        <x:v>Realizado</x:v>
      </x:c>
      <x:c r="L986" s="10" t="str">
        <x:v>Contas a Pagar</x:v>
      </x:c>
    </x:row>
    <x:row r="987" ht="18" customHeight="1">
      <x:c r="A987" s="10" t="str">
        <x:v>MOV001267</x:v>
      </x:c>
      <x:c r="B987" s="16" t="n">
        <x:v>45724.72996892361</x:v>
      </x:c>
      <x:c r="C987" s="10" t="str">
        <x:v>EMP001</x:v>
      </x:c>
      <x:c r="D987" s="10" t="str">
        <x:v>CTA001</x:v>
      </x:c>
      <x:c r="E987" s="10" t="str">
        <x:v>Entrada</x:v>
      </x:c>
      <x:c r="F987" s="10" t="str">
        <x:v>CAT002</x:v>
      </x:c>
      <x:c r="G987" s="10" t="str">
        <x:v>Frete faturado</x:v>
      </x:c>
      <x:c r="H987" s="10" t="str">
        <x:v>REC00624</x:v>
      </x:c>
      <x:c r="I987" s="20" t="n">
        <x:v>90556.63</x:v>
      </x:c>
      <x:c r="J987" s="20" t="n">
        <x:v>90556.63</x:v>
      </x:c>
      <x:c r="K987" s="10" t="str">
        <x:v>Realizado</x:v>
      </x:c>
      <x:c r="L987" s="10" t="str">
        <x:v>Contas a Receber</x:v>
      </x:c>
    </x:row>
    <x:row r="988" ht="18" customHeight="1">
      <x:c r="A988" s="10" t="str">
        <x:v>MOV001025</x:v>
      </x:c>
      <x:c r="B988" s="16" t="n">
        <x:v>45724.75842064815</x:v>
      </x:c>
      <x:c r="C988" s="10" t="str">
        <x:v>EMP001</x:v>
      </x:c>
      <x:c r="D988" s="10" t="str">
        <x:v>CTA002</x:v>
      </x:c>
      <x:c r="E988" s="10" t="str">
        <x:v>Entrada</x:v>
      </x:c>
      <x:c r="F988" s="10" t="str">
        <x:v>CAT004</x:v>
      </x:c>
      <x:c r="G988" s="10" t="str">
        <x:v>Contrato mensal</x:v>
      </x:c>
      <x:c r="H988" s="10" t="str">
        <x:v>REC00329</x:v>
      </x:c>
      <x:c r="I988" s="20" t="n">
        <x:v>918.31</x:v>
      </x:c>
      <x:c r="J988" s="20" t="n">
        <x:v>918.31</x:v>
      </x:c>
      <x:c r="K988" s="10" t="str">
        <x:v>Realizado</x:v>
      </x:c>
      <x:c r="L988" s="10" t="str">
        <x:v>Contas a Receber</x:v>
      </x:c>
    </x:row>
    <x:row r="989" ht="18" customHeight="1">
      <x:c r="A989" s="10" t="str">
        <x:v>MOV001417</x:v>
      </x:c>
      <x:c r="B989" s="16" t="n">
        <x:v>45725.80715085648</x:v>
      </x:c>
      <x:c r="C989" s="10" t="str">
        <x:v>EMP003</x:v>
      </x:c>
      <x:c r="D989" s="10" t="str">
        <x:v>CTA006</x:v>
      </x:c>
      <x:c r="E989" s="10" t="str">
        <x:v>Entrada</x:v>
      </x:c>
      <x:c r="F989" s="10" t="str">
        <x:v>CAT004</x:v>
      </x:c>
      <x:c r="G989" s="10" t="str">
        <x:v>Venda de produtos</x:v>
      </x:c>
      <x:c r="H989" s="10" t="str">
        <x:v>REC00801</x:v>
      </x:c>
      <x:c r="I989" s="20" t="n">
        <x:v>11078.24</x:v>
      </x:c>
      <x:c r="J989" s="20" t="n">
        <x:v>11078.24</x:v>
      </x:c>
      <x:c r="K989" s="10" t="str">
        <x:v>Realizado</x:v>
      </x:c>
      <x:c r="L989" s="10" t="str">
        <x:v>Contas a Receber</x:v>
      </x:c>
    </x:row>
    <x:row r="990" ht="18" customHeight="1">
      <x:c r="A990" s="10" t="str">
        <x:v>MOV000389</x:v>
      </x:c>
      <x:c r="B990" s="16" t="n">
        <x:v>45726.81590961805</x:v>
      </x:c>
      <x:c r="C990" s="10" t="str">
        <x:v>EMP001</x:v>
      </x:c>
      <x:c r="D990" s="10" t="str">
        <x:v>CTA001</x:v>
      </x:c>
      <x:c r="E990" s="10" t="str">
        <x:v>Saída</x:v>
      </x:c>
      <x:c r="F990" s="10" t="str">
        <x:v>CAT014</x:v>
      </x:c>
      <x:c r="G990" s="10" t="str">
        <x:v>Compra de materiais</x:v>
      </x:c>
      <x:c r="H990" s="10" t="str">
        <x:v>PAG00453</x:v>
      </x:c>
      <x:c r="I990" s="20" t="n">
        <x:v>35345.81</x:v>
      </x:c>
      <x:c r="J990" s="20" t="n">
        <x:v>-35345.81</x:v>
      </x:c>
      <x:c r="K990" s="10" t="str">
        <x:v>Realizado</x:v>
      </x:c>
      <x:c r="L990" s="10" t="str">
        <x:v>Contas a Pagar</x:v>
      </x:c>
    </x:row>
    <x:row r="991" ht="18" customHeight="1">
      <x:c r="A991" s="10" t="str">
        <x:v>MOV001024</x:v>
      </x:c>
      <x:c r="B991" s="16" t="n">
        <x:v>45727.809021064815</x:v>
      </x:c>
      <x:c r="C991" s="10" t="str">
        <x:v>EMP003</x:v>
      </x:c>
      <x:c r="D991" s="10" t="str">
        <x:v>CTA006</x:v>
      </x:c>
      <x:c r="E991" s="10" t="str">
        <x:v>Entrada</x:v>
      </x:c>
      <x:c r="F991" s="10" t="str">
        <x:v>CAT003</x:v>
      </x:c>
      <x:c r="G991" s="10" t="str">
        <x:v>Prestação de serviços</x:v>
      </x:c>
      <x:c r="H991" s="10" t="str">
        <x:v>REC00328</x:v>
      </x:c>
      <x:c r="I991" s="20" t="n">
        <x:v>30502.41</x:v>
      </x:c>
      <x:c r="J991" s="20" t="n">
        <x:v>30502.41</x:v>
      </x:c>
      <x:c r="K991" s="10" t="str">
        <x:v>Realizado</x:v>
      </x:c>
      <x:c r="L991" s="10" t="str">
        <x:v>Contas a Receber</x:v>
      </x:c>
    </x:row>
    <x:row r="992" ht="18" customHeight="1">
      <x:c r="A992" s="10" t="str">
        <x:v>MOV001059</x:v>
      </x:c>
      <x:c r="B992" s="16" t="n">
        <x:v>45728.772037407405</x:v>
      </x:c>
      <x:c r="C992" s="10" t="str">
        <x:v>EMP003</x:v>
      </x:c>
      <x:c r="D992" s="10" t="str">
        <x:v>CTA005</x:v>
      </x:c>
      <x:c r="E992" s="10" t="str">
        <x:v>Entrada</x:v>
      </x:c>
      <x:c r="F992" s="10" t="str">
        <x:v>CAT001</x:v>
      </x:c>
      <x:c r="G992" s="10" t="str">
        <x:v>Frete faturado</x:v>
      </x:c>
      <x:c r="H992" s="10" t="str">
        <x:v>REC00375</x:v>
      </x:c>
      <x:c r="I992" s="20" t="n">
        <x:v>115984.58</x:v>
      </x:c>
      <x:c r="J992" s="20" t="n">
        <x:v>115984.58</x:v>
      </x:c>
      <x:c r="K992" s="10" t="str">
        <x:v>Realizado</x:v>
      </x:c>
      <x:c r="L992" s="10" t="str">
        <x:v>Contas a Receber</x:v>
      </x:c>
    </x:row>
    <x:row r="993" ht="18" customHeight="1">
      <x:c r="A993" s="10" t="str">
        <x:v>MOV000819</x:v>
      </x:c>
      <x:c r="B993" s="16" t="n">
        <x:v>45729.3770615625</x:v>
      </x:c>
      <x:c r="C993" s="10" t="str">
        <x:v>EMP002</x:v>
      </x:c>
      <x:c r="D993" s="10" t="str">
        <x:v>CTA004</x:v>
      </x:c>
      <x:c r="E993" s="10" t="str">
        <x:v>Entrada</x:v>
      </x:c>
      <x:c r="F993" s="10" t="str">
        <x:v>CAT003</x:v>
      </x:c>
      <x:c r="G993" s="10" t="str">
        <x:v>Prestação de serviços</x:v>
      </x:c>
      <x:c r="H993" s="10" t="str">
        <x:v>REC00080</x:v>
      </x:c>
      <x:c r="I993" s="20" t="n">
        <x:v>11692.42</x:v>
      </x:c>
      <x:c r="J993" s="20" t="n">
        <x:v>11692.42</x:v>
      </x:c>
      <x:c r="K993" s="10" t="str">
        <x:v>Realizado</x:v>
      </x:c>
      <x:c r="L993" s="10" t="str">
        <x:v>Contas a Receber</x:v>
      </x:c>
    </x:row>
    <x:row r="994" ht="18" customHeight="1">
      <x:c r="A994" s="10" t="str">
        <x:v>MOV001440</x:v>
      </x:c>
      <x:c r="B994" s="16" t="n">
        <x:v>45729.79856</x:v>
      </x:c>
      <x:c r="C994" s="10" t="str">
        <x:v>EMP003</x:v>
      </x:c>
      <x:c r="D994" s="10" t="str">
        <x:v>CTA006</x:v>
      </x:c>
      <x:c r="E994" s="10" t="str">
        <x:v>Entrada</x:v>
      </x:c>
      <x:c r="F994" s="10" t="str">
        <x:v>CAT004</x:v>
      </x:c>
      <x:c r="G994" s="10" t="str">
        <x:v>Frete faturado</x:v>
      </x:c>
      <x:c r="H994" s="10" t="str">
        <x:v>REC00831</x:v>
      </x:c>
      <x:c r="I994" s="20" t="n">
        <x:v>81683.59</x:v>
      </x:c>
      <x:c r="J994" s="20" t="n">
        <x:v>81683.59</x:v>
      </x:c>
      <x:c r="K994" s="10" t="str">
        <x:v>Realizado</x:v>
      </x:c>
      <x:c r="L994" s="10" t="str">
        <x:v>Contas a Receber</x:v>
      </x:c>
    </x:row>
    <x:row r="995" ht="18" customHeight="1">
      <x:c r="A995" s="10" t="str">
        <x:v>MOV001066</x:v>
      </x:c>
      <x:c r="B995" s="16" t="n">
        <x:v>45730.27094258102</x:v>
      </x:c>
      <x:c r="C995" s="10" t="str">
        <x:v>EMP003</x:v>
      </x:c>
      <x:c r="D995" s="10" t="str">
        <x:v>CTA005</x:v>
      </x:c>
      <x:c r="E995" s="10" t="str">
        <x:v>Entrada</x:v>
      </x:c>
      <x:c r="F995" s="10" t="str">
        <x:v>CAT003</x:v>
      </x:c>
      <x:c r="G995" s="10" t="str">
        <x:v>Contrato mensal</x:v>
      </x:c>
      <x:c r="H995" s="10" t="str">
        <x:v>REC00385</x:v>
      </x:c>
      <x:c r="I995" s="20" t="n">
        <x:v>9405.57</x:v>
      </x:c>
      <x:c r="J995" s="20" t="n">
        <x:v>9405.57</x:v>
      </x:c>
      <x:c r="K995" s="10" t="str">
        <x:v>Realizado</x:v>
      </x:c>
      <x:c r="L995" s="10" t="str">
        <x:v>Contas a Receber</x:v>
      </x:c>
    </x:row>
    <x:row r="996" ht="18" customHeight="1">
      <x:c r="A996" s="10" t="str">
        <x:v>MOV000172</x:v>
      </x:c>
      <x:c r="B996" s="16" t="n">
        <x:v>45731.01852226852</x:v>
      </x:c>
      <x:c r="C996" s="10" t="str">
        <x:v>EMP002</x:v>
      </x:c>
      <x:c r="D996" s="10" t="str">
        <x:v>CTA004</x:v>
      </x:c>
      <x:c r="E996" s="10" t="str">
        <x:v>Saída</x:v>
      </x:c>
      <x:c r="F996" s="10" t="str">
        <x:v>CAT012</x:v>
      </x:c>
      <x:c r="G996" s="10" t="str">
        <x:v>Tributos e taxas</x:v>
      </x:c>
      <x:c r="H996" s="10" t="str">
        <x:v>PAG00202</x:v>
      </x:c>
      <x:c r="I996" s="20" t="n">
        <x:v>87910.49</x:v>
      </x:c>
      <x:c r="J996" s="20" t="n">
        <x:v>-87910.49</x:v>
      </x:c>
      <x:c r="K996" s="10" t="str">
        <x:v>Realizado</x:v>
      </x:c>
      <x:c r="L996" s="10" t="str">
        <x:v>Contas a Pagar</x:v>
      </x:c>
    </x:row>
    <x:row r="997" ht="18" customHeight="1">
      <x:c r="A997" s="10" t="str">
        <x:v>MOV000919</x:v>
      </x:c>
      <x:c r="B997" s="16" t="n">
        <x:v>45731.3260097338</x:v>
      </x:c>
      <x:c r="C997" s="10" t="str">
        <x:v>EMP002</x:v>
      </x:c>
      <x:c r="D997" s="10" t="str">
        <x:v>CTA004</x:v>
      </x:c>
      <x:c r="E997" s="10" t="str">
        <x:v>Entrada</x:v>
      </x:c>
      <x:c r="F997" s="10" t="str">
        <x:v>CAT001</x:v>
      </x:c>
      <x:c r="G997" s="10" t="str">
        <x:v>Prestação de serviços</x:v>
      </x:c>
      <x:c r="H997" s="10" t="str">
        <x:v>REC00197</x:v>
      </x:c>
      <x:c r="I997" s="20" t="n">
        <x:v>41866.06</x:v>
      </x:c>
      <x:c r="J997" s="20" t="n">
        <x:v>41866.06</x:v>
      </x:c>
      <x:c r="K997" s="10" t="str">
        <x:v>Realizado</x:v>
      </x:c>
      <x:c r="L997" s="10" t="str">
        <x:v>Contas a Receber</x:v>
      </x:c>
    </x:row>
    <x:row r="998" ht="18" customHeight="1">
      <x:c r="A998" s="10" t="str">
        <x:v>MOV001194</x:v>
      </x:c>
      <x:c r="B998" s="16" t="n">
        <x:v>45731.81561638889</x:v>
      </x:c>
      <x:c r="C998" s="10" t="str">
        <x:v>EMP001</x:v>
      </x:c>
      <x:c r="D998" s="10" t="str">
        <x:v>CTA002</x:v>
      </x:c>
      <x:c r="E998" s="10" t="str">
        <x:v>Entrada</x:v>
      </x:c>
      <x:c r="F998" s="10" t="str">
        <x:v>CAT002</x:v>
      </x:c>
      <x:c r="G998" s="10" t="str">
        <x:v>Frete faturado</x:v>
      </x:c>
      <x:c r="H998" s="10" t="str">
        <x:v>REC00537</x:v>
      </x:c>
      <x:c r="I998" s="20" t="n">
        <x:v>8854.45</x:v>
      </x:c>
      <x:c r="J998" s="20" t="n">
        <x:v>8854.45</x:v>
      </x:c>
      <x:c r="K998" s="10" t="str">
        <x:v>Realizado</x:v>
      </x:c>
      <x:c r="L998" s="10" t="str">
        <x:v>Contas a Receber</x:v>
      </x:c>
    </x:row>
    <x:row r="999" ht="18" customHeight="1">
      <x:c r="A999" s="10" t="str">
        <x:v>MOV001469</x:v>
      </x:c>
      <x:c r="B999" s="16" t="n">
        <x:v>45732.87121733796</x:v>
      </x:c>
      <x:c r="C999" s="10" t="str">
        <x:v>EMP003</x:v>
      </x:c>
      <x:c r="D999" s="10" t="str">
        <x:v>CTA006</x:v>
      </x:c>
      <x:c r="E999" s="10" t="str">
        <x:v>Entrada</x:v>
      </x:c>
      <x:c r="F999" s="10" t="str">
        <x:v>CAT003</x:v>
      </x:c>
      <x:c r="G999" s="10" t="str">
        <x:v>Frete faturado</x:v>
      </x:c>
      <x:c r="H999" s="10" t="str">
        <x:v>REC00867</x:v>
      </x:c>
      <x:c r="I999" s="20" t="n">
        <x:v>17726.35</x:v>
      </x:c>
      <x:c r="J999" s="20" t="n">
        <x:v>17726.35</x:v>
      </x:c>
      <x:c r="K999" s="10" t="str">
        <x:v>Realizado</x:v>
      </x:c>
      <x:c r="L999" s="10" t="str">
        <x:v>Contas a Receber</x:v>
      </x:c>
    </x:row>
    <x:row r="1000" ht="18" customHeight="1">
      <x:c r="A1000" s="10" t="str">
        <x:v>MOV000183</x:v>
      </x:c>
      <x:c r="B1000" s="16" t="n">
        <x:v>45733.17556599537</x:v>
      </x:c>
      <x:c r="C1000" s="10" t="str">
        <x:v>EMP003</x:v>
      </x:c>
      <x:c r="D1000" s="10" t="str">
        <x:v>CTA006</x:v>
      </x:c>
      <x:c r="E1000" s="10" t="str">
        <x:v>Saída</x:v>
      </x:c>
      <x:c r="F1000" s="10" t="str">
        <x:v>CAT006</x:v>
      </x:c>
      <x:c r="G1000" s="10" t="str">
        <x:v>Prestação de serviços</x:v>
      </x:c>
      <x:c r="H1000" s="10" t="str">
        <x:v>PAG00214</x:v>
      </x:c>
      <x:c r="I1000" s="20" t="n">
        <x:v>25417.83</x:v>
      </x:c>
      <x:c r="J1000" s="20" t="n">
        <x:v>-25417.83</x:v>
      </x:c>
      <x:c r="K1000" s="10" t="str">
        <x:v>Realizado</x:v>
      </x:c>
      <x:c r="L1000" s="10" t="str">
        <x:v>Contas a Pagar</x:v>
      </x:c>
    </x:row>
    <x:row r="1001" ht="18" customHeight="1">
      <x:c r="A1001" s="10" t="str">
        <x:v>MOV000470</x:v>
      </x:c>
      <x:c r="B1001" s="16" t="n">
        <x:v>45733.2685143287</x:v>
      </x:c>
      <x:c r="C1001" s="10" t="str">
        <x:v>EMP002</x:v>
      </x:c>
      <x:c r="D1001" s="10" t="str">
        <x:v>CTA003</x:v>
      </x:c>
      <x:c r="E1001" s="10" t="str">
        <x:v>Saída</x:v>
      </x:c>
      <x:c r="F1001" s="10" t="str">
        <x:v>CAT005</x:v>
      </x:c>
      <x:c r="G1001" s="10" t="str">
        <x:v>Despesa operacional</x:v>
      </x:c>
      <x:c r="H1001" s="10" t="str">
        <x:v>PAG00552</x:v>
      </x:c>
      <x:c r="I1001" s="20" t="n">
        <x:v>83628.14</x:v>
      </x:c>
      <x:c r="J1001" s="20" t="n">
        <x:v>-83628.14</x:v>
      </x:c>
      <x:c r="K1001" s="10" t="str">
        <x:v>Realizado</x:v>
      </x:c>
      <x:c r="L1001" s="10" t="str">
        <x:v>Contas a Pagar</x:v>
      </x:c>
    </x:row>
    <x:row r="1002" ht="18" customHeight="1">
      <x:c r="A1002" s="10" t="str">
        <x:v>MOV000119</x:v>
      </x:c>
      <x:c r="B1002" s="16" t="n">
        <x:v>45734.08945869213</x:v>
      </x:c>
      <x:c r="C1002" s="10" t="str">
        <x:v>EMP002</x:v>
      </x:c>
      <x:c r="D1002" s="10" t="str">
        <x:v>CTA003</x:v>
      </x:c>
      <x:c r="E1002" s="10" t="str">
        <x:v>Saída</x:v>
      </x:c>
      <x:c r="F1002" s="10" t="str">
        <x:v>CAT018</x:v>
      </x:c>
      <x:c r="G1002" s="10" t="str">
        <x:v>Compra de materiais</x:v>
      </x:c>
      <x:c r="H1002" s="10" t="str">
        <x:v>PAG00138</x:v>
      </x:c>
      <x:c r="I1002" s="20" t="n">
        <x:v>78419.04</x:v>
      </x:c>
      <x:c r="J1002" s="20" t="n">
        <x:v>-78419.04</x:v>
      </x:c>
      <x:c r="K1002" s="10" t="str">
        <x:v>Realizado</x:v>
      </x:c>
      <x:c r="L1002" s="10" t="str">
        <x:v>Contas a Pagar</x:v>
      </x:c>
    </x:row>
    <x:row r="1003" ht="18" customHeight="1">
      <x:c r="A1003" s="10" t="str">
        <x:v>MOV001125</x:v>
      </x:c>
      <x:c r="B1003" s="16" t="n">
        <x:v>45734.85651679398</x:v>
      </x:c>
      <x:c r="C1003" s="10" t="str">
        <x:v>EMP003</x:v>
      </x:c>
      <x:c r="D1003" s="10" t="str">
        <x:v>CTA005</x:v>
      </x:c>
      <x:c r="E1003" s="10" t="str">
        <x:v>Entrada</x:v>
      </x:c>
      <x:c r="F1003" s="10" t="str">
        <x:v>CAT004</x:v>
      </x:c>
      <x:c r="G1003" s="10" t="str">
        <x:v>Venda de produtos</x:v>
      </x:c>
      <x:c r="H1003" s="10" t="str">
        <x:v>REC00454</x:v>
      </x:c>
      <x:c r="I1003" s="20" t="n">
        <x:v>10124.25</x:v>
      </x:c>
      <x:c r="J1003" s="20" t="n">
        <x:v>10124.25</x:v>
      </x:c>
      <x:c r="K1003" s="10" t="str">
        <x:v>Realizado</x:v>
      </x:c>
      <x:c r="L1003" s="10" t="str">
        <x:v>Contas a Receber</x:v>
      </x:c>
    </x:row>
    <x:row r="1004" ht="18" customHeight="1">
      <x:c r="A1004" s="10" t="str">
        <x:v>MOV001002</x:v>
      </x:c>
      <x:c r="B1004" s="16" t="n">
        <x:v>45735.13946024306</x:v>
      </x:c>
      <x:c r="C1004" s="10" t="str">
        <x:v>EMP001</x:v>
      </x:c>
      <x:c r="D1004" s="10" t="str">
        <x:v>CTA001</x:v>
      </x:c>
      <x:c r="E1004" s="10" t="str">
        <x:v>Entrada</x:v>
      </x:c>
      <x:c r="F1004" s="10" t="str">
        <x:v>CAT003</x:v>
      </x:c>
      <x:c r="G1004" s="10" t="str">
        <x:v>Projeto especial</x:v>
      </x:c>
      <x:c r="H1004" s="10" t="str">
        <x:v>REC00302</x:v>
      </x:c>
      <x:c r="I1004" s="20" t="n">
        <x:v>9056.16</x:v>
      </x:c>
      <x:c r="J1004" s="20" t="n">
        <x:v>9056.16</x:v>
      </x:c>
      <x:c r="K1004" s="10" t="str">
        <x:v>Realizado</x:v>
      </x:c>
      <x:c r="L1004" s="10" t="str">
        <x:v>Contas a Receber</x:v>
      </x:c>
    </x:row>
    <x:row r="1005" ht="18" customHeight="1">
      <x:c r="A1005" s="10" t="str">
        <x:v>MOV000429</x:v>
      </x:c>
      <x:c r="B1005" s="16" t="n">
        <x:v>45735.16500422454</x:v>
      </x:c>
      <x:c r="C1005" s="10" t="str">
        <x:v>EMP002</x:v>
      </x:c>
      <x:c r="D1005" s="10" t="str">
        <x:v>CTA004</x:v>
      </x:c>
      <x:c r="E1005" s="10" t="str">
        <x:v>Saída</x:v>
      </x:c>
      <x:c r="F1005" s="10" t="str">
        <x:v>CAT014</x:v>
      </x:c>
      <x:c r="G1005" s="10" t="str">
        <x:v>Tributos e taxas</x:v>
      </x:c>
      <x:c r="H1005" s="10" t="str">
        <x:v>PAG00502</x:v>
      </x:c>
      <x:c r="I1005" s="20" t="n">
        <x:v>11547.09</x:v>
      </x:c>
      <x:c r="J1005" s="20" t="n">
        <x:v>-11547.09</x:v>
      </x:c>
      <x:c r="K1005" s="10" t="str">
        <x:v>Realizado</x:v>
      </x:c>
      <x:c r="L1005" s="10" t="str">
        <x:v>Contas a Pagar</x:v>
      </x:c>
    </x:row>
    <x:row r="1006" ht="18" customHeight="1">
      <x:c r="A1006" s="10" t="str">
        <x:v>MOV000532</x:v>
      </x:c>
      <x:c r="B1006" s="16" t="n">
        <x:v>45735.51802645833</x:v>
      </x:c>
      <x:c r="C1006" s="10" t="str">
        <x:v>EMP002</x:v>
      </x:c>
      <x:c r="D1006" s="10" t="str">
        <x:v>CTA004</x:v>
      </x:c>
      <x:c r="E1006" s="10" t="str">
        <x:v>Saída</x:v>
      </x:c>
      <x:c r="F1006" s="10" t="str">
        <x:v>CAT016</x:v>
      </x:c>
      <x:c r="G1006" s="10" t="str">
        <x:v>Compra de materiais</x:v>
      </x:c>
      <x:c r="H1006" s="10" t="str">
        <x:v>PAG00622</x:v>
      </x:c>
      <x:c r="I1006" s="20" t="n">
        <x:v>24735.28</x:v>
      </x:c>
      <x:c r="J1006" s="20" t="n">
        <x:v>-24735.28</x:v>
      </x:c>
      <x:c r="K1006" s="10" t="str">
        <x:v>Realizado</x:v>
      </x:c>
      <x:c r="L1006" s="10" t="str">
        <x:v>Contas a Pagar</x:v>
      </x:c>
    </x:row>
    <x:row r="1007" ht="18" customHeight="1">
      <x:c r="A1007" s="10" t="str">
        <x:v>MOV001190</x:v>
      </x:c>
      <x:c r="B1007" s="16" t="n">
        <x:v>45735.57408453704</x:v>
      </x:c>
      <x:c r="C1007" s="10" t="str">
        <x:v>EMP002</x:v>
      </x:c>
      <x:c r="D1007" s="10" t="str">
        <x:v>CTA003</x:v>
      </x:c>
      <x:c r="E1007" s="10" t="str">
        <x:v>Entrada</x:v>
      </x:c>
      <x:c r="F1007" s="10" t="str">
        <x:v>CAT002</x:v>
      </x:c>
      <x:c r="G1007" s="10" t="str">
        <x:v>Prestação de serviços</x:v>
      </x:c>
      <x:c r="H1007" s="10" t="str">
        <x:v>REC00533</x:v>
      </x:c>
      <x:c r="I1007" s="20" t="n">
        <x:v>66048.9</x:v>
      </x:c>
      <x:c r="J1007" s="20" t="n">
        <x:v>66048.9</x:v>
      </x:c>
      <x:c r="K1007" s="10" t="str">
        <x:v>Realizado</x:v>
      </x:c>
      <x:c r="L1007" s="10" t="str">
        <x:v>Contas a Receber</x:v>
      </x:c>
    </x:row>
    <x:row r="1008" ht="18" customHeight="1">
      <x:c r="A1008" s="10" t="str">
        <x:v>MOV001366</x:v>
      </x:c>
      <x:c r="B1008" s="16" t="n">
        <x:v>45737.638315613425</x:v>
      </x:c>
      <x:c r="C1008" s="10" t="str">
        <x:v>EMP002</x:v>
      </x:c>
      <x:c r="D1008" s="10" t="str">
        <x:v>CTA004</x:v>
      </x:c>
      <x:c r="E1008" s="10" t="str">
        <x:v>Entrada</x:v>
      </x:c>
      <x:c r="F1008" s="10" t="str">
        <x:v>CAT001</x:v>
      </x:c>
      <x:c r="G1008" s="10" t="str">
        <x:v>Contrato mensal</x:v>
      </x:c>
      <x:c r="H1008" s="10" t="str">
        <x:v>REC00735</x:v>
      </x:c>
      <x:c r="I1008" s="20" t="n">
        <x:v>37827.42</x:v>
      </x:c>
      <x:c r="J1008" s="20" t="n">
        <x:v>37827.42</x:v>
      </x:c>
      <x:c r="K1008" s="10" t="str">
        <x:v>Realizado</x:v>
      </x:c>
      <x:c r="L1008" s="10" t="str">
        <x:v>Contas a Receber</x:v>
      </x:c>
    </x:row>
    <x:row r="1009" ht="18" customHeight="1">
      <x:c r="A1009" s="10" t="str">
        <x:v>MOV000422</x:v>
      </x:c>
      <x:c r="B1009" s="16" t="n">
        <x:v>45737.75014458333</x:v>
      </x:c>
      <x:c r="C1009" s="10" t="str">
        <x:v>EMP003</x:v>
      </x:c>
      <x:c r="D1009" s="10" t="str">
        <x:v>CTA005</x:v>
      </x:c>
      <x:c r="E1009" s="10" t="str">
        <x:v>Saída</x:v>
      </x:c>
      <x:c r="F1009" s="10" t="str">
        <x:v>CAT013</x:v>
      </x:c>
      <x:c r="G1009" s="10" t="str">
        <x:v>Prestação de serviços</x:v>
      </x:c>
      <x:c r="H1009" s="10" t="str">
        <x:v>PAG00491</x:v>
      </x:c>
      <x:c r="I1009" s="20" t="n">
        <x:v>13599.43</x:v>
      </x:c>
      <x:c r="J1009" s="20" t="n">
        <x:v>-13599.43</x:v>
      </x:c>
      <x:c r="K1009" s="10" t="str">
        <x:v>Realizado</x:v>
      </x:c>
      <x:c r="L1009" s="10" t="str">
        <x:v>Contas a Pagar</x:v>
      </x:c>
    </x:row>
    <x:row r="1010" ht="18" customHeight="1">
      <x:c r="A1010" s="10" t="str">
        <x:v>MOV000059</x:v>
      </x:c>
      <x:c r="B1010" s="16" t="n">
        <x:v>45738.44206712963</x:v>
      </x:c>
      <x:c r="C1010" s="10" t="str">
        <x:v>EMP002</x:v>
      </x:c>
      <x:c r="D1010" s="10" t="str">
        <x:v>CTA004</x:v>
      </x:c>
      <x:c r="E1010" s="10" t="str">
        <x:v>Saída</x:v>
      </x:c>
      <x:c r="F1010" s="10" t="str">
        <x:v>CAT014</x:v>
      </x:c>
      <x:c r="G1010" s="10" t="str">
        <x:v>Tributos e taxas</x:v>
      </x:c>
      <x:c r="H1010" s="10" t="str">
        <x:v>PAG00063</x:v>
      </x:c>
      <x:c r="I1010" s="20" t="n">
        <x:v>74190.63</x:v>
      </x:c>
      <x:c r="J1010" s="20" t="n">
        <x:v>-74190.63</x:v>
      </x:c>
      <x:c r="K1010" s="10" t="str">
        <x:v>Realizado</x:v>
      </x:c>
      <x:c r="L1010" s="10" t="str">
        <x:v>Contas a Pagar</x:v>
      </x:c>
    </x:row>
    <x:row r="1011" ht="18" customHeight="1">
      <x:c r="A1011" s="10" t="str">
        <x:v>MOV001274</x:v>
      </x:c>
      <x:c r="B1011" s="16" t="n">
        <x:v>45738.70950962963</x:v>
      </x:c>
      <x:c r="C1011" s="10" t="str">
        <x:v>EMP003</x:v>
      </x:c>
      <x:c r="D1011" s="10" t="str">
        <x:v>CTA006</x:v>
      </x:c>
      <x:c r="E1011" s="10" t="str">
        <x:v>Entrada</x:v>
      </x:c>
      <x:c r="F1011" s="10" t="str">
        <x:v>CAT001</x:v>
      </x:c>
      <x:c r="G1011" s="10" t="str">
        <x:v>Venda de produtos</x:v>
      </x:c>
      <x:c r="H1011" s="10" t="str">
        <x:v>REC00634</x:v>
      </x:c>
      <x:c r="I1011" s="20" t="n">
        <x:v>93162.68</x:v>
      </x:c>
      <x:c r="J1011" s="20" t="n">
        <x:v>93162.68</x:v>
      </x:c>
      <x:c r="K1011" s="10" t="str">
        <x:v>Realizado</x:v>
      </x:c>
      <x:c r="L1011" s="10" t="str">
        <x:v>Contas a Receber</x:v>
      </x:c>
    </x:row>
    <x:row r="1012" ht="18" customHeight="1">
      <x:c r="A1012" s="10" t="str">
        <x:v>MOV000684</x:v>
      </x:c>
      <x:c r="B1012" s="16" t="n">
        <x:v>45740.09647846065</x:v>
      </x:c>
      <x:c r="C1012" s="10" t="str">
        <x:v>EMP002</x:v>
      </x:c>
      <x:c r="D1012" s="10" t="str">
        <x:v>CTA003</x:v>
      </x:c>
      <x:c r="E1012" s="10" t="str">
        <x:v>Saída</x:v>
      </x:c>
      <x:c r="F1012" s="10" t="str">
        <x:v>CAT005</x:v>
      </x:c>
      <x:c r="G1012" s="10" t="str">
        <x:v>Despesa operacional</x:v>
      </x:c>
      <x:c r="H1012" s="10" t="str">
        <x:v>PAG00813</x:v>
      </x:c>
      <x:c r="I1012" s="20" t="n">
        <x:v>43376.66</x:v>
      </x:c>
      <x:c r="J1012" s="20" t="n">
        <x:v>-43376.66</x:v>
      </x:c>
      <x:c r="K1012" s="10" t="str">
        <x:v>Realizado</x:v>
      </x:c>
      <x:c r="L1012" s="10" t="str">
        <x:v>Contas a Pagar</x:v>
      </x:c>
    </x:row>
    <x:row r="1013" ht="18" customHeight="1">
      <x:c r="A1013" s="10" t="str">
        <x:v>MOV000314</x:v>
      </x:c>
      <x:c r="B1013" s="16" t="n">
        <x:v>45740.24197517361</x:v>
      </x:c>
      <x:c r="C1013" s="10" t="str">
        <x:v>EMP003</x:v>
      </x:c>
      <x:c r="D1013" s="10" t="str">
        <x:v>CTA005</x:v>
      </x:c>
      <x:c r="E1013" s="10" t="str">
        <x:v>Saída</x:v>
      </x:c>
      <x:c r="F1013" s="10" t="str">
        <x:v>CAT016</x:v>
      </x:c>
      <x:c r="G1013" s="10" t="str">
        <x:v>Tributos e taxas</x:v>
      </x:c>
      <x:c r="H1013" s="10" t="str">
        <x:v>PAG00364</x:v>
      </x:c>
      <x:c r="I1013" s="20" t="n">
        <x:v>15603.97</x:v>
      </x:c>
      <x:c r="J1013" s="20" t="n">
        <x:v>-15603.97</x:v>
      </x:c>
      <x:c r="K1013" s="10" t="str">
        <x:v>Realizado</x:v>
      </x:c>
      <x:c r="L1013" s="10" t="str">
        <x:v>Contas a Pagar</x:v>
      </x:c>
    </x:row>
    <x:row r="1014" ht="18" customHeight="1">
      <x:c r="A1014" s="10" t="str">
        <x:v>MOV000768</x:v>
      </x:c>
      <x:c r="B1014" s="16" t="n">
        <x:v>45740.70255729167</x:v>
      </x:c>
      <x:c r="C1014" s="10" t="str">
        <x:v>EMP002</x:v>
      </x:c>
      <x:c r="D1014" s="10" t="str">
        <x:v>CTA003</x:v>
      </x:c>
      <x:c r="E1014" s="10" t="str">
        <x:v>Entrada</x:v>
      </x:c>
      <x:c r="F1014" s="10" t="str">
        <x:v>CAT001</x:v>
      </x:c>
      <x:c r="G1014" s="10" t="str">
        <x:v>Contrato mensal</x:v>
      </x:c>
      <x:c r="H1014" s="10" t="str">
        <x:v>REC00013</x:v>
      </x:c>
      <x:c r="I1014" s="20" t="n">
        <x:v>32332.61</x:v>
      </x:c>
      <x:c r="J1014" s="20" t="n">
        <x:v>32332.61</x:v>
      </x:c>
      <x:c r="K1014" s="10" t="str">
        <x:v>Realizado</x:v>
      </x:c>
      <x:c r="L1014" s="10" t="str">
        <x:v>Contas a Receber</x:v>
      </x:c>
    </x:row>
    <x:row r="1015" ht="18" customHeight="1">
      <x:c r="A1015" s="10" t="str">
        <x:v>MOV000522</x:v>
      </x:c>
      <x:c r="B1015" s="16" t="n">
        <x:v>45740.83335857639</x:v>
      </x:c>
      <x:c r="C1015" s="10" t="str">
        <x:v>EMP001</x:v>
      </x:c>
      <x:c r="D1015" s="10" t="str">
        <x:v>CTA002</x:v>
      </x:c>
      <x:c r="E1015" s="10" t="str">
        <x:v>Saída</x:v>
      </x:c>
      <x:c r="F1015" s="10" t="str">
        <x:v>CAT005</x:v>
      </x:c>
      <x:c r="G1015" s="10" t="str">
        <x:v>Despesa operacional</x:v>
      </x:c>
      <x:c r="H1015" s="10" t="str">
        <x:v>PAG00612</x:v>
      </x:c>
      <x:c r="I1015" s="20" t="n">
        <x:v>24921.52</x:v>
      </x:c>
      <x:c r="J1015" s="20" t="n">
        <x:v>-24921.52</x:v>
      </x:c>
      <x:c r="K1015" s="10" t="str">
        <x:v>Realizado</x:v>
      </x:c>
      <x:c r="L1015" s="10" t="str">
        <x:v>Contas a Pagar</x:v>
      </x:c>
    </x:row>
    <x:row r="1016" ht="18" customHeight="1">
      <x:c r="A1016" s="10" t="str">
        <x:v>MOV001386</x:v>
      </x:c>
      <x:c r="B1016" s="16" t="n">
        <x:v>45741.983025671296</x:v>
      </x:c>
      <x:c r="C1016" s="10" t="str">
        <x:v>EMP001</x:v>
      </x:c>
      <x:c r="D1016" s="10" t="str">
        <x:v>CTA002</x:v>
      </x:c>
      <x:c r="E1016" s="10" t="str">
        <x:v>Entrada</x:v>
      </x:c>
      <x:c r="F1016" s="10" t="str">
        <x:v>CAT002</x:v>
      </x:c>
      <x:c r="G1016" s="10" t="str">
        <x:v>Prestação de serviços</x:v>
      </x:c>
      <x:c r="H1016" s="10" t="str">
        <x:v>REC00762</x:v>
      </x:c>
      <x:c r="I1016" s="20" t="n">
        <x:v>33843.45</x:v>
      </x:c>
      <x:c r="J1016" s="20" t="n">
        <x:v>33843.45</x:v>
      </x:c>
      <x:c r="K1016" s="10" t="str">
        <x:v>Realizado</x:v>
      </x:c>
      <x:c r="L1016" s="10" t="str">
        <x:v>Contas a Receber</x:v>
      </x:c>
    </x:row>
    <x:row r="1017" ht="18" customHeight="1">
      <x:c r="A1017" s="10" t="str">
        <x:v>MOV000800</x:v>
      </x:c>
      <x:c r="B1017" s="16" t="n">
        <x:v>45742.37941836806</x:v>
      </x:c>
      <x:c r="C1017" s="10" t="str">
        <x:v>EMP002</x:v>
      </x:c>
      <x:c r="D1017" s="10" t="str">
        <x:v>CTA004</x:v>
      </x:c>
      <x:c r="E1017" s="10" t="str">
        <x:v>Entrada</x:v>
      </x:c>
      <x:c r="F1017" s="10" t="str">
        <x:v>CAT002</x:v>
      </x:c>
      <x:c r="G1017" s="10" t="str">
        <x:v>Frete faturado</x:v>
      </x:c>
      <x:c r="H1017" s="10" t="str">
        <x:v>REC00058</x:v>
      </x:c>
      <x:c r="I1017" s="20" t="n">
        <x:v>1225.42</x:v>
      </x:c>
      <x:c r="J1017" s="20" t="n">
        <x:v>1225.42</x:v>
      </x:c>
      <x:c r="K1017" s="10" t="str">
        <x:v>Realizado</x:v>
      </x:c>
      <x:c r="L1017" s="10" t="str">
        <x:v>Contas a Receber</x:v>
      </x:c>
    </x:row>
    <x:row r="1018" ht="18" customHeight="1">
      <x:c r="A1018" s="10" t="str">
        <x:v>MOV000980</x:v>
      </x:c>
      <x:c r="B1018" s="16" t="n">
        <x:v>45742.870384594906</x:v>
      </x:c>
      <x:c r="C1018" s="10" t="str">
        <x:v>EMP002</x:v>
      </x:c>
      <x:c r="D1018" s="10" t="str">
        <x:v>CTA004</x:v>
      </x:c>
      <x:c r="E1018" s="10" t="str">
        <x:v>Entrada</x:v>
      </x:c>
      <x:c r="F1018" s="10" t="str">
        <x:v>CAT001</x:v>
      </x:c>
      <x:c r="G1018" s="10" t="str">
        <x:v>Contrato mensal</x:v>
      </x:c>
      <x:c r="H1018" s="10" t="str">
        <x:v>REC00274</x:v>
      </x:c>
      <x:c r="I1018" s="20" t="n">
        <x:v>39992.04</x:v>
      </x:c>
      <x:c r="J1018" s="20" t="n">
        <x:v>39992.04</x:v>
      </x:c>
      <x:c r="K1018" s="10" t="str">
        <x:v>Realizado</x:v>
      </x:c>
      <x:c r="L1018" s="10" t="str">
        <x:v>Contas a Receber</x:v>
      </x:c>
    </x:row>
    <x:row r="1019" ht="18" customHeight="1">
      <x:c r="A1019" s="10" t="str">
        <x:v>MOV000195</x:v>
      </x:c>
      <x:c r="B1019" s="16" t="n">
        <x:v>45742.873184930555</x:v>
      </x:c>
      <x:c r="C1019" s="10" t="str">
        <x:v>EMP001</x:v>
      </x:c>
      <x:c r="D1019" s="10" t="str">
        <x:v>CTA002</x:v>
      </x:c>
      <x:c r="E1019" s="10" t="str">
        <x:v>Saída</x:v>
      </x:c>
      <x:c r="F1019" s="10" t="str">
        <x:v>CAT018</x:v>
      </x:c>
      <x:c r="G1019" s="10" t="str">
        <x:v>Prestação de serviços</x:v>
      </x:c>
      <x:c r="H1019" s="10" t="str">
        <x:v>PAG00228</x:v>
      </x:c>
      <x:c r="I1019" s="20" t="n">
        <x:v>40048.48</x:v>
      </x:c>
      <x:c r="J1019" s="20" t="n">
        <x:v>-40048.48</x:v>
      </x:c>
      <x:c r="K1019" s="10" t="str">
        <x:v>Realizado</x:v>
      </x:c>
      <x:c r="L1019" s="10" t="str">
        <x:v>Contas a Pagar</x:v>
      </x:c>
    </x:row>
    <x:row r="1020" ht="18" customHeight="1">
      <x:c r="A1020" s="10" t="str">
        <x:v>MOV000091</x:v>
      </x:c>
      <x:c r="B1020" s="16" t="n">
        <x:v>45743.066945590275</x:v>
      </x:c>
      <x:c r="C1020" s="10" t="str">
        <x:v>EMP003</x:v>
      </x:c>
      <x:c r="D1020" s="10" t="str">
        <x:v>CTA006</x:v>
      </x:c>
      <x:c r="E1020" s="10" t="str">
        <x:v>Saída</x:v>
      </x:c>
      <x:c r="F1020" s="10" t="str">
        <x:v>CAT009</x:v>
      </x:c>
      <x:c r="G1020" s="10" t="str">
        <x:v>Tributos e taxas</x:v>
      </x:c>
      <x:c r="H1020" s="10" t="str">
        <x:v>PAG00102</x:v>
      </x:c>
      <x:c r="I1020" s="20" t="n">
        <x:v>57837.86</x:v>
      </x:c>
      <x:c r="J1020" s="20" t="n">
        <x:v>-57837.86</x:v>
      </x:c>
      <x:c r="K1020" s="10" t="str">
        <x:v>Realizado</x:v>
      </x:c>
      <x:c r="L1020" s="10" t="str">
        <x:v>Contas a Pagar</x:v>
      </x:c>
    </x:row>
    <x:row r="1021" ht="18" customHeight="1">
      <x:c r="A1021" s="10" t="str">
        <x:v>MOV000404</x:v>
      </x:c>
      <x:c r="B1021" s="16" t="n">
        <x:v>45744.06620475694</x:v>
      </x:c>
      <x:c r="C1021" s="10" t="str">
        <x:v>EMP003</x:v>
      </x:c>
      <x:c r="D1021" s="10" t="str">
        <x:v>CTA005</x:v>
      </x:c>
      <x:c r="E1021" s="10" t="str">
        <x:v>Saída</x:v>
      </x:c>
      <x:c r="F1021" s="10" t="str">
        <x:v>CAT006</x:v>
      </x:c>
      <x:c r="G1021" s="10" t="str">
        <x:v>Contrato recorrente</x:v>
      </x:c>
      <x:c r="H1021" s="10" t="str">
        <x:v>PAG00471</x:v>
      </x:c>
      <x:c r="I1021" s="20" t="n">
        <x:v>73281.93</x:v>
      </x:c>
      <x:c r="J1021" s="20" t="n">
        <x:v>-73281.93</x:v>
      </x:c>
      <x:c r="K1021" s="10" t="str">
        <x:v>Realizado</x:v>
      </x:c>
      <x:c r="L1021" s="10" t="str">
        <x:v>Contas a Pagar</x:v>
      </x:c>
    </x:row>
    <x:row r="1022" ht="18" customHeight="1">
      <x:c r="A1022" s="10" t="str">
        <x:v>MOV000969</x:v>
      </x:c>
      <x:c r="B1022" s="16" t="n">
        <x:v>45744.37750429398</x:v>
      </x:c>
      <x:c r="C1022" s="10" t="str">
        <x:v>EMP003</x:v>
      </x:c>
      <x:c r="D1022" s="10" t="str">
        <x:v>CTA005</x:v>
      </x:c>
      <x:c r="E1022" s="10" t="str">
        <x:v>Entrada</x:v>
      </x:c>
      <x:c r="F1022" s="10" t="str">
        <x:v>CAT001</x:v>
      </x:c>
      <x:c r="G1022" s="10" t="str">
        <x:v>Frete faturado</x:v>
      </x:c>
      <x:c r="H1022" s="10" t="str">
        <x:v>REC00259</x:v>
      </x:c>
      <x:c r="I1022" s="20" t="n">
        <x:v>13742.03</x:v>
      </x:c>
      <x:c r="J1022" s="20" t="n">
        <x:v>13742.03</x:v>
      </x:c>
      <x:c r="K1022" s="10" t="str">
        <x:v>Realizado</x:v>
      </x:c>
      <x:c r="L1022" s="10" t="str">
        <x:v>Contas a Receber</x:v>
      </x:c>
    </x:row>
    <x:row r="1023" ht="18" customHeight="1">
      <x:c r="A1023" s="10" t="str">
        <x:v>MOV000386</x:v>
      </x:c>
      <x:c r="B1023" s="16" t="n">
        <x:v>45744.51314321759</x:v>
      </x:c>
      <x:c r="C1023" s="10" t="str">
        <x:v>EMP003</x:v>
      </x:c>
      <x:c r="D1023" s="10" t="str">
        <x:v>CTA005</x:v>
      </x:c>
      <x:c r="E1023" s="10" t="str">
        <x:v>Saída</x:v>
      </x:c>
      <x:c r="F1023" s="10" t="str">
        <x:v>CAT013</x:v>
      </x:c>
      <x:c r="G1023" s="10" t="str">
        <x:v>Compra de materiais</x:v>
      </x:c>
      <x:c r="H1023" s="10" t="str">
        <x:v>PAG00449</x:v>
      </x:c>
      <x:c r="I1023" s="20" t="n">
        <x:v>33152.82</x:v>
      </x:c>
      <x:c r="J1023" s="20" t="n">
        <x:v>-33152.82</x:v>
      </x:c>
      <x:c r="K1023" s="10" t="str">
        <x:v>Realizado</x:v>
      </x:c>
      <x:c r="L1023" s="10" t="str">
        <x:v>Contas a Pagar</x:v>
      </x:c>
    </x:row>
    <x:row r="1024" ht="18" customHeight="1">
      <x:c r="A1024" s="10" t="str">
        <x:v>MOV000898</x:v>
      </x:c>
      <x:c r="B1024" s="16" t="n">
        <x:v>45744.631785335645</x:v>
      </x:c>
      <x:c r="C1024" s="10" t="str">
        <x:v>EMP001</x:v>
      </x:c>
      <x:c r="D1024" s="10" t="str">
        <x:v>CTA001</x:v>
      </x:c>
      <x:c r="E1024" s="10" t="str">
        <x:v>Entrada</x:v>
      </x:c>
      <x:c r="F1024" s="10" t="str">
        <x:v>CAT002</x:v>
      </x:c>
      <x:c r="G1024" s="10" t="str">
        <x:v>Venda de produtos</x:v>
      </x:c>
      <x:c r="H1024" s="10" t="str">
        <x:v>REC00175</x:v>
      </x:c>
      <x:c r="I1024" s="20" t="n">
        <x:v>22102.85</x:v>
      </x:c>
      <x:c r="J1024" s="20" t="n">
        <x:v>22102.85</x:v>
      </x:c>
      <x:c r="K1024" s="10" t="str">
        <x:v>Realizado</x:v>
      </x:c>
      <x:c r="L1024" s="10" t="str">
        <x:v>Contas a Receber</x:v>
      </x:c>
    </x:row>
    <x:row r="1025" ht="18" customHeight="1">
      <x:c r="A1025" s="10" t="str">
        <x:v>MOV000740</x:v>
      </x:c>
      <x:c r="B1025" s="16" t="n">
        <x:v>45744.9299040625</x:v>
      </x:c>
      <x:c r="C1025" s="10" t="str">
        <x:v>EMP001</x:v>
      </x:c>
      <x:c r="D1025" s="10" t="str">
        <x:v>CTA001</x:v>
      </x:c>
      <x:c r="E1025" s="10" t="str">
        <x:v>Saída</x:v>
      </x:c>
      <x:c r="F1025" s="10" t="str">
        <x:v>CAT011</x:v>
      </x:c>
      <x:c r="G1025" s="10" t="str">
        <x:v>Prestação de serviços</x:v>
      </x:c>
      <x:c r="H1025" s="10" t="str">
        <x:v>PAG00879</x:v>
      </x:c>
      <x:c r="I1025" s="20" t="n">
        <x:v>22269.58</x:v>
      </x:c>
      <x:c r="J1025" s="20" t="n">
        <x:v>-22269.58</x:v>
      </x:c>
      <x:c r="K1025" s="10" t="str">
        <x:v>Realizado</x:v>
      </x:c>
      <x:c r="L1025" s="10" t="str">
        <x:v>Contas a Pagar</x:v>
      </x:c>
    </x:row>
    <x:row r="1026" ht="18" customHeight="1">
      <x:c r="A1026" s="10" t="str">
        <x:v>MOV001346</x:v>
      </x:c>
      <x:c r="B1026" s="16" t="n">
        <x:v>45745.489043298614</x:v>
      </x:c>
      <x:c r="C1026" s="10" t="str">
        <x:v>EMP002</x:v>
      </x:c>
      <x:c r="D1026" s="10" t="str">
        <x:v>CTA004</x:v>
      </x:c>
      <x:c r="E1026" s="10" t="str">
        <x:v>Entrada</x:v>
      </x:c>
      <x:c r="F1026" s="10" t="str">
        <x:v>CAT001</x:v>
      </x:c>
      <x:c r="G1026" s="10" t="str">
        <x:v>Contrato mensal</x:v>
      </x:c>
      <x:c r="H1026" s="10" t="str">
        <x:v>REC00713</x:v>
      </x:c>
      <x:c r="I1026" s="20" t="n">
        <x:v>22919.28</x:v>
      </x:c>
      <x:c r="J1026" s="20" t="n">
        <x:v>22919.28</x:v>
      </x:c>
      <x:c r="K1026" s="10" t="str">
        <x:v>Realizado</x:v>
      </x:c>
      <x:c r="L1026" s="10" t="str">
        <x:v>Contas a Receber</x:v>
      </x:c>
    </x:row>
    <x:row r="1027" ht="18" customHeight="1">
      <x:c r="A1027" s="10" t="str">
        <x:v>MOV000506</x:v>
      </x:c>
      <x:c r="B1027" s="16" t="n">
        <x:v>45746.34110409722</x:v>
      </x:c>
      <x:c r="C1027" s="10" t="str">
        <x:v>EMP001</x:v>
      </x:c>
      <x:c r="D1027" s="10" t="str">
        <x:v>CTA001</x:v>
      </x:c>
      <x:c r="E1027" s="10" t="str">
        <x:v>Saída</x:v>
      </x:c>
      <x:c r="F1027" s="10" t="str">
        <x:v>CAT015</x:v>
      </x:c>
      <x:c r="G1027" s="10" t="str">
        <x:v>Tributos e taxas</x:v>
      </x:c>
      <x:c r="H1027" s="10" t="str">
        <x:v>PAG00596</x:v>
      </x:c>
      <x:c r="I1027" s="20" t="n">
        <x:v>77336.67</x:v>
      </x:c>
      <x:c r="J1027" s="20" t="n">
        <x:v>-77336.67</x:v>
      </x:c>
      <x:c r="K1027" s="10" t="str">
        <x:v>Realizado</x:v>
      </x:c>
      <x:c r="L1027" s="10" t="str">
        <x:v>Contas a Pagar</x:v>
      </x:c>
    </x:row>
    <x:row r="1028" ht="18" customHeight="1">
      <x:c r="A1028" s="10" t="str">
        <x:v>MOV001424</x:v>
      </x:c>
      <x:c r="B1028" s="16" t="n">
        <x:v>45746.4914003125</x:v>
      </x:c>
      <x:c r="C1028" s="10" t="str">
        <x:v>EMP001</x:v>
      </x:c>
      <x:c r="D1028" s="10" t="str">
        <x:v>CTA002</x:v>
      </x:c>
      <x:c r="E1028" s="10" t="str">
        <x:v>Entrada</x:v>
      </x:c>
      <x:c r="F1028" s="10" t="str">
        <x:v>CAT004</x:v>
      </x:c>
      <x:c r="G1028" s="10" t="str">
        <x:v>Venda de produtos</x:v>
      </x:c>
      <x:c r="H1028" s="10" t="str">
        <x:v>REC00814</x:v>
      </x:c>
      <x:c r="I1028" s="20" t="n">
        <x:v>16914.87</x:v>
      </x:c>
      <x:c r="J1028" s="20" t="n">
        <x:v>16914.87</x:v>
      </x:c>
      <x:c r="K1028" s="10" t="str">
        <x:v>Realizado</x:v>
      </x:c>
      <x:c r="L1028" s="10" t="str">
        <x:v>Contas a Receber</x:v>
      </x:c>
    </x:row>
    <x:row r="1029" ht="18" customHeight="1">
      <x:c r="A1029" s="10" t="str">
        <x:v>MOV000350</x:v>
      </x:c>
      <x:c r="B1029" s="16" t="n">
        <x:v>45746.91533708333</x:v>
      </x:c>
      <x:c r="C1029" s="10" t="str">
        <x:v>EMP001</x:v>
      </x:c>
      <x:c r="D1029" s="10" t="str">
        <x:v>CTA002</x:v>
      </x:c>
      <x:c r="E1029" s="10" t="str">
        <x:v>Saída</x:v>
      </x:c>
      <x:c r="F1029" s="10" t="str">
        <x:v>CAT013</x:v>
      </x:c>
      <x:c r="G1029" s="10" t="str">
        <x:v>Compra de materiais</x:v>
      </x:c>
      <x:c r="H1029" s="10" t="str">
        <x:v>PAG00404</x:v>
      </x:c>
      <x:c r="I1029" s="20" t="n">
        <x:v>26023.14</x:v>
      </x:c>
      <x:c r="J1029" s="20" t="n">
        <x:v>-26023.14</x:v>
      </x:c>
      <x:c r="K1029" s="10" t="str">
        <x:v>Realizado</x:v>
      </x:c>
      <x:c r="L1029" s="10" t="str">
        <x:v>Contas a Pagar</x:v>
      </x:c>
    </x:row>
    <x:row r="1030" ht="18" customHeight="1">
      <x:c r="A1030" s="10" t="str">
        <x:v>MOV000889</x:v>
      </x:c>
      <x:c r="B1030" s="16" t="n">
        <x:v>45747.40216305556</x:v>
      </x:c>
      <x:c r="C1030" s="10" t="str">
        <x:v>EMP001</x:v>
      </x:c>
      <x:c r="D1030" s="10" t="str">
        <x:v>CTA001</x:v>
      </x:c>
      <x:c r="E1030" s="10" t="str">
        <x:v>Entrada</x:v>
      </x:c>
      <x:c r="F1030" s="10" t="str">
        <x:v>CAT002</x:v>
      </x:c>
      <x:c r="G1030" s="10" t="str">
        <x:v>Venda de produtos</x:v>
      </x:c>
      <x:c r="H1030" s="10" t="str">
        <x:v>REC00163</x:v>
      </x:c>
      <x:c r="I1030" s="20" t="n">
        <x:v>21108.9</x:v>
      </x:c>
      <x:c r="J1030" s="20" t="n">
        <x:v>21108.9</x:v>
      </x:c>
      <x:c r="K1030" s="10" t="str">
        <x:v>Realizado</x:v>
      </x:c>
      <x:c r="L1030" s="10" t="str">
        <x:v>Contas a Receber</x:v>
      </x:c>
    </x:row>
    <x:row r="1031" ht="18" customHeight="1">
      <x:c r="A1031" s="10" t="str">
        <x:v>MOV001234</x:v>
      </x:c>
      <x:c r="B1031" s="16" t="n">
        <x:v>45747.40718879629</x:v>
      </x:c>
      <x:c r="C1031" s="10" t="str">
        <x:v>EMP003</x:v>
      </x:c>
      <x:c r="D1031" s="10" t="str">
        <x:v>CTA005</x:v>
      </x:c>
      <x:c r="E1031" s="10" t="str">
        <x:v>Entrada</x:v>
      </x:c>
      <x:c r="F1031" s="10" t="str">
        <x:v>CAT003</x:v>
      </x:c>
      <x:c r="G1031" s="10" t="str">
        <x:v>Projeto especial</x:v>
      </x:c>
      <x:c r="H1031" s="10" t="str">
        <x:v>REC00586</x:v>
      </x:c>
      <x:c r="I1031" s="20" t="n">
        <x:v>34328.37</x:v>
      </x:c>
      <x:c r="J1031" s="20" t="n">
        <x:v>34328.37</x:v>
      </x:c>
      <x:c r="K1031" s="10" t="str">
        <x:v>Realizado</x:v>
      </x:c>
      <x:c r="L1031" s="10" t="str">
        <x:v>Contas a Receber</x:v>
      </x:c>
    </x:row>
    <x:row r="1032" ht="18" customHeight="1">
      <x:c r="A1032" s="10" t="str">
        <x:v>MOV001450</x:v>
      </x:c>
      <x:c r="B1032" s="16" t="n">
        <x:v>45747.86220761574</x:v>
      </x:c>
      <x:c r="C1032" s="10" t="str">
        <x:v>EMP002</x:v>
      </x:c>
      <x:c r="D1032" s="10" t="str">
        <x:v>CTA003</x:v>
      </x:c>
      <x:c r="E1032" s="10" t="str">
        <x:v>Entrada</x:v>
      </x:c>
      <x:c r="F1032" s="10" t="str">
        <x:v>CAT004</x:v>
      </x:c>
      <x:c r="G1032" s="10" t="str">
        <x:v>Venda de produtos</x:v>
      </x:c>
      <x:c r="H1032" s="10" t="str">
        <x:v>REC00843</x:v>
      </x:c>
      <x:c r="I1032" s="20" t="n">
        <x:v>74562.79</x:v>
      </x:c>
      <x:c r="J1032" s="20" t="n">
        <x:v>74562.79</x:v>
      </x:c>
      <x:c r="K1032" s="10" t="str">
        <x:v>Realizado</x:v>
      </x:c>
      <x:c r="L1032" s="10" t="str">
        <x:v>Contas a Receber</x:v>
      </x:c>
    </x:row>
    <x:row r="1033" ht="18" customHeight="1">
      <x:c r="A1033" s="10" t="str">
        <x:v>MOV000443</x:v>
      </x:c>
      <x:c r="B1033" s="16" t="n">
        <x:v>45747.944871064814</x:v>
      </x:c>
      <x:c r="C1033" s="10" t="str">
        <x:v>EMP001</x:v>
      </x:c>
      <x:c r="D1033" s="10" t="str">
        <x:v>CTA002</x:v>
      </x:c>
      <x:c r="E1033" s="10" t="str">
        <x:v>Saída</x:v>
      </x:c>
      <x:c r="F1033" s="10" t="str">
        <x:v>CAT013</x:v>
      </x:c>
      <x:c r="G1033" s="10" t="str">
        <x:v>Compra de materiais</x:v>
      </x:c>
      <x:c r="H1033" s="10" t="str">
        <x:v>PAG00519</x:v>
      </x:c>
      <x:c r="I1033" s="20" t="n">
        <x:v>37573.2</x:v>
      </x:c>
      <x:c r="J1033" s="20" t="n">
        <x:v>-37573.2</x:v>
      </x:c>
      <x:c r="K1033" s="10" t="str">
        <x:v>Realizado</x:v>
      </x:c>
      <x:c r="L1033" s="10" t="str">
        <x:v>Contas a Pagar</x:v>
      </x:c>
    </x:row>
    <x:row r="1034" ht="18" customHeight="1">
      <x:c r="A1034" s="10" t="str">
        <x:v>MOV001548</x:v>
      </x:c>
      <x:c r="B1034" s="16" t="n">
        <x:v>45748.70436251158</x:v>
      </x:c>
      <x:c r="C1034" s="10" t="str">
        <x:v>EMP001</x:v>
      </x:c>
      <x:c r="D1034" s="10" t="str">
        <x:v>CTA002</x:v>
      </x:c>
      <x:c r="E1034" s="10" t="str">
        <x:v>Entrada</x:v>
      </x:c>
      <x:c r="F1034" s="10" t="str">
        <x:v>CAT004</x:v>
      </x:c>
      <x:c r="G1034" s="10" t="str">
        <x:v>Frete faturado</x:v>
      </x:c>
      <x:c r="H1034" s="10" t="str">
        <x:v>REC00965</x:v>
      </x:c>
      <x:c r="I1034" s="20" t="n">
        <x:v>23695.35</x:v>
      </x:c>
      <x:c r="J1034" s="20" t="n">
        <x:v>23695.35</x:v>
      </x:c>
      <x:c r="K1034" s="10" t="str">
        <x:v>Realizado</x:v>
      </x:c>
      <x:c r="L1034" s="10" t="str">
        <x:v>Contas a Receber</x:v>
      </x:c>
    </x:row>
    <x:row r="1035" ht="18" customHeight="1">
      <x:c r="A1035" s="10" t="str">
        <x:v>MOV001129</x:v>
      </x:c>
      <x:c r="B1035" s="16" t="n">
        <x:v>45748.79460403935</x:v>
      </x:c>
      <x:c r="C1035" s="10" t="str">
        <x:v>EMP003</x:v>
      </x:c>
      <x:c r="D1035" s="10" t="str">
        <x:v>CTA006</x:v>
      </x:c>
      <x:c r="E1035" s="10" t="str">
        <x:v>Entrada</x:v>
      </x:c>
      <x:c r="F1035" s="10" t="str">
        <x:v>CAT001</x:v>
      </x:c>
      <x:c r="G1035" s="10" t="str">
        <x:v>Frete faturado</x:v>
      </x:c>
      <x:c r="H1035" s="10" t="str">
        <x:v>REC00460</x:v>
      </x:c>
      <x:c r="I1035" s="20" t="n">
        <x:v>38390.73</x:v>
      </x:c>
      <x:c r="J1035" s="20" t="n">
        <x:v>38390.73</x:v>
      </x:c>
      <x:c r="K1035" s="10" t="str">
        <x:v>Realizado</x:v>
      </x:c>
      <x:c r="L1035" s="10" t="str">
        <x:v>Contas a Receber</x:v>
      </x:c>
    </x:row>
    <x:row r="1036" ht="18" customHeight="1">
      <x:c r="A1036" s="10" t="str">
        <x:v>MOV001525</x:v>
      </x:c>
      <x:c r="B1036" s="16" t="n">
        <x:v>45748.94659679398</x:v>
      </x:c>
      <x:c r="C1036" s="10" t="str">
        <x:v>EMP002</x:v>
      </x:c>
      <x:c r="D1036" s="10" t="str">
        <x:v>CTA003</x:v>
      </x:c>
      <x:c r="E1036" s="10" t="str">
        <x:v>Entrada</x:v>
      </x:c>
      <x:c r="F1036" s="10" t="str">
        <x:v>CAT004</x:v>
      </x:c>
      <x:c r="G1036" s="10" t="str">
        <x:v>Frete faturado</x:v>
      </x:c>
      <x:c r="H1036" s="10" t="str">
        <x:v>REC00937</x:v>
      </x:c>
      <x:c r="I1036" s="20" t="n">
        <x:v>27795.28</x:v>
      </x:c>
      <x:c r="J1036" s="20" t="n">
        <x:v>27795.28</x:v>
      </x:c>
      <x:c r="K1036" s="10" t="str">
        <x:v>Realizado</x:v>
      </x:c>
      <x:c r="L1036" s="10" t="str">
        <x:v>Contas a Receber</x:v>
      </x:c>
    </x:row>
    <x:row r="1037" ht="18" customHeight="1">
      <x:c r="A1037" s="10" t="str">
        <x:v>MOV001288</x:v>
      </x:c>
      <x:c r="B1037" s="16" t="n">
        <x:v>45749.365114548615</x:v>
      </x:c>
      <x:c r="C1037" s="10" t="str">
        <x:v>EMP001</x:v>
      </x:c>
      <x:c r="D1037" s="10" t="str">
        <x:v>CTA002</x:v>
      </x:c>
      <x:c r="E1037" s="10" t="str">
        <x:v>Entrada</x:v>
      </x:c>
      <x:c r="F1037" s="10" t="str">
        <x:v>CAT001</x:v>
      </x:c>
      <x:c r="G1037" s="10" t="str">
        <x:v>Contrato mensal</x:v>
      </x:c>
      <x:c r="H1037" s="10" t="str">
        <x:v>REC00648</x:v>
      </x:c>
      <x:c r="I1037" s="20" t="n">
        <x:v>121969.71</x:v>
      </x:c>
      <x:c r="J1037" s="20" t="n">
        <x:v>121969.71</x:v>
      </x:c>
      <x:c r="K1037" s="10" t="str">
        <x:v>Realizado</x:v>
      </x:c>
      <x:c r="L1037" s="10" t="str">
        <x:v>Contas a Receber</x:v>
      </x:c>
    </x:row>
    <x:row r="1038" ht="18" customHeight="1">
      <x:c r="A1038" s="10" t="str">
        <x:v>MOV000275</x:v>
      </x:c>
      <x:c r="B1038" s="16" t="n">
        <x:v>45749.695693125</x:v>
      </x:c>
      <x:c r="C1038" s="10" t="str">
        <x:v>EMP001</x:v>
      </x:c>
      <x:c r="D1038" s="10" t="str">
        <x:v>CTA002</x:v>
      </x:c>
      <x:c r="E1038" s="10" t="str">
        <x:v>Saída</x:v>
      </x:c>
      <x:c r="F1038" s="10" t="str">
        <x:v>CAT008</x:v>
      </x:c>
      <x:c r="G1038" s="10" t="str">
        <x:v>Despesa operacional</x:v>
      </x:c>
      <x:c r="H1038" s="10" t="str">
        <x:v>PAG00319</x:v>
      </x:c>
      <x:c r="I1038" s="20" t="n">
        <x:v>93732.31</x:v>
      </x:c>
      <x:c r="J1038" s="20" t="n">
        <x:v>-93732.31</x:v>
      </x:c>
      <x:c r="K1038" s="10" t="str">
        <x:v>Realizado</x:v>
      </x:c>
      <x:c r="L1038" s="10" t="str">
        <x:v>Contas a Pagar</x:v>
      </x:c>
    </x:row>
    <x:row r="1039" ht="18" customHeight="1">
      <x:c r="A1039" s="10" t="str">
        <x:v>MOV000737</x:v>
      </x:c>
      <x:c r="B1039" s="16" t="n">
        <x:v>45749.987850625</x:v>
      </x:c>
      <x:c r="C1039" s="10" t="str">
        <x:v>EMP003</x:v>
      </x:c>
      <x:c r="D1039" s="10" t="str">
        <x:v>CTA006</x:v>
      </x:c>
      <x:c r="E1039" s="10" t="str">
        <x:v>Saída</x:v>
      </x:c>
      <x:c r="F1039" s="10" t="str">
        <x:v>CAT007</x:v>
      </x:c>
      <x:c r="G1039" s="10" t="str">
        <x:v>Despesa operacional</x:v>
      </x:c>
      <x:c r="H1039" s="10" t="str">
        <x:v>PAG00876</x:v>
      </x:c>
      <x:c r="I1039" s="20" t="n">
        <x:v>102082.73</x:v>
      </x:c>
      <x:c r="J1039" s="20" t="n">
        <x:v>-102082.73</x:v>
      </x:c>
      <x:c r="K1039" s="10" t="str">
        <x:v>Realizado</x:v>
      </x:c>
      <x:c r="L1039" s="10" t="str">
        <x:v>Contas a Pagar</x:v>
      </x:c>
    </x:row>
    <x:row r="1040" ht="18" customHeight="1">
      <x:c r="A1040" s="10" t="str">
        <x:v>MOV001539</x:v>
      </x:c>
      <x:c r="B1040" s="16" t="n">
        <x:v>45750.64375229167</x:v>
      </x:c>
      <x:c r="C1040" s="10" t="str">
        <x:v>EMP002</x:v>
      </x:c>
      <x:c r="D1040" s="10" t="str">
        <x:v>CTA004</x:v>
      </x:c>
      <x:c r="E1040" s="10" t="str">
        <x:v>Entrada</x:v>
      </x:c>
      <x:c r="F1040" s="10" t="str">
        <x:v>CAT001</x:v>
      </x:c>
      <x:c r="G1040" s="10" t="str">
        <x:v>Frete faturado</x:v>
      </x:c>
      <x:c r="H1040" s="10" t="str">
        <x:v>REC00956</x:v>
      </x:c>
      <x:c r="I1040" s="20" t="n">
        <x:v>11072.84</x:v>
      </x:c>
      <x:c r="J1040" s="20" t="n">
        <x:v>11072.84</x:v>
      </x:c>
      <x:c r="K1040" s="10" t="str">
        <x:v>Realizado</x:v>
      </x:c>
      <x:c r="L1040" s="10" t="str">
        <x:v>Contas a Receber</x:v>
      </x:c>
    </x:row>
    <x:row r="1041" ht="18" customHeight="1">
      <x:c r="A1041" s="10" t="str">
        <x:v>MOV000738</x:v>
      </x:c>
      <x:c r="B1041" s="16" t="n">
        <x:v>45750.98465622685</x:v>
      </x:c>
      <x:c r="C1041" s="10" t="str">
        <x:v>EMP001</x:v>
      </x:c>
      <x:c r="D1041" s="10" t="str">
        <x:v>CTA002</x:v>
      </x:c>
      <x:c r="E1041" s="10" t="str">
        <x:v>Saída</x:v>
      </x:c>
      <x:c r="F1041" s="10" t="str">
        <x:v>CAT013</x:v>
      </x:c>
      <x:c r="G1041" s="10" t="str">
        <x:v>Tributos e taxas</x:v>
      </x:c>
      <x:c r="H1041" s="10" t="str">
        <x:v>PAG00877</x:v>
      </x:c>
      <x:c r="I1041" s="20" t="n">
        <x:v>110211.9</x:v>
      </x:c>
      <x:c r="J1041" s="20" t="n">
        <x:v>-110211.9</x:v>
      </x:c>
      <x:c r="K1041" s="10" t="str">
        <x:v>Realizado</x:v>
      </x:c>
      <x:c r="L1041" s="10" t="str">
        <x:v>Contas a Pagar</x:v>
      </x:c>
    </x:row>
    <x:row r="1042" ht="18" customHeight="1">
      <x:c r="A1042" s="10" t="str">
        <x:v>MOV000471</x:v>
      </x:c>
      <x:c r="B1042" s="16" t="n">
        <x:v>45751.29539428241</x:v>
      </x:c>
      <x:c r="C1042" s="10" t="str">
        <x:v>EMP001</x:v>
      </x:c>
      <x:c r="D1042" s="10" t="str">
        <x:v>CTA002</x:v>
      </x:c>
      <x:c r="E1042" s="10" t="str">
        <x:v>Saída</x:v>
      </x:c>
      <x:c r="F1042" s="10" t="str">
        <x:v>CAT008</x:v>
      </x:c>
      <x:c r="G1042" s="10" t="str">
        <x:v>Tributos e taxas</x:v>
      </x:c>
      <x:c r="H1042" s="10" t="str">
        <x:v>PAG00553</x:v>
      </x:c>
      <x:c r="I1042" s="20" t="n">
        <x:v>88995.31</x:v>
      </x:c>
      <x:c r="J1042" s="20" t="n">
        <x:v>-88995.31</x:v>
      </x:c>
      <x:c r="K1042" s="10" t="str">
        <x:v>Realizado</x:v>
      </x:c>
      <x:c r="L1042" s="10" t="str">
        <x:v>Contas a Pagar</x:v>
      </x:c>
    </x:row>
    <x:row r="1043" ht="18" customHeight="1">
      <x:c r="A1043" s="10" t="str">
        <x:v>MOV001449</x:v>
      </x:c>
      <x:c r="B1043" s="16" t="n">
        <x:v>45752.03816844907</x:v>
      </x:c>
      <x:c r="C1043" s="10" t="str">
        <x:v>EMP002</x:v>
      </x:c>
      <x:c r="D1043" s="10" t="str">
        <x:v>CTA003</x:v>
      </x:c>
      <x:c r="E1043" s="10" t="str">
        <x:v>Entrada</x:v>
      </x:c>
      <x:c r="F1043" s="10" t="str">
        <x:v>CAT004</x:v>
      </x:c>
      <x:c r="G1043" s="10" t="str">
        <x:v>Prestação de serviços</x:v>
      </x:c>
      <x:c r="H1043" s="10" t="str">
        <x:v>REC00842</x:v>
      </x:c>
      <x:c r="I1043" s="20" t="n">
        <x:v>85122.55</x:v>
      </x:c>
      <x:c r="J1043" s="20" t="n">
        <x:v>85122.55</x:v>
      </x:c>
      <x:c r="K1043" s="10" t="str">
        <x:v>Realizado</x:v>
      </x:c>
      <x:c r="L1043" s="10" t="str">
        <x:v>Contas a Receber</x:v>
      </x:c>
    </x:row>
    <x:row r="1044" ht="18" customHeight="1">
      <x:c r="A1044" s="10" t="str">
        <x:v>MOV001349</x:v>
      </x:c>
      <x:c r="B1044" s="16" t="n">
        <x:v>45752.080734560186</x:v>
      </x:c>
      <x:c r="C1044" s="10" t="str">
        <x:v>EMP001</x:v>
      </x:c>
      <x:c r="D1044" s="10" t="str">
        <x:v>CTA002</x:v>
      </x:c>
      <x:c r="E1044" s="10" t="str">
        <x:v>Entrada</x:v>
      </x:c>
      <x:c r="F1044" s="10" t="str">
        <x:v>CAT001</x:v>
      </x:c>
      <x:c r="G1044" s="10" t="str">
        <x:v>Frete faturado</x:v>
      </x:c>
      <x:c r="H1044" s="10" t="str">
        <x:v>REC00716</x:v>
      </x:c>
      <x:c r="I1044" s="20" t="n">
        <x:v>38932.17</x:v>
      </x:c>
      <x:c r="J1044" s="20" t="n">
        <x:v>38932.17</x:v>
      </x:c>
      <x:c r="K1044" s="10" t="str">
        <x:v>Realizado</x:v>
      </x:c>
      <x:c r="L1044" s="10" t="str">
        <x:v>Contas a Receber</x:v>
      </x:c>
    </x:row>
    <x:row r="1045" ht="18" customHeight="1">
      <x:c r="A1045" s="10" t="str">
        <x:v>MOV001053</x:v>
      </x:c>
      <x:c r="B1045" s="16" t="n">
        <x:v>45752.35944814815</x:v>
      </x:c>
      <x:c r="C1045" s="10" t="str">
        <x:v>EMP003</x:v>
      </x:c>
      <x:c r="D1045" s="10" t="str">
        <x:v>CTA006</x:v>
      </x:c>
      <x:c r="E1045" s="10" t="str">
        <x:v>Entrada</x:v>
      </x:c>
      <x:c r="F1045" s="10" t="str">
        <x:v>CAT003</x:v>
      </x:c>
      <x:c r="G1045" s="10" t="str">
        <x:v>Venda de produtos</x:v>
      </x:c>
      <x:c r="H1045" s="10" t="str">
        <x:v>REC00364</x:v>
      </x:c>
      <x:c r="I1045" s="20" t="n">
        <x:v>10694.21</x:v>
      </x:c>
      <x:c r="J1045" s="20" t="n">
        <x:v>10694.21</x:v>
      </x:c>
      <x:c r="K1045" s="10" t="str">
        <x:v>Realizado</x:v>
      </x:c>
      <x:c r="L1045" s="10" t="str">
        <x:v>Contas a Receber</x:v>
      </x:c>
    </x:row>
    <x:row r="1046" ht="18" customHeight="1">
      <x:c r="A1046" s="10" t="str">
        <x:v>MOV001224</x:v>
      </x:c>
      <x:c r="B1046" s="16" t="n">
        <x:v>45752.451009930555</x:v>
      </x:c>
      <x:c r="C1046" s="10" t="str">
        <x:v>EMP001</x:v>
      </x:c>
      <x:c r="D1046" s="10" t="str">
        <x:v>CTA002</x:v>
      </x:c>
      <x:c r="E1046" s="10" t="str">
        <x:v>Entrada</x:v>
      </x:c>
      <x:c r="F1046" s="10" t="str">
        <x:v>CAT001</x:v>
      </x:c>
      <x:c r="G1046" s="10" t="str">
        <x:v>Prestação de serviços</x:v>
      </x:c>
      <x:c r="H1046" s="10" t="str">
        <x:v>REC00575</x:v>
      </x:c>
      <x:c r="I1046" s="20" t="n">
        <x:v>11922.26</x:v>
      </x:c>
      <x:c r="J1046" s="20" t="n">
        <x:v>11922.26</x:v>
      </x:c>
      <x:c r="K1046" s="10" t="str">
        <x:v>Realizado</x:v>
      </x:c>
      <x:c r="L1046" s="10" t="str">
        <x:v>Contas a Receber</x:v>
      </x:c>
    </x:row>
    <x:row r="1047" ht="18" customHeight="1">
      <x:c r="A1047" s="10" t="str">
        <x:v>MOV000591</x:v>
      </x:c>
      <x:c r="B1047" s="16" t="n">
        <x:v>45752.92313322917</x:v>
      </x:c>
      <x:c r="C1047" s="10" t="str">
        <x:v>EMP002</x:v>
      </x:c>
      <x:c r="D1047" s="10" t="str">
        <x:v>CTA003</x:v>
      </x:c>
      <x:c r="E1047" s="10" t="str">
        <x:v>Saída</x:v>
      </x:c>
      <x:c r="F1047" s="10" t="str">
        <x:v>CAT014</x:v>
      </x:c>
      <x:c r="G1047" s="10" t="str">
        <x:v>Despesa operacional</x:v>
      </x:c>
      <x:c r="H1047" s="10" t="str">
        <x:v>PAG00697</x:v>
      </x:c>
      <x:c r="I1047" s="20" t="n">
        <x:v>39004.89</x:v>
      </x:c>
      <x:c r="J1047" s="20" t="n">
        <x:v>-39004.89</x:v>
      </x:c>
      <x:c r="K1047" s="10" t="str">
        <x:v>Realizado</x:v>
      </x:c>
      <x:c r="L1047" s="10" t="str">
        <x:v>Contas a Pagar</x:v>
      </x:c>
    </x:row>
    <x:row r="1048" ht="18" customHeight="1">
      <x:c r="A1048" s="10" t="str">
        <x:v>MOV000505</x:v>
      </x:c>
      <x:c r="B1048" s="16" t="n">
        <x:v>45753.049877337966</x:v>
      </x:c>
      <x:c r="C1048" s="10" t="str">
        <x:v>EMP003</x:v>
      </x:c>
      <x:c r="D1048" s="10" t="str">
        <x:v>CTA005</x:v>
      </x:c>
      <x:c r="E1048" s="10" t="str">
        <x:v>Saída</x:v>
      </x:c>
      <x:c r="F1048" s="10" t="str">
        <x:v>CAT015</x:v>
      </x:c>
      <x:c r="G1048" s="10" t="str">
        <x:v>Compra de materiais</x:v>
      </x:c>
      <x:c r="H1048" s="10" t="str">
        <x:v>PAG00594</x:v>
      </x:c>
      <x:c r="I1048" s="20" t="n">
        <x:v>78385.9</x:v>
      </x:c>
      <x:c r="J1048" s="20" t="n">
        <x:v>-78385.9</x:v>
      </x:c>
      <x:c r="K1048" s="10" t="str">
        <x:v>Realizado</x:v>
      </x:c>
      <x:c r="L1048" s="10" t="str">
        <x:v>Contas a Pagar</x:v>
      </x:c>
    </x:row>
    <x:row r="1049" ht="18" customHeight="1">
      <x:c r="A1049" s="10" t="str">
        <x:v>MOV000867</x:v>
      </x:c>
      <x:c r="B1049" s="16" t="n">
        <x:v>45754.61393287037</x:v>
      </x:c>
      <x:c r="C1049" s="10" t="str">
        <x:v>EMP003</x:v>
      </x:c>
      <x:c r="D1049" s="10" t="str">
        <x:v>CTA005</x:v>
      </x:c>
      <x:c r="E1049" s="10" t="str">
        <x:v>Entrada</x:v>
      </x:c>
      <x:c r="F1049" s="10" t="str">
        <x:v>CAT003</x:v>
      </x:c>
      <x:c r="G1049" s="10" t="str">
        <x:v>Projeto especial</x:v>
      </x:c>
      <x:c r="H1049" s="10" t="str">
        <x:v>REC00137</x:v>
      </x:c>
      <x:c r="I1049" s="20" t="n">
        <x:v>4206.54</x:v>
      </x:c>
      <x:c r="J1049" s="20" t="n">
        <x:v>4206.54</x:v>
      </x:c>
      <x:c r="K1049" s="10" t="str">
        <x:v>Realizado</x:v>
      </x:c>
      <x:c r="L1049" s="10" t="str">
        <x:v>Contas a Receber</x:v>
      </x:c>
    </x:row>
    <x:row r="1050" ht="18" customHeight="1">
      <x:c r="A1050" s="10" t="str">
        <x:v>MOV000631</x:v>
      </x:c>
      <x:c r="B1050" s="16" t="n">
        <x:v>45754.97716940972</x:v>
      </x:c>
      <x:c r="C1050" s="10" t="str">
        <x:v>EMP001</x:v>
      </x:c>
      <x:c r="D1050" s="10" t="str">
        <x:v>CTA002</x:v>
      </x:c>
      <x:c r="E1050" s="10" t="str">
        <x:v>Saída</x:v>
      </x:c>
      <x:c r="F1050" s="10" t="str">
        <x:v>CAT010</x:v>
      </x:c>
      <x:c r="G1050" s="10" t="str">
        <x:v>Prestação de serviços</x:v>
      </x:c>
      <x:c r="H1050" s="10" t="str">
        <x:v>PAG00749</x:v>
      </x:c>
      <x:c r="I1050" s="20" t="n">
        <x:v>25507.52</x:v>
      </x:c>
      <x:c r="J1050" s="20" t="n">
        <x:v>-25507.52</x:v>
      </x:c>
      <x:c r="K1050" s="10" t="str">
        <x:v>Realizado</x:v>
      </x:c>
      <x:c r="L1050" s="10" t="str">
        <x:v>Contas a Pagar</x:v>
      </x:c>
    </x:row>
    <x:row r="1051" ht="18" customHeight="1">
      <x:c r="A1051" s="10" t="str">
        <x:v>MOV001276</x:v>
      </x:c>
      <x:c r="B1051" s="16" t="n">
        <x:v>45755.4348775</x:v>
      </x:c>
      <x:c r="C1051" s="10" t="str">
        <x:v>EMP003</x:v>
      </x:c>
      <x:c r="D1051" s="10" t="str">
        <x:v>CTA006</x:v>
      </x:c>
      <x:c r="E1051" s="10" t="str">
        <x:v>Entrada</x:v>
      </x:c>
      <x:c r="F1051" s="10" t="str">
        <x:v>CAT003</x:v>
      </x:c>
      <x:c r="G1051" s="10" t="str">
        <x:v>Venda de produtos</x:v>
      </x:c>
      <x:c r="H1051" s="10" t="str">
        <x:v>REC00636</x:v>
      </x:c>
      <x:c r="I1051" s="20" t="n">
        <x:v>20051.29</x:v>
      </x:c>
      <x:c r="J1051" s="20" t="n">
        <x:v>20051.29</x:v>
      </x:c>
      <x:c r="K1051" s="10" t="str">
        <x:v>Realizado</x:v>
      </x:c>
      <x:c r="L1051" s="10" t="str">
        <x:v>Contas a Receber</x:v>
      </x:c>
    </x:row>
    <x:row r="1052" ht="18" customHeight="1">
      <x:c r="A1052" s="10" t="str">
        <x:v>MOV000187</x:v>
      </x:c>
      <x:c r="B1052" s="16" t="n">
        <x:v>45755.65011865741</x:v>
      </x:c>
      <x:c r="C1052" s="10" t="str">
        <x:v>EMP002</x:v>
      </x:c>
      <x:c r="D1052" s="10" t="str">
        <x:v>CTA003</x:v>
      </x:c>
      <x:c r="E1052" s="10" t="str">
        <x:v>Saída</x:v>
      </x:c>
      <x:c r="F1052" s="10" t="str">
        <x:v>CAT018</x:v>
      </x:c>
      <x:c r="G1052" s="10" t="str">
        <x:v>Tributos e taxas</x:v>
      </x:c>
      <x:c r="H1052" s="10" t="str">
        <x:v>PAG00220</x:v>
      </x:c>
      <x:c r="I1052" s="20" t="n">
        <x:v>11990.11</x:v>
      </x:c>
      <x:c r="J1052" s="20" t="n">
        <x:v>-11990.11</x:v>
      </x:c>
      <x:c r="K1052" s="10" t="str">
        <x:v>Realizado</x:v>
      </x:c>
      <x:c r="L1052" s="10" t="str">
        <x:v>Contas a Pagar</x:v>
      </x:c>
    </x:row>
    <x:row r="1053" ht="18" customHeight="1">
      <x:c r="A1053" s="10" t="str">
        <x:v>MOV001146</x:v>
      </x:c>
      <x:c r="B1053" s="16" t="n">
        <x:v>45755.88453802084</x:v>
      </x:c>
      <x:c r="C1053" s="10" t="str">
        <x:v>EMP001</x:v>
      </x:c>
      <x:c r="D1053" s="10" t="str">
        <x:v>CTA001</x:v>
      </x:c>
      <x:c r="E1053" s="10" t="str">
        <x:v>Entrada</x:v>
      </x:c>
      <x:c r="F1053" s="10" t="str">
        <x:v>CAT003</x:v>
      </x:c>
      <x:c r="G1053" s="10" t="str">
        <x:v>Prestação de serviços</x:v>
      </x:c>
      <x:c r="H1053" s="10" t="str">
        <x:v>REC00479</x:v>
      </x:c>
      <x:c r="I1053" s="20" t="n">
        <x:v>66698.28</x:v>
      </x:c>
      <x:c r="J1053" s="20" t="n">
        <x:v>66698.28</x:v>
      </x:c>
      <x:c r="K1053" s="10" t="str">
        <x:v>Realizado</x:v>
      </x:c>
      <x:c r="L1053" s="10" t="str">
        <x:v>Contas a Receber</x:v>
      </x:c>
    </x:row>
    <x:row r="1054" ht="18" customHeight="1">
      <x:c r="A1054" s="10" t="str">
        <x:v>MOV001099</x:v>
      </x:c>
      <x:c r="B1054" s="16" t="n">
        <x:v>45756.36064384259</x:v>
      </x:c>
      <x:c r="C1054" s="10" t="str">
        <x:v>EMP003</x:v>
      </x:c>
      <x:c r="D1054" s="10" t="str">
        <x:v>CTA005</x:v>
      </x:c>
      <x:c r="E1054" s="10" t="str">
        <x:v>Entrada</x:v>
      </x:c>
      <x:c r="F1054" s="10" t="str">
        <x:v>CAT002</x:v>
      </x:c>
      <x:c r="G1054" s="10" t="str">
        <x:v>Contrato mensal</x:v>
      </x:c>
      <x:c r="H1054" s="10" t="str">
        <x:v>REC00425</x:v>
      </x:c>
      <x:c r="I1054" s="20" t="n">
        <x:v>22296</x:v>
      </x:c>
      <x:c r="J1054" s="20" t="n">
        <x:v>22296</x:v>
      </x:c>
      <x:c r="K1054" s="10" t="str">
        <x:v>Realizado</x:v>
      </x:c>
      <x:c r="L1054" s="10" t="str">
        <x:v>Contas a Receber</x:v>
      </x:c>
    </x:row>
    <x:row r="1055" ht="18" customHeight="1">
      <x:c r="A1055" s="10" t="str">
        <x:v>MOV000633</x:v>
      </x:c>
      <x:c r="B1055" s="16" t="n">
        <x:v>45756.777715729164</x:v>
      </x:c>
      <x:c r="C1055" s="10" t="str">
        <x:v>EMP002</x:v>
      </x:c>
      <x:c r="D1055" s="10" t="str">
        <x:v>CTA004</x:v>
      </x:c>
      <x:c r="E1055" s="10" t="str">
        <x:v>Saída</x:v>
      </x:c>
      <x:c r="F1055" s="10" t="str">
        <x:v>CAT009</x:v>
      </x:c>
      <x:c r="G1055" s="10" t="str">
        <x:v>Prestação de serviços</x:v>
      </x:c>
      <x:c r="H1055" s="10" t="str">
        <x:v>PAG00751</x:v>
      </x:c>
      <x:c r="I1055" s="20" t="n">
        <x:v>815.11</x:v>
      </x:c>
      <x:c r="J1055" s="20" t="n">
        <x:v>-815.11</x:v>
      </x:c>
      <x:c r="K1055" s="10" t="str">
        <x:v>Realizado</x:v>
      </x:c>
      <x:c r="L1055" s="10" t="str">
        <x:v>Contas a Pagar</x:v>
      </x:c>
    </x:row>
    <x:row r="1056" ht="18" customHeight="1">
      <x:c r="A1056" s="10" t="str">
        <x:v>MOV000507</x:v>
      </x:c>
      <x:c r="B1056" s="16" t="n">
        <x:v>45756.850906875</x:v>
      </x:c>
      <x:c r="C1056" s="10" t="str">
        <x:v>EMP002</x:v>
      </x:c>
      <x:c r="D1056" s="10" t="str">
        <x:v>CTA004</x:v>
      </x:c>
      <x:c r="E1056" s="10" t="str">
        <x:v>Saída</x:v>
      </x:c>
      <x:c r="F1056" s="10" t="str">
        <x:v>CAT007</x:v>
      </x:c>
      <x:c r="G1056" s="10" t="str">
        <x:v>Tributos e taxas</x:v>
      </x:c>
      <x:c r="H1056" s="10" t="str">
        <x:v>PAG00597</x:v>
      </x:c>
      <x:c r="I1056" s="20" t="n">
        <x:v>685.23</x:v>
      </x:c>
      <x:c r="J1056" s="20" t="n">
        <x:v>-685.23</x:v>
      </x:c>
      <x:c r="K1056" s="10" t="str">
        <x:v>Realizado</x:v>
      </x:c>
      <x:c r="L1056" s="10" t="str">
        <x:v>Contas a Pagar</x:v>
      </x:c>
    </x:row>
    <x:row r="1057" ht="18" customHeight="1">
      <x:c r="A1057" s="10" t="str">
        <x:v>MOV000177</x:v>
      </x:c>
      <x:c r="B1057" s="16" t="n">
        <x:v>45756.90858394676</x:v>
      </x:c>
      <x:c r="C1057" s="10" t="str">
        <x:v>EMP002</x:v>
      </x:c>
      <x:c r="D1057" s="10" t="str">
        <x:v>CTA003</x:v>
      </x:c>
      <x:c r="E1057" s="10" t="str">
        <x:v>Saída</x:v>
      </x:c>
      <x:c r="F1057" s="10" t="str">
        <x:v>CAT015</x:v>
      </x:c>
      <x:c r="G1057" s="10" t="str">
        <x:v>Despesa operacional</x:v>
      </x:c>
      <x:c r="H1057" s="10" t="str">
        <x:v>PAG00208</x:v>
      </x:c>
      <x:c r="I1057" s="20" t="n">
        <x:v>1267.52</x:v>
      </x:c>
      <x:c r="J1057" s="20" t="n">
        <x:v>-1267.52</x:v>
      </x:c>
      <x:c r="K1057" s="10" t="str">
        <x:v>Realizado</x:v>
      </x:c>
      <x:c r="L1057" s="10" t="str">
        <x:v>Contas a Pagar</x:v>
      </x:c>
    </x:row>
    <x:row r="1058" ht="18" customHeight="1">
      <x:c r="A1058" s="10" t="str">
        <x:v>MOV001438</x:v>
      </x:c>
      <x:c r="B1058" s="16" t="n">
        <x:v>45756.92885679398</x:v>
      </x:c>
      <x:c r="C1058" s="10" t="str">
        <x:v>EMP003</x:v>
      </x:c>
      <x:c r="D1058" s="10" t="str">
        <x:v>CTA005</x:v>
      </x:c>
      <x:c r="E1058" s="10" t="str">
        <x:v>Entrada</x:v>
      </x:c>
      <x:c r="F1058" s="10" t="str">
        <x:v>CAT002</x:v>
      </x:c>
      <x:c r="G1058" s="10" t="str">
        <x:v>Venda de produtos</x:v>
      </x:c>
      <x:c r="H1058" s="10" t="str">
        <x:v>REC00829</x:v>
      </x:c>
      <x:c r="I1058" s="20" t="n">
        <x:v>62576.62</x:v>
      </x:c>
      <x:c r="J1058" s="20" t="n">
        <x:v>62576.62</x:v>
      </x:c>
      <x:c r="K1058" s="10" t="str">
        <x:v>Realizado</x:v>
      </x:c>
      <x:c r="L1058" s="10" t="str">
        <x:v>Contas a Receber</x:v>
      </x:c>
    </x:row>
    <x:row r="1059" ht="18" customHeight="1">
      <x:c r="A1059" s="10" t="str">
        <x:v>MOV001378</x:v>
      </x:c>
      <x:c r="B1059" s="16" t="n">
        <x:v>45757.54485371528</x:v>
      </x:c>
      <x:c r="C1059" s="10" t="str">
        <x:v>EMP001</x:v>
      </x:c>
      <x:c r="D1059" s="10" t="str">
        <x:v>CTA002</x:v>
      </x:c>
      <x:c r="E1059" s="10" t="str">
        <x:v>Entrada</x:v>
      </x:c>
      <x:c r="F1059" s="10" t="str">
        <x:v>CAT003</x:v>
      </x:c>
      <x:c r="G1059" s="10" t="str">
        <x:v>Venda de produtos</x:v>
      </x:c>
      <x:c r="H1059" s="10" t="str">
        <x:v>REC00751</x:v>
      </x:c>
      <x:c r="I1059" s="20" t="n">
        <x:v>33203.08</x:v>
      </x:c>
      <x:c r="J1059" s="20" t="n">
        <x:v>33203.08</x:v>
      </x:c>
      <x:c r="K1059" s="10" t="str">
        <x:v>Realizado</x:v>
      </x:c>
      <x:c r="L1059" s="10" t="str">
        <x:v>Contas a Receber</x:v>
      </x:c>
    </x:row>
    <x:row r="1060" ht="18" customHeight="1">
      <x:c r="A1060" s="10" t="str">
        <x:v>MOV000856</x:v>
      </x:c>
      <x:c r="B1060" s="16" t="n">
        <x:v>45757.956267685186</x:v>
      </x:c>
      <x:c r="C1060" s="10" t="str">
        <x:v>EMP003</x:v>
      </x:c>
      <x:c r="D1060" s="10" t="str">
        <x:v>CTA006</x:v>
      </x:c>
      <x:c r="E1060" s="10" t="str">
        <x:v>Entrada</x:v>
      </x:c>
      <x:c r="F1060" s="10" t="str">
        <x:v>CAT003</x:v>
      </x:c>
      <x:c r="G1060" s="10" t="str">
        <x:v>Contrato mensal</x:v>
      </x:c>
      <x:c r="H1060" s="10" t="str">
        <x:v>REC00126</x:v>
      </x:c>
      <x:c r="I1060" s="20" t="n">
        <x:v>23518.09</x:v>
      </x:c>
      <x:c r="J1060" s="20" t="n">
        <x:v>23518.09</x:v>
      </x:c>
      <x:c r="K1060" s="10" t="str">
        <x:v>Realizado</x:v>
      </x:c>
      <x:c r="L1060" s="10" t="str">
        <x:v>Contas a Receber</x:v>
      </x:c>
    </x:row>
    <x:row r="1061" ht="18" customHeight="1">
      <x:c r="A1061" s="10" t="str">
        <x:v>MOV000031</x:v>
      </x:c>
      <x:c r="B1061" s="16" t="n">
        <x:v>45757.964534756946</x:v>
      </x:c>
      <x:c r="C1061" s="10" t="str">
        <x:v>EMP001</x:v>
      </x:c>
      <x:c r="D1061" s="10" t="str">
        <x:v>CTA001</x:v>
      </x:c>
      <x:c r="E1061" s="10" t="str">
        <x:v>Saída</x:v>
      </x:c>
      <x:c r="F1061" s="10" t="str">
        <x:v>CAT014</x:v>
      </x:c>
      <x:c r="G1061" s="10" t="str">
        <x:v>Contrato recorrente</x:v>
      </x:c>
      <x:c r="H1061" s="10" t="str">
        <x:v>PAG00031</x:v>
      </x:c>
      <x:c r="I1061" s="20" t="n">
        <x:v>7299.23</x:v>
      </x:c>
      <x:c r="J1061" s="20" t="n">
        <x:v>-7299.23</x:v>
      </x:c>
      <x:c r="K1061" s="10" t="str">
        <x:v>Realizado</x:v>
      </x:c>
      <x:c r="L1061" s="10" t="str">
        <x:v>Contas a Pagar</x:v>
      </x:c>
    </x:row>
    <x:row r="1062" ht="18" customHeight="1">
      <x:c r="A1062" s="10" t="str">
        <x:v>MOV000019</x:v>
      </x:c>
      <x:c r="B1062" s="16" t="n">
        <x:v>45758.34372971065</x:v>
      </x:c>
      <x:c r="C1062" s="10" t="str">
        <x:v>EMP003</x:v>
      </x:c>
      <x:c r="D1062" s="10" t="str">
        <x:v>CTA006</x:v>
      </x:c>
      <x:c r="E1062" s="10" t="str">
        <x:v>Saída</x:v>
      </x:c>
      <x:c r="F1062" s="10" t="str">
        <x:v>CAT011</x:v>
      </x:c>
      <x:c r="G1062" s="10" t="str">
        <x:v>Despesa operacional</x:v>
      </x:c>
      <x:c r="H1062" s="10" t="str">
        <x:v>PAG00017</x:v>
      </x:c>
      <x:c r="I1062" s="20" t="n">
        <x:v>86503.32</x:v>
      </x:c>
      <x:c r="J1062" s="20" t="n">
        <x:v>-86503.32</x:v>
      </x:c>
      <x:c r="K1062" s="10" t="str">
        <x:v>Realizado</x:v>
      </x:c>
      <x:c r="L1062" s="10" t="str">
        <x:v>Contas a Pagar</x:v>
      </x:c>
    </x:row>
    <x:row r="1063" ht="18" customHeight="1">
      <x:c r="A1063" s="10" t="str">
        <x:v>MOV000583</x:v>
      </x:c>
      <x:c r="B1063" s="16" t="n">
        <x:v>45758.582756944445</x:v>
      </x:c>
      <x:c r="C1063" s="10" t="str">
        <x:v>EMP001</x:v>
      </x:c>
      <x:c r="D1063" s="10" t="str">
        <x:v>CTA002</x:v>
      </x:c>
      <x:c r="E1063" s="10" t="str">
        <x:v>Saída</x:v>
      </x:c>
      <x:c r="F1063" s="10" t="str">
        <x:v>CAT017</x:v>
      </x:c>
      <x:c r="G1063" s="10" t="str">
        <x:v>Contrato recorrente</x:v>
      </x:c>
      <x:c r="H1063" s="10" t="str">
        <x:v>PAG00686</x:v>
      </x:c>
      <x:c r="I1063" s="20" t="n">
        <x:v>21359.35</x:v>
      </x:c>
      <x:c r="J1063" s="20" t="n">
        <x:v>-21359.35</x:v>
      </x:c>
      <x:c r="K1063" s="10" t="str">
        <x:v>Realizado</x:v>
      </x:c>
      <x:c r="L1063" s="10" t="str">
        <x:v>Contas a Pagar</x:v>
      </x:c>
    </x:row>
    <x:row r="1064" ht="18" customHeight="1">
      <x:c r="A1064" s="10" t="str">
        <x:v>MOV000773</x:v>
      </x:c>
      <x:c r="B1064" s="16" t="n">
        <x:v>45758.79337126158</x:v>
      </x:c>
      <x:c r="C1064" s="10" t="str">
        <x:v>EMP001</x:v>
      </x:c>
      <x:c r="D1064" s="10" t="str">
        <x:v>CTA001</x:v>
      </x:c>
      <x:c r="E1064" s="10" t="str">
        <x:v>Entrada</x:v>
      </x:c>
      <x:c r="F1064" s="10" t="str">
        <x:v>CAT002</x:v>
      </x:c>
      <x:c r="G1064" s="10" t="str">
        <x:v>Venda de produtos</x:v>
      </x:c>
      <x:c r="H1064" s="10" t="str">
        <x:v>REC00023</x:v>
      </x:c>
      <x:c r="I1064" s="20" t="n">
        <x:v>116401.79</x:v>
      </x:c>
      <x:c r="J1064" s="20" t="n">
        <x:v>116401.79</x:v>
      </x:c>
      <x:c r="K1064" s="10" t="str">
        <x:v>Realizado</x:v>
      </x:c>
      <x:c r="L1064" s="10" t="str">
        <x:v>Contas a Receber</x:v>
      </x:c>
    </x:row>
    <x:row r="1065" ht="18" customHeight="1">
      <x:c r="A1065" s="10" t="str">
        <x:v>MOV000071</x:v>
      </x:c>
      <x:c r="B1065" s="16" t="n">
        <x:v>45759.2486630787</x:v>
      </x:c>
      <x:c r="C1065" s="10" t="str">
        <x:v>EMP002</x:v>
      </x:c>
      <x:c r="D1065" s="10" t="str">
        <x:v>CTA003</x:v>
      </x:c>
      <x:c r="E1065" s="10" t="str">
        <x:v>Saída</x:v>
      </x:c>
      <x:c r="F1065" s="10" t="str">
        <x:v>CAT012</x:v>
      </x:c>
      <x:c r="G1065" s="10" t="str">
        <x:v>Tributos e taxas</x:v>
      </x:c>
      <x:c r="H1065" s="10" t="str">
        <x:v>PAG00079</x:v>
      </x:c>
      <x:c r="I1065" s="20" t="n">
        <x:v>102007.86</x:v>
      </x:c>
      <x:c r="J1065" s="20" t="n">
        <x:v>-102007.86</x:v>
      </x:c>
      <x:c r="K1065" s="10" t="str">
        <x:v>Realizado</x:v>
      </x:c>
      <x:c r="L1065" s="10" t="str">
        <x:v>Contas a Pagar</x:v>
      </x:c>
    </x:row>
    <x:row r="1066" ht="18" customHeight="1">
      <x:c r="A1066" s="10" t="str">
        <x:v>MOV000977</x:v>
      </x:c>
      <x:c r="B1066" s="16" t="n">
        <x:v>45759.378405613425</x:v>
      </x:c>
      <x:c r="C1066" s="10" t="str">
        <x:v>EMP001</x:v>
      </x:c>
      <x:c r="D1066" s="10" t="str">
        <x:v>CTA002</x:v>
      </x:c>
      <x:c r="E1066" s="10" t="str">
        <x:v>Entrada</x:v>
      </x:c>
      <x:c r="F1066" s="10" t="str">
        <x:v>CAT001</x:v>
      </x:c>
      <x:c r="G1066" s="10" t="str">
        <x:v>Contrato mensal</x:v>
      </x:c>
      <x:c r="H1066" s="10" t="str">
        <x:v>REC00271</x:v>
      </x:c>
      <x:c r="I1066" s="20" t="n">
        <x:v>39870.6</x:v>
      </x:c>
      <x:c r="J1066" s="20" t="n">
        <x:v>39870.6</x:v>
      </x:c>
      <x:c r="K1066" s="10" t="str">
        <x:v>Realizado</x:v>
      </x:c>
      <x:c r="L1066" s="10" t="str">
        <x:v>Contas a Receber</x:v>
      </x:c>
    </x:row>
    <x:row r="1067" ht="18" customHeight="1">
      <x:c r="A1067" s="10" t="str">
        <x:v>MOV000173</x:v>
      </x:c>
      <x:c r="B1067" s="16" t="n">
        <x:v>45759.81684847222</x:v>
      </x:c>
      <x:c r="C1067" s="10" t="str">
        <x:v>EMP001</x:v>
      </x:c>
      <x:c r="D1067" s="10" t="str">
        <x:v>CTA002</x:v>
      </x:c>
      <x:c r="E1067" s="10" t="str">
        <x:v>Saída</x:v>
      </x:c>
      <x:c r="F1067" s="10" t="str">
        <x:v>CAT011</x:v>
      </x:c>
      <x:c r="G1067" s="10" t="str">
        <x:v>Contrato recorrente</x:v>
      </x:c>
      <x:c r="H1067" s="10" t="str">
        <x:v>PAG00203</x:v>
      </x:c>
      <x:c r="I1067" s="20" t="n">
        <x:v>32987.67</x:v>
      </x:c>
      <x:c r="J1067" s="20" t="n">
        <x:v>-32987.67</x:v>
      </x:c>
      <x:c r="K1067" s="10" t="str">
        <x:v>Realizado</x:v>
      </x:c>
      <x:c r="L1067" s="10" t="str">
        <x:v>Contas a Pagar</x:v>
      </x:c>
    </x:row>
    <x:row r="1068" ht="18" customHeight="1">
      <x:c r="A1068" s="10" t="str">
        <x:v>MOV001374</x:v>
      </x:c>
      <x:c r="B1068" s="16" t="n">
        <x:v>45760.089629027774</x:v>
      </x:c>
      <x:c r="C1068" s="10" t="str">
        <x:v>EMP001</x:v>
      </x:c>
      <x:c r="D1068" s="10" t="str">
        <x:v>CTA002</x:v>
      </x:c>
      <x:c r="E1068" s="10" t="str">
        <x:v>Entrada</x:v>
      </x:c>
      <x:c r="F1068" s="10" t="str">
        <x:v>CAT004</x:v>
      </x:c>
      <x:c r="G1068" s="10" t="str">
        <x:v>Projeto especial</x:v>
      </x:c>
      <x:c r="H1068" s="10" t="str">
        <x:v>REC00744</x:v>
      </x:c>
      <x:c r="I1068" s="20" t="n">
        <x:v>30860.68</x:v>
      </x:c>
      <x:c r="J1068" s="20" t="n">
        <x:v>30860.68</x:v>
      </x:c>
      <x:c r="K1068" s="10" t="str">
        <x:v>Realizado</x:v>
      </x:c>
      <x:c r="L1068" s="10" t="str">
        <x:v>Contas a Receber</x:v>
      </x:c>
    </x:row>
    <x:row r="1069" ht="18" customHeight="1">
      <x:c r="A1069" s="10" t="str">
        <x:v>MOV000707</x:v>
      </x:c>
      <x:c r="B1069" s="16" t="n">
        <x:v>45760.14093021991</x:v>
      </x:c>
      <x:c r="C1069" s="10" t="str">
        <x:v>EMP002</x:v>
      </x:c>
      <x:c r="D1069" s="10" t="str">
        <x:v>CTA004</x:v>
      </x:c>
      <x:c r="E1069" s="10" t="str">
        <x:v>Saída</x:v>
      </x:c>
      <x:c r="F1069" s="10" t="str">
        <x:v>CAT017</x:v>
      </x:c>
      <x:c r="G1069" s="10" t="str">
        <x:v>Prestação de serviços</x:v>
      </x:c>
      <x:c r="H1069" s="10" t="str">
        <x:v>PAG00841</x:v>
      </x:c>
      <x:c r="I1069" s="20" t="n">
        <x:v>73109.49</x:v>
      </x:c>
      <x:c r="J1069" s="20" t="n">
        <x:v>-73109.49</x:v>
      </x:c>
      <x:c r="K1069" s="10" t="str">
        <x:v>Realizado</x:v>
      </x:c>
      <x:c r="L1069" s="10" t="str">
        <x:v>Contas a Pagar</x:v>
      </x:c>
    </x:row>
    <x:row r="1070" ht="18" customHeight="1">
      <x:c r="A1070" s="10" t="str">
        <x:v>MOV001631</x:v>
      </x:c>
      <x:c r="B1070" s="16" t="n">
        <x:v>45760.314857453704</x:v>
      </x:c>
      <x:c r="C1070" s="10" t="str">
        <x:v>EMP003</x:v>
      </x:c>
      <x:c r="D1070" s="10" t="str">
        <x:v>CTA006</x:v>
      </x:c>
      <x:c r="E1070" s="10" t="str">
        <x:v>Entrada</x:v>
      </x:c>
      <x:c r="F1070" s="10" t="str">
        <x:v>CAT003</x:v>
      </x:c>
      <x:c r="G1070" s="10" t="str">
        <x:v>Projeto especial</x:v>
      </x:c>
      <x:c r="H1070" s="10" t="str">
        <x:v>REC01064</x:v>
      </x:c>
      <x:c r="I1070" s="20" t="n">
        <x:v>94372.41</x:v>
      </x:c>
      <x:c r="J1070" s="20" t="n">
        <x:v>94372.41</x:v>
      </x:c>
      <x:c r="K1070" s="10" t="str">
        <x:v>Realizado</x:v>
      </x:c>
      <x:c r="L1070" s="10" t="str">
        <x:v>Contas a Receber</x:v>
      </x:c>
    </x:row>
    <x:row r="1071" ht="18" customHeight="1">
      <x:c r="A1071" s="10" t="str">
        <x:v>MOV001287</x:v>
      </x:c>
      <x:c r="B1071" s="16" t="n">
        <x:v>45760.75556628472</x:v>
      </x:c>
      <x:c r="C1071" s="10" t="str">
        <x:v>EMP003</x:v>
      </x:c>
      <x:c r="D1071" s="10" t="str">
        <x:v>CTA006</x:v>
      </x:c>
      <x:c r="E1071" s="10" t="str">
        <x:v>Entrada</x:v>
      </x:c>
      <x:c r="F1071" s="10" t="str">
        <x:v>CAT004</x:v>
      </x:c>
      <x:c r="G1071" s="10" t="str">
        <x:v>Prestação de serviços</x:v>
      </x:c>
      <x:c r="H1071" s="10" t="str">
        <x:v>REC00647</x:v>
      </x:c>
      <x:c r="I1071" s="20" t="n">
        <x:v>40696.8</x:v>
      </x:c>
      <x:c r="J1071" s="20" t="n">
        <x:v>40696.8</x:v>
      </x:c>
      <x:c r="K1071" s="10" t="str">
        <x:v>Realizado</x:v>
      </x:c>
      <x:c r="L1071" s="10" t="str">
        <x:v>Contas a Receber</x:v>
      </x:c>
    </x:row>
    <x:row r="1072" ht="18" customHeight="1">
      <x:c r="A1072" s="10" t="str">
        <x:v>MOV000860</x:v>
      </x:c>
      <x:c r="B1072" s="16" t="n">
        <x:v>45761.51682645833</x:v>
      </x:c>
      <x:c r="C1072" s="10" t="str">
        <x:v>EMP003</x:v>
      </x:c>
      <x:c r="D1072" s="10" t="str">
        <x:v>CTA006</x:v>
      </x:c>
      <x:c r="E1072" s="10" t="str">
        <x:v>Entrada</x:v>
      </x:c>
      <x:c r="F1072" s="10" t="str">
        <x:v>CAT003</x:v>
      </x:c>
      <x:c r="G1072" s="10" t="str">
        <x:v>Prestação de serviços</x:v>
      </x:c>
      <x:c r="H1072" s="10" t="str">
        <x:v>REC00130</x:v>
      </x:c>
      <x:c r="I1072" s="20" t="n">
        <x:v>27156.58</x:v>
      </x:c>
      <x:c r="J1072" s="20" t="n">
        <x:v>27156.58</x:v>
      </x:c>
      <x:c r="K1072" s="10" t="str">
        <x:v>Realizado</x:v>
      </x:c>
      <x:c r="L1072" s="10" t="str">
        <x:v>Contas a Receber</x:v>
      </x:c>
    </x:row>
    <x:row r="1073" ht="18" customHeight="1">
      <x:c r="A1073" s="10" t="str">
        <x:v>MOV001604</x:v>
      </x:c>
      <x:c r="B1073" s="16" t="n">
        <x:v>45762.22516439815</x:v>
      </x:c>
      <x:c r="C1073" s="10" t="str">
        <x:v>EMP001</x:v>
      </x:c>
      <x:c r="D1073" s="10" t="str">
        <x:v>CTA002</x:v>
      </x:c>
      <x:c r="E1073" s="10" t="str">
        <x:v>Entrada</x:v>
      </x:c>
      <x:c r="F1073" s="10" t="str">
        <x:v>CAT001</x:v>
      </x:c>
      <x:c r="G1073" s="10" t="str">
        <x:v>Prestação de serviços</x:v>
      </x:c>
      <x:c r="H1073" s="10" t="str">
        <x:v>REC01032</x:v>
      </x:c>
      <x:c r="I1073" s="20" t="n">
        <x:v>99458.47</x:v>
      </x:c>
      <x:c r="J1073" s="20" t="n">
        <x:v>99458.47</x:v>
      </x:c>
      <x:c r="K1073" s="10" t="str">
        <x:v>Realizado</x:v>
      </x:c>
      <x:c r="L1073" s="10" t="str">
        <x:v>Contas a Receber</x:v>
      </x:c>
    </x:row>
    <x:row r="1074" ht="18" customHeight="1">
      <x:c r="A1074" s="10" t="str">
        <x:v>MOV000613</x:v>
      </x:c>
      <x:c r="B1074" s="16" t="n">
        <x:v>45762.39644761574</x:v>
      </x:c>
      <x:c r="C1074" s="10" t="str">
        <x:v>EMP002</x:v>
      </x:c>
      <x:c r="D1074" s="10" t="str">
        <x:v>CTA003</x:v>
      </x:c>
      <x:c r="E1074" s="10" t="str">
        <x:v>Saída</x:v>
      </x:c>
      <x:c r="F1074" s="10" t="str">
        <x:v>CAT008</x:v>
      </x:c>
      <x:c r="G1074" s="10" t="str">
        <x:v>Despesa operacional</x:v>
      </x:c>
      <x:c r="H1074" s="10" t="str">
        <x:v>PAG00725</x:v>
      </x:c>
      <x:c r="I1074" s="20" t="n">
        <x:v>783.82</x:v>
      </x:c>
      <x:c r="J1074" s="20" t="n">
        <x:v>-783.82</x:v>
      </x:c>
      <x:c r="K1074" s="10" t="str">
        <x:v>Realizado</x:v>
      </x:c>
      <x:c r="L1074" s="10" t="str">
        <x:v>Contas a Pagar</x:v>
      </x:c>
    </x:row>
    <x:row r="1075" ht="18" customHeight="1">
      <x:c r="A1075" s="10" t="str">
        <x:v>MOV001461</x:v>
      </x:c>
      <x:c r="B1075" s="16" t="n">
        <x:v>45762.948266354164</x:v>
      </x:c>
      <x:c r="C1075" s="10" t="str">
        <x:v>EMP002</x:v>
      </x:c>
      <x:c r="D1075" s="10" t="str">
        <x:v>CTA003</x:v>
      </x:c>
      <x:c r="E1075" s="10" t="str">
        <x:v>Entrada</x:v>
      </x:c>
      <x:c r="F1075" s="10" t="str">
        <x:v>CAT001</x:v>
      </x:c>
      <x:c r="G1075" s="10" t="str">
        <x:v>Venda de produtos</x:v>
      </x:c>
      <x:c r="H1075" s="10" t="str">
        <x:v>REC00857</x:v>
      </x:c>
      <x:c r="I1075" s="20" t="n">
        <x:v>58135.08</x:v>
      </x:c>
      <x:c r="J1075" s="20" t="n">
        <x:v>58135.08</x:v>
      </x:c>
      <x:c r="K1075" s="10" t="str">
        <x:v>Realizado</x:v>
      </x:c>
      <x:c r="L1075" s="10" t="str">
        <x:v>Contas a Receber</x:v>
      </x:c>
    </x:row>
    <x:row r="1076" ht="18" customHeight="1">
      <x:c r="A1076" s="10" t="str">
        <x:v>MOV001330</x:v>
      </x:c>
      <x:c r="B1076" s="16" t="n">
        <x:v>45762.97819862269</x:v>
      </x:c>
      <x:c r="C1076" s="10" t="str">
        <x:v>EMP003</x:v>
      </x:c>
      <x:c r="D1076" s="10" t="str">
        <x:v>CTA006</x:v>
      </x:c>
      <x:c r="E1076" s="10" t="str">
        <x:v>Entrada</x:v>
      </x:c>
      <x:c r="F1076" s="10" t="str">
        <x:v>CAT004</x:v>
      </x:c>
      <x:c r="G1076" s="10" t="str">
        <x:v>Contrato mensal</x:v>
      </x:c>
      <x:c r="H1076" s="10" t="str">
        <x:v>REC00694</x:v>
      </x:c>
      <x:c r="I1076" s="20" t="n">
        <x:v>93696.81</x:v>
      </x:c>
      <x:c r="J1076" s="20" t="n">
        <x:v>93696.81</x:v>
      </x:c>
      <x:c r="K1076" s="10" t="str">
        <x:v>Realizado</x:v>
      </x:c>
      <x:c r="L1076" s="10" t="str">
        <x:v>Contas a Receber</x:v>
      </x:c>
    </x:row>
    <x:row r="1077" ht="18" customHeight="1">
      <x:c r="A1077" s="10" t="str">
        <x:v>MOV000832</x:v>
      </x:c>
      <x:c r="B1077" s="16" t="n">
        <x:v>45763.431064965276</x:v>
      </x:c>
      <x:c r="C1077" s="10" t="str">
        <x:v>EMP003</x:v>
      </x:c>
      <x:c r="D1077" s="10" t="str">
        <x:v>CTA006</x:v>
      </x:c>
      <x:c r="E1077" s="10" t="str">
        <x:v>Entrada</x:v>
      </x:c>
      <x:c r="F1077" s="10" t="str">
        <x:v>CAT002</x:v>
      </x:c>
      <x:c r="G1077" s="10" t="str">
        <x:v>Venda de produtos</x:v>
      </x:c>
      <x:c r="H1077" s="10" t="str">
        <x:v>REC00096</x:v>
      </x:c>
      <x:c r="I1077" s="20" t="n">
        <x:v>24944.65</x:v>
      </x:c>
      <x:c r="J1077" s="20" t="n">
        <x:v>24944.65</x:v>
      </x:c>
      <x:c r="K1077" s="10" t="str">
        <x:v>Realizado</x:v>
      </x:c>
      <x:c r="L1077" s="10" t="str">
        <x:v>Contas a Receber</x:v>
      </x:c>
    </x:row>
    <x:row r="1078" ht="18" customHeight="1">
      <x:c r="A1078" s="10" t="str">
        <x:v>MOV000598</x:v>
      </x:c>
      <x:c r="B1078" s="16" t="n">
        <x:v>45763.731648333334</x:v>
      </x:c>
      <x:c r="C1078" s="10" t="str">
        <x:v>EMP001</x:v>
      </x:c>
      <x:c r="D1078" s="10" t="str">
        <x:v>CTA002</x:v>
      </x:c>
      <x:c r="E1078" s="10" t="str">
        <x:v>Saída</x:v>
      </x:c>
      <x:c r="F1078" s="10" t="str">
        <x:v>CAT005</x:v>
      </x:c>
      <x:c r="G1078" s="10" t="str">
        <x:v>Prestação de serviços</x:v>
      </x:c>
      <x:c r="H1078" s="10" t="str">
        <x:v>PAG00706</x:v>
      </x:c>
      <x:c r="I1078" s="20" t="n">
        <x:v>30636.94</x:v>
      </x:c>
      <x:c r="J1078" s="20" t="n">
        <x:v>-30636.94</x:v>
      </x:c>
      <x:c r="K1078" s="10" t="str">
        <x:v>Realizado</x:v>
      </x:c>
      <x:c r="L1078" s="10" t="str">
        <x:v>Contas a Pagar</x:v>
      </x:c>
    </x:row>
    <x:row r="1079" ht="18" customHeight="1">
      <x:c r="A1079" s="10" t="str">
        <x:v>MOV001505</x:v>
      </x:c>
      <x:c r="B1079" s="16" t="n">
        <x:v>45764.32054689815</x:v>
      </x:c>
      <x:c r="C1079" s="10" t="str">
        <x:v>EMP003</x:v>
      </x:c>
      <x:c r="D1079" s="10" t="str">
        <x:v>CTA006</x:v>
      </x:c>
      <x:c r="E1079" s="10" t="str">
        <x:v>Entrada</x:v>
      </x:c>
      <x:c r="F1079" s="10" t="str">
        <x:v>CAT001</x:v>
      </x:c>
      <x:c r="G1079" s="10" t="str">
        <x:v>Frete faturado</x:v>
      </x:c>
      <x:c r="H1079" s="10" t="str">
        <x:v>REC00915</x:v>
      </x:c>
      <x:c r="I1079" s="20" t="n">
        <x:v>81582.11</x:v>
      </x:c>
      <x:c r="J1079" s="20" t="n">
        <x:v>81582.11</x:v>
      </x:c>
      <x:c r="K1079" s="10" t="str">
        <x:v>Realizado</x:v>
      </x:c>
      <x:c r="L1079" s="10" t="str">
        <x:v>Contas a Receber</x:v>
      </x:c>
    </x:row>
    <x:row r="1080" ht="18" customHeight="1">
      <x:c r="A1080" s="10" t="str">
        <x:v>MOV001123</x:v>
      </x:c>
      <x:c r="B1080" s="16" t="n">
        <x:v>45765.72556731482</x:v>
      </x:c>
      <x:c r="C1080" s="10" t="str">
        <x:v>EMP003</x:v>
      </x:c>
      <x:c r="D1080" s="10" t="str">
        <x:v>CTA005</x:v>
      </x:c>
      <x:c r="E1080" s="10" t="str">
        <x:v>Entrada</x:v>
      </x:c>
      <x:c r="F1080" s="10" t="str">
        <x:v>CAT002</x:v>
      </x:c>
      <x:c r="G1080" s="10" t="str">
        <x:v>Prestação de serviços</x:v>
      </x:c>
      <x:c r="H1080" s="10" t="str">
        <x:v>REC00452</x:v>
      </x:c>
      <x:c r="I1080" s="20" t="n">
        <x:v>4684.48</x:v>
      </x:c>
      <x:c r="J1080" s="20" t="n">
        <x:v>4684.48</x:v>
      </x:c>
      <x:c r="K1080" s="10" t="str">
        <x:v>Realizado</x:v>
      </x:c>
      <x:c r="L1080" s="10" t="str">
        <x:v>Contas a Receber</x:v>
      </x:c>
    </x:row>
    <x:row r="1081" ht="18" customHeight="1">
      <x:c r="A1081" s="10" t="str">
        <x:v>MOV000364</x:v>
      </x:c>
      <x:c r="B1081" s="16" t="n">
        <x:v>45765.759441875</x:v>
      </x:c>
      <x:c r="C1081" s="10" t="str">
        <x:v>EMP003</x:v>
      </x:c>
      <x:c r="D1081" s="10" t="str">
        <x:v>CTA006</x:v>
      </x:c>
      <x:c r="E1081" s="10" t="str">
        <x:v>Saída</x:v>
      </x:c>
      <x:c r="F1081" s="10" t="str">
        <x:v>CAT008</x:v>
      </x:c>
      <x:c r="G1081" s="10" t="str">
        <x:v>Prestação de serviços</x:v>
      </x:c>
      <x:c r="H1081" s="10" t="str">
        <x:v>PAG00423</x:v>
      </x:c>
      <x:c r="I1081" s="20" t="n">
        <x:v>19948.24</x:v>
      </x:c>
      <x:c r="J1081" s="20" t="n">
        <x:v>-19948.24</x:v>
      </x:c>
      <x:c r="K1081" s="10" t="str">
        <x:v>Realizado</x:v>
      </x:c>
      <x:c r="L1081" s="10" t="str">
        <x:v>Contas a Pagar</x:v>
      </x:c>
    </x:row>
    <x:row r="1082" ht="18" customHeight="1">
      <x:c r="A1082" s="10" t="str">
        <x:v>MOV000828</x:v>
      </x:c>
      <x:c r="B1082" s="16" t="n">
        <x:v>45766.298893645835</x:v>
      </x:c>
      <x:c r="C1082" s="10" t="str">
        <x:v>EMP001</x:v>
      </x:c>
      <x:c r="D1082" s="10" t="str">
        <x:v>CTA002</x:v>
      </x:c>
      <x:c r="E1082" s="10" t="str">
        <x:v>Entrada</x:v>
      </x:c>
      <x:c r="F1082" s="10" t="str">
        <x:v>CAT002</x:v>
      </x:c>
      <x:c r="G1082" s="10" t="str">
        <x:v>Contrato mensal</x:v>
      </x:c>
      <x:c r="H1082" s="10" t="str">
        <x:v>REC00091</x:v>
      </x:c>
      <x:c r="I1082" s="20" t="n">
        <x:v>138198.23</x:v>
      </x:c>
      <x:c r="J1082" s="20" t="n">
        <x:v>138198.23</x:v>
      </x:c>
      <x:c r="K1082" s="10" t="str">
        <x:v>Realizado</x:v>
      </x:c>
      <x:c r="L1082" s="10" t="str">
        <x:v>Contas a Receber</x:v>
      </x:c>
    </x:row>
    <x:row r="1083" ht="18" customHeight="1">
      <x:c r="A1083" s="10" t="str">
        <x:v>MOV001457</x:v>
      </x:c>
      <x:c r="B1083" s="16" t="n">
        <x:v>45766.50302001157</x:v>
      </x:c>
      <x:c r="C1083" s="10" t="str">
        <x:v>EMP002</x:v>
      </x:c>
      <x:c r="D1083" s="10" t="str">
        <x:v>CTA004</x:v>
      </x:c>
      <x:c r="E1083" s="10" t="str">
        <x:v>Entrada</x:v>
      </x:c>
      <x:c r="F1083" s="10" t="str">
        <x:v>CAT002</x:v>
      </x:c>
      <x:c r="G1083" s="10" t="str">
        <x:v>Venda de produtos</x:v>
      </x:c>
      <x:c r="H1083" s="10" t="str">
        <x:v>REC00853</x:v>
      </x:c>
      <x:c r="I1083" s="20" t="n">
        <x:v>36064.79</x:v>
      </x:c>
      <x:c r="J1083" s="20" t="n">
        <x:v>36064.79</x:v>
      </x:c>
      <x:c r="K1083" s="10" t="str">
        <x:v>Realizado</x:v>
      </x:c>
      <x:c r="L1083" s="10" t="str">
        <x:v>Contas a Receber</x:v>
      </x:c>
    </x:row>
    <x:row r="1084" ht="18" customHeight="1">
      <x:c r="A1084" s="10" t="str">
        <x:v>MOV000233</x:v>
      </x:c>
      <x:c r="B1084" s="16" t="n">
        <x:v>45766.694473310185</x:v>
      </x:c>
      <x:c r="C1084" s="10" t="str">
        <x:v>EMP002</x:v>
      </x:c>
      <x:c r="D1084" s="10" t="str">
        <x:v>CTA004</x:v>
      </x:c>
      <x:c r="E1084" s="10" t="str">
        <x:v>Saída</x:v>
      </x:c>
      <x:c r="F1084" s="10" t="str">
        <x:v>CAT008</x:v>
      </x:c>
      <x:c r="G1084" s="10" t="str">
        <x:v>Prestação de serviços</x:v>
      </x:c>
      <x:c r="H1084" s="10" t="str">
        <x:v>PAG00273</x:v>
      </x:c>
      <x:c r="I1084" s="20" t="n">
        <x:v>1386.83</x:v>
      </x:c>
      <x:c r="J1084" s="20" t="n">
        <x:v>-1386.83</x:v>
      </x:c>
      <x:c r="K1084" s="10" t="str">
        <x:v>Realizado</x:v>
      </x:c>
      <x:c r="L1084" s="10" t="str">
        <x:v>Contas a Pagar</x:v>
      </x:c>
    </x:row>
    <x:row r="1085" ht="18" customHeight="1">
      <x:c r="A1085" s="10" t="str">
        <x:v>MOV000649</x:v>
      </x:c>
      <x:c r="B1085" s="16" t="n">
        <x:v>45766.94826236111</x:v>
      </x:c>
      <x:c r="C1085" s="10" t="str">
        <x:v>EMP001</x:v>
      </x:c>
      <x:c r="D1085" s="10" t="str">
        <x:v>CTA002</x:v>
      </x:c>
      <x:c r="E1085" s="10" t="str">
        <x:v>Saída</x:v>
      </x:c>
      <x:c r="F1085" s="10" t="str">
        <x:v>CAT007</x:v>
      </x:c>
      <x:c r="G1085" s="10" t="str">
        <x:v>Tributos e taxas</x:v>
      </x:c>
      <x:c r="H1085" s="10" t="str">
        <x:v>PAG00769</x:v>
      </x:c>
      <x:c r="I1085" s="20" t="n">
        <x:v>45757.17</x:v>
      </x:c>
      <x:c r="J1085" s="20" t="n">
        <x:v>-45757.17</x:v>
      </x:c>
      <x:c r="K1085" s="10" t="str">
        <x:v>Realizado</x:v>
      </x:c>
      <x:c r="L1085" s="10" t="str">
        <x:v>Contas a Pagar</x:v>
      </x:c>
    </x:row>
    <x:row r="1086" ht="18" customHeight="1">
      <x:c r="A1086" s="10" t="str">
        <x:v>MOV000157</x:v>
      </x:c>
      <x:c r="B1086" s="16" t="n">
        <x:v>45768.33184222222</x:v>
      </x:c>
      <x:c r="C1086" s="10" t="str">
        <x:v>EMP003</x:v>
      </x:c>
      <x:c r="D1086" s="10" t="str">
        <x:v>CTA006</x:v>
      </x:c>
      <x:c r="E1086" s="10" t="str">
        <x:v>Saída</x:v>
      </x:c>
      <x:c r="F1086" s="10" t="str">
        <x:v>CAT008</x:v>
      </x:c>
      <x:c r="G1086" s="10" t="str">
        <x:v>Contrato recorrente</x:v>
      </x:c>
      <x:c r="H1086" s="10" t="str">
        <x:v>PAG00183</x:v>
      </x:c>
      <x:c r="I1086" s="20" t="n">
        <x:v>59208.82</x:v>
      </x:c>
      <x:c r="J1086" s="20" t="n">
        <x:v>-59208.82</x:v>
      </x:c>
      <x:c r="K1086" s="10" t="str">
        <x:v>Realizado</x:v>
      </x:c>
      <x:c r="L1086" s="10" t="str">
        <x:v>Contas a Pagar</x:v>
      </x:c>
    </x:row>
    <x:row r="1087" ht="18" customHeight="1">
      <x:c r="A1087" s="10" t="str">
        <x:v>MOV001180</x:v>
      </x:c>
      <x:c r="B1087" s="16" t="n">
        <x:v>45768.54393615741</x:v>
      </x:c>
      <x:c r="C1087" s="10" t="str">
        <x:v>EMP001</x:v>
      </x:c>
      <x:c r="D1087" s="10" t="str">
        <x:v>CTA001</x:v>
      </x:c>
      <x:c r="E1087" s="10" t="str">
        <x:v>Entrada</x:v>
      </x:c>
      <x:c r="F1087" s="10" t="str">
        <x:v>CAT002</x:v>
      </x:c>
      <x:c r="G1087" s="10" t="str">
        <x:v>Prestação de serviços</x:v>
      </x:c>
      <x:c r="H1087" s="10" t="str">
        <x:v>REC00517</x:v>
      </x:c>
      <x:c r="I1087" s="20" t="n">
        <x:v>1211.89</x:v>
      </x:c>
      <x:c r="J1087" s="20" t="n">
        <x:v>1211.89</x:v>
      </x:c>
      <x:c r="K1087" s="10" t="str">
        <x:v>Realizado</x:v>
      </x:c>
      <x:c r="L1087" s="10" t="str">
        <x:v>Contas a Receber</x:v>
      </x:c>
    </x:row>
    <x:row r="1088" ht="18" customHeight="1">
      <x:c r="A1088" s="10" t="str">
        <x:v>MOV001133</x:v>
      </x:c>
      <x:c r="B1088" s="16" t="n">
        <x:v>45769.28490111111</x:v>
      </x:c>
      <x:c r="C1088" s="10" t="str">
        <x:v>EMP001</x:v>
      </x:c>
      <x:c r="D1088" s="10" t="str">
        <x:v>CTA001</x:v>
      </x:c>
      <x:c r="E1088" s="10" t="str">
        <x:v>Entrada</x:v>
      </x:c>
      <x:c r="F1088" s="10" t="str">
        <x:v>CAT003</x:v>
      </x:c>
      <x:c r="G1088" s="10" t="str">
        <x:v>Projeto especial</x:v>
      </x:c>
      <x:c r="H1088" s="10" t="str">
        <x:v>REC00465</x:v>
      </x:c>
      <x:c r="I1088" s="20" t="n">
        <x:v>40940.34</x:v>
      </x:c>
      <x:c r="J1088" s="20" t="n">
        <x:v>40940.34</x:v>
      </x:c>
      <x:c r="K1088" s="10" t="str">
        <x:v>Realizado</x:v>
      </x:c>
      <x:c r="L1088" s="10" t="str">
        <x:v>Contas a Receber</x:v>
      </x:c>
    </x:row>
    <x:row r="1089" ht="18" customHeight="1">
      <x:c r="A1089" s="10" t="str">
        <x:v>MOV000495</x:v>
      </x:c>
      <x:c r="B1089" s="16" t="n">
        <x:v>45769.76455467592</x:v>
      </x:c>
      <x:c r="C1089" s="10" t="str">
        <x:v>EMP003</x:v>
      </x:c>
      <x:c r="D1089" s="10" t="str">
        <x:v>CTA005</x:v>
      </x:c>
      <x:c r="E1089" s="10" t="str">
        <x:v>Saída</x:v>
      </x:c>
      <x:c r="F1089" s="10" t="str">
        <x:v>CAT010</x:v>
      </x:c>
      <x:c r="G1089" s="10" t="str">
        <x:v>Tributos e taxas</x:v>
      </x:c>
      <x:c r="H1089" s="10" t="str">
        <x:v>PAG00580</x:v>
      </x:c>
      <x:c r="I1089" s="20" t="n">
        <x:v>100060.06</x:v>
      </x:c>
      <x:c r="J1089" s="20" t="n">
        <x:v>-100060.06</x:v>
      </x:c>
      <x:c r="K1089" s="10" t="str">
        <x:v>Realizado</x:v>
      </x:c>
      <x:c r="L1089" s="10" t="str">
        <x:v>Contas a Pagar</x:v>
      </x:c>
    </x:row>
    <x:row r="1090" ht="18" customHeight="1">
      <x:c r="A1090" s="10" t="str">
        <x:v>MOV000255</x:v>
      </x:c>
      <x:c r="B1090" s="16" t="n">
        <x:v>45769.77003112269</x:v>
      </x:c>
      <x:c r="C1090" s="10" t="str">
        <x:v>EMP002</x:v>
      </x:c>
      <x:c r="D1090" s="10" t="str">
        <x:v>CTA004</x:v>
      </x:c>
      <x:c r="E1090" s="10" t="str">
        <x:v>Saída</x:v>
      </x:c>
      <x:c r="F1090" s="10" t="str">
        <x:v>CAT005</x:v>
      </x:c>
      <x:c r="G1090" s="10" t="str">
        <x:v>Tributos e taxas</x:v>
      </x:c>
      <x:c r="H1090" s="10" t="str">
        <x:v>PAG00298</x:v>
      </x:c>
      <x:c r="I1090" s="20" t="n">
        <x:v>1373.42</x:v>
      </x:c>
      <x:c r="J1090" s="20" t="n">
        <x:v>-1373.42</x:v>
      </x:c>
      <x:c r="K1090" s="10" t="str">
        <x:v>Realizado</x:v>
      </x:c>
      <x:c r="L1090" s="10" t="str">
        <x:v>Contas a Pagar</x:v>
      </x:c>
    </x:row>
    <x:row r="1091" ht="18" customHeight="1">
      <x:c r="A1091" s="10" t="str">
        <x:v>MOV001400</x:v>
      </x:c>
      <x:c r="B1091" s="16" t="n">
        <x:v>45770.32525502315</x:v>
      </x:c>
      <x:c r="C1091" s="10" t="str">
        <x:v>EMP002</x:v>
      </x:c>
      <x:c r="D1091" s="10" t="str">
        <x:v>CTA004</x:v>
      </x:c>
      <x:c r="E1091" s="10" t="str">
        <x:v>Entrada</x:v>
      </x:c>
      <x:c r="F1091" s="10" t="str">
        <x:v>CAT003</x:v>
      </x:c>
      <x:c r="G1091" s="10" t="str">
        <x:v>Projeto especial</x:v>
      </x:c>
      <x:c r="H1091" s="10" t="str">
        <x:v>REC00780</x:v>
      </x:c>
      <x:c r="I1091" s="20" t="n">
        <x:v>2780.89</x:v>
      </x:c>
      <x:c r="J1091" s="20" t="n">
        <x:v>2780.89</x:v>
      </x:c>
      <x:c r="K1091" s="10" t="str">
        <x:v>Realizado</x:v>
      </x:c>
      <x:c r="L1091" s="10" t="str">
        <x:v>Contas a Receber</x:v>
      </x:c>
    </x:row>
    <x:row r="1092" ht="18" customHeight="1">
      <x:c r="A1092" s="10" t="str">
        <x:v>MOV001088</x:v>
      </x:c>
      <x:c r="B1092" s="16" t="n">
        <x:v>45770.45176398148</x:v>
      </x:c>
      <x:c r="C1092" s="10" t="str">
        <x:v>EMP001</x:v>
      </x:c>
      <x:c r="D1092" s="10" t="str">
        <x:v>CTA001</x:v>
      </x:c>
      <x:c r="E1092" s="10" t="str">
        <x:v>Entrada</x:v>
      </x:c>
      <x:c r="F1092" s="10" t="str">
        <x:v>CAT003</x:v>
      </x:c>
      <x:c r="G1092" s="10" t="str">
        <x:v>Venda de produtos</x:v>
      </x:c>
      <x:c r="H1092" s="10" t="str">
        <x:v>REC00411</x:v>
      </x:c>
      <x:c r="I1092" s="20" t="n">
        <x:v>38044.87</x:v>
      </x:c>
      <x:c r="J1092" s="20" t="n">
        <x:v>38044.87</x:v>
      </x:c>
      <x:c r="K1092" s="10" t="str">
        <x:v>Realizado</x:v>
      </x:c>
      <x:c r="L1092" s="10" t="str">
        <x:v>Contas a Receber</x:v>
      </x:c>
    </x:row>
    <x:row r="1093" ht="18" customHeight="1">
      <x:c r="A1093" s="10" t="str">
        <x:v>MOV000319</x:v>
      </x:c>
      <x:c r="B1093" s="16" t="n">
        <x:v>45770.794833761574</x:v>
      </x:c>
      <x:c r="C1093" s="10" t="str">
        <x:v>EMP001</x:v>
      </x:c>
      <x:c r="D1093" s="10" t="str">
        <x:v>CTA002</x:v>
      </x:c>
      <x:c r="E1093" s="10" t="str">
        <x:v>Saída</x:v>
      </x:c>
      <x:c r="F1093" s="10" t="str">
        <x:v>CAT013</x:v>
      </x:c>
      <x:c r="G1093" s="10" t="str">
        <x:v>Contrato recorrente</x:v>
      </x:c>
      <x:c r="H1093" s="10" t="str">
        <x:v>PAG00371</x:v>
      </x:c>
      <x:c r="I1093" s="20" t="n">
        <x:v>24070.78</x:v>
      </x:c>
      <x:c r="J1093" s="20" t="n">
        <x:v>-24070.78</x:v>
      </x:c>
      <x:c r="K1093" s="10" t="str">
        <x:v>Realizado</x:v>
      </x:c>
      <x:c r="L1093" s="10" t="str">
        <x:v>Contas a Pagar</x:v>
      </x:c>
    </x:row>
    <x:row r="1094" ht="18" customHeight="1">
      <x:c r="A1094" s="10" t="str">
        <x:v>MOV001527</x:v>
      </x:c>
      <x:c r="B1094" s="16" t="n">
        <x:v>45771.52733075232</x:v>
      </x:c>
      <x:c r="C1094" s="10" t="str">
        <x:v>EMP003</x:v>
      </x:c>
      <x:c r="D1094" s="10" t="str">
        <x:v>CTA005</x:v>
      </x:c>
      <x:c r="E1094" s="10" t="str">
        <x:v>Entrada</x:v>
      </x:c>
      <x:c r="F1094" s="10" t="str">
        <x:v>CAT003</x:v>
      </x:c>
      <x:c r="G1094" s="10" t="str">
        <x:v>Contrato mensal</x:v>
      </x:c>
      <x:c r="H1094" s="10" t="str">
        <x:v>REC00939</x:v>
      </x:c>
      <x:c r="I1094" s="20" t="n">
        <x:v>50442.84</x:v>
      </x:c>
      <x:c r="J1094" s="20" t="n">
        <x:v>50442.84</x:v>
      </x:c>
      <x:c r="K1094" s="10" t="str">
        <x:v>Realizado</x:v>
      </x:c>
      <x:c r="L1094" s="10" t="str">
        <x:v>Contas a Receber</x:v>
      </x:c>
    </x:row>
    <x:row r="1095" ht="18" customHeight="1">
      <x:c r="A1095" s="10" t="str">
        <x:v>MOV001345</x:v>
      </x:c>
      <x:c r="B1095" s="16" t="n">
        <x:v>45772.28527177083</x:v>
      </x:c>
      <x:c r="C1095" s="10" t="str">
        <x:v>EMP002</x:v>
      </x:c>
      <x:c r="D1095" s="10" t="str">
        <x:v>CTA004</x:v>
      </x:c>
      <x:c r="E1095" s="10" t="str">
        <x:v>Entrada</x:v>
      </x:c>
      <x:c r="F1095" s="10" t="str">
        <x:v>CAT001</x:v>
      </x:c>
      <x:c r="G1095" s="10" t="str">
        <x:v>Venda de produtos</x:v>
      </x:c>
      <x:c r="H1095" s="10" t="str">
        <x:v>REC00712</x:v>
      </x:c>
      <x:c r="I1095" s="20" t="n">
        <x:v>83477.82</x:v>
      </x:c>
      <x:c r="J1095" s="20" t="n">
        <x:v>83477.82</x:v>
      </x:c>
      <x:c r="K1095" s="10" t="str">
        <x:v>Realizado</x:v>
      </x:c>
      <x:c r="L1095" s="10" t="str">
        <x:v>Contas a Receber</x:v>
      </x:c>
    </x:row>
    <x:row r="1096" ht="18" customHeight="1">
      <x:c r="A1096" s="10" t="str">
        <x:v>MOV000893</x:v>
      </x:c>
      <x:c r="B1096" s="16" t="n">
        <x:v>45772.7441768287</x:v>
      </x:c>
      <x:c r="C1096" s="10" t="str">
        <x:v>EMP003</x:v>
      </x:c>
      <x:c r="D1096" s="10" t="str">
        <x:v>CTA006</x:v>
      </x:c>
      <x:c r="E1096" s="10" t="str">
        <x:v>Entrada</x:v>
      </x:c>
      <x:c r="F1096" s="10" t="str">
        <x:v>CAT004</x:v>
      </x:c>
      <x:c r="G1096" s="10" t="str">
        <x:v>Frete faturado</x:v>
      </x:c>
      <x:c r="H1096" s="10" t="str">
        <x:v>REC00169</x:v>
      </x:c>
      <x:c r="I1096" s="20" t="n">
        <x:v>44504.4</x:v>
      </x:c>
      <x:c r="J1096" s="20" t="n">
        <x:v>44504.4</x:v>
      </x:c>
      <x:c r="K1096" s="10" t="str">
        <x:v>Realizado</x:v>
      </x:c>
      <x:c r="L1096" s="10" t="str">
        <x:v>Contas a Receber</x:v>
      </x:c>
    </x:row>
    <x:row r="1097" ht="18" customHeight="1">
      <x:c r="A1097" s="10" t="str">
        <x:v>MOV000556</x:v>
      </x:c>
      <x:c r="B1097" s="16" t="n">
        <x:v>45773.323310416665</x:v>
      </x:c>
      <x:c r="C1097" s="10" t="str">
        <x:v>EMP001</x:v>
      </x:c>
      <x:c r="D1097" s="10" t="str">
        <x:v>CTA002</x:v>
      </x:c>
      <x:c r="E1097" s="10" t="str">
        <x:v>Saída</x:v>
      </x:c>
      <x:c r="F1097" s="10" t="str">
        <x:v>CAT011</x:v>
      </x:c>
      <x:c r="G1097" s="10" t="str">
        <x:v>Compra de materiais</x:v>
      </x:c>
      <x:c r="H1097" s="10" t="str">
        <x:v>PAG00650</x:v>
      </x:c>
      <x:c r="I1097" s="20" t="n">
        <x:v>91208.97</x:v>
      </x:c>
      <x:c r="J1097" s="20" t="n">
        <x:v>-91208.97</x:v>
      </x:c>
      <x:c r="K1097" s="10" t="str">
        <x:v>Realizado</x:v>
      </x:c>
      <x:c r="L1097" s="10" t="str">
        <x:v>Contas a Pagar</x:v>
      </x:c>
    </x:row>
    <x:row r="1098" ht="18" customHeight="1">
      <x:c r="A1098" s="10" t="str">
        <x:v>MOV000996</x:v>
      </x:c>
      <x:c r="B1098" s="16" t="n">
        <x:v>45773.53323931713</x:v>
      </x:c>
      <x:c r="C1098" s="10" t="str">
        <x:v>EMP002</x:v>
      </x:c>
      <x:c r="D1098" s="10" t="str">
        <x:v>CTA004</x:v>
      </x:c>
      <x:c r="E1098" s="10" t="str">
        <x:v>Entrada</x:v>
      </x:c>
      <x:c r="F1098" s="10" t="str">
        <x:v>CAT003</x:v>
      </x:c>
      <x:c r="G1098" s="10" t="str">
        <x:v>Contrato mensal</x:v>
      </x:c>
      <x:c r="H1098" s="10" t="str">
        <x:v>REC00294</x:v>
      </x:c>
      <x:c r="I1098" s="20" t="n">
        <x:v>29333.39</x:v>
      </x:c>
      <x:c r="J1098" s="20" t="n">
        <x:v>29333.39</x:v>
      </x:c>
      <x:c r="K1098" s="10" t="str">
        <x:v>Realizado</x:v>
      </x:c>
      <x:c r="L1098" s="10" t="str">
        <x:v>Contas a Receber</x:v>
      </x:c>
    </x:row>
    <x:row r="1099" ht="18" customHeight="1">
      <x:c r="A1099" s="10" t="str">
        <x:v>MOV001419</x:v>
      </x:c>
      <x:c r="B1099" s="16" t="n">
        <x:v>45773.81971688657</x:v>
      </x:c>
      <x:c r="C1099" s="10" t="str">
        <x:v>EMP003</x:v>
      </x:c>
      <x:c r="D1099" s="10" t="str">
        <x:v>CTA006</x:v>
      </x:c>
      <x:c r="E1099" s="10" t="str">
        <x:v>Entrada</x:v>
      </x:c>
      <x:c r="F1099" s="10" t="str">
        <x:v>CAT002</x:v>
      </x:c>
      <x:c r="G1099" s="10" t="str">
        <x:v>Projeto especial</x:v>
      </x:c>
      <x:c r="H1099" s="10" t="str">
        <x:v>REC00804</x:v>
      </x:c>
      <x:c r="I1099" s="20" t="n">
        <x:v>76484.73</x:v>
      </x:c>
      <x:c r="J1099" s="20" t="n">
        <x:v>76484.73</x:v>
      </x:c>
      <x:c r="K1099" s="10" t="str">
        <x:v>Realizado</x:v>
      </x:c>
      <x:c r="L1099" s="10" t="str">
        <x:v>Contas a Receber</x:v>
      </x:c>
    </x:row>
    <x:row r="1100" ht="18" customHeight="1">
      <x:c r="A1100" s="10" t="str">
        <x:v>MOV000884</x:v>
      </x:c>
      <x:c r="B1100" s="16" t="n">
        <x:v>45774.079488020834</x:v>
      </x:c>
      <x:c r="C1100" s="10" t="str">
        <x:v>EMP001</x:v>
      </x:c>
      <x:c r="D1100" s="10" t="str">
        <x:v>CTA001</x:v>
      </x:c>
      <x:c r="E1100" s="10" t="str">
        <x:v>Entrada</x:v>
      </x:c>
      <x:c r="F1100" s="10" t="str">
        <x:v>CAT002</x:v>
      </x:c>
      <x:c r="G1100" s="10" t="str">
        <x:v>Projeto especial</x:v>
      </x:c>
      <x:c r="H1100" s="10" t="str">
        <x:v>REC00156</x:v>
      </x:c>
      <x:c r="I1100" s="20" t="n">
        <x:v>1667.43</x:v>
      </x:c>
      <x:c r="J1100" s="20" t="n">
        <x:v>1667.43</x:v>
      </x:c>
      <x:c r="K1100" s="10" t="str">
        <x:v>Realizado</x:v>
      </x:c>
      <x:c r="L1100" s="10" t="str">
        <x:v>Contas a Receber</x:v>
      </x:c>
    </x:row>
    <x:row r="1101" ht="18" customHeight="1">
      <x:c r="A1101" s="10" t="str">
        <x:v>MOV000032</x:v>
      </x:c>
      <x:c r="B1101" s="16" t="n">
        <x:v>45774.9019225</x:v>
      </x:c>
      <x:c r="C1101" s="10" t="str">
        <x:v>EMP003</x:v>
      </x:c>
      <x:c r="D1101" s="10" t="str">
        <x:v>CTA006</x:v>
      </x:c>
      <x:c r="E1101" s="10" t="str">
        <x:v>Saída</x:v>
      </x:c>
      <x:c r="F1101" s="10" t="str">
        <x:v>CAT010</x:v>
      </x:c>
      <x:c r="G1101" s="10" t="str">
        <x:v>Contrato recorrente</x:v>
      </x:c>
      <x:c r="H1101" s="10" t="str">
        <x:v>PAG00032</x:v>
      </x:c>
      <x:c r="I1101" s="20" t="n">
        <x:v>26898.5</x:v>
      </x:c>
      <x:c r="J1101" s="20" t="n">
        <x:v>-26898.5</x:v>
      </x:c>
      <x:c r="K1101" s="10" t="str">
        <x:v>Realizado</x:v>
      </x:c>
      <x:c r="L1101" s="10" t="str">
        <x:v>Contas a Pagar</x:v>
      </x:c>
    </x:row>
    <x:row r="1102" ht="18" customHeight="1">
      <x:c r="A1102" s="10" t="str">
        <x:v>MOV001472</x:v>
      </x:c>
      <x:c r="B1102" s="16" t="n">
        <x:v>45775.78784230324</x:v>
      </x:c>
      <x:c r="C1102" s="10" t="str">
        <x:v>EMP001</x:v>
      </x:c>
      <x:c r="D1102" s="10" t="str">
        <x:v>CTA002</x:v>
      </x:c>
      <x:c r="E1102" s="10" t="str">
        <x:v>Entrada</x:v>
      </x:c>
      <x:c r="F1102" s="10" t="str">
        <x:v>CAT001</x:v>
      </x:c>
      <x:c r="G1102" s="10" t="str">
        <x:v>Venda de produtos</x:v>
      </x:c>
      <x:c r="H1102" s="10" t="str">
        <x:v>REC00871</x:v>
      </x:c>
      <x:c r="I1102" s="20" t="n">
        <x:v>89928.13</x:v>
      </x:c>
      <x:c r="J1102" s="20" t="n">
        <x:v>89928.13</x:v>
      </x:c>
      <x:c r="K1102" s="10" t="str">
        <x:v>Realizado</x:v>
      </x:c>
      <x:c r="L1102" s="10" t="str">
        <x:v>Contas a Receber</x:v>
      </x:c>
    </x:row>
    <x:row r="1103" ht="18" customHeight="1">
      <x:c r="A1103" s="10" t="str">
        <x:v>MOV001072</x:v>
      </x:c>
      <x:c r="B1103" s="16" t="n">
        <x:v>45775.940893136576</x:v>
      </x:c>
      <x:c r="C1103" s="10" t="str">
        <x:v>EMP002</x:v>
      </x:c>
      <x:c r="D1103" s="10" t="str">
        <x:v>CTA003</x:v>
      </x:c>
      <x:c r="E1103" s="10" t="str">
        <x:v>Entrada</x:v>
      </x:c>
      <x:c r="F1103" s="10" t="str">
        <x:v>CAT002</x:v>
      </x:c>
      <x:c r="G1103" s="10" t="str">
        <x:v>Prestação de serviços</x:v>
      </x:c>
      <x:c r="H1103" s="10" t="str">
        <x:v>REC00393</x:v>
      </x:c>
      <x:c r="I1103" s="20" t="n">
        <x:v>14384.03</x:v>
      </x:c>
      <x:c r="J1103" s="20" t="n">
        <x:v>14384.03</x:v>
      </x:c>
      <x:c r="K1103" s="10" t="str">
        <x:v>Realizado</x:v>
      </x:c>
      <x:c r="L1103" s="10" t="str">
        <x:v>Contas a Receber</x:v>
      </x:c>
    </x:row>
    <x:row r="1104" ht="18" customHeight="1">
      <x:c r="A1104" s="10" t="str">
        <x:v>MOV001265</x:v>
      </x:c>
      <x:c r="B1104" s="16" t="n">
        <x:v>45776.09136813657</x:v>
      </x:c>
      <x:c r="C1104" s="10" t="str">
        <x:v>EMP001</x:v>
      </x:c>
      <x:c r="D1104" s="10" t="str">
        <x:v>CTA001</x:v>
      </x:c>
      <x:c r="E1104" s="10" t="str">
        <x:v>Entrada</x:v>
      </x:c>
      <x:c r="F1104" s="10" t="str">
        <x:v>CAT002</x:v>
      </x:c>
      <x:c r="G1104" s="10" t="str">
        <x:v>Venda de produtos</x:v>
      </x:c>
      <x:c r="H1104" s="10" t="str">
        <x:v>REC00622</x:v>
      </x:c>
      <x:c r="I1104" s="20" t="n">
        <x:v>50403.87</x:v>
      </x:c>
      <x:c r="J1104" s="20" t="n">
        <x:v>50403.87</x:v>
      </x:c>
      <x:c r="K1104" s="10" t="str">
        <x:v>Realizado</x:v>
      </x:c>
      <x:c r="L1104" s="10" t="str">
        <x:v>Contas a Receber</x:v>
      </x:c>
    </x:row>
    <x:row r="1105" ht="18" customHeight="1">
      <x:c r="A1105" s="10" t="str">
        <x:v>MOV000060</x:v>
      </x:c>
      <x:c r="B1105" s="16" t="n">
        <x:v>45776.40464094908</x:v>
      </x:c>
      <x:c r="C1105" s="10" t="str">
        <x:v>EMP002</x:v>
      </x:c>
      <x:c r="D1105" s="10" t="str">
        <x:v>CTA003</x:v>
      </x:c>
      <x:c r="E1105" s="10" t="str">
        <x:v>Saída</x:v>
      </x:c>
      <x:c r="F1105" s="10" t="str">
        <x:v>CAT013</x:v>
      </x:c>
      <x:c r="G1105" s="10" t="str">
        <x:v>Despesa operacional</x:v>
      </x:c>
      <x:c r="H1105" s="10" t="str">
        <x:v>PAG00064</x:v>
      </x:c>
      <x:c r="I1105" s="20" t="n">
        <x:v>71691.32</x:v>
      </x:c>
      <x:c r="J1105" s="20" t="n">
        <x:v>-71691.32</x:v>
      </x:c>
      <x:c r="K1105" s="10" t="str">
        <x:v>Realizado</x:v>
      </x:c>
      <x:c r="L1105" s="10" t="str">
        <x:v>Contas a Pagar</x:v>
      </x:c>
    </x:row>
    <x:row r="1106" ht="18" customHeight="1">
      <x:c r="A1106" s="10" t="str">
        <x:v>MOV001455</x:v>
      </x:c>
      <x:c r="B1106" s="16" t="n">
        <x:v>45777.44713961805</x:v>
      </x:c>
      <x:c r="C1106" s="10" t="str">
        <x:v>EMP003</x:v>
      </x:c>
      <x:c r="D1106" s="10" t="str">
        <x:v>CTA005</x:v>
      </x:c>
      <x:c r="E1106" s="10" t="str">
        <x:v>Entrada</x:v>
      </x:c>
      <x:c r="F1106" s="10" t="str">
        <x:v>CAT004</x:v>
      </x:c>
      <x:c r="G1106" s="10" t="str">
        <x:v>Contrato mensal</x:v>
      </x:c>
      <x:c r="H1106" s="10" t="str">
        <x:v>REC00850</x:v>
      </x:c>
      <x:c r="I1106" s="20" t="n">
        <x:v>126312.54</x:v>
      </x:c>
      <x:c r="J1106" s="20" t="n">
        <x:v>126312.54</x:v>
      </x:c>
      <x:c r="K1106" s="10" t="str">
        <x:v>Realizado</x:v>
      </x:c>
      <x:c r="L1106" s="10" t="str">
        <x:v>Contas a Receber</x:v>
      </x:c>
    </x:row>
    <x:row r="1107" ht="18" customHeight="1">
      <x:c r="A1107" s="10" t="str">
        <x:v>MOV000156</x:v>
      </x:c>
      <x:c r="B1107" s="16" t="n">
        <x:v>45777.955366180555</x:v>
      </x:c>
      <x:c r="C1107" s="10" t="str">
        <x:v>EMP002</x:v>
      </x:c>
      <x:c r="D1107" s="10" t="str">
        <x:v>CTA003</x:v>
      </x:c>
      <x:c r="E1107" s="10" t="str">
        <x:v>Saída</x:v>
      </x:c>
      <x:c r="F1107" s="10" t="str">
        <x:v>CAT017</x:v>
      </x:c>
      <x:c r="G1107" s="10" t="str">
        <x:v>Contrato recorrente</x:v>
      </x:c>
      <x:c r="H1107" s="10" t="str">
        <x:v>PAG00182</x:v>
      </x:c>
      <x:c r="I1107" s="20" t="n">
        <x:v>108684.39</x:v>
      </x:c>
      <x:c r="J1107" s="20" t="n">
        <x:v>-108684.39</x:v>
      </x:c>
      <x:c r="K1107" s="10" t="str">
        <x:v>Realizado</x:v>
      </x:c>
      <x:c r="L1107" s="10" t="str">
        <x:v>Contas a Pagar</x:v>
      </x:c>
    </x:row>
    <x:row r="1108" ht="18" customHeight="1">
      <x:c r="A1108" s="10" t="str">
        <x:v>MOV001185</x:v>
      </x:c>
      <x:c r="B1108" s="16" t="n">
        <x:v>45778.0965896412</x:v>
      </x:c>
      <x:c r="C1108" s="10" t="str">
        <x:v>EMP002</x:v>
      </x:c>
      <x:c r="D1108" s="10" t="str">
        <x:v>CTA003</x:v>
      </x:c>
      <x:c r="E1108" s="10" t="str">
        <x:v>Entrada</x:v>
      </x:c>
      <x:c r="F1108" s="10" t="str">
        <x:v>CAT004</x:v>
      </x:c>
      <x:c r="G1108" s="10" t="str">
        <x:v>Projeto especial</x:v>
      </x:c>
      <x:c r="H1108" s="10" t="str">
        <x:v>REC00525</x:v>
      </x:c>
      <x:c r="I1108" s="20" t="n">
        <x:v>14737.56</x:v>
      </x:c>
      <x:c r="J1108" s="20" t="n">
        <x:v>14737.56</x:v>
      </x:c>
      <x:c r="K1108" s="10" t="str">
        <x:v>Realizado</x:v>
      </x:c>
      <x:c r="L1108" s="10" t="str">
        <x:v>Contas a Receber</x:v>
      </x:c>
    </x:row>
    <x:row r="1109" ht="18" customHeight="1">
      <x:c r="A1109" s="10" t="str">
        <x:v>MOV000023</x:v>
      </x:c>
      <x:c r="B1109" s="16" t="n">
        <x:v>45778.21060885417</x:v>
      </x:c>
      <x:c r="C1109" s="10" t="str">
        <x:v>EMP002</x:v>
      </x:c>
      <x:c r="D1109" s="10" t="str">
        <x:v>CTA003</x:v>
      </x:c>
      <x:c r="E1109" s="10" t="str">
        <x:v>Saída</x:v>
      </x:c>
      <x:c r="F1109" s="10" t="str">
        <x:v>CAT010</x:v>
      </x:c>
      <x:c r="G1109" s="10" t="str">
        <x:v>Tributos e taxas</x:v>
      </x:c>
      <x:c r="H1109" s="10" t="str">
        <x:v>PAG00021</x:v>
      </x:c>
      <x:c r="I1109" s="20" t="n">
        <x:v>614.77</x:v>
      </x:c>
      <x:c r="J1109" s="20" t="n">
        <x:v>-614.77</x:v>
      </x:c>
      <x:c r="K1109" s="10" t="str">
        <x:v>Realizado</x:v>
      </x:c>
      <x:c r="L1109" s="10" t="str">
        <x:v>Contas a Pagar</x:v>
      </x:c>
    </x:row>
    <x:row r="1110" ht="18" customHeight="1">
      <x:c r="A1110" s="10" t="str">
        <x:v>MOV001001</x:v>
      </x:c>
      <x:c r="B1110" s="16" t="n">
        <x:v>45778.24582269676</x:v>
      </x:c>
      <x:c r="C1110" s="10" t="str">
        <x:v>EMP002</x:v>
      </x:c>
      <x:c r="D1110" s="10" t="str">
        <x:v>CTA004</x:v>
      </x:c>
      <x:c r="E1110" s="10" t="str">
        <x:v>Entrada</x:v>
      </x:c>
      <x:c r="F1110" s="10" t="str">
        <x:v>CAT004</x:v>
      </x:c>
      <x:c r="G1110" s="10" t="str">
        <x:v>Venda de produtos</x:v>
      </x:c>
      <x:c r="H1110" s="10" t="str">
        <x:v>REC00301</x:v>
      </x:c>
      <x:c r="I1110" s="20" t="n">
        <x:v>7875.25</x:v>
      </x:c>
      <x:c r="J1110" s="20" t="n">
        <x:v>7875.25</x:v>
      </x:c>
      <x:c r="K1110" s="10" t="str">
        <x:v>Realizado</x:v>
      </x:c>
      <x:c r="L1110" s="10" t="str">
        <x:v>Contas a Receber</x:v>
      </x:c>
    </x:row>
    <x:row r="1111" ht="18" customHeight="1">
      <x:c r="A1111" s="10" t="str">
        <x:v>MOV000746</x:v>
      </x:c>
      <x:c r="B1111" s="16" t="n">
        <x:v>45779.2637690162</x:v>
      </x:c>
      <x:c r="C1111" s="10" t="str">
        <x:v>EMP001</x:v>
      </x:c>
      <x:c r="D1111" s="10" t="str">
        <x:v>CTA002</x:v>
      </x:c>
      <x:c r="E1111" s="10" t="str">
        <x:v>Saída</x:v>
      </x:c>
      <x:c r="F1111" s="10" t="str">
        <x:v>CAT014</x:v>
      </x:c>
      <x:c r="G1111" s="10" t="str">
        <x:v>Prestação de serviços</x:v>
      </x:c>
      <x:c r="H1111" s="10" t="str">
        <x:v>PAG00886</x:v>
      </x:c>
      <x:c r="I1111" s="20" t="n">
        <x:v>13378.44</x:v>
      </x:c>
      <x:c r="J1111" s="20" t="n">
        <x:v>-13378.44</x:v>
      </x:c>
      <x:c r="K1111" s="10" t="str">
        <x:v>Realizado</x:v>
      </x:c>
      <x:c r="L1111" s="10" t="str">
        <x:v>Contas a Pagar</x:v>
      </x:c>
    </x:row>
    <x:row r="1112" ht="18" customHeight="1">
      <x:c r="A1112" s="10" t="str">
        <x:v>MOV000379</x:v>
      </x:c>
      <x:c r="B1112" s="16" t="n">
        <x:v>45780.00840849537</x:v>
      </x:c>
      <x:c r="C1112" s="10" t="str">
        <x:v>EMP001</x:v>
      </x:c>
      <x:c r="D1112" s="10" t="str">
        <x:v>CTA001</x:v>
      </x:c>
      <x:c r="E1112" s="10" t="str">
        <x:v>Saída</x:v>
      </x:c>
      <x:c r="F1112" s="10" t="str">
        <x:v>CAT017</x:v>
      </x:c>
      <x:c r="G1112" s="10" t="str">
        <x:v>Contrato recorrente</x:v>
      </x:c>
      <x:c r="H1112" s="10" t="str">
        <x:v>PAG00440</x:v>
      </x:c>
      <x:c r="I1112" s="20" t="n">
        <x:v>13549.96</x:v>
      </x:c>
      <x:c r="J1112" s="20" t="n">
        <x:v>-13549.96</x:v>
      </x:c>
      <x:c r="K1112" s="10" t="str">
        <x:v>Realizado</x:v>
      </x:c>
      <x:c r="L1112" s="10" t="str">
        <x:v>Contas a Pagar</x:v>
      </x:c>
    </x:row>
    <x:row r="1113" ht="18" customHeight="1">
      <x:c r="A1113" s="10" t="str">
        <x:v>MOV001162</x:v>
      </x:c>
      <x:c r="B1113" s="16" t="n">
        <x:v>45780.124457488426</x:v>
      </x:c>
      <x:c r="C1113" s="10" t="str">
        <x:v>EMP001</x:v>
      </x:c>
      <x:c r="D1113" s="10" t="str">
        <x:v>CTA001</x:v>
      </x:c>
      <x:c r="E1113" s="10" t="str">
        <x:v>Entrada</x:v>
      </x:c>
      <x:c r="F1113" s="10" t="str">
        <x:v>CAT002</x:v>
      </x:c>
      <x:c r="G1113" s="10" t="str">
        <x:v>Contrato mensal</x:v>
      </x:c>
      <x:c r="H1113" s="10" t="str">
        <x:v>REC00495</x:v>
      </x:c>
      <x:c r="I1113" s="20" t="n">
        <x:v>45751.84</x:v>
      </x:c>
      <x:c r="J1113" s="20" t="n">
        <x:v>45751.84</x:v>
      </x:c>
      <x:c r="K1113" s="10" t="str">
        <x:v>Realizado</x:v>
      </x:c>
      <x:c r="L1113" s="10" t="str">
        <x:v>Contas a Receber</x:v>
      </x:c>
    </x:row>
    <x:row r="1114" ht="18" customHeight="1">
      <x:c r="A1114" s="10" t="str">
        <x:v>MOV000394</x:v>
      </x:c>
      <x:c r="B1114" s="16" t="n">
        <x:v>45780.135115509256</x:v>
      </x:c>
      <x:c r="C1114" s="10" t="str">
        <x:v>EMP002</x:v>
      </x:c>
      <x:c r="D1114" s="10" t="str">
        <x:v>CTA004</x:v>
      </x:c>
      <x:c r="E1114" s="10" t="str">
        <x:v>Saída</x:v>
      </x:c>
      <x:c r="F1114" s="10" t="str">
        <x:v>CAT007</x:v>
      </x:c>
      <x:c r="G1114" s="10" t="str">
        <x:v>Prestação de serviços</x:v>
      </x:c>
      <x:c r="H1114" s="10" t="str">
        <x:v>PAG00459</x:v>
      </x:c>
      <x:c r="I1114" s="20" t="n">
        <x:v>41098.12</x:v>
      </x:c>
      <x:c r="J1114" s="20" t="n">
        <x:v>-41098.12</x:v>
      </x:c>
      <x:c r="K1114" s="10" t="str">
        <x:v>Realizado</x:v>
      </x:c>
      <x:c r="L1114" s="10" t="str">
        <x:v>Contas a Pagar</x:v>
      </x:c>
    </x:row>
    <x:row r="1115" ht="18" customHeight="1">
      <x:c r="A1115" s="10" t="str">
        <x:v>MOV000306</x:v>
      </x:c>
      <x:c r="B1115" s="16" t="n">
        <x:v>45780.42808957176</x:v>
      </x:c>
      <x:c r="C1115" s="10" t="str">
        <x:v>EMP003</x:v>
      </x:c>
      <x:c r="D1115" s="10" t="str">
        <x:v>CTA006</x:v>
      </x:c>
      <x:c r="E1115" s="10" t="str">
        <x:v>Saída</x:v>
      </x:c>
      <x:c r="F1115" s="10" t="str">
        <x:v>CAT012</x:v>
      </x:c>
      <x:c r="G1115" s="10" t="str">
        <x:v>Contrato recorrente</x:v>
      </x:c>
      <x:c r="H1115" s="10" t="str">
        <x:v>PAG00355</x:v>
      </x:c>
      <x:c r="I1115" s="20" t="n">
        <x:v>116075.46</x:v>
      </x:c>
      <x:c r="J1115" s="20" t="n">
        <x:v>-116075.46</x:v>
      </x:c>
      <x:c r="K1115" s="10" t="str">
        <x:v>Realizado</x:v>
      </x:c>
      <x:c r="L1115" s="10" t="str">
        <x:v>Contas a Pagar</x:v>
      </x:c>
    </x:row>
    <x:row r="1116" ht="18" customHeight="1">
      <x:c r="A1116" s="10" t="str">
        <x:v>MOV001257</x:v>
      </x:c>
      <x:c r="B1116" s="16" t="n">
        <x:v>45780.78733225694</x:v>
      </x:c>
      <x:c r="C1116" s="10" t="str">
        <x:v>EMP002</x:v>
      </x:c>
      <x:c r="D1116" s="10" t="str">
        <x:v>CTA004</x:v>
      </x:c>
      <x:c r="E1116" s="10" t="str">
        <x:v>Entrada</x:v>
      </x:c>
      <x:c r="F1116" s="10" t="str">
        <x:v>CAT004</x:v>
      </x:c>
      <x:c r="G1116" s="10" t="str">
        <x:v>Venda de produtos</x:v>
      </x:c>
      <x:c r="H1116" s="10" t="str">
        <x:v>REC00612</x:v>
      </x:c>
      <x:c r="I1116" s="20" t="n">
        <x:v>96218.7</x:v>
      </x:c>
      <x:c r="J1116" s="20" t="n">
        <x:v>96218.7</x:v>
      </x:c>
      <x:c r="K1116" s="10" t="str">
        <x:v>Realizado</x:v>
      </x:c>
      <x:c r="L1116" s="10" t="str">
        <x:v>Contas a Receber</x:v>
      </x:c>
    </x:row>
    <x:row r="1117" ht="18" customHeight="1">
      <x:c r="A1117" s="10" t="str">
        <x:v>MOV000548</x:v>
      </x:c>
      <x:c r="B1117" s="16" t="n">
        <x:v>45780.836301863426</x:v>
      </x:c>
      <x:c r="C1117" s="10" t="str">
        <x:v>EMP002</x:v>
      </x:c>
      <x:c r="D1117" s="10" t="str">
        <x:v>CTA003</x:v>
      </x:c>
      <x:c r="E1117" s="10" t="str">
        <x:v>Saída</x:v>
      </x:c>
      <x:c r="F1117" s="10" t="str">
        <x:v>CAT018</x:v>
      </x:c>
      <x:c r="G1117" s="10" t="str">
        <x:v>Contrato recorrente</x:v>
      </x:c>
      <x:c r="H1117" s="10" t="str">
        <x:v>PAG00642</x:v>
      </x:c>
      <x:c r="I1117" s="20" t="n">
        <x:v>116117.46</x:v>
      </x:c>
      <x:c r="J1117" s="20" t="n">
        <x:v>-116117.46</x:v>
      </x:c>
      <x:c r="K1117" s="10" t="str">
        <x:v>Realizado</x:v>
      </x:c>
      <x:c r="L1117" s="10" t="str">
        <x:v>Contas a Pagar</x:v>
      </x:c>
    </x:row>
    <x:row r="1118" ht="18" customHeight="1">
      <x:c r="A1118" s="10" t="str">
        <x:v>MOV001401</x:v>
      </x:c>
      <x:c r="B1118" s="16" t="n">
        <x:v>45781.293515763886</x:v>
      </x:c>
      <x:c r="C1118" s="10" t="str">
        <x:v>EMP002</x:v>
      </x:c>
      <x:c r="D1118" s="10" t="str">
        <x:v>CTA003</x:v>
      </x:c>
      <x:c r="E1118" s="10" t="str">
        <x:v>Entrada</x:v>
      </x:c>
      <x:c r="F1118" s="10" t="str">
        <x:v>CAT003</x:v>
      </x:c>
      <x:c r="G1118" s="10" t="str">
        <x:v>Frete faturado</x:v>
      </x:c>
      <x:c r="H1118" s="10" t="str">
        <x:v>REC00781</x:v>
      </x:c>
      <x:c r="I1118" s="20" t="n">
        <x:v>70967.28</x:v>
      </x:c>
      <x:c r="J1118" s="20" t="n">
        <x:v>70967.28</x:v>
      </x:c>
      <x:c r="K1118" s="10" t="str">
        <x:v>Realizado</x:v>
      </x:c>
      <x:c r="L1118" s="10" t="str">
        <x:v>Contas a Receber</x:v>
      </x:c>
    </x:row>
    <x:row r="1119" ht="18" customHeight="1">
      <x:c r="A1119" s="10" t="str">
        <x:v>MOV000612</x:v>
      </x:c>
      <x:c r="B1119" s="16" t="n">
        <x:v>45781.596016041665</x:v>
      </x:c>
      <x:c r="C1119" s="10" t="str">
        <x:v>EMP001</x:v>
      </x:c>
      <x:c r="D1119" s="10" t="str">
        <x:v>CTA001</x:v>
      </x:c>
      <x:c r="E1119" s="10" t="str">
        <x:v>Saída</x:v>
      </x:c>
      <x:c r="F1119" s="10" t="str">
        <x:v>CAT013</x:v>
      </x:c>
      <x:c r="G1119" s="10" t="str">
        <x:v>Compra de materiais</x:v>
      </x:c>
      <x:c r="H1119" s="10" t="str">
        <x:v>PAG00724</x:v>
      </x:c>
      <x:c r="I1119" s="20" t="n">
        <x:v>20152.25</x:v>
      </x:c>
      <x:c r="J1119" s="20" t="n">
        <x:v>-20152.25</x:v>
      </x:c>
      <x:c r="K1119" s="10" t="str">
        <x:v>Realizado</x:v>
      </x:c>
      <x:c r="L1119" s="10" t="str">
        <x:v>Contas a Pagar</x:v>
      </x:c>
    </x:row>
    <x:row r="1120" ht="18" customHeight="1">
      <x:c r="A1120" s="10" t="str">
        <x:v>MOV000305</x:v>
      </x:c>
      <x:c r="B1120" s="16" t="n">
        <x:v>45781.68308275463</x:v>
      </x:c>
      <x:c r="C1120" s="10" t="str">
        <x:v>EMP002</x:v>
      </x:c>
      <x:c r="D1120" s="10" t="str">
        <x:v>CTA004</x:v>
      </x:c>
      <x:c r="E1120" s="10" t="str">
        <x:v>Saída</x:v>
      </x:c>
      <x:c r="F1120" s="10" t="str">
        <x:v>CAT007</x:v>
      </x:c>
      <x:c r="G1120" s="10" t="str">
        <x:v>Tributos e taxas</x:v>
      </x:c>
      <x:c r="H1120" s="10" t="str">
        <x:v>PAG00354</x:v>
      </x:c>
      <x:c r="I1120" s="20" t="n">
        <x:v>65939.86</x:v>
      </x:c>
      <x:c r="J1120" s="20" t="n">
        <x:v>-65939.86</x:v>
      </x:c>
      <x:c r="K1120" s="10" t="str">
        <x:v>Realizado</x:v>
      </x:c>
      <x:c r="L1120" s="10" t="str">
        <x:v>Contas a Pagar</x:v>
      </x:c>
    </x:row>
    <x:row r="1121" ht="18" customHeight="1">
      <x:c r="A1121" s="10" t="str">
        <x:v>MOV000213</x:v>
      </x:c>
      <x:c r="B1121" s="16" t="n">
        <x:v>45783.13596828704</x:v>
      </x:c>
      <x:c r="C1121" s="10" t="str">
        <x:v>EMP003</x:v>
      </x:c>
      <x:c r="D1121" s="10" t="str">
        <x:v>CTA006</x:v>
      </x:c>
      <x:c r="E1121" s="10" t="str">
        <x:v>Saída</x:v>
      </x:c>
      <x:c r="F1121" s="10" t="str">
        <x:v>CAT014</x:v>
      </x:c>
      <x:c r="G1121" s="10" t="str">
        <x:v>Despesa operacional</x:v>
      </x:c>
      <x:c r="H1121" s="10" t="str">
        <x:v>PAG00247</x:v>
      </x:c>
      <x:c r="I1121" s="20" t="n">
        <x:v>23091.46</x:v>
      </x:c>
      <x:c r="J1121" s="20" t="n">
        <x:v>-23091.46</x:v>
      </x:c>
      <x:c r="K1121" s="10" t="str">
        <x:v>Realizado</x:v>
      </x:c>
      <x:c r="L1121" s="10" t="str">
        <x:v>Contas a Pagar</x:v>
      </x:c>
    </x:row>
    <x:row r="1122" ht="18" customHeight="1">
      <x:c r="A1122" s="10" t="str">
        <x:v>MOV000660</x:v>
      </x:c>
      <x:c r="B1122" s="16" t="n">
        <x:v>45784.60116115741</x:v>
      </x:c>
      <x:c r="C1122" s="10" t="str">
        <x:v>EMP003</x:v>
      </x:c>
      <x:c r="D1122" s="10" t="str">
        <x:v>CTA006</x:v>
      </x:c>
      <x:c r="E1122" s="10" t="str">
        <x:v>Saída</x:v>
      </x:c>
      <x:c r="F1122" s="10" t="str">
        <x:v>CAT010</x:v>
      </x:c>
      <x:c r="G1122" s="10" t="str">
        <x:v>Despesa operacional</x:v>
      </x:c>
      <x:c r="H1122" s="10" t="str">
        <x:v>PAG00784</x:v>
      </x:c>
      <x:c r="I1122" s="20" t="n">
        <x:v>91401.11</x:v>
      </x:c>
      <x:c r="J1122" s="20" t="n">
        <x:v>-91401.11</x:v>
      </x:c>
      <x:c r="K1122" s="10" t="str">
        <x:v>Realizado</x:v>
      </x:c>
      <x:c r="L1122" s="10" t="str">
        <x:v>Contas a Pagar</x:v>
      </x:c>
    </x:row>
    <x:row r="1123" ht="18" customHeight="1">
      <x:c r="A1123" s="10" t="str">
        <x:v>MOV000270</x:v>
      </x:c>
      <x:c r="B1123" s="16" t="n">
        <x:v>45784.76180693287</x:v>
      </x:c>
      <x:c r="C1123" s="10" t="str">
        <x:v>EMP003</x:v>
      </x:c>
      <x:c r="D1123" s="10" t="str">
        <x:v>CTA005</x:v>
      </x:c>
      <x:c r="E1123" s="10" t="str">
        <x:v>Saída</x:v>
      </x:c>
      <x:c r="F1123" s="10" t="str">
        <x:v>CAT011</x:v>
      </x:c>
      <x:c r="G1123" s="10" t="str">
        <x:v>Despesa operacional</x:v>
      </x:c>
      <x:c r="H1123" s="10" t="str">
        <x:v>PAG00314</x:v>
      </x:c>
      <x:c r="I1123" s="20" t="n">
        <x:v>68970.85</x:v>
      </x:c>
      <x:c r="J1123" s="20" t="n">
        <x:v>-68970.85</x:v>
      </x:c>
      <x:c r="K1123" s="10" t="str">
        <x:v>Realizado</x:v>
      </x:c>
      <x:c r="L1123" s="10" t="str">
        <x:v>Contas a Pagar</x:v>
      </x:c>
    </x:row>
    <x:row r="1124" ht="18" customHeight="1">
      <x:c r="A1124" s="10" t="str">
        <x:v>MOV001063</x:v>
      </x:c>
      <x:c r="B1124" s="16" t="n">
        <x:v>45785.83593625</x:v>
      </x:c>
      <x:c r="C1124" s="10" t="str">
        <x:v>EMP003</x:v>
      </x:c>
      <x:c r="D1124" s="10" t="str">
        <x:v>CTA005</x:v>
      </x:c>
      <x:c r="E1124" s="10" t="str">
        <x:v>Entrada</x:v>
      </x:c>
      <x:c r="F1124" s="10" t="str">
        <x:v>CAT001</x:v>
      </x:c>
      <x:c r="G1124" s="10" t="str">
        <x:v>Projeto especial</x:v>
      </x:c>
      <x:c r="H1124" s="10" t="str">
        <x:v>REC00380</x:v>
      </x:c>
      <x:c r="I1124" s="20" t="n">
        <x:v>8830.67</x:v>
      </x:c>
      <x:c r="J1124" s="20" t="n">
        <x:v>8830.67</x:v>
      </x:c>
      <x:c r="K1124" s="10" t="str">
        <x:v>Realizado</x:v>
      </x:c>
      <x:c r="L1124" s="10" t="str">
        <x:v>Contas a Receber</x:v>
      </x:c>
    </x:row>
    <x:row r="1125" ht="18" customHeight="1">
      <x:c r="A1125" s="10" t="str">
        <x:v>MOV000477</x:v>
      </x:c>
      <x:c r="B1125" s="16" t="n">
        <x:v>45786.15910387731</x:v>
      </x:c>
      <x:c r="C1125" s="10" t="str">
        <x:v>EMP003</x:v>
      </x:c>
      <x:c r="D1125" s="10" t="str">
        <x:v>CTA005</x:v>
      </x:c>
      <x:c r="E1125" s="10" t="str">
        <x:v>Saída</x:v>
      </x:c>
      <x:c r="F1125" s="10" t="str">
        <x:v>CAT010</x:v>
      </x:c>
      <x:c r="G1125" s="10" t="str">
        <x:v>Contrato recorrente</x:v>
      </x:c>
      <x:c r="H1125" s="10" t="str">
        <x:v>PAG00559</x:v>
      </x:c>
      <x:c r="I1125" s="20" t="n">
        <x:v>3506.97</x:v>
      </x:c>
      <x:c r="J1125" s="20" t="n">
        <x:v>-3506.97</x:v>
      </x:c>
      <x:c r="K1125" s="10" t="str">
        <x:v>Realizado</x:v>
      </x:c>
      <x:c r="L1125" s="10" t="str">
        <x:v>Contas a Pagar</x:v>
      </x:c>
    </x:row>
    <x:row r="1126" ht="18" customHeight="1">
      <x:c r="A1126" s="10" t="str">
        <x:v>MOV000260</x:v>
      </x:c>
      <x:c r="B1126" s="16" t="n">
        <x:v>45786.57504700231</x:v>
      </x:c>
      <x:c r="C1126" s="10" t="str">
        <x:v>EMP003</x:v>
      </x:c>
      <x:c r="D1126" s="10" t="str">
        <x:v>CTA005</x:v>
      </x:c>
      <x:c r="E1126" s="10" t="str">
        <x:v>Saída</x:v>
      </x:c>
      <x:c r="F1126" s="10" t="str">
        <x:v>CAT012</x:v>
      </x:c>
      <x:c r="G1126" s="10" t="str">
        <x:v>Compra de materiais</x:v>
      </x:c>
      <x:c r="H1126" s="10" t="str">
        <x:v>PAG00303</x:v>
      </x:c>
      <x:c r="I1126" s="20" t="n">
        <x:v>7208.51</x:v>
      </x:c>
      <x:c r="J1126" s="20" t="n">
        <x:v>-7208.51</x:v>
      </x:c>
      <x:c r="K1126" s="10" t="str">
        <x:v>Realizado</x:v>
      </x:c>
      <x:c r="L1126" s="10" t="str">
        <x:v>Contas a Pagar</x:v>
      </x:c>
    </x:row>
    <x:row r="1127" ht="18" customHeight="1">
      <x:c r="A1127" s="10" t="str">
        <x:v>MOV000785</x:v>
      </x:c>
      <x:c r="B1127" s="16" t="n">
        <x:v>45786.722045601855</x:v>
      </x:c>
      <x:c r="C1127" s="10" t="str">
        <x:v>EMP003</x:v>
      </x:c>
      <x:c r="D1127" s="10" t="str">
        <x:v>CTA005</x:v>
      </x:c>
      <x:c r="E1127" s="10" t="str">
        <x:v>Entrada</x:v>
      </x:c>
      <x:c r="F1127" s="10" t="str">
        <x:v>CAT001</x:v>
      </x:c>
      <x:c r="G1127" s="10" t="str">
        <x:v>Contrato mensal</x:v>
      </x:c>
      <x:c r="H1127" s="10" t="str">
        <x:v>REC00041</x:v>
      </x:c>
      <x:c r="I1127" s="20" t="n">
        <x:v>33462.58</x:v>
      </x:c>
      <x:c r="J1127" s="20" t="n">
        <x:v>33462.58</x:v>
      </x:c>
      <x:c r="K1127" s="10" t="str">
        <x:v>Realizado</x:v>
      </x:c>
      <x:c r="L1127" s="10" t="str">
        <x:v>Contas a Receber</x:v>
      </x:c>
    </x:row>
    <x:row r="1128" ht="18" customHeight="1">
      <x:c r="A1128" s="10" t="str">
        <x:v>MOV000839</x:v>
      </x:c>
      <x:c r="B1128" s="16" t="n">
        <x:v>45787.35946318287</x:v>
      </x:c>
      <x:c r="C1128" s="10" t="str">
        <x:v>EMP003</x:v>
      </x:c>
      <x:c r="D1128" s="10" t="str">
        <x:v>CTA005</x:v>
      </x:c>
      <x:c r="E1128" s="10" t="str">
        <x:v>Entrada</x:v>
      </x:c>
      <x:c r="F1128" s="10" t="str">
        <x:v>CAT001</x:v>
      </x:c>
      <x:c r="G1128" s="10" t="str">
        <x:v>Prestação de serviços</x:v>
      </x:c>
      <x:c r="H1128" s="10" t="str">
        <x:v>REC00104</x:v>
      </x:c>
      <x:c r="I1128" s="20" t="n">
        <x:v>46450.38</x:v>
      </x:c>
      <x:c r="J1128" s="20" t="n">
        <x:v>46450.38</x:v>
      </x:c>
      <x:c r="K1128" s="10" t="str">
        <x:v>Realizado</x:v>
      </x:c>
      <x:c r="L1128" s="10" t="str">
        <x:v>Contas a Receber</x:v>
      </x:c>
    </x:row>
    <x:row r="1129" ht="18" customHeight="1">
      <x:c r="A1129" s="10" t="str">
        <x:v>MOV000010</x:v>
      </x:c>
      <x:c r="B1129" s="16" t="n">
        <x:v>45788.24498480324</x:v>
      </x:c>
      <x:c r="C1129" s="10" t="str">
        <x:v>EMP003</x:v>
      </x:c>
      <x:c r="D1129" s="10" t="str">
        <x:v>CTA005</x:v>
      </x:c>
      <x:c r="E1129" s="10" t="str">
        <x:v>Saída</x:v>
      </x:c>
      <x:c r="F1129" s="10" t="str">
        <x:v>CAT005</x:v>
      </x:c>
      <x:c r="G1129" s="10" t="str">
        <x:v>Despesa operacional</x:v>
      </x:c>
      <x:c r="H1129" s="10" t="str">
        <x:v>PAG00007</x:v>
      </x:c>
      <x:c r="I1129" s="20" t="n">
        <x:v>2158.92</x:v>
      </x:c>
      <x:c r="J1129" s="20" t="n">
        <x:v>-2158.92</x:v>
      </x:c>
      <x:c r="K1129" s="10" t="str">
        <x:v>Realizado</x:v>
      </x:c>
      <x:c r="L1129" s="10" t="str">
        <x:v>Contas a Pagar</x:v>
      </x:c>
    </x:row>
    <x:row r="1130" ht="18" customHeight="1">
      <x:c r="A1130" s="10" t="str">
        <x:v>MOV000310</x:v>
      </x:c>
      <x:c r="B1130" s="16" t="n">
        <x:v>45789.32753173611</x:v>
      </x:c>
      <x:c r="C1130" s="10" t="str">
        <x:v>EMP002</x:v>
      </x:c>
      <x:c r="D1130" s="10" t="str">
        <x:v>CTA003</x:v>
      </x:c>
      <x:c r="E1130" s="10" t="str">
        <x:v>Saída</x:v>
      </x:c>
      <x:c r="F1130" s="10" t="str">
        <x:v>CAT018</x:v>
      </x:c>
      <x:c r="G1130" s="10" t="str">
        <x:v>Prestação de serviços</x:v>
      </x:c>
      <x:c r="H1130" s="10" t="str">
        <x:v>PAG00359</x:v>
      </x:c>
      <x:c r="I1130" s="20" t="n">
        <x:v>28136.91</x:v>
      </x:c>
      <x:c r="J1130" s="20" t="n">
        <x:v>-28136.91</x:v>
      </x:c>
      <x:c r="K1130" s="10" t="str">
        <x:v>Realizado</x:v>
      </x:c>
      <x:c r="L1130" s="10" t="str">
        <x:v>Contas a Pagar</x:v>
      </x:c>
    </x:row>
    <x:row r="1131" ht="18" customHeight="1">
      <x:c r="A1131" s="10" t="str">
        <x:v>MOV001278</x:v>
      </x:c>
      <x:c r="B1131" s="16" t="n">
        <x:v>45789.81603959491</x:v>
      </x:c>
      <x:c r="C1131" s="10" t="str">
        <x:v>EMP001</x:v>
      </x:c>
      <x:c r="D1131" s="10" t="str">
        <x:v>CTA002</x:v>
      </x:c>
      <x:c r="E1131" s="10" t="str">
        <x:v>Entrada</x:v>
      </x:c>
      <x:c r="F1131" s="10" t="str">
        <x:v>CAT004</x:v>
      </x:c>
      <x:c r="G1131" s="10" t="str">
        <x:v>Venda de produtos</x:v>
      </x:c>
      <x:c r="H1131" s="10" t="str">
        <x:v>REC00638</x:v>
      </x:c>
      <x:c r="I1131" s="20" t="n">
        <x:v>68224.84</x:v>
      </x:c>
      <x:c r="J1131" s="20" t="n">
        <x:v>68224.84</x:v>
      </x:c>
      <x:c r="K1131" s="10" t="str">
        <x:v>Realizado</x:v>
      </x:c>
      <x:c r="L1131" s="10" t="str">
        <x:v>Contas a Receber</x:v>
      </x:c>
    </x:row>
    <x:row r="1132" ht="18" customHeight="1">
      <x:c r="A1132" s="10" t="str">
        <x:v>MOV000974</x:v>
      </x:c>
      <x:c r="B1132" s="16" t="n">
        <x:v>45789.90406069445</x:v>
      </x:c>
      <x:c r="C1132" s="10" t="str">
        <x:v>EMP002</x:v>
      </x:c>
      <x:c r="D1132" s="10" t="str">
        <x:v>CTA003</x:v>
      </x:c>
      <x:c r="E1132" s="10" t="str">
        <x:v>Entrada</x:v>
      </x:c>
      <x:c r="F1132" s="10" t="str">
        <x:v>CAT003</x:v>
      </x:c>
      <x:c r="G1132" s="10" t="str">
        <x:v>Prestação de serviços</x:v>
      </x:c>
      <x:c r="H1132" s="10" t="str">
        <x:v>REC00267</x:v>
      </x:c>
      <x:c r="I1132" s="20" t="n">
        <x:v>21673.58</x:v>
      </x:c>
      <x:c r="J1132" s="20" t="n">
        <x:v>21673.58</x:v>
      </x:c>
      <x:c r="K1132" s="10" t="str">
        <x:v>Realizado</x:v>
      </x:c>
      <x:c r="L1132" s="10" t="str">
        <x:v>Contas a Receber</x:v>
      </x:c>
    </x:row>
    <x:row r="1133" ht="18" customHeight="1">
      <x:c r="A1133" s="10" t="str">
        <x:v>MOV000225</x:v>
      </x:c>
      <x:c r="B1133" s="16" t="n">
        <x:v>45789.90799327546</x:v>
      </x:c>
      <x:c r="C1133" s="10" t="str">
        <x:v>EMP002</x:v>
      </x:c>
      <x:c r="D1133" s="10" t="str">
        <x:v>CTA003</x:v>
      </x:c>
      <x:c r="E1133" s="10" t="str">
        <x:v>Saída</x:v>
      </x:c>
      <x:c r="F1133" s="10" t="str">
        <x:v>CAT016</x:v>
      </x:c>
      <x:c r="G1133" s="10" t="str">
        <x:v>Compra de materiais</x:v>
      </x:c>
      <x:c r="H1133" s="10" t="str">
        <x:v>PAG00263</x:v>
      </x:c>
      <x:c r="I1133" s="20" t="n">
        <x:v>97921.38</x:v>
      </x:c>
      <x:c r="J1133" s="20" t="n">
        <x:v>-97921.38</x:v>
      </x:c>
      <x:c r="K1133" s="10" t="str">
        <x:v>Realizado</x:v>
      </x:c>
      <x:c r="L1133" s="10" t="str">
        <x:v>Contas a Pagar</x:v>
      </x:c>
    </x:row>
    <x:row r="1134" ht="18" customHeight="1">
      <x:c r="A1134" s="10" t="str">
        <x:v>MOV000385</x:v>
      </x:c>
      <x:c r="B1134" s="16" t="n">
        <x:v>45790.3418521875</x:v>
      </x:c>
      <x:c r="C1134" s="10" t="str">
        <x:v>EMP003</x:v>
      </x:c>
      <x:c r="D1134" s="10" t="str">
        <x:v>CTA006</x:v>
      </x:c>
      <x:c r="E1134" s="10" t="str">
        <x:v>Saída</x:v>
      </x:c>
      <x:c r="F1134" s="10" t="str">
        <x:v>CAT009</x:v>
      </x:c>
      <x:c r="G1134" s="10" t="str">
        <x:v>Compra de materiais</x:v>
      </x:c>
      <x:c r="H1134" s="10" t="str">
        <x:v>PAG00447</x:v>
      </x:c>
      <x:c r="I1134" s="20" t="n">
        <x:v>2650.19</x:v>
      </x:c>
      <x:c r="J1134" s="20" t="n">
        <x:v>-2650.19</x:v>
      </x:c>
      <x:c r="K1134" s="10" t="str">
        <x:v>Realizado</x:v>
      </x:c>
      <x:c r="L1134" s="10" t="str">
        <x:v>Contas a Pagar</x:v>
      </x:c>
    </x:row>
    <x:row r="1135" ht="18" customHeight="1">
      <x:c r="A1135" s="10" t="str">
        <x:v>MOV001504</x:v>
      </x:c>
      <x:c r="B1135" s="16" t="n">
        <x:v>45790.68453048611</x:v>
      </x:c>
      <x:c r="C1135" s="10" t="str">
        <x:v>EMP002</x:v>
      </x:c>
      <x:c r="D1135" s="10" t="str">
        <x:v>CTA004</x:v>
      </x:c>
      <x:c r="E1135" s="10" t="str">
        <x:v>Entrada</x:v>
      </x:c>
      <x:c r="F1135" s="10" t="str">
        <x:v>CAT004</x:v>
      </x:c>
      <x:c r="G1135" s="10" t="str">
        <x:v>Prestação de serviços</x:v>
      </x:c>
      <x:c r="H1135" s="10" t="str">
        <x:v>REC00913</x:v>
      </x:c>
      <x:c r="I1135" s="20" t="n">
        <x:v>15830.87</x:v>
      </x:c>
      <x:c r="J1135" s="20" t="n">
        <x:v>15830.87</x:v>
      </x:c>
      <x:c r="K1135" s="10" t="str">
        <x:v>Realizado</x:v>
      </x:c>
      <x:c r="L1135" s="10" t="str">
        <x:v>Contas a Receber</x:v>
      </x:c>
    </x:row>
    <x:row r="1136" ht="18" customHeight="1">
      <x:c r="A1136" s="10" t="str">
        <x:v>MOV001563</x:v>
      </x:c>
      <x:c r="B1136" s="16" t="n">
        <x:v>45790.85582011574</x:v>
      </x:c>
      <x:c r="C1136" s="10" t="str">
        <x:v>EMP002</x:v>
      </x:c>
      <x:c r="D1136" s="10" t="str">
        <x:v>CTA003</x:v>
      </x:c>
      <x:c r="E1136" s="10" t="str">
        <x:v>Entrada</x:v>
      </x:c>
      <x:c r="F1136" s="10" t="str">
        <x:v>CAT004</x:v>
      </x:c>
      <x:c r="G1136" s="10" t="str">
        <x:v>Venda de produtos</x:v>
      </x:c>
      <x:c r="H1136" s="10" t="str">
        <x:v>REC00984</x:v>
      </x:c>
      <x:c r="I1136" s="20" t="n">
        <x:v>60169.8</x:v>
      </x:c>
      <x:c r="J1136" s="20" t="n">
        <x:v>60169.8</x:v>
      </x:c>
      <x:c r="K1136" s="10" t="str">
        <x:v>Realizado</x:v>
      </x:c>
      <x:c r="L1136" s="10" t="str">
        <x:v>Contas a Receber</x:v>
      </x:c>
    </x:row>
    <x:row r="1137" ht="18" customHeight="1">
      <x:c r="A1137" s="10" t="str">
        <x:v>MOV001128</x:v>
      </x:c>
      <x:c r="B1137" s="16" t="n">
        <x:v>45791.24335016204</x:v>
      </x:c>
      <x:c r="C1137" s="10" t="str">
        <x:v>EMP001</x:v>
      </x:c>
      <x:c r="D1137" s="10" t="str">
        <x:v>CTA001</x:v>
      </x:c>
      <x:c r="E1137" s="10" t="str">
        <x:v>Entrada</x:v>
      </x:c>
      <x:c r="F1137" s="10" t="str">
        <x:v>CAT001</x:v>
      </x:c>
      <x:c r="G1137" s="10" t="str">
        <x:v>Venda de produtos</x:v>
      </x:c>
      <x:c r="H1137" s="10" t="str">
        <x:v>REC00459</x:v>
      </x:c>
      <x:c r="I1137" s="20" t="n">
        <x:v>45121.66</x:v>
      </x:c>
      <x:c r="J1137" s="20" t="n">
        <x:v>45121.66</x:v>
      </x:c>
      <x:c r="K1137" s="10" t="str">
        <x:v>Realizado</x:v>
      </x:c>
      <x:c r="L1137" s="10" t="str">
        <x:v>Contas a Receber</x:v>
      </x:c>
    </x:row>
    <x:row r="1138" ht="18" customHeight="1">
      <x:c r="A1138" s="10" t="str">
        <x:v>MOV000605</x:v>
      </x:c>
      <x:c r="B1138" s="16" t="n">
        <x:v>45791.39346346065</x:v>
      </x:c>
      <x:c r="C1138" s="10" t="str">
        <x:v>EMP001</x:v>
      </x:c>
      <x:c r="D1138" s="10" t="str">
        <x:v>CTA002</x:v>
      </x:c>
      <x:c r="E1138" s="10" t="str">
        <x:v>Saída</x:v>
      </x:c>
      <x:c r="F1138" s="10" t="str">
        <x:v>CAT006</x:v>
      </x:c>
      <x:c r="G1138" s="10" t="str">
        <x:v>Contrato recorrente</x:v>
      </x:c>
      <x:c r="H1138" s="10" t="str">
        <x:v>PAG00717</x:v>
      </x:c>
      <x:c r="I1138" s="20" t="n">
        <x:v>2979.75</x:v>
      </x:c>
      <x:c r="J1138" s="20" t="n">
        <x:v>-2979.75</x:v>
      </x:c>
      <x:c r="K1138" s="10" t="str">
        <x:v>Realizado</x:v>
      </x:c>
      <x:c r="L1138" s="10" t="str">
        <x:v>Contas a Pagar</x:v>
      </x:c>
    </x:row>
    <x:row r="1139" ht="18" customHeight="1">
      <x:c r="A1139" s="10" t="str">
        <x:v>MOV000126</x:v>
      </x:c>
      <x:c r="B1139" s="16" t="n">
        <x:v>45791.58962240741</x:v>
      </x:c>
      <x:c r="C1139" s="10" t="str">
        <x:v>EMP003</x:v>
      </x:c>
      <x:c r="D1139" s="10" t="str">
        <x:v>CTA006</x:v>
      </x:c>
      <x:c r="E1139" s="10" t="str">
        <x:v>Saída</x:v>
      </x:c>
      <x:c r="F1139" s="10" t="str">
        <x:v>CAT005</x:v>
      </x:c>
      <x:c r="G1139" s="10" t="str">
        <x:v>Compra de materiais</x:v>
      </x:c>
      <x:c r="H1139" s="10" t="str">
        <x:v>PAG00146</x:v>
      </x:c>
      <x:c r="I1139" s="20" t="n">
        <x:v>16332.91</x:v>
      </x:c>
      <x:c r="J1139" s="20" t="n">
        <x:v>-16332.91</x:v>
      </x:c>
      <x:c r="K1139" s="10" t="str">
        <x:v>Realizado</x:v>
      </x:c>
      <x:c r="L1139" s="10" t="str">
        <x:v>Contas a Pagar</x:v>
      </x:c>
    </x:row>
    <x:row r="1140" ht="18" customHeight="1">
      <x:c r="A1140" s="10" t="str">
        <x:v>MOV000688</x:v>
      </x:c>
      <x:c r="B1140" s="16" t="n">
        <x:v>45792.39400517361</x:v>
      </x:c>
      <x:c r="C1140" s="10" t="str">
        <x:v>EMP003</x:v>
      </x:c>
      <x:c r="D1140" s="10" t="str">
        <x:v>CTA005</x:v>
      </x:c>
      <x:c r="E1140" s="10" t="str">
        <x:v>Saída</x:v>
      </x:c>
      <x:c r="F1140" s="10" t="str">
        <x:v>CAT007</x:v>
      </x:c>
      <x:c r="G1140" s="10" t="str">
        <x:v>Prestação de serviços</x:v>
      </x:c>
      <x:c r="H1140" s="10" t="str">
        <x:v>PAG00818</x:v>
      </x:c>
      <x:c r="I1140" s="20" t="n">
        <x:v>16341.28</x:v>
      </x:c>
      <x:c r="J1140" s="20" t="n">
        <x:v>-16341.28</x:v>
      </x:c>
      <x:c r="K1140" s="10" t="str">
        <x:v>Realizado</x:v>
      </x:c>
      <x:c r="L1140" s="10" t="str">
        <x:v>Contas a Pagar</x:v>
      </x:c>
    </x:row>
    <x:row r="1141" ht="18" customHeight="1">
      <x:c r="A1141" s="10" t="str">
        <x:v>MOV000076</x:v>
      </x:c>
      <x:c r="B1141" s="16" t="n">
        <x:v>45792.81652574074</x:v>
      </x:c>
      <x:c r="C1141" s="10" t="str">
        <x:v>EMP003</x:v>
      </x:c>
      <x:c r="D1141" s="10" t="str">
        <x:v>CTA006</x:v>
      </x:c>
      <x:c r="E1141" s="10" t="str">
        <x:v>Saída</x:v>
      </x:c>
      <x:c r="F1141" s="10" t="str">
        <x:v>CAT012</x:v>
      </x:c>
      <x:c r="G1141" s="10" t="str">
        <x:v>Contrato recorrente</x:v>
      </x:c>
      <x:c r="H1141" s="10" t="str">
        <x:v>PAG00085</x:v>
      </x:c>
      <x:c r="I1141" s="20" t="n">
        <x:v>27058.11</x:v>
      </x:c>
      <x:c r="J1141" s="20" t="n">
        <x:v>-27058.11</x:v>
      </x:c>
      <x:c r="K1141" s="10" t="str">
        <x:v>Realizado</x:v>
      </x:c>
      <x:c r="L1141" s="10" t="str">
        <x:v>Contas a Pagar</x:v>
      </x:c>
    </x:row>
    <x:row r="1142" ht="18" customHeight="1">
      <x:c r="A1142" s="10" t="str">
        <x:v>MOV000356</x:v>
      </x:c>
      <x:c r="B1142" s="16" t="n">
        <x:v>45793.23552436342</x:v>
      </x:c>
      <x:c r="C1142" s="10" t="str">
        <x:v>EMP001</x:v>
      </x:c>
      <x:c r="D1142" s="10" t="str">
        <x:v>CTA002</x:v>
      </x:c>
      <x:c r="E1142" s="10" t="str">
        <x:v>Saída</x:v>
      </x:c>
      <x:c r="F1142" s="10" t="str">
        <x:v>CAT012</x:v>
      </x:c>
      <x:c r="G1142" s="10" t="str">
        <x:v>Tributos e taxas</x:v>
      </x:c>
      <x:c r="H1142" s="10" t="str">
        <x:v>PAG00414</x:v>
      </x:c>
      <x:c r="I1142" s="20" t="n">
        <x:v>89892.99</x:v>
      </x:c>
      <x:c r="J1142" s="20" t="n">
        <x:v>-89892.99</x:v>
      </x:c>
      <x:c r="K1142" s="10" t="str">
        <x:v>Realizado</x:v>
      </x:c>
      <x:c r="L1142" s="10" t="str">
        <x:v>Contas a Pagar</x:v>
      </x:c>
    </x:row>
    <x:row r="1143" ht="18" customHeight="1">
      <x:c r="A1143" s="10" t="str">
        <x:v>MOV000179</x:v>
      </x:c>
      <x:c r="B1143" s="16" t="n">
        <x:v>45793.46817344907</x:v>
      </x:c>
      <x:c r="C1143" s="10" t="str">
        <x:v>EMP001</x:v>
      </x:c>
      <x:c r="D1143" s="10" t="str">
        <x:v>CTA001</x:v>
      </x:c>
      <x:c r="E1143" s="10" t="str">
        <x:v>Saída</x:v>
      </x:c>
      <x:c r="F1143" s="10" t="str">
        <x:v>CAT009</x:v>
      </x:c>
      <x:c r="G1143" s="10" t="str">
        <x:v>Despesa operacional</x:v>
      </x:c>
      <x:c r="H1143" s="10" t="str">
        <x:v>PAG00210</x:v>
      </x:c>
      <x:c r="I1143" s="20" t="n">
        <x:v>53762.99</x:v>
      </x:c>
      <x:c r="J1143" s="20" t="n">
        <x:v>-53762.99</x:v>
      </x:c>
      <x:c r="K1143" s="10" t="str">
        <x:v>Realizado</x:v>
      </x:c>
      <x:c r="L1143" s="10" t="str">
        <x:v>Contas a Pagar</x:v>
      </x:c>
    </x:row>
    <x:row r="1144" ht="18" customHeight="1">
      <x:c r="A1144" s="10" t="str">
        <x:v>MOV000104</x:v>
      </x:c>
      <x:c r="B1144" s="16" t="n">
        <x:v>45793.9739294213</x:v>
      </x:c>
      <x:c r="C1144" s="10" t="str">
        <x:v>EMP003</x:v>
      </x:c>
      <x:c r="D1144" s="10" t="str">
        <x:v>CTA006</x:v>
      </x:c>
      <x:c r="E1144" s="10" t="str">
        <x:v>Saída</x:v>
      </x:c>
      <x:c r="F1144" s="10" t="str">
        <x:v>CAT007</x:v>
      </x:c>
      <x:c r="G1144" s="10" t="str">
        <x:v>Tributos e taxas</x:v>
      </x:c>
      <x:c r="H1144" s="10" t="str">
        <x:v>PAG00115</x:v>
      </x:c>
      <x:c r="I1144" s="20" t="n">
        <x:v>89068.84</x:v>
      </x:c>
      <x:c r="J1144" s="20" t="n">
        <x:v>-89068.84</x:v>
      </x:c>
      <x:c r="K1144" s="10" t="str">
        <x:v>Realizado</x:v>
      </x:c>
      <x:c r="L1144" s="10" t="str">
        <x:v>Contas a Pagar</x:v>
      </x:c>
    </x:row>
    <x:row r="1145" ht="18" customHeight="1">
      <x:c r="A1145" s="10" t="str">
        <x:v>MOV000808</x:v>
      </x:c>
      <x:c r="B1145" s="16" t="n">
        <x:v>45794.039538460645</x:v>
      </x:c>
      <x:c r="C1145" s="10" t="str">
        <x:v>EMP002</x:v>
      </x:c>
      <x:c r="D1145" s="10" t="str">
        <x:v>CTA003</x:v>
      </x:c>
      <x:c r="E1145" s="10" t="str">
        <x:v>Entrada</x:v>
      </x:c>
      <x:c r="F1145" s="10" t="str">
        <x:v>CAT003</x:v>
      </x:c>
      <x:c r="G1145" s="10" t="str">
        <x:v>Venda de produtos</x:v>
      </x:c>
      <x:c r="H1145" s="10" t="str">
        <x:v>REC00067</x:v>
      </x:c>
      <x:c r="I1145" s="20" t="n">
        <x:v>11693.6</x:v>
      </x:c>
      <x:c r="J1145" s="20" t="n">
        <x:v>11693.6</x:v>
      </x:c>
      <x:c r="K1145" s="10" t="str">
        <x:v>Realizado</x:v>
      </x:c>
      <x:c r="L1145" s="10" t="str">
        <x:v>Contas a Receber</x:v>
      </x:c>
    </x:row>
    <x:row r="1146" ht="18" customHeight="1">
      <x:c r="A1146" s="10" t="str">
        <x:v>MOV000090</x:v>
      </x:c>
      <x:c r="B1146" s="16" t="n">
        <x:v>45794.17759230324</x:v>
      </x:c>
      <x:c r="C1146" s="10" t="str">
        <x:v>EMP001</x:v>
      </x:c>
      <x:c r="D1146" s="10" t="str">
        <x:v>CTA001</x:v>
      </x:c>
      <x:c r="E1146" s="10" t="str">
        <x:v>Saída</x:v>
      </x:c>
      <x:c r="F1146" s="10" t="str">
        <x:v>CAT012</x:v>
      </x:c>
      <x:c r="G1146" s="10" t="str">
        <x:v>Contrato recorrente</x:v>
      </x:c>
      <x:c r="H1146" s="10" t="str">
        <x:v>PAG00101</x:v>
      </x:c>
      <x:c r="I1146" s="20" t="n">
        <x:v>22236.19</x:v>
      </x:c>
      <x:c r="J1146" s="20" t="n">
        <x:v>-22236.19</x:v>
      </x:c>
      <x:c r="K1146" s="10" t="str">
        <x:v>Realizado</x:v>
      </x:c>
      <x:c r="L1146" s="10" t="str">
        <x:v>Contas a Pagar</x:v>
      </x:c>
    </x:row>
    <x:row r="1147" ht="18" customHeight="1">
      <x:c r="A1147" s="10" t="str">
        <x:v>MOV001602</x:v>
      </x:c>
      <x:c r="B1147" s="16" t="n">
        <x:v>45794.38001501157</x:v>
      </x:c>
      <x:c r="C1147" s="10" t="str">
        <x:v>EMP001</x:v>
      </x:c>
      <x:c r="D1147" s="10" t="str">
        <x:v>CTA001</x:v>
      </x:c>
      <x:c r="E1147" s="10" t="str">
        <x:v>Entrada</x:v>
      </x:c>
      <x:c r="F1147" s="10" t="str">
        <x:v>CAT004</x:v>
      </x:c>
      <x:c r="G1147" s="10" t="str">
        <x:v>Projeto especial</x:v>
      </x:c>
      <x:c r="H1147" s="10" t="str">
        <x:v>REC01030</x:v>
      </x:c>
      <x:c r="I1147" s="20" t="n">
        <x:v>850.73</x:v>
      </x:c>
      <x:c r="J1147" s="20" t="n">
        <x:v>850.73</x:v>
      </x:c>
      <x:c r="K1147" s="10" t="str">
        <x:v>Realizado</x:v>
      </x:c>
      <x:c r="L1147" s="10" t="str">
        <x:v>Contas a Receber</x:v>
      </x:c>
    </x:row>
    <x:row r="1148" ht="18" customHeight="1">
      <x:c r="A1148" s="10" t="str">
        <x:v>MOV000154</x:v>
      </x:c>
      <x:c r="B1148" s="16" t="n">
        <x:v>45794.39947684028</x:v>
      </x:c>
      <x:c r="C1148" s="10" t="str">
        <x:v>EMP002</x:v>
      </x:c>
      <x:c r="D1148" s="10" t="str">
        <x:v>CTA003</x:v>
      </x:c>
      <x:c r="E1148" s="10" t="str">
        <x:v>Saída</x:v>
      </x:c>
      <x:c r="F1148" s="10" t="str">
        <x:v>CAT015</x:v>
      </x:c>
      <x:c r="G1148" s="10" t="str">
        <x:v>Prestação de serviços</x:v>
      </x:c>
      <x:c r="H1148" s="10" t="str">
        <x:v>PAG00180</x:v>
      </x:c>
      <x:c r="I1148" s="20" t="n">
        <x:v>5767.38</x:v>
      </x:c>
      <x:c r="J1148" s="20" t="n">
        <x:v>-5767.38</x:v>
      </x:c>
      <x:c r="K1148" s="10" t="str">
        <x:v>Realizado</x:v>
      </x:c>
      <x:c r="L1148" s="10" t="str">
        <x:v>Contas a Pagar</x:v>
      </x:c>
    </x:row>
    <x:row r="1149" ht="18" customHeight="1">
      <x:c r="A1149" s="10" t="str">
        <x:v>MOV001089</x:v>
      </x:c>
      <x:c r="B1149" s="16" t="n">
        <x:v>45794.81677921296</x:v>
      </x:c>
      <x:c r="C1149" s="10" t="str">
        <x:v>EMP001</x:v>
      </x:c>
      <x:c r="D1149" s="10" t="str">
        <x:v>CTA001</x:v>
      </x:c>
      <x:c r="E1149" s="10" t="str">
        <x:v>Entrada</x:v>
      </x:c>
      <x:c r="F1149" s="10" t="str">
        <x:v>CAT003</x:v>
      </x:c>
      <x:c r="G1149" s="10" t="str">
        <x:v>Frete faturado</x:v>
      </x:c>
      <x:c r="H1149" s="10" t="str">
        <x:v>REC00412</x:v>
      </x:c>
      <x:c r="I1149" s="20" t="n">
        <x:v>134811.61</x:v>
      </x:c>
      <x:c r="J1149" s="20" t="n">
        <x:v>134811.61</x:v>
      </x:c>
      <x:c r="K1149" s="10" t="str">
        <x:v>Realizado</x:v>
      </x:c>
      <x:c r="L1149" s="10" t="str">
        <x:v>Contas a Receber</x:v>
      </x:c>
    </x:row>
    <x:row r="1150" ht="18" customHeight="1">
      <x:c r="A1150" s="10" t="str">
        <x:v>MOV000877</x:v>
      </x:c>
      <x:c r="B1150" s="16" t="n">
        <x:v>45794.8461359375</x:v>
      </x:c>
      <x:c r="C1150" s="10" t="str">
        <x:v>EMP001</x:v>
      </x:c>
      <x:c r="D1150" s="10" t="str">
        <x:v>CTA001</x:v>
      </x:c>
      <x:c r="E1150" s="10" t="str">
        <x:v>Entrada</x:v>
      </x:c>
      <x:c r="F1150" s="10" t="str">
        <x:v>CAT002</x:v>
      </x:c>
      <x:c r="G1150" s="10" t="str">
        <x:v>Frete faturado</x:v>
      </x:c>
      <x:c r="H1150" s="10" t="str">
        <x:v>REC00148</x:v>
      </x:c>
      <x:c r="I1150" s="20" t="n">
        <x:v>33195.39</x:v>
      </x:c>
      <x:c r="J1150" s="20" t="n">
        <x:v>33195.39</x:v>
      </x:c>
      <x:c r="K1150" s="10" t="str">
        <x:v>Realizado</x:v>
      </x:c>
      <x:c r="L1150" s="10" t="str">
        <x:v>Contas a Receber</x:v>
      </x:c>
    </x:row>
    <x:row r="1151" ht="18" customHeight="1">
      <x:c r="A1151" s="10" t="str">
        <x:v>MOV001052</x:v>
      </x:c>
      <x:c r="B1151" s="16" t="n">
        <x:v>45795.74753797454</x:v>
      </x:c>
      <x:c r="C1151" s="10" t="str">
        <x:v>EMP003</x:v>
      </x:c>
      <x:c r="D1151" s="10" t="str">
        <x:v>CTA006</x:v>
      </x:c>
      <x:c r="E1151" s="10" t="str">
        <x:v>Entrada</x:v>
      </x:c>
      <x:c r="F1151" s="10" t="str">
        <x:v>CAT002</x:v>
      </x:c>
      <x:c r="G1151" s="10" t="str">
        <x:v>Contrato mensal</x:v>
      </x:c>
      <x:c r="H1151" s="10" t="str">
        <x:v>REC00363</x:v>
      </x:c>
      <x:c r="I1151" s="20" t="n">
        <x:v>138550.81</x:v>
      </x:c>
      <x:c r="J1151" s="20" t="n">
        <x:v>138550.81</x:v>
      </x:c>
      <x:c r="K1151" s="10" t="str">
        <x:v>Realizado</x:v>
      </x:c>
      <x:c r="L1151" s="10" t="str">
        <x:v>Contas a Receber</x:v>
      </x:c>
    </x:row>
    <x:row r="1152" ht="18" customHeight="1">
      <x:c r="A1152" s="10" t="str">
        <x:v>MOV000935</x:v>
      </x:c>
      <x:c r="B1152" s="16" t="n">
        <x:v>45796.28675299769</x:v>
      </x:c>
      <x:c r="C1152" s="10" t="str">
        <x:v>EMP002</x:v>
      </x:c>
      <x:c r="D1152" s="10" t="str">
        <x:v>CTA003</x:v>
      </x:c>
      <x:c r="E1152" s="10" t="str">
        <x:v>Entrada</x:v>
      </x:c>
      <x:c r="F1152" s="10" t="str">
        <x:v>CAT003</x:v>
      </x:c>
      <x:c r="G1152" s="10" t="str">
        <x:v>Projeto especial</x:v>
      </x:c>
      <x:c r="H1152" s="10" t="str">
        <x:v>REC00216</x:v>
      </x:c>
      <x:c r="I1152" s="20" t="n">
        <x:v>64823.5</x:v>
      </x:c>
      <x:c r="J1152" s="20" t="n">
        <x:v>64823.5</x:v>
      </x:c>
      <x:c r="K1152" s="10" t="str">
        <x:v>Realizado</x:v>
      </x:c>
      <x:c r="L1152" s="10" t="str">
        <x:v>Contas a Receber</x:v>
      </x:c>
    </x:row>
    <x:row r="1153" ht="18" customHeight="1">
      <x:c r="A1153" s="10" t="str">
        <x:v>MOV000602</x:v>
      </x:c>
      <x:c r="B1153" s="16" t="n">
        <x:v>45796.46436136574</x:v>
      </x:c>
      <x:c r="C1153" s="10" t="str">
        <x:v>EMP003</x:v>
      </x:c>
      <x:c r="D1153" s="10" t="str">
        <x:v>CTA006</x:v>
      </x:c>
      <x:c r="E1153" s="10" t="str">
        <x:v>Saída</x:v>
      </x:c>
      <x:c r="F1153" s="10" t="str">
        <x:v>CAT013</x:v>
      </x:c>
      <x:c r="G1153" s="10" t="str">
        <x:v>Despesa operacional</x:v>
      </x:c>
      <x:c r="H1153" s="10" t="str">
        <x:v>PAG00713</x:v>
      </x:c>
      <x:c r="I1153" s="20" t="n">
        <x:v>31088.94</x:v>
      </x:c>
      <x:c r="J1153" s="20" t="n">
        <x:v>-31088.94</x:v>
      </x:c>
      <x:c r="K1153" s="10" t="str">
        <x:v>Realizado</x:v>
      </x:c>
      <x:c r="L1153" s="10" t="str">
        <x:v>Contas a Pagar</x:v>
      </x:c>
    </x:row>
    <x:row r="1154" ht="18" customHeight="1">
      <x:c r="A1154" s="10" t="str">
        <x:v>MOV001516</x:v>
      </x:c>
      <x:c r="B1154" s="16" t="n">
        <x:v>45796.69880480324</x:v>
      </x:c>
      <x:c r="C1154" s="10" t="str">
        <x:v>EMP001</x:v>
      </x:c>
      <x:c r="D1154" s="10" t="str">
        <x:v>CTA001</x:v>
      </x:c>
      <x:c r="E1154" s="10" t="str">
        <x:v>Entrada</x:v>
      </x:c>
      <x:c r="F1154" s="10" t="str">
        <x:v>CAT003</x:v>
      </x:c>
      <x:c r="G1154" s="10" t="str">
        <x:v>Venda de produtos</x:v>
      </x:c>
      <x:c r="H1154" s="10" t="str">
        <x:v>REC00927</x:v>
      </x:c>
      <x:c r="I1154" s="20" t="n">
        <x:v>8481.66</x:v>
      </x:c>
      <x:c r="J1154" s="20" t="n">
        <x:v>8481.66</x:v>
      </x:c>
      <x:c r="K1154" s="10" t="str">
        <x:v>Realizado</x:v>
      </x:c>
      <x:c r="L1154" s="10" t="str">
        <x:v>Contas a Receber</x:v>
      </x:c>
    </x:row>
    <x:row r="1155" ht="18" customHeight="1">
      <x:c r="A1155" s="10" t="str">
        <x:v>MOV001391</x:v>
      </x:c>
      <x:c r="B1155" s="16" t="n">
        <x:v>45797.03669741898</x:v>
      </x:c>
      <x:c r="C1155" s="10" t="str">
        <x:v>EMP003</x:v>
      </x:c>
      <x:c r="D1155" s="10" t="str">
        <x:v>CTA005</x:v>
      </x:c>
      <x:c r="E1155" s="10" t="str">
        <x:v>Entrada</x:v>
      </x:c>
      <x:c r="F1155" s="10" t="str">
        <x:v>CAT002</x:v>
      </x:c>
      <x:c r="G1155" s="10" t="str">
        <x:v>Venda de produtos</x:v>
      </x:c>
      <x:c r="H1155" s="10" t="str">
        <x:v>REC00770</x:v>
      </x:c>
      <x:c r="I1155" s="20" t="n">
        <x:v>19646.27</x:v>
      </x:c>
      <x:c r="J1155" s="20" t="n">
        <x:v>19646.27</x:v>
      </x:c>
      <x:c r="K1155" s="10" t="str">
        <x:v>Realizado</x:v>
      </x:c>
      <x:c r="L1155" s="10" t="str">
        <x:v>Contas a Receber</x:v>
      </x:c>
    </x:row>
    <x:row r="1156" ht="18" customHeight="1">
      <x:c r="A1156" s="10" t="str">
        <x:v>MOV000952</x:v>
      </x:c>
      <x:c r="B1156" s="16" t="n">
        <x:v>45797.52131980324</x:v>
      </x:c>
      <x:c r="C1156" s="10" t="str">
        <x:v>EMP002</x:v>
      </x:c>
      <x:c r="D1156" s="10" t="str">
        <x:v>CTA004</x:v>
      </x:c>
      <x:c r="E1156" s="10" t="str">
        <x:v>Entrada</x:v>
      </x:c>
      <x:c r="F1156" s="10" t="str">
        <x:v>CAT002</x:v>
      </x:c>
      <x:c r="G1156" s="10" t="str">
        <x:v>Frete faturado</x:v>
      </x:c>
      <x:c r="H1156" s="10" t="str">
        <x:v>REC00235</x:v>
      </x:c>
      <x:c r="I1156" s="20" t="n">
        <x:v>137858.49</x:v>
      </x:c>
      <x:c r="J1156" s="20" t="n">
        <x:v>137858.49</x:v>
      </x:c>
      <x:c r="K1156" s="10" t="str">
        <x:v>Realizado</x:v>
      </x:c>
      <x:c r="L1156" s="10" t="str">
        <x:v>Contas a Receber</x:v>
      </x:c>
    </x:row>
    <x:row r="1157" ht="18" customHeight="1">
      <x:c r="A1157" s="10" t="str">
        <x:v>MOV000882</x:v>
      </x:c>
      <x:c r="B1157" s="16" t="n">
        <x:v>45798.452020046294</x:v>
      </x:c>
      <x:c r="C1157" s="10" t="str">
        <x:v>EMP003</x:v>
      </x:c>
      <x:c r="D1157" s="10" t="str">
        <x:v>CTA005</x:v>
      </x:c>
      <x:c r="E1157" s="10" t="str">
        <x:v>Entrada</x:v>
      </x:c>
      <x:c r="F1157" s="10" t="str">
        <x:v>CAT004</x:v>
      </x:c>
      <x:c r="G1157" s="10" t="str">
        <x:v>Frete faturado</x:v>
      </x:c>
      <x:c r="H1157" s="10" t="str">
        <x:v>REC00154</x:v>
      </x:c>
      <x:c r="I1157" s="20" t="n">
        <x:v>144051.72</x:v>
      </x:c>
      <x:c r="J1157" s="20" t="n">
        <x:v>144051.72</x:v>
      </x:c>
      <x:c r="K1157" s="10" t="str">
        <x:v>Realizado</x:v>
      </x:c>
      <x:c r="L1157" s="10" t="str">
        <x:v>Contas a Receber</x:v>
      </x:c>
    </x:row>
    <x:row r="1158" ht="18" customHeight="1">
      <x:c r="A1158" s="10" t="str">
        <x:v>MOV000067</x:v>
      </x:c>
      <x:c r="B1158" s="16" t="n">
        <x:v>45798.70685230324</x:v>
      </x:c>
      <x:c r="C1158" s="10" t="str">
        <x:v>EMP003</x:v>
      </x:c>
      <x:c r="D1158" s="10" t="str">
        <x:v>CTA005</x:v>
      </x:c>
      <x:c r="E1158" s="10" t="str">
        <x:v>Saída</x:v>
      </x:c>
      <x:c r="F1158" s="10" t="str">
        <x:v>CAT018</x:v>
      </x:c>
      <x:c r="G1158" s="10" t="str">
        <x:v>Compra de materiais</x:v>
      </x:c>
      <x:c r="H1158" s="10" t="str">
        <x:v>PAG00074</x:v>
      </x:c>
      <x:c r="I1158" s="20" t="n">
        <x:v>46048.18</x:v>
      </x:c>
      <x:c r="J1158" s="20" t="n">
        <x:v>-46048.18</x:v>
      </x:c>
      <x:c r="K1158" s="10" t="str">
        <x:v>Realizado</x:v>
      </x:c>
      <x:c r="L1158" s="10" t="str">
        <x:v>Contas a Pagar</x:v>
      </x:c>
    </x:row>
    <x:row r="1159" ht="18" customHeight="1">
      <x:c r="A1159" s="10" t="str">
        <x:v>MOV000851</x:v>
      </x:c>
      <x:c r="B1159" s="16" t="n">
        <x:v>45798.87484012731</x:v>
      </x:c>
      <x:c r="C1159" s="10" t="str">
        <x:v>EMP001</x:v>
      </x:c>
      <x:c r="D1159" s="10" t="str">
        <x:v>CTA002</x:v>
      </x:c>
      <x:c r="E1159" s="10" t="str">
        <x:v>Entrada</x:v>
      </x:c>
      <x:c r="F1159" s="10" t="str">
        <x:v>CAT001</x:v>
      </x:c>
      <x:c r="G1159" s="10" t="str">
        <x:v>Contrato mensal</x:v>
      </x:c>
      <x:c r="H1159" s="10" t="str">
        <x:v>REC00120</x:v>
      </x:c>
      <x:c r="I1159" s="20" t="n">
        <x:v>28345.18</x:v>
      </x:c>
      <x:c r="J1159" s="20" t="n">
        <x:v>28345.18</x:v>
      </x:c>
      <x:c r="K1159" s="10" t="str">
        <x:v>Realizado</x:v>
      </x:c>
      <x:c r="L1159" s="10" t="str">
        <x:v>Contas a Receber</x:v>
      </x:c>
    </x:row>
    <x:row r="1160" ht="18" customHeight="1">
      <x:c r="A1160" s="10" t="str">
        <x:v>MOV001225</x:v>
      </x:c>
      <x:c r="B1160" s="16" t="n">
        <x:v>45799.04163313657</x:v>
      </x:c>
      <x:c r="C1160" s="10" t="str">
        <x:v>EMP003</x:v>
      </x:c>
      <x:c r="D1160" s="10" t="str">
        <x:v>CTA005</x:v>
      </x:c>
      <x:c r="E1160" s="10" t="str">
        <x:v>Entrada</x:v>
      </x:c>
      <x:c r="F1160" s="10" t="str">
        <x:v>CAT001</x:v>
      </x:c>
      <x:c r="G1160" s="10" t="str">
        <x:v>Contrato mensal</x:v>
      </x:c>
      <x:c r="H1160" s="10" t="str">
        <x:v>REC00577</x:v>
      </x:c>
      <x:c r="I1160" s="20" t="n">
        <x:v>132058</x:v>
      </x:c>
      <x:c r="J1160" s="20" t="n">
        <x:v>132058</x:v>
      </x:c>
      <x:c r="K1160" s="10" t="str">
        <x:v>Realizado</x:v>
      </x:c>
      <x:c r="L1160" s="10" t="str">
        <x:v>Contas a Receber</x:v>
      </x:c>
    </x:row>
    <x:row r="1161" ht="18" customHeight="1">
      <x:c r="A1161" s="10" t="str">
        <x:v>MOV001174</x:v>
      </x:c>
      <x:c r="B1161" s="16" t="n">
        <x:v>45800.75049637732</x:v>
      </x:c>
      <x:c r="C1161" s="10" t="str">
        <x:v>EMP001</x:v>
      </x:c>
      <x:c r="D1161" s="10" t="str">
        <x:v>CTA001</x:v>
      </x:c>
      <x:c r="E1161" s="10" t="str">
        <x:v>Entrada</x:v>
      </x:c>
      <x:c r="F1161" s="10" t="str">
        <x:v>CAT004</x:v>
      </x:c>
      <x:c r="G1161" s="10" t="str">
        <x:v>Prestação de serviços</x:v>
      </x:c>
      <x:c r="H1161" s="10" t="str">
        <x:v>REC00509</x:v>
      </x:c>
      <x:c r="I1161" s="20" t="n">
        <x:v>76560.32</x:v>
      </x:c>
      <x:c r="J1161" s="20" t="n">
        <x:v>76560.32</x:v>
      </x:c>
      <x:c r="K1161" s="10" t="str">
        <x:v>Realizado</x:v>
      </x:c>
      <x:c r="L1161" s="10" t="str">
        <x:v>Contas a Receber</x:v>
      </x:c>
    </x:row>
    <x:row r="1162" ht="18" customHeight="1">
      <x:c r="A1162" s="10" t="str">
        <x:v>MOV000789</x:v>
      </x:c>
      <x:c r="B1162" s="16" t="n">
        <x:v>45801.371558125</x:v>
      </x:c>
      <x:c r="C1162" s="10" t="str">
        <x:v>EMP001</x:v>
      </x:c>
      <x:c r="D1162" s="10" t="str">
        <x:v>CTA002</x:v>
      </x:c>
      <x:c r="E1162" s="10" t="str">
        <x:v>Entrada</x:v>
      </x:c>
      <x:c r="F1162" s="10" t="str">
        <x:v>CAT003</x:v>
      </x:c>
      <x:c r="G1162" s="10" t="str">
        <x:v>Prestação de serviços</x:v>
      </x:c>
      <x:c r="H1162" s="10" t="str">
        <x:v>REC00045</x:v>
      </x:c>
      <x:c r="I1162" s="20" t="n">
        <x:v>13045.06</x:v>
      </x:c>
      <x:c r="J1162" s="20" t="n">
        <x:v>13045.06</x:v>
      </x:c>
      <x:c r="K1162" s="10" t="str">
        <x:v>Realizado</x:v>
      </x:c>
      <x:c r="L1162" s="10" t="str">
        <x:v>Contas a Receber</x:v>
      </x:c>
    </x:row>
    <x:row r="1163" ht="18" customHeight="1">
      <x:c r="A1163" s="10" t="str">
        <x:v>MOV000589</x:v>
      </x:c>
      <x:c r="B1163" s="16" t="n">
        <x:v>45802.35036532408</x:v>
      </x:c>
      <x:c r="C1163" s="10" t="str">
        <x:v>EMP003</x:v>
      </x:c>
      <x:c r="D1163" s="10" t="str">
        <x:v>CTA006</x:v>
      </x:c>
      <x:c r="E1163" s="10" t="str">
        <x:v>Saída</x:v>
      </x:c>
      <x:c r="F1163" s="10" t="str">
        <x:v>CAT010</x:v>
      </x:c>
      <x:c r="G1163" s="10" t="str">
        <x:v>Prestação de serviços</x:v>
      </x:c>
      <x:c r="H1163" s="10" t="str">
        <x:v>PAG00694</x:v>
      </x:c>
      <x:c r="I1163" s="20" t="n">
        <x:v>63479.88</x:v>
      </x:c>
      <x:c r="J1163" s="20" t="n">
        <x:v>-63479.88</x:v>
      </x:c>
      <x:c r="K1163" s="10" t="str">
        <x:v>Realizado</x:v>
      </x:c>
      <x:c r="L1163" s="10" t="str">
        <x:v>Contas a Pagar</x:v>
      </x:c>
    </x:row>
    <x:row r="1164" ht="18" customHeight="1">
      <x:c r="A1164" s="10" t="str">
        <x:v>MOV000915</x:v>
      </x:c>
      <x:c r="B1164" s="16" t="n">
        <x:v>45803.11535475694</x:v>
      </x:c>
      <x:c r="C1164" s="10" t="str">
        <x:v>EMP003</x:v>
      </x:c>
      <x:c r="D1164" s="10" t="str">
        <x:v>CTA005</x:v>
      </x:c>
      <x:c r="E1164" s="10" t="str">
        <x:v>Entrada</x:v>
      </x:c>
      <x:c r="F1164" s="10" t="str">
        <x:v>CAT001</x:v>
      </x:c>
      <x:c r="G1164" s="10" t="str">
        <x:v>Venda de produtos</x:v>
      </x:c>
      <x:c r="H1164" s="10" t="str">
        <x:v>REC00193</x:v>
      </x:c>
      <x:c r="I1164" s="20" t="n">
        <x:v>93480.7</x:v>
      </x:c>
      <x:c r="J1164" s="20" t="n">
        <x:v>93480.7</x:v>
      </x:c>
      <x:c r="K1164" s="10" t="str">
        <x:v>Realizado</x:v>
      </x:c>
      <x:c r="L1164" s="10" t="str">
        <x:v>Contas a Receber</x:v>
      </x:c>
    </x:row>
    <x:row r="1165" ht="18" customHeight="1">
      <x:c r="A1165" s="10" t="str">
        <x:v>MOV001543</x:v>
      </x:c>
      <x:c r="B1165" s="16" t="n">
        <x:v>45803.53989354167</x:v>
      </x:c>
      <x:c r="C1165" s="10" t="str">
        <x:v>EMP002</x:v>
      </x:c>
      <x:c r="D1165" s="10" t="str">
        <x:v>CTA003</x:v>
      </x:c>
      <x:c r="E1165" s="10" t="str">
        <x:v>Entrada</x:v>
      </x:c>
      <x:c r="F1165" s="10" t="str">
        <x:v>CAT001</x:v>
      </x:c>
      <x:c r="G1165" s="10" t="str">
        <x:v>Contrato mensal</x:v>
      </x:c>
      <x:c r="H1165" s="10" t="str">
        <x:v>REC00960</x:v>
      </x:c>
      <x:c r="I1165" s="20" t="n">
        <x:v>126505.43</x:v>
      </x:c>
      <x:c r="J1165" s="20" t="n">
        <x:v>126505.43</x:v>
      </x:c>
      <x:c r="K1165" s="10" t="str">
        <x:v>Realizado</x:v>
      </x:c>
      <x:c r="L1165" s="10" t="str">
        <x:v>Contas a Receber</x:v>
      </x:c>
    </x:row>
    <x:row r="1166" ht="18" customHeight="1">
      <x:c r="A1166" s="10" t="str">
        <x:v>MOV001093</x:v>
      </x:c>
      <x:c r="B1166" s="16" t="n">
        <x:v>45803.60778726852</x:v>
      </x:c>
      <x:c r="C1166" s="10" t="str">
        <x:v>EMP001</x:v>
      </x:c>
      <x:c r="D1166" s="10" t="str">
        <x:v>CTA001</x:v>
      </x:c>
      <x:c r="E1166" s="10" t="str">
        <x:v>Entrada</x:v>
      </x:c>
      <x:c r="F1166" s="10" t="str">
        <x:v>CAT001</x:v>
      </x:c>
      <x:c r="G1166" s="10" t="str">
        <x:v>Frete faturado</x:v>
      </x:c>
      <x:c r="H1166" s="10" t="str">
        <x:v>REC00417</x:v>
      </x:c>
      <x:c r="I1166" s="20" t="n">
        <x:v>139106.46</x:v>
      </x:c>
      <x:c r="J1166" s="20" t="n">
        <x:v>139106.46</x:v>
      </x:c>
      <x:c r="K1166" s="10" t="str">
        <x:v>Realizado</x:v>
      </x:c>
      <x:c r="L1166" s="10" t="str">
        <x:v>Contas a Receber</x:v>
      </x:c>
    </x:row>
    <x:row r="1167" ht="18" customHeight="1">
      <x:c r="A1167" s="10" t="str">
        <x:v>MOV001390</x:v>
      </x:c>
      <x:c r="B1167" s="16" t="n">
        <x:v>45805.11088896991</x:v>
      </x:c>
      <x:c r="C1167" s="10" t="str">
        <x:v>EMP003</x:v>
      </x:c>
      <x:c r="D1167" s="10" t="str">
        <x:v>CTA006</x:v>
      </x:c>
      <x:c r="E1167" s="10" t="str">
        <x:v>Entrada</x:v>
      </x:c>
      <x:c r="F1167" s="10" t="str">
        <x:v>CAT001</x:v>
      </x:c>
      <x:c r="G1167" s="10" t="str">
        <x:v>Contrato mensal</x:v>
      </x:c>
      <x:c r="H1167" s="10" t="str">
        <x:v>REC00769</x:v>
      </x:c>
      <x:c r="I1167" s="20" t="n">
        <x:v>141274.91</x:v>
      </x:c>
      <x:c r="J1167" s="20" t="n">
        <x:v>141274.91</x:v>
      </x:c>
      <x:c r="K1167" s="10" t="str">
        <x:v>Realizado</x:v>
      </x:c>
      <x:c r="L1167" s="10" t="str">
        <x:v>Contas a Receber</x:v>
      </x:c>
    </x:row>
    <x:row r="1168" ht="18" customHeight="1">
      <x:c r="A1168" s="10" t="str">
        <x:v>MOV000331</x:v>
      </x:c>
      <x:c r="B1168" s="16" t="n">
        <x:v>45805.15087065972</x:v>
      </x:c>
      <x:c r="C1168" s="10" t="str">
        <x:v>EMP002</x:v>
      </x:c>
      <x:c r="D1168" s="10" t="str">
        <x:v>CTA003</x:v>
      </x:c>
      <x:c r="E1168" s="10" t="str">
        <x:v>Saída</x:v>
      </x:c>
      <x:c r="F1168" s="10" t="str">
        <x:v>CAT007</x:v>
      </x:c>
      <x:c r="G1168" s="10" t="str">
        <x:v>Tributos e taxas</x:v>
      </x:c>
      <x:c r="H1168" s="10" t="str">
        <x:v>PAG00384</x:v>
      </x:c>
      <x:c r="I1168" s="20" t="n">
        <x:v>661.7</x:v>
      </x:c>
      <x:c r="J1168" s="20" t="n">
        <x:v>-661.7</x:v>
      </x:c>
      <x:c r="K1168" s="10" t="str">
        <x:v>Realizado</x:v>
      </x:c>
      <x:c r="L1168" s="10" t="str">
        <x:v>Contas a Pagar</x:v>
      </x:c>
    </x:row>
    <x:row r="1169" ht="18" customHeight="1">
      <x:c r="A1169" s="10" t="str">
        <x:v>MOV001535</x:v>
      </x:c>
      <x:c r="B1169" s="16" t="n">
        <x:v>45805.77332364583</x:v>
      </x:c>
      <x:c r="C1169" s="10" t="str">
        <x:v>EMP001</x:v>
      </x:c>
      <x:c r="D1169" s="10" t="str">
        <x:v>CTA001</x:v>
      </x:c>
      <x:c r="E1169" s="10" t="str">
        <x:v>Entrada</x:v>
      </x:c>
      <x:c r="F1169" s="10" t="str">
        <x:v>CAT003</x:v>
      </x:c>
      <x:c r="G1169" s="10" t="str">
        <x:v>Venda de produtos</x:v>
      </x:c>
      <x:c r="H1169" s="10" t="str">
        <x:v>REC00950</x:v>
      </x:c>
      <x:c r="I1169" s="20" t="n">
        <x:v>5217.72</x:v>
      </x:c>
      <x:c r="J1169" s="20" t="n">
        <x:v>5217.72</x:v>
      </x:c>
      <x:c r="K1169" s="10" t="str">
        <x:v>Realizado</x:v>
      </x:c>
      <x:c r="L1169" s="10" t="str">
        <x:v>Contas a Receber</x:v>
      </x:c>
    </x:row>
    <x:row r="1170" ht="18" customHeight="1">
      <x:c r="A1170" s="10" t="str">
        <x:v>MOV001159</x:v>
      </x:c>
      <x:c r="B1170" s="16" t="n">
        <x:v>45805.981793576386</x:v>
      </x:c>
      <x:c r="C1170" s="10" t="str">
        <x:v>EMP003</x:v>
      </x:c>
      <x:c r="D1170" s="10" t="str">
        <x:v>CTA005</x:v>
      </x:c>
      <x:c r="E1170" s="10" t="str">
        <x:v>Entrada</x:v>
      </x:c>
      <x:c r="F1170" s="10" t="str">
        <x:v>CAT004</x:v>
      </x:c>
      <x:c r="G1170" s="10" t="str">
        <x:v>Prestação de serviços</x:v>
      </x:c>
      <x:c r="H1170" s="10" t="str">
        <x:v>REC00492</x:v>
      </x:c>
      <x:c r="I1170" s="20" t="n">
        <x:v>29794.33</x:v>
      </x:c>
      <x:c r="J1170" s="20" t="n">
        <x:v>29794.33</x:v>
      </x:c>
      <x:c r="K1170" s="10" t="str">
        <x:v>Realizado</x:v>
      </x:c>
      <x:c r="L1170" s="10" t="str">
        <x:v>Contas a Receber</x:v>
      </x:c>
    </x:row>
    <x:row r="1171" ht="18" customHeight="1">
      <x:c r="A1171" s="10" t="str">
        <x:v>MOV000577</x:v>
      </x:c>
      <x:c r="B1171" s="16" t="n">
        <x:v>45807.08771337963</x:v>
      </x:c>
      <x:c r="C1171" s="10" t="str">
        <x:v>EMP002</x:v>
      </x:c>
      <x:c r="D1171" s="10" t="str">
        <x:v>CTA003</x:v>
      </x:c>
      <x:c r="E1171" s="10" t="str">
        <x:v>Saída</x:v>
      </x:c>
      <x:c r="F1171" s="10" t="str">
        <x:v>CAT005</x:v>
      </x:c>
      <x:c r="G1171" s="10" t="str">
        <x:v>Tributos e taxas</x:v>
      </x:c>
      <x:c r="H1171" s="10" t="str">
        <x:v>PAG00678</x:v>
      </x:c>
      <x:c r="I1171" s="20" t="n">
        <x:v>19144.61</x:v>
      </x:c>
      <x:c r="J1171" s="20" t="n">
        <x:v>-19144.61</x:v>
      </x:c>
      <x:c r="K1171" s="10" t="str">
        <x:v>Realizado</x:v>
      </x:c>
      <x:c r="L1171" s="10" t="str">
        <x:v>Contas a Pagar</x:v>
      </x:c>
    </x:row>
    <x:row r="1172" ht="18" customHeight="1">
      <x:c r="A1172" s="10" t="str">
        <x:v>MOV000337</x:v>
      </x:c>
      <x:c r="B1172" s="16" t="n">
        <x:v>45807.12053150463</x:v>
      </x:c>
      <x:c r="C1172" s="10" t="str">
        <x:v>EMP003</x:v>
      </x:c>
      <x:c r="D1172" s="10" t="str">
        <x:v>CTA006</x:v>
      </x:c>
      <x:c r="E1172" s="10" t="str">
        <x:v>Saída</x:v>
      </x:c>
      <x:c r="F1172" s="10" t="str">
        <x:v>CAT017</x:v>
      </x:c>
      <x:c r="G1172" s="10" t="str">
        <x:v>Compra de materiais</x:v>
      </x:c>
      <x:c r="H1172" s="10" t="str">
        <x:v>PAG00390</x:v>
      </x:c>
      <x:c r="I1172" s="20" t="n">
        <x:v>88852.61</x:v>
      </x:c>
      <x:c r="J1172" s="20" t="n">
        <x:v>-88852.61</x:v>
      </x:c>
      <x:c r="K1172" s="10" t="str">
        <x:v>Realizado</x:v>
      </x:c>
      <x:c r="L1172" s="10" t="str">
        <x:v>Contas a Pagar</x:v>
      </x:c>
    </x:row>
    <x:row r="1173" ht="18" customHeight="1">
      <x:c r="A1173" s="10" t="str">
        <x:v>MOV001558</x:v>
      </x:c>
      <x:c r="B1173" s="16" t="n">
        <x:v>45807.19178572917</x:v>
      </x:c>
      <x:c r="C1173" s="10" t="str">
        <x:v>EMP002</x:v>
      </x:c>
      <x:c r="D1173" s="10" t="str">
        <x:v>CTA003</x:v>
      </x:c>
      <x:c r="E1173" s="10" t="str">
        <x:v>Entrada</x:v>
      </x:c>
      <x:c r="F1173" s="10" t="str">
        <x:v>CAT003</x:v>
      </x:c>
      <x:c r="G1173" s="10" t="str">
        <x:v>Contrato mensal</x:v>
      </x:c>
      <x:c r="H1173" s="10" t="str">
        <x:v>REC00976</x:v>
      </x:c>
      <x:c r="I1173" s="20" t="n">
        <x:v>105935.93</x:v>
      </x:c>
      <x:c r="J1173" s="20" t="n">
        <x:v>105935.93</x:v>
      </x:c>
      <x:c r="K1173" s="10" t="str">
        <x:v>Realizado</x:v>
      </x:c>
      <x:c r="L1173" s="10" t="str">
        <x:v>Contas a Receber</x:v>
      </x:c>
    </x:row>
    <x:row r="1174" ht="18" customHeight="1">
      <x:c r="A1174" s="10" t="str">
        <x:v>MOV000345</x:v>
      </x:c>
      <x:c r="B1174" s="16" t="n">
        <x:v>45807.33870778935</x:v>
      </x:c>
      <x:c r="C1174" s="10" t="str">
        <x:v>EMP002</x:v>
      </x:c>
      <x:c r="D1174" s="10" t="str">
        <x:v>CTA003</x:v>
      </x:c>
      <x:c r="E1174" s="10" t="str">
        <x:v>Saída</x:v>
      </x:c>
      <x:c r="F1174" s="10" t="str">
        <x:v>CAT006</x:v>
      </x:c>
      <x:c r="G1174" s="10" t="str">
        <x:v>Tributos e taxas</x:v>
      </x:c>
      <x:c r="H1174" s="10" t="str">
        <x:v>PAG00399</x:v>
      </x:c>
      <x:c r="I1174" s="20" t="n">
        <x:v>48243.44</x:v>
      </x:c>
      <x:c r="J1174" s="20" t="n">
        <x:v>-48243.44</x:v>
      </x:c>
      <x:c r="K1174" s="10" t="str">
        <x:v>Realizado</x:v>
      </x:c>
      <x:c r="L1174" s="10" t="str">
        <x:v>Contas a Pagar</x:v>
      </x:c>
    </x:row>
    <x:row r="1175" ht="18" customHeight="1">
      <x:c r="A1175" s="10" t="str">
        <x:v>MOV001451</x:v>
      </x:c>
      <x:c r="B1175" s="16" t="n">
        <x:v>45807.37690145833</x:v>
      </x:c>
      <x:c r="C1175" s="10" t="str">
        <x:v>EMP001</x:v>
      </x:c>
      <x:c r="D1175" s="10" t="str">
        <x:v>CTA002</x:v>
      </x:c>
      <x:c r="E1175" s="10" t="str">
        <x:v>Entrada</x:v>
      </x:c>
      <x:c r="F1175" s="10" t="str">
        <x:v>CAT002</x:v>
      </x:c>
      <x:c r="G1175" s="10" t="str">
        <x:v>Prestação de serviços</x:v>
      </x:c>
      <x:c r="H1175" s="10" t="str">
        <x:v>REC00844</x:v>
      </x:c>
      <x:c r="I1175" s="20" t="n">
        <x:v>110774.59</x:v>
      </x:c>
      <x:c r="J1175" s="20" t="n">
        <x:v>110774.59</x:v>
      </x:c>
      <x:c r="K1175" s="10" t="str">
        <x:v>Realizado</x:v>
      </x:c>
      <x:c r="L1175" s="10" t="str">
        <x:v>Contas a Receber</x:v>
      </x:c>
    </x:row>
    <x:row r="1176" ht="18" customHeight="1">
      <x:c r="A1176" s="10" t="str">
        <x:v>MOV000609</x:v>
      </x:c>
      <x:c r="B1176" s="16" t="n">
        <x:v>45807.663302071756</x:v>
      </x:c>
      <x:c r="C1176" s="10" t="str">
        <x:v>EMP001</x:v>
      </x:c>
      <x:c r="D1176" s="10" t="str">
        <x:v>CTA001</x:v>
      </x:c>
      <x:c r="E1176" s="10" t="str">
        <x:v>Saída</x:v>
      </x:c>
      <x:c r="F1176" s="10" t="str">
        <x:v>CAT011</x:v>
      </x:c>
      <x:c r="G1176" s="10" t="str">
        <x:v>Despesa operacional</x:v>
      </x:c>
      <x:c r="H1176" s="10" t="str">
        <x:v>PAG00721</x:v>
      </x:c>
      <x:c r="I1176" s="20" t="n">
        <x:v>70361.59</x:v>
      </x:c>
      <x:c r="J1176" s="20" t="n">
        <x:v>-70361.59</x:v>
      </x:c>
      <x:c r="K1176" s="10" t="str">
        <x:v>Realizado</x:v>
      </x:c>
      <x:c r="L1176" s="10" t="str">
        <x:v>Contas a Pagar</x:v>
      </x:c>
    </x:row>
    <x:row r="1177" ht="18" customHeight="1">
      <x:c r="A1177" s="10" t="str">
        <x:v>MOV000341</x:v>
      </x:c>
      <x:c r="B1177" s="16" t="n">
        <x:v>45807.999553912035</x:v>
      </x:c>
      <x:c r="C1177" s="10" t="str">
        <x:v>EMP001</x:v>
      </x:c>
      <x:c r="D1177" s="10" t="str">
        <x:v>CTA002</x:v>
      </x:c>
      <x:c r="E1177" s="10" t="str">
        <x:v>Saída</x:v>
      </x:c>
      <x:c r="F1177" s="10" t="str">
        <x:v>CAT010</x:v>
      </x:c>
      <x:c r="G1177" s="10" t="str">
        <x:v>Prestação de serviços</x:v>
      </x:c>
      <x:c r="H1177" s="10" t="str">
        <x:v>PAG00395</x:v>
      </x:c>
      <x:c r="I1177" s="20" t="n">
        <x:v>106690.9</x:v>
      </x:c>
      <x:c r="J1177" s="20" t="n">
        <x:v>-106690.9</x:v>
      </x:c>
      <x:c r="K1177" s="10" t="str">
        <x:v>Realizado</x:v>
      </x:c>
      <x:c r="L1177" s="10" t="str">
        <x:v>Contas a Pagar</x:v>
      </x:c>
    </x:row>
    <x:row r="1178" ht="18" customHeight="1">
      <x:c r="A1178" s="10" t="str">
        <x:v>MOV000457</x:v>
      </x:c>
      <x:c r="B1178" s="16" t="n">
        <x:v>45808.53257659722</x:v>
      </x:c>
      <x:c r="C1178" s="10" t="str">
        <x:v>EMP001</x:v>
      </x:c>
      <x:c r="D1178" s="10" t="str">
        <x:v>CTA002</x:v>
      </x:c>
      <x:c r="E1178" s="10" t="str">
        <x:v>Saída</x:v>
      </x:c>
      <x:c r="F1178" s="10" t="str">
        <x:v>CAT013</x:v>
      </x:c>
      <x:c r="G1178" s="10" t="str">
        <x:v>Compra de materiais</x:v>
      </x:c>
      <x:c r="H1178" s="10" t="str">
        <x:v>PAG00536</x:v>
      </x:c>
      <x:c r="I1178" s="20" t="n">
        <x:v>53244.5</x:v>
      </x:c>
      <x:c r="J1178" s="20" t="n">
        <x:v>-53244.5</x:v>
      </x:c>
      <x:c r="K1178" s="10" t="str">
        <x:v>Realizado</x:v>
      </x:c>
      <x:c r="L1178" s="10" t="str">
        <x:v>Contas a Pagar</x:v>
      </x:c>
    </x:row>
    <x:row r="1179" ht="18" customHeight="1">
      <x:c r="A1179" s="10" t="str">
        <x:v>MOV000137</x:v>
      </x:c>
      <x:c r="B1179" s="16" t="n">
        <x:v>45809.055443171295</x:v>
      </x:c>
      <x:c r="C1179" s="10" t="str">
        <x:v>EMP002</x:v>
      </x:c>
      <x:c r="D1179" s="10" t="str">
        <x:v>CTA004</x:v>
      </x:c>
      <x:c r="E1179" s="10" t="str">
        <x:v>Saída</x:v>
      </x:c>
      <x:c r="F1179" s="10" t="str">
        <x:v>CAT014</x:v>
      </x:c>
      <x:c r="G1179" s="10" t="str">
        <x:v>Despesa operacional</x:v>
      </x:c>
      <x:c r="H1179" s="10" t="str">
        <x:v>PAG00158</x:v>
      </x:c>
      <x:c r="I1179" s="20" t="n">
        <x:v>11450.35</x:v>
      </x:c>
      <x:c r="J1179" s="20" t="n">
        <x:v>-11450.35</x:v>
      </x:c>
      <x:c r="K1179" s="10" t="str">
        <x:v>Realizado</x:v>
      </x:c>
      <x:c r="L1179" s="10" t="str">
        <x:v>Contas a Pagar</x:v>
      </x:c>
    </x:row>
    <x:row r="1180" ht="18" customHeight="1">
      <x:c r="A1180" s="10" t="str">
        <x:v>MOV000498</x:v>
      </x:c>
      <x:c r="B1180" s="16" t="n">
        <x:v>45809.085747337966</x:v>
      </x:c>
      <x:c r="C1180" s="10" t="str">
        <x:v>EMP001</x:v>
      </x:c>
      <x:c r="D1180" s="10" t="str">
        <x:v>CTA001</x:v>
      </x:c>
      <x:c r="E1180" s="10" t="str">
        <x:v>Saída</x:v>
      </x:c>
      <x:c r="F1180" s="10" t="str">
        <x:v>CAT008</x:v>
      </x:c>
      <x:c r="G1180" s="10" t="str">
        <x:v>Despesa operacional</x:v>
      </x:c>
      <x:c r="H1180" s="10" t="str">
        <x:v>PAG00583</x:v>
      </x:c>
      <x:c r="I1180" s="20" t="n">
        <x:v>20836.2</x:v>
      </x:c>
      <x:c r="J1180" s="20" t="n">
        <x:v>-20836.2</x:v>
      </x:c>
      <x:c r="K1180" s="10" t="str">
        <x:v>Realizado</x:v>
      </x:c>
      <x:c r="L1180" s="10" t="str">
        <x:v>Contas a Pagar</x:v>
      </x:c>
    </x:row>
    <x:row r="1181" ht="18" customHeight="1">
      <x:c r="A1181" s="10" t="str">
        <x:v>MOV000176</x:v>
      </x:c>
      <x:c r="B1181" s="16" t="n">
        <x:v>45809.13894246528</x:v>
      </x:c>
      <x:c r="C1181" s="10" t="str">
        <x:v>EMP003</x:v>
      </x:c>
      <x:c r="D1181" s="10" t="str">
        <x:v>CTA006</x:v>
      </x:c>
      <x:c r="E1181" s="10" t="str">
        <x:v>Saída</x:v>
      </x:c>
      <x:c r="F1181" s="10" t="str">
        <x:v>CAT010</x:v>
      </x:c>
      <x:c r="G1181" s="10" t="str">
        <x:v>Prestação de serviços</x:v>
      </x:c>
      <x:c r="H1181" s="10" t="str">
        <x:v>PAG00207</x:v>
      </x:c>
      <x:c r="I1181" s="20" t="n">
        <x:v>4815.87</x:v>
      </x:c>
      <x:c r="J1181" s="20" t="n">
        <x:v>-4815.87</x:v>
      </x:c>
      <x:c r="K1181" s="10" t="str">
        <x:v>Realizado</x:v>
      </x:c>
      <x:c r="L1181" s="10" t="str">
        <x:v>Contas a Pagar</x:v>
      </x:c>
    </x:row>
    <x:row r="1182" ht="18" customHeight="1">
      <x:c r="A1182" s="10" t="str">
        <x:v>MOV000254</x:v>
      </x:c>
      <x:c r="B1182" s="16" t="n">
        <x:v>45809.819945717594</x:v>
      </x:c>
      <x:c r="C1182" s="10" t="str">
        <x:v>EMP001</x:v>
      </x:c>
      <x:c r="D1182" s="10" t="str">
        <x:v>CTA002</x:v>
      </x:c>
      <x:c r="E1182" s="10" t="str">
        <x:v>Saída</x:v>
      </x:c>
      <x:c r="F1182" s="10" t="str">
        <x:v>CAT009</x:v>
      </x:c>
      <x:c r="G1182" s="10" t="str">
        <x:v>Prestação de serviços</x:v>
      </x:c>
      <x:c r="H1182" s="10" t="str">
        <x:v>PAG00297</x:v>
      </x:c>
      <x:c r="I1182" s="20" t="n">
        <x:v>1219.55</x:v>
      </x:c>
      <x:c r="J1182" s="20" t="n">
        <x:v>-1219.55</x:v>
      </x:c>
      <x:c r="K1182" s="10" t="str">
        <x:v>Realizado</x:v>
      </x:c>
      <x:c r="L1182" s="10" t="str">
        <x:v>Contas a Pagar</x:v>
      </x:c>
    </x:row>
    <x:row r="1183" ht="18" customHeight="1">
      <x:c r="A1183" s="10" t="str">
        <x:v>MOV001254</x:v>
      </x:c>
      <x:c r="B1183" s="16" t="n">
        <x:v>45809.952827430556</x:v>
      </x:c>
      <x:c r="C1183" s="10" t="str">
        <x:v>EMP001</x:v>
      </x:c>
      <x:c r="D1183" s="10" t="str">
        <x:v>CTA001</x:v>
      </x:c>
      <x:c r="E1183" s="10" t="str">
        <x:v>Entrada</x:v>
      </x:c>
      <x:c r="F1183" s="10" t="str">
        <x:v>CAT004</x:v>
      </x:c>
      <x:c r="G1183" s="10" t="str">
        <x:v>Projeto especial</x:v>
      </x:c>
      <x:c r="H1183" s="10" t="str">
        <x:v>REC00608</x:v>
      </x:c>
      <x:c r="I1183" s="20" t="n">
        <x:v>31760.68</x:v>
      </x:c>
      <x:c r="J1183" s="20" t="n">
        <x:v>31760.68</x:v>
      </x:c>
      <x:c r="K1183" s="10" t="str">
        <x:v>Realizado</x:v>
      </x:c>
      <x:c r="L1183" s="10" t="str">
        <x:v>Contas a Receber</x:v>
      </x:c>
    </x:row>
    <x:row r="1184" ht="18" customHeight="1">
      <x:c r="A1184" s="10" t="str">
        <x:v>MOV000301</x:v>
      </x:c>
      <x:c r="B1184" s="16" t="n">
        <x:v>45810.08842947917</x:v>
      </x:c>
      <x:c r="C1184" s="10" t="str">
        <x:v>EMP003</x:v>
      </x:c>
      <x:c r="D1184" s="10" t="str">
        <x:v>CTA006</x:v>
      </x:c>
      <x:c r="E1184" s="10" t="str">
        <x:v>Saída</x:v>
      </x:c>
      <x:c r="F1184" s="10" t="str">
        <x:v>CAT016</x:v>
      </x:c>
      <x:c r="G1184" s="10" t="str">
        <x:v>Compra de materiais</x:v>
      </x:c>
      <x:c r="H1184" s="10" t="str">
        <x:v>PAG00350</x:v>
      </x:c>
      <x:c r="I1184" s="20" t="n">
        <x:v>39162.12</x:v>
      </x:c>
      <x:c r="J1184" s="20" t="n">
        <x:v>-39162.12</x:v>
      </x:c>
      <x:c r="K1184" s="10" t="str">
        <x:v>Realizado</x:v>
      </x:c>
      <x:c r="L1184" s="10" t="str">
        <x:v>Contas a Pagar</x:v>
      </x:c>
    </x:row>
    <x:row r="1185" ht="18" customHeight="1">
      <x:c r="A1185" s="10" t="str">
        <x:v>MOV000318</x:v>
      </x:c>
      <x:c r="B1185" s="16" t="n">
        <x:v>45810.639055300926</x:v>
      </x:c>
      <x:c r="C1185" s="10" t="str">
        <x:v>EMP001</x:v>
      </x:c>
      <x:c r="D1185" s="10" t="str">
        <x:v>CTA001</x:v>
      </x:c>
      <x:c r="E1185" s="10" t="str">
        <x:v>Saída</x:v>
      </x:c>
      <x:c r="F1185" s="10" t="str">
        <x:v>CAT012</x:v>
      </x:c>
      <x:c r="G1185" s="10" t="str">
        <x:v>Contrato recorrente</x:v>
      </x:c>
      <x:c r="H1185" s="10" t="str">
        <x:v>PAG00370</x:v>
      </x:c>
      <x:c r="I1185" s="20" t="n">
        <x:v>2895</x:v>
      </x:c>
      <x:c r="J1185" s="20" t="n">
        <x:v>-2895</x:v>
      </x:c>
      <x:c r="K1185" s="10" t="str">
        <x:v>Realizado</x:v>
      </x:c>
      <x:c r="L1185" s="10" t="str">
        <x:v>Contas a Pagar</x:v>
      </x:c>
    </x:row>
    <x:row r="1186" ht="18" customHeight="1">
      <x:c r="A1186" s="10" t="str">
        <x:v>MOV000330</x:v>
      </x:c>
      <x:c r="B1186" s="16" t="n">
        <x:v>45810.8221133912</x:v>
      </x:c>
      <x:c r="C1186" s="10" t="str">
        <x:v>EMP002</x:v>
      </x:c>
      <x:c r="D1186" s="10" t="str">
        <x:v>CTA003</x:v>
      </x:c>
      <x:c r="E1186" s="10" t="str">
        <x:v>Saída</x:v>
      </x:c>
      <x:c r="F1186" s="10" t="str">
        <x:v>CAT017</x:v>
      </x:c>
      <x:c r="G1186" s="10" t="str">
        <x:v>Compra de materiais</x:v>
      </x:c>
      <x:c r="H1186" s="10" t="str">
        <x:v>PAG00383</x:v>
      </x:c>
      <x:c r="I1186" s="20" t="n">
        <x:v>43420.42</x:v>
      </x:c>
      <x:c r="J1186" s="20" t="n">
        <x:v>-43420.42</x:v>
      </x:c>
      <x:c r="K1186" s="10" t="str">
        <x:v>Realizado</x:v>
      </x:c>
      <x:c r="L1186" s="10" t="str">
        <x:v>Contas a Pagar</x:v>
      </x:c>
    </x:row>
    <x:row r="1187" ht="18" customHeight="1">
      <x:c r="A1187" s="10" t="str">
        <x:v>MOV000246</x:v>
      </x:c>
      <x:c r="B1187" s="16" t="n">
        <x:v>45811.01647490741</x:v>
      </x:c>
      <x:c r="C1187" s="10" t="str">
        <x:v>EMP003</x:v>
      </x:c>
      <x:c r="D1187" s="10" t="str">
        <x:v>CTA005</x:v>
      </x:c>
      <x:c r="E1187" s="10" t="str">
        <x:v>Saída</x:v>
      </x:c>
      <x:c r="F1187" s="10" t="str">
        <x:v>CAT018</x:v>
      </x:c>
      <x:c r="G1187" s="10" t="str">
        <x:v>Compra de materiais</x:v>
      </x:c>
      <x:c r="H1187" s="10" t="str">
        <x:v>PAG00287</x:v>
      </x:c>
      <x:c r="I1187" s="20" t="n">
        <x:v>29677.78</x:v>
      </x:c>
      <x:c r="J1187" s="20" t="n">
        <x:v>-29677.78</x:v>
      </x:c>
      <x:c r="K1187" s="10" t="str">
        <x:v>Realizado</x:v>
      </x:c>
      <x:c r="L1187" s="10" t="str">
        <x:v>Contas a Pagar</x:v>
      </x:c>
    </x:row>
    <x:row r="1188" ht="18" customHeight="1">
      <x:c r="A1188" s="10" t="str">
        <x:v>MOV000171</x:v>
      </x:c>
      <x:c r="B1188" s="16" t="n">
        <x:v>45811.107789340276</x:v>
      </x:c>
      <x:c r="C1188" s="10" t="str">
        <x:v>EMP003</x:v>
      </x:c>
      <x:c r="D1188" s="10" t="str">
        <x:v>CTA006</x:v>
      </x:c>
      <x:c r="E1188" s="10" t="str">
        <x:v>Saída</x:v>
      </x:c>
      <x:c r="F1188" s="10" t="str">
        <x:v>CAT007</x:v>
      </x:c>
      <x:c r="G1188" s="10" t="str">
        <x:v>Compra de materiais</x:v>
      </x:c>
      <x:c r="H1188" s="10" t="str">
        <x:v>PAG00201</x:v>
      </x:c>
      <x:c r="I1188" s="20" t="n">
        <x:v>26110.14</x:v>
      </x:c>
      <x:c r="J1188" s="20" t="n">
        <x:v>-26110.14</x:v>
      </x:c>
      <x:c r="K1188" s="10" t="str">
        <x:v>Realizado</x:v>
      </x:c>
      <x:c r="L1188" s="10" t="str">
        <x:v>Contas a Pagar</x:v>
      </x:c>
    </x:row>
    <x:row r="1189" ht="18" customHeight="1">
      <x:c r="A1189" s="10" t="str">
        <x:v>MOV000734</x:v>
      </x:c>
      <x:c r="B1189" s="16" t="n">
        <x:v>45811.760832430555</x:v>
      </x:c>
      <x:c r="C1189" s="10" t="str">
        <x:v>EMP001</x:v>
      </x:c>
      <x:c r="D1189" s="10" t="str">
        <x:v>CTA002</x:v>
      </x:c>
      <x:c r="E1189" s="10" t="str">
        <x:v>Saída</x:v>
      </x:c>
      <x:c r="F1189" s="10" t="str">
        <x:v>CAT012</x:v>
      </x:c>
      <x:c r="G1189" s="10" t="str">
        <x:v>Compra de materiais</x:v>
      </x:c>
      <x:c r="H1189" s="10" t="str">
        <x:v>PAG00873</x:v>
      </x:c>
      <x:c r="I1189" s="20" t="n">
        <x:v>2765.2</x:v>
      </x:c>
      <x:c r="J1189" s="20" t="n">
        <x:v>-2765.2</x:v>
      </x:c>
      <x:c r="K1189" s="10" t="str">
        <x:v>Realizado</x:v>
      </x:c>
      <x:c r="L1189" s="10" t="str">
        <x:v>Contas a Pagar</x:v>
      </x:c>
    </x:row>
    <x:row r="1190" ht="18" customHeight="1">
      <x:c r="A1190" s="10" t="str">
        <x:v>MOV001118</x:v>
      </x:c>
      <x:c r="B1190" s="16" t="n">
        <x:v>45811.83729127315</x:v>
      </x:c>
      <x:c r="C1190" s="10" t="str">
        <x:v>EMP001</x:v>
      </x:c>
      <x:c r="D1190" s="10" t="str">
        <x:v>CTA001</x:v>
      </x:c>
      <x:c r="E1190" s="10" t="str">
        <x:v>Entrada</x:v>
      </x:c>
      <x:c r="F1190" s="10" t="str">
        <x:v>CAT002</x:v>
      </x:c>
      <x:c r="G1190" s="10" t="str">
        <x:v>Contrato mensal</x:v>
      </x:c>
      <x:c r="H1190" s="10" t="str">
        <x:v>REC00447</x:v>
      </x:c>
      <x:c r="I1190" s="20" t="n">
        <x:v>87691.09</x:v>
      </x:c>
      <x:c r="J1190" s="20" t="n">
        <x:v>87691.09</x:v>
      </x:c>
      <x:c r="K1190" s="10" t="str">
        <x:v>Realizado</x:v>
      </x:c>
      <x:c r="L1190" s="10" t="str">
        <x:v>Contas a Receber</x:v>
      </x:c>
    </x:row>
    <x:row r="1191" ht="18" customHeight="1">
      <x:c r="A1191" s="10" t="str">
        <x:v>MOV000759</x:v>
      </x:c>
      <x:c r="B1191" s="16" t="n">
        <x:v>45812.19565596065</x:v>
      </x:c>
      <x:c r="C1191" s="10" t="str">
        <x:v>EMP003</x:v>
      </x:c>
      <x:c r="D1191" s="10" t="str">
        <x:v>CTA006</x:v>
      </x:c>
      <x:c r="E1191" s="10" t="str">
        <x:v>Entrada</x:v>
      </x:c>
      <x:c r="F1191" s="10" t="str">
        <x:v>CAT003</x:v>
      </x:c>
      <x:c r="G1191" s="10" t="str">
        <x:v>Venda de produtos</x:v>
      </x:c>
      <x:c r="H1191" s="10" t="str">
        <x:v>REC00002</x:v>
      </x:c>
      <x:c r="I1191" s="20" t="n">
        <x:v>5840.55</x:v>
      </x:c>
      <x:c r="J1191" s="20" t="n">
        <x:v>5840.55</x:v>
      </x:c>
      <x:c r="K1191" s="10" t="str">
        <x:v>Realizado</x:v>
      </x:c>
      <x:c r="L1191" s="10" t="str">
        <x:v>Contas a Receber</x:v>
      </x:c>
    </x:row>
    <x:row r="1192" ht="18" customHeight="1">
      <x:c r="A1192" s="10" t="str">
        <x:v>MOV001383</x:v>
      </x:c>
      <x:c r="B1192" s="16" t="n">
        <x:v>45813.52519951389</x:v>
      </x:c>
      <x:c r="C1192" s="10" t="str">
        <x:v>EMP003</x:v>
      </x:c>
      <x:c r="D1192" s="10" t="str">
        <x:v>CTA005</x:v>
      </x:c>
      <x:c r="E1192" s="10" t="str">
        <x:v>Entrada</x:v>
      </x:c>
      <x:c r="F1192" s="10" t="str">
        <x:v>CAT004</x:v>
      </x:c>
      <x:c r="G1192" s="10" t="str">
        <x:v>Projeto especial</x:v>
      </x:c>
      <x:c r="H1192" s="10" t="str">
        <x:v>REC00758</x:v>
      </x:c>
      <x:c r="I1192" s="20" t="n">
        <x:v>104370.57</x:v>
      </x:c>
      <x:c r="J1192" s="20" t="n">
        <x:v>104370.57</x:v>
      </x:c>
      <x:c r="K1192" s="10" t="str">
        <x:v>Realizado</x:v>
      </x:c>
      <x:c r="L1192" s="10" t="str">
        <x:v>Contas a Receber</x:v>
      </x:c>
    </x:row>
    <x:row r="1193" ht="18" customHeight="1">
      <x:c r="A1193" s="10" t="str">
        <x:v>MOV000447</x:v>
      </x:c>
      <x:c r="B1193" s="16" t="n">
        <x:v>45813.60812885417</x:v>
      </x:c>
      <x:c r="C1193" s="10" t="str">
        <x:v>EMP002</x:v>
      </x:c>
      <x:c r="D1193" s="10" t="str">
        <x:v>CTA003</x:v>
      </x:c>
      <x:c r="E1193" s="10" t="str">
        <x:v>Saída</x:v>
      </x:c>
      <x:c r="F1193" s="10" t="str">
        <x:v>CAT010</x:v>
      </x:c>
      <x:c r="G1193" s="10" t="str">
        <x:v>Contrato recorrente</x:v>
      </x:c>
      <x:c r="H1193" s="10" t="str">
        <x:v>PAG00525</x:v>
      </x:c>
      <x:c r="I1193" s="20" t="n">
        <x:v>48695.56</x:v>
      </x:c>
      <x:c r="J1193" s="20" t="n">
        <x:v>-48695.56</x:v>
      </x:c>
      <x:c r="K1193" s="10" t="str">
        <x:v>Realizado</x:v>
      </x:c>
      <x:c r="L1193" s="10" t="str">
        <x:v>Contas a Pagar</x:v>
      </x:c>
    </x:row>
    <x:row r="1194" ht="18" customHeight="1">
      <x:c r="A1194" s="10" t="str">
        <x:v>MOV000063</x:v>
      </x:c>
      <x:c r="B1194" s="16" t="n">
        <x:v>45814.29023021991</x:v>
      </x:c>
      <x:c r="C1194" s="10" t="str">
        <x:v>EMP002</x:v>
      </x:c>
      <x:c r="D1194" s="10" t="str">
        <x:v>CTA003</x:v>
      </x:c>
      <x:c r="E1194" s="10" t="str">
        <x:v>Saída</x:v>
      </x:c>
      <x:c r="F1194" s="10" t="str">
        <x:v>CAT006</x:v>
      </x:c>
      <x:c r="G1194" s="10" t="str">
        <x:v>Prestação de serviços</x:v>
      </x:c>
      <x:c r="H1194" s="10" t="str">
        <x:v>PAG00068</x:v>
      </x:c>
      <x:c r="I1194" s="20" t="n">
        <x:v>655.16</x:v>
      </x:c>
      <x:c r="J1194" s="20" t="n">
        <x:v>-655.16</x:v>
      </x:c>
      <x:c r="K1194" s="10" t="str">
        <x:v>Realizado</x:v>
      </x:c>
      <x:c r="L1194" s="10" t="str">
        <x:v>Contas a Pagar</x:v>
      </x:c>
    </x:row>
    <x:row r="1195" ht="18" customHeight="1">
      <x:c r="A1195" s="10" t="str">
        <x:v>MOV001594</x:v>
      </x:c>
      <x:c r="B1195" s="16" t="n">
        <x:v>45814.29349762732</x:v>
      </x:c>
      <x:c r="C1195" s="10" t="str">
        <x:v>EMP001</x:v>
      </x:c>
      <x:c r="D1195" s="10" t="str">
        <x:v>CTA002</x:v>
      </x:c>
      <x:c r="E1195" s="10" t="str">
        <x:v>Entrada</x:v>
      </x:c>
      <x:c r="F1195" s="10" t="str">
        <x:v>CAT004</x:v>
      </x:c>
      <x:c r="G1195" s="10" t="str">
        <x:v>Contrato mensal</x:v>
      </x:c>
      <x:c r="H1195" s="10" t="str">
        <x:v>REC01021</x:v>
      </x:c>
      <x:c r="I1195" s="20" t="n">
        <x:v>102072.28</x:v>
      </x:c>
      <x:c r="J1195" s="20" t="n">
        <x:v>102072.28</x:v>
      </x:c>
      <x:c r="K1195" s="10" t="str">
        <x:v>Realizado</x:v>
      </x:c>
      <x:c r="L1195" s="10" t="str">
        <x:v>Contas a Receber</x:v>
      </x:c>
    </x:row>
    <x:row r="1196" ht="18" customHeight="1">
      <x:c r="A1196" s="10" t="str">
        <x:v>MOV000265</x:v>
      </x:c>
      <x:c r="B1196" s="16" t="n">
        <x:v>45814.63180773148</x:v>
      </x:c>
      <x:c r="C1196" s="10" t="str">
        <x:v>EMP002</x:v>
      </x:c>
      <x:c r="D1196" s="10" t="str">
        <x:v>CTA003</x:v>
      </x:c>
      <x:c r="E1196" s="10" t="str">
        <x:v>Saída</x:v>
      </x:c>
      <x:c r="F1196" s="10" t="str">
        <x:v>CAT006</x:v>
      </x:c>
      <x:c r="G1196" s="10" t="str">
        <x:v>Prestação de serviços</x:v>
      </x:c>
      <x:c r="H1196" s="10" t="str">
        <x:v>PAG00308</x:v>
      </x:c>
      <x:c r="I1196" s="20" t="n">
        <x:v>83859.23</x:v>
      </x:c>
      <x:c r="J1196" s="20" t="n">
        <x:v>-83859.23</x:v>
      </x:c>
      <x:c r="K1196" s="10" t="str">
        <x:v>Realizado</x:v>
      </x:c>
      <x:c r="L1196" s="10" t="str">
        <x:v>Contas a Pagar</x:v>
      </x:c>
    </x:row>
    <x:row r="1197" ht="18" customHeight="1">
      <x:c r="A1197" s="10" t="str">
        <x:v>MOV000054</x:v>
      </x:c>
      <x:c r="B1197" s="16" t="n">
        <x:v>45815.02159405092</x:v>
      </x:c>
      <x:c r="C1197" s="10" t="str">
        <x:v>EMP002</x:v>
      </x:c>
      <x:c r="D1197" s="10" t="str">
        <x:v>CTA003</x:v>
      </x:c>
      <x:c r="E1197" s="10" t="str">
        <x:v>Saída</x:v>
      </x:c>
      <x:c r="F1197" s="10" t="str">
        <x:v>CAT014</x:v>
      </x:c>
      <x:c r="G1197" s="10" t="str">
        <x:v>Prestação de serviços</x:v>
      </x:c>
      <x:c r="H1197" s="10" t="str">
        <x:v>PAG00055</x:v>
      </x:c>
      <x:c r="I1197" s="20" t="n">
        <x:v>3684.65</x:v>
      </x:c>
      <x:c r="J1197" s="20" t="n">
        <x:v>-3684.65</x:v>
      </x:c>
      <x:c r="K1197" s="10" t="str">
        <x:v>Realizado</x:v>
      </x:c>
      <x:c r="L1197" s="10" t="str">
        <x:v>Contas a Pagar</x:v>
      </x:c>
    </x:row>
    <x:row r="1198" ht="18" customHeight="1">
      <x:c r="A1198" s="10" t="str">
        <x:v>MOV001223</x:v>
      </x:c>
      <x:c r="B1198" s="16" t="n">
        <x:v>45816.19190291667</x:v>
      </x:c>
      <x:c r="C1198" s="10" t="str">
        <x:v>EMP003</x:v>
      </x:c>
      <x:c r="D1198" s="10" t="str">
        <x:v>CTA006</x:v>
      </x:c>
      <x:c r="E1198" s="10" t="str">
        <x:v>Entrada</x:v>
      </x:c>
      <x:c r="F1198" s="10" t="str">
        <x:v>CAT001</x:v>
      </x:c>
      <x:c r="G1198" s="10" t="str">
        <x:v>Venda de produtos</x:v>
      </x:c>
      <x:c r="H1198" s="10" t="str">
        <x:v>REC00574</x:v>
      </x:c>
      <x:c r="I1198" s="20" t="n">
        <x:v>18832.89</x:v>
      </x:c>
      <x:c r="J1198" s="20" t="n">
        <x:v>18832.89</x:v>
      </x:c>
      <x:c r="K1198" s="10" t="str">
        <x:v>Realizado</x:v>
      </x:c>
      <x:c r="L1198" s="10" t="str">
        <x:v>Contas a Receber</x:v>
      </x:c>
    </x:row>
    <x:row r="1199" ht="18" customHeight="1">
      <x:c r="A1199" s="10" t="str">
        <x:v>MOV000403</x:v>
      </x:c>
      <x:c r="B1199" s="16" t="n">
        <x:v>45816.783155219906</x:v>
      </x:c>
      <x:c r="C1199" s="10" t="str">
        <x:v>EMP001</x:v>
      </x:c>
      <x:c r="D1199" s="10" t="str">
        <x:v>CTA001</x:v>
      </x:c>
      <x:c r="E1199" s="10" t="str">
        <x:v>Saída</x:v>
      </x:c>
      <x:c r="F1199" s="10" t="str">
        <x:v>CAT009</x:v>
      </x:c>
      <x:c r="G1199" s="10" t="str">
        <x:v>Despesa operacional</x:v>
      </x:c>
      <x:c r="H1199" s="10" t="str">
        <x:v>PAG00470</x:v>
      </x:c>
      <x:c r="I1199" s="20" t="n">
        <x:v>85655.81</x:v>
      </x:c>
      <x:c r="J1199" s="20" t="n">
        <x:v>-85655.81</x:v>
      </x:c>
      <x:c r="K1199" s="10" t="str">
        <x:v>Realizado</x:v>
      </x:c>
      <x:c r="L1199" s="10" t="str">
        <x:v>Contas a Pagar</x:v>
      </x:c>
    </x:row>
    <x:row r="1200" ht="18" customHeight="1">
      <x:c r="A1200" s="10" t="str">
        <x:v>MOV000062</x:v>
      </x:c>
      <x:c r="B1200" s="16" t="n">
        <x:v>45818.01144589121</x:v>
      </x:c>
      <x:c r="C1200" s="10" t="str">
        <x:v>EMP002</x:v>
      </x:c>
      <x:c r="D1200" s="10" t="str">
        <x:v>CTA004</x:v>
      </x:c>
      <x:c r="E1200" s="10" t="str">
        <x:v>Saída</x:v>
      </x:c>
      <x:c r="F1200" s="10" t="str">
        <x:v>CAT009</x:v>
      </x:c>
      <x:c r="G1200" s="10" t="str">
        <x:v>Prestação de serviços</x:v>
      </x:c>
      <x:c r="H1200" s="10" t="str">
        <x:v>PAG00067</x:v>
      </x:c>
      <x:c r="I1200" s="20" t="n">
        <x:v>31542.05</x:v>
      </x:c>
      <x:c r="J1200" s="20" t="n">
        <x:v>-31542.05</x:v>
      </x:c>
      <x:c r="K1200" s="10" t="str">
        <x:v>Realizado</x:v>
      </x:c>
      <x:c r="L1200" s="10" t="str">
        <x:v>Contas a Pagar</x:v>
      </x:c>
    </x:row>
    <x:row r="1201" ht="18" customHeight="1">
      <x:c r="A1201" s="10" t="str">
        <x:v>MOV000518</x:v>
      </x:c>
      <x:c r="B1201" s="16" t="n">
        <x:v>45818.15990450232</x:v>
      </x:c>
      <x:c r="C1201" s="10" t="str">
        <x:v>EMP002</x:v>
      </x:c>
      <x:c r="D1201" s="10" t="str">
        <x:v>CTA004</x:v>
      </x:c>
      <x:c r="E1201" s="10" t="str">
        <x:v>Saída</x:v>
      </x:c>
      <x:c r="F1201" s="10" t="str">
        <x:v>CAT006</x:v>
      </x:c>
      <x:c r="G1201" s="10" t="str">
        <x:v>Contrato recorrente</x:v>
      </x:c>
      <x:c r="H1201" s="10" t="str">
        <x:v>PAG00608</x:v>
      </x:c>
      <x:c r="I1201" s="20" t="n">
        <x:v>2313</x:v>
      </x:c>
      <x:c r="J1201" s="20" t="n">
        <x:v>-2313</x:v>
      </x:c>
      <x:c r="K1201" s="10" t="str">
        <x:v>Realizado</x:v>
      </x:c>
      <x:c r="L1201" s="10" t="str">
        <x:v>Contas a Pagar</x:v>
      </x:c>
    </x:row>
    <x:row r="1202" ht="18" customHeight="1">
      <x:c r="A1202" s="10" t="str">
        <x:v>MOV000984</x:v>
      </x:c>
      <x:c r="B1202" s="16" t="n">
        <x:v>45819.08757443287</x:v>
      </x:c>
      <x:c r="C1202" s="10" t="str">
        <x:v>EMP002</x:v>
      </x:c>
      <x:c r="D1202" s="10" t="str">
        <x:v>CTA003</x:v>
      </x:c>
      <x:c r="E1202" s="10" t="str">
        <x:v>Entrada</x:v>
      </x:c>
      <x:c r="F1202" s="10" t="str">
        <x:v>CAT001</x:v>
      </x:c>
      <x:c r="G1202" s="10" t="str">
        <x:v>Prestação de serviços</x:v>
      </x:c>
      <x:c r="H1202" s="10" t="str">
        <x:v>REC00279</x:v>
      </x:c>
      <x:c r="I1202" s="20" t="n">
        <x:v>90317.41</x:v>
      </x:c>
      <x:c r="J1202" s="20" t="n">
        <x:v>90317.41</x:v>
      </x:c>
      <x:c r="K1202" s="10" t="str">
        <x:v>Realizado</x:v>
      </x:c>
      <x:c r="L1202" s="10" t="str">
        <x:v>Contas a Receber</x:v>
      </x:c>
    </x:row>
    <x:row r="1203" ht="18" customHeight="1">
      <x:c r="A1203" s="10" t="str">
        <x:v>MOV001220</x:v>
      </x:c>
      <x:c r="B1203" s="16" t="n">
        <x:v>45820.10729642361</x:v>
      </x:c>
      <x:c r="C1203" s="10" t="str">
        <x:v>EMP003</x:v>
      </x:c>
      <x:c r="D1203" s="10" t="str">
        <x:v>CTA006</x:v>
      </x:c>
      <x:c r="E1203" s="10" t="str">
        <x:v>Entrada</x:v>
      </x:c>
      <x:c r="F1203" s="10" t="str">
        <x:v>CAT001</x:v>
      </x:c>
      <x:c r="G1203" s="10" t="str">
        <x:v>Prestação de serviços</x:v>
      </x:c>
      <x:c r="H1203" s="10" t="str">
        <x:v>REC00571</x:v>
      </x:c>
      <x:c r="I1203" s="20" t="n">
        <x:v>82915.24</x:v>
      </x:c>
      <x:c r="J1203" s="20" t="n">
        <x:v>82915.24</x:v>
      </x:c>
      <x:c r="K1203" s="10" t="str">
        <x:v>Realizado</x:v>
      </x:c>
      <x:c r="L1203" s="10" t="str">
        <x:v>Contas a Receber</x:v>
      </x:c>
    </x:row>
    <x:row r="1204" ht="18" customHeight="1">
      <x:c r="A1204" s="10" t="str">
        <x:v>MOV001054</x:v>
      </x:c>
      <x:c r="B1204" s="16" t="n">
        <x:v>45820.55307962963</x:v>
      </x:c>
      <x:c r="C1204" s="10" t="str">
        <x:v>EMP003</x:v>
      </x:c>
      <x:c r="D1204" s="10" t="str">
        <x:v>CTA005</x:v>
      </x:c>
      <x:c r="E1204" s="10" t="str">
        <x:v>Entrada</x:v>
      </x:c>
      <x:c r="F1204" s="10" t="str">
        <x:v>CAT002</x:v>
      </x:c>
      <x:c r="G1204" s="10" t="str">
        <x:v>Frete faturado</x:v>
      </x:c>
      <x:c r="H1204" s="10" t="str">
        <x:v>REC00365</x:v>
      </x:c>
      <x:c r="I1204" s="20" t="n">
        <x:v>9661.41</x:v>
      </x:c>
      <x:c r="J1204" s="20" t="n">
        <x:v>9661.41</x:v>
      </x:c>
      <x:c r="K1204" s="10" t="str">
        <x:v>Realizado</x:v>
      </x:c>
      <x:c r="L1204" s="10" t="str">
        <x:v>Contas a Receber</x:v>
      </x:c>
    </x:row>
    <x:row r="1205" ht="18" customHeight="1">
      <x:c r="A1205" s="10" t="str">
        <x:v>MOV001011</x:v>
      </x:c>
      <x:c r="B1205" s="16" t="n">
        <x:v>45821.008553611115</x:v>
      </x:c>
      <x:c r="C1205" s="10" t="str">
        <x:v>EMP001</x:v>
      </x:c>
      <x:c r="D1205" s="10" t="str">
        <x:v>CTA001</x:v>
      </x:c>
      <x:c r="E1205" s="10" t="str">
        <x:v>Entrada</x:v>
      </x:c>
      <x:c r="F1205" s="10" t="str">
        <x:v>CAT003</x:v>
      </x:c>
      <x:c r="G1205" s="10" t="str">
        <x:v>Contrato mensal</x:v>
      </x:c>
      <x:c r="H1205" s="10" t="str">
        <x:v>REC00313</x:v>
      </x:c>
      <x:c r="I1205" s="20" t="n">
        <x:v>99732.66</x:v>
      </x:c>
      <x:c r="J1205" s="20" t="n">
        <x:v>99732.66</x:v>
      </x:c>
      <x:c r="K1205" s="10" t="str">
        <x:v>Realizado</x:v>
      </x:c>
      <x:c r="L1205" s="10" t="str">
        <x:v>Contas a Receber</x:v>
      </x:c>
    </x:row>
    <x:row r="1206" ht="18" customHeight="1">
      <x:c r="A1206" s="10" t="str">
        <x:v>MOV000304</x:v>
      </x:c>
      <x:c r="B1206" s="16" t="n">
        <x:v>45821.1277991088</x:v>
      </x:c>
      <x:c r="C1206" s="10" t="str">
        <x:v>EMP001</x:v>
      </x:c>
      <x:c r="D1206" s="10" t="str">
        <x:v>CTA002</x:v>
      </x:c>
      <x:c r="E1206" s="10" t="str">
        <x:v>Saída</x:v>
      </x:c>
      <x:c r="F1206" s="10" t="str">
        <x:v>CAT012</x:v>
      </x:c>
      <x:c r="G1206" s="10" t="str">
        <x:v>Contrato recorrente</x:v>
      </x:c>
      <x:c r="H1206" s="10" t="str">
        <x:v>PAG00353</x:v>
      </x:c>
      <x:c r="I1206" s="20" t="n">
        <x:v>31237.75</x:v>
      </x:c>
      <x:c r="J1206" s="20" t="n">
        <x:v>-31237.75</x:v>
      </x:c>
      <x:c r="K1206" s="10" t="str">
        <x:v>Realizado</x:v>
      </x:c>
      <x:c r="L1206" s="10" t="str">
        <x:v>Contas a Pagar</x:v>
      </x:c>
    </x:row>
    <x:row r="1207" ht="18" customHeight="1">
      <x:c r="A1207" s="10" t="str">
        <x:v>MOV001587</x:v>
      </x:c>
      <x:c r="B1207" s="16" t="n">
        <x:v>45821.12834472222</x:v>
      </x:c>
      <x:c r="C1207" s="10" t="str">
        <x:v>EMP002</x:v>
      </x:c>
      <x:c r="D1207" s="10" t="str">
        <x:v>CTA003</x:v>
      </x:c>
      <x:c r="E1207" s="10" t="str">
        <x:v>Entrada</x:v>
      </x:c>
      <x:c r="F1207" s="10" t="str">
        <x:v>CAT001</x:v>
      </x:c>
      <x:c r="G1207" s="10" t="str">
        <x:v>Frete faturado</x:v>
      </x:c>
      <x:c r="H1207" s="10" t="str">
        <x:v>REC01013</x:v>
      </x:c>
      <x:c r="I1207" s="20" t="n">
        <x:v>35574.13</x:v>
      </x:c>
      <x:c r="J1207" s="20" t="n">
        <x:v>35574.13</x:v>
      </x:c>
      <x:c r="K1207" s="10" t="str">
        <x:v>Realizado</x:v>
      </x:c>
      <x:c r="L1207" s="10" t="str">
        <x:v>Contas a Receber</x:v>
      </x:c>
    </x:row>
    <x:row r="1208" ht="18" customHeight="1">
      <x:c r="A1208" s="10" t="str">
        <x:v>MOV001138</x:v>
      </x:c>
      <x:c r="B1208" s="16" t="n">
        <x:v>45821.20428877315</x:v>
      </x:c>
      <x:c r="C1208" s="10" t="str">
        <x:v>EMP001</x:v>
      </x:c>
      <x:c r="D1208" s="10" t="str">
        <x:v>CTA002</x:v>
      </x:c>
      <x:c r="E1208" s="10" t="str">
        <x:v>Entrada</x:v>
      </x:c>
      <x:c r="F1208" s="10" t="str">
        <x:v>CAT001</x:v>
      </x:c>
      <x:c r="G1208" s="10" t="str">
        <x:v>Prestação de serviços</x:v>
      </x:c>
      <x:c r="H1208" s="10" t="str">
        <x:v>REC00470</x:v>
      </x:c>
      <x:c r="I1208" s="20" t="n">
        <x:v>11303.23</x:v>
      </x:c>
      <x:c r="J1208" s="20" t="n">
        <x:v>11303.23</x:v>
      </x:c>
      <x:c r="K1208" s="10" t="str">
        <x:v>Realizado</x:v>
      </x:c>
      <x:c r="L1208" s="10" t="str">
        <x:v>Contas a Receber</x:v>
      </x:c>
    </x:row>
    <x:row r="1209" ht="18" customHeight="1">
      <x:c r="A1209" s="10" t="str">
        <x:v>MOV001623</x:v>
      </x:c>
      <x:c r="B1209" s="16" t="n">
        <x:v>45821.32038459491</x:v>
      </x:c>
      <x:c r="C1209" s="10" t="str">
        <x:v>EMP002</x:v>
      </x:c>
      <x:c r="D1209" s="10" t="str">
        <x:v>CTA003</x:v>
      </x:c>
      <x:c r="E1209" s="10" t="str">
        <x:v>Entrada</x:v>
      </x:c>
      <x:c r="F1209" s="10" t="str">
        <x:v>CAT001</x:v>
      </x:c>
      <x:c r="G1209" s="10" t="str">
        <x:v>Contrato mensal</x:v>
      </x:c>
      <x:c r="H1209" s="10" t="str">
        <x:v>REC01053</x:v>
      </x:c>
      <x:c r="I1209" s="20" t="n">
        <x:v>47363.62</x:v>
      </x:c>
      <x:c r="J1209" s="20" t="n">
        <x:v>47363.62</x:v>
      </x:c>
      <x:c r="K1209" s="10" t="str">
        <x:v>Realizado</x:v>
      </x:c>
      <x:c r="L1209" s="10" t="str">
        <x:v>Contas a Receber</x:v>
      </x:c>
    </x:row>
    <x:row r="1210" ht="18" customHeight="1">
      <x:c r="A1210" s="10" t="str">
        <x:v>MOV000074</x:v>
      </x:c>
      <x:c r="B1210" s="16" t="n">
        <x:v>45822.69491903935</x:v>
      </x:c>
      <x:c r="C1210" s="10" t="str">
        <x:v>EMP003</x:v>
      </x:c>
      <x:c r="D1210" s="10" t="str">
        <x:v>CTA006</x:v>
      </x:c>
      <x:c r="E1210" s="10" t="str">
        <x:v>Saída</x:v>
      </x:c>
      <x:c r="F1210" s="10" t="str">
        <x:v>CAT011</x:v>
      </x:c>
      <x:c r="G1210" s="10" t="str">
        <x:v>Prestação de serviços</x:v>
      </x:c>
      <x:c r="H1210" s="10" t="str">
        <x:v>PAG00083</x:v>
      </x:c>
      <x:c r="I1210" s="20" t="n">
        <x:v>26088.42</x:v>
      </x:c>
      <x:c r="J1210" s="20" t="n">
        <x:v>-26088.42</x:v>
      </x:c>
      <x:c r="K1210" s="10" t="str">
        <x:v>Realizado</x:v>
      </x:c>
      <x:c r="L1210" s="10" t="str">
        <x:v>Contas a Pagar</x:v>
      </x:c>
    </x:row>
    <x:row r="1211" ht="18" customHeight="1">
      <x:c r="A1211" s="10" t="str">
        <x:v>MOV001193</x:v>
      </x:c>
      <x:c r="B1211" s="16" t="n">
        <x:v>45822.86227524305</x:v>
      </x:c>
      <x:c r="C1211" s="10" t="str">
        <x:v>EMP003</x:v>
      </x:c>
      <x:c r="D1211" s="10" t="str">
        <x:v>CTA006</x:v>
      </x:c>
      <x:c r="E1211" s="10" t="str">
        <x:v>Entrada</x:v>
      </x:c>
      <x:c r="F1211" s="10" t="str">
        <x:v>CAT003</x:v>
      </x:c>
      <x:c r="G1211" s="10" t="str">
        <x:v>Projeto especial</x:v>
      </x:c>
      <x:c r="H1211" s="10" t="str">
        <x:v>REC00536</x:v>
      </x:c>
      <x:c r="I1211" s="20" t="n">
        <x:v>8376.6</x:v>
      </x:c>
      <x:c r="J1211" s="20" t="n">
        <x:v>8376.6</x:v>
      </x:c>
      <x:c r="K1211" s="10" t="str">
        <x:v>Realizado</x:v>
      </x:c>
      <x:c r="L1211" s="10" t="str">
        <x:v>Contas a Receber</x:v>
      </x:c>
    </x:row>
    <x:row r="1212" ht="18" customHeight="1">
      <x:c r="A1212" s="10" t="str">
        <x:v>MOV001644</x:v>
      </x:c>
      <x:c r="B1212" s="16" t="n">
        <x:v>45823.19635864584</x:v>
      </x:c>
      <x:c r="C1212" s="10" t="str">
        <x:v>EMP002</x:v>
      </x:c>
      <x:c r="D1212" s="10" t="str">
        <x:v>CTA003</x:v>
      </x:c>
      <x:c r="E1212" s="10" t="str">
        <x:v>Entrada</x:v>
      </x:c>
      <x:c r="F1212" s="10" t="str">
        <x:v>CAT001</x:v>
      </x:c>
      <x:c r="G1212" s="10" t="str">
        <x:v>Contrato mensal</x:v>
      </x:c>
      <x:c r="H1212" s="10" t="str">
        <x:v>REC01081</x:v>
      </x:c>
      <x:c r="I1212" s="20" t="n">
        <x:v>4785.44</x:v>
      </x:c>
      <x:c r="J1212" s="20" t="n">
        <x:v>4785.44</x:v>
      </x:c>
      <x:c r="K1212" s="10" t="str">
        <x:v>Realizado</x:v>
      </x:c>
      <x:c r="L1212" s="10" t="str">
        <x:v>Contas a Receber</x:v>
      </x:c>
    </x:row>
    <x:row r="1213" ht="18" customHeight="1">
      <x:c r="A1213" s="10" t="str">
        <x:v>MOV000142</x:v>
      </x:c>
      <x:c r="B1213" s="16" t="n">
        <x:v>45823.54795680555</x:v>
      </x:c>
      <x:c r="C1213" s="10" t="str">
        <x:v>EMP003</x:v>
      </x:c>
      <x:c r="D1213" s="10" t="str">
        <x:v>CTA006</x:v>
      </x:c>
      <x:c r="E1213" s="10" t="str">
        <x:v>Saída</x:v>
      </x:c>
      <x:c r="F1213" s="10" t="str">
        <x:v>CAT010</x:v>
      </x:c>
      <x:c r="G1213" s="10" t="str">
        <x:v>Prestação de serviços</x:v>
      </x:c>
      <x:c r="H1213" s="10" t="str">
        <x:v>PAG00163</x:v>
      </x:c>
      <x:c r="I1213" s="20" t="n">
        <x:v>20238.2</x:v>
      </x:c>
      <x:c r="J1213" s="20" t="n">
        <x:v>-20238.2</x:v>
      </x:c>
      <x:c r="K1213" s="10" t="str">
        <x:v>Realizado</x:v>
      </x:c>
      <x:c r="L1213" s="10" t="str">
        <x:v>Contas a Pagar</x:v>
      </x:c>
    </x:row>
    <x:row r="1214" ht="18" customHeight="1">
      <x:c r="A1214" s="10" t="str">
        <x:v>MOV000652</x:v>
      </x:c>
      <x:c r="B1214" s="16" t="n">
        <x:v>45823.592531863425</x:v>
      </x:c>
      <x:c r="C1214" s="10" t="str">
        <x:v>EMP003</x:v>
      </x:c>
      <x:c r="D1214" s="10" t="str">
        <x:v>CTA006</x:v>
      </x:c>
      <x:c r="E1214" s="10" t="str">
        <x:v>Saída</x:v>
      </x:c>
      <x:c r="F1214" s="10" t="str">
        <x:v>CAT006</x:v>
      </x:c>
      <x:c r="G1214" s="10" t="str">
        <x:v>Prestação de serviços</x:v>
      </x:c>
      <x:c r="H1214" s="10" t="str">
        <x:v>PAG00772</x:v>
      </x:c>
      <x:c r="I1214" s="20" t="n">
        <x:v>800.29</x:v>
      </x:c>
      <x:c r="J1214" s="20" t="n">
        <x:v>-800.29</x:v>
      </x:c>
      <x:c r="K1214" s="10" t="str">
        <x:v>Realizado</x:v>
      </x:c>
      <x:c r="L1214" s="10" t="str">
        <x:v>Contas a Pagar</x:v>
      </x:c>
    </x:row>
    <x:row r="1215" ht="18" customHeight="1">
      <x:c r="A1215" s="10" t="str">
        <x:v>MOV001244</x:v>
      </x:c>
      <x:c r="B1215" s="16" t="n">
        <x:v>45823.69049256945</x:v>
      </x:c>
      <x:c r="C1215" s="10" t="str">
        <x:v>EMP003</x:v>
      </x:c>
      <x:c r="D1215" s="10" t="str">
        <x:v>CTA006</x:v>
      </x:c>
      <x:c r="E1215" s="10" t="str">
        <x:v>Entrada</x:v>
      </x:c>
      <x:c r="F1215" s="10" t="str">
        <x:v>CAT001</x:v>
      </x:c>
      <x:c r="G1215" s="10" t="str">
        <x:v>Prestação de serviços</x:v>
      </x:c>
      <x:c r="H1215" s="10" t="str">
        <x:v>REC00596</x:v>
      </x:c>
      <x:c r="I1215" s="20" t="n">
        <x:v>2224.67</x:v>
      </x:c>
      <x:c r="J1215" s="20" t="n">
        <x:v>2224.67</x:v>
      </x:c>
      <x:c r="K1215" s="10" t="str">
        <x:v>Realizado</x:v>
      </x:c>
      <x:c r="L1215" s="10" t="str">
        <x:v>Contas a Receber</x:v>
      </x:c>
    </x:row>
    <x:row r="1216" ht="18" customHeight="1">
      <x:c r="A1216" s="10" t="str">
        <x:v>MOV001362</x:v>
      </x:c>
      <x:c r="B1216" s="16" t="n">
        <x:v>45823.96300657407</x:v>
      </x:c>
      <x:c r="C1216" s="10" t="str">
        <x:v>EMP003</x:v>
      </x:c>
      <x:c r="D1216" s="10" t="str">
        <x:v>CTA005</x:v>
      </x:c>
      <x:c r="E1216" s="10" t="str">
        <x:v>Entrada</x:v>
      </x:c>
      <x:c r="F1216" s="10" t="str">
        <x:v>CAT004</x:v>
      </x:c>
      <x:c r="G1216" s="10" t="str">
        <x:v>Projeto especial</x:v>
      </x:c>
      <x:c r="H1216" s="10" t="str">
        <x:v>REC00731</x:v>
      </x:c>
      <x:c r="I1216" s="20" t="n">
        <x:v>60598.06</x:v>
      </x:c>
      <x:c r="J1216" s="20" t="n">
        <x:v>60598.06</x:v>
      </x:c>
      <x:c r="K1216" s="10" t="str">
        <x:v>Realizado</x:v>
      </x:c>
      <x:c r="L1216" s="10" t="str">
        <x:v>Contas a Receber</x:v>
      </x:c>
    </x:row>
    <x:row r="1217" ht="18" customHeight="1">
      <x:c r="A1217" s="10" t="str">
        <x:v>MOV000382</x:v>
      </x:c>
      <x:c r="B1217" s="16" t="n">
        <x:v>45824.34337134259</x:v>
      </x:c>
      <x:c r="C1217" s="10" t="str">
        <x:v>EMP003</x:v>
      </x:c>
      <x:c r="D1217" s="10" t="str">
        <x:v>CTA006</x:v>
      </x:c>
      <x:c r="E1217" s="10" t="str">
        <x:v>Saída</x:v>
      </x:c>
      <x:c r="F1217" s="10" t="str">
        <x:v>CAT018</x:v>
      </x:c>
      <x:c r="G1217" s="10" t="str">
        <x:v>Contrato recorrente</x:v>
      </x:c>
      <x:c r="H1217" s="10" t="str">
        <x:v>PAG00443</x:v>
      </x:c>
      <x:c r="I1217" s="20" t="n">
        <x:v>14095.79</x:v>
      </x:c>
      <x:c r="J1217" s="20" t="n">
        <x:v>-14095.79</x:v>
      </x:c>
      <x:c r="K1217" s="10" t="str">
        <x:v>Realizado</x:v>
      </x:c>
      <x:c r="L1217" s="10" t="str">
        <x:v>Contas a Pagar</x:v>
      </x:c>
    </x:row>
    <x:row r="1218" ht="18" customHeight="1">
      <x:c r="A1218" s="10" t="str">
        <x:v>MOV001040</x:v>
      </x:c>
      <x:c r="B1218" s="16" t="n">
        <x:v>45825.4550590162</x:v>
      </x:c>
      <x:c r="C1218" s="10" t="str">
        <x:v>EMP003</x:v>
      </x:c>
      <x:c r="D1218" s="10" t="str">
        <x:v>CTA006</x:v>
      </x:c>
      <x:c r="E1218" s="10" t="str">
        <x:v>Entrada</x:v>
      </x:c>
      <x:c r="F1218" s="10" t="str">
        <x:v>CAT004</x:v>
      </x:c>
      <x:c r="G1218" s="10" t="str">
        <x:v>Prestação de serviços</x:v>
      </x:c>
      <x:c r="H1218" s="10" t="str">
        <x:v>REC00350</x:v>
      </x:c>
      <x:c r="I1218" s="20" t="n">
        <x:v>35648.61</x:v>
      </x:c>
      <x:c r="J1218" s="20" t="n">
        <x:v>35648.61</x:v>
      </x:c>
      <x:c r="K1218" s="10" t="str">
        <x:v>Realizado</x:v>
      </x:c>
      <x:c r="L1218" s="10" t="str">
        <x:v>Contas a Receber</x:v>
      </x:c>
    </x:row>
    <x:row r="1219" ht="18" customHeight="1">
      <x:c r="A1219" s="10" t="str">
        <x:v>MOV001269</x:v>
      </x:c>
      <x:c r="B1219" s="16" t="n">
        <x:v>45825.62812886574</x:v>
      </x:c>
      <x:c r="C1219" s="10" t="str">
        <x:v>EMP003</x:v>
      </x:c>
      <x:c r="D1219" s="10" t="str">
        <x:v>CTA005</x:v>
      </x:c>
      <x:c r="E1219" s="10" t="str">
        <x:v>Entrada</x:v>
      </x:c>
      <x:c r="F1219" s="10" t="str">
        <x:v>CAT002</x:v>
      </x:c>
      <x:c r="G1219" s="10" t="str">
        <x:v>Prestação de serviços</x:v>
      </x:c>
      <x:c r="H1219" s="10" t="str">
        <x:v>REC00629</x:v>
      </x:c>
      <x:c r="I1219" s="20" t="n">
        <x:v>103182</x:v>
      </x:c>
      <x:c r="J1219" s="20" t="n">
        <x:v>103182</x:v>
      </x:c>
      <x:c r="K1219" s="10" t="str">
        <x:v>Realizado</x:v>
      </x:c>
      <x:c r="L1219" s="10" t="str">
        <x:v>Contas a Receber</x:v>
      </x:c>
    </x:row>
    <x:row r="1220" ht="18" customHeight="1">
      <x:c r="A1220" s="10" t="str">
        <x:v>MOV001412</x:v>
      </x:c>
      <x:c r="B1220" s="16" t="n">
        <x:v>45825.786689768516</x:v>
      </x:c>
      <x:c r="C1220" s="10" t="str">
        <x:v>EMP002</x:v>
      </x:c>
      <x:c r="D1220" s="10" t="str">
        <x:v>CTA004</x:v>
      </x:c>
      <x:c r="E1220" s="10" t="str">
        <x:v>Entrada</x:v>
      </x:c>
      <x:c r="F1220" s="10" t="str">
        <x:v>CAT004</x:v>
      </x:c>
      <x:c r="G1220" s="10" t="str">
        <x:v>Projeto especial</x:v>
      </x:c>
      <x:c r="H1220" s="10" t="str">
        <x:v>REC00794</x:v>
      </x:c>
      <x:c r="I1220" s="20" t="n">
        <x:v>7130.83</x:v>
      </x:c>
      <x:c r="J1220" s="20" t="n">
        <x:v>7130.83</x:v>
      </x:c>
      <x:c r="K1220" s="10" t="str">
        <x:v>Realizado</x:v>
      </x:c>
      <x:c r="L1220" s="10" t="str">
        <x:v>Contas a Receber</x:v>
      </x:c>
    </x:row>
    <x:row r="1221" ht="18" customHeight="1">
      <x:c r="A1221" s="10" t="str">
        <x:v>MOV001655</x:v>
      </x:c>
      <x:c r="B1221" s="16" t="n">
        <x:v>45826.5437331713</x:v>
      </x:c>
      <x:c r="C1221" s="10" t="str">
        <x:v>EMP001</x:v>
      </x:c>
      <x:c r="D1221" s="10" t="str">
        <x:v>CTA001</x:v>
      </x:c>
      <x:c r="E1221" s="10" t="str">
        <x:v>Entrada</x:v>
      </x:c>
      <x:c r="F1221" s="10" t="str">
        <x:v>CAT001</x:v>
      </x:c>
      <x:c r="G1221" s="10" t="str">
        <x:v>Contrato mensal</x:v>
      </x:c>
      <x:c r="H1221" s="10" t="str">
        <x:v>REC01095</x:v>
      </x:c>
      <x:c r="I1221" s="20" t="n">
        <x:v>884.65</x:v>
      </x:c>
      <x:c r="J1221" s="20" t="n">
        <x:v>884.65</x:v>
      </x:c>
      <x:c r="K1221" s="10" t="str">
        <x:v>Realizado</x:v>
      </x:c>
      <x:c r="L1221" s="10" t="str">
        <x:v>Contas a Receber</x:v>
      </x:c>
    </x:row>
    <x:row r="1222" ht="18" customHeight="1">
      <x:c r="A1222" s="10" t="str">
        <x:v>MOV001508</x:v>
      </x:c>
      <x:c r="B1222" s="16" t="n">
        <x:v>45826.926150196756</x:v>
      </x:c>
      <x:c r="C1222" s="10" t="str">
        <x:v>EMP002</x:v>
      </x:c>
      <x:c r="D1222" s="10" t="str">
        <x:v>CTA004</x:v>
      </x:c>
      <x:c r="E1222" s="10" t="str">
        <x:v>Entrada</x:v>
      </x:c>
      <x:c r="F1222" s="10" t="str">
        <x:v>CAT001</x:v>
      </x:c>
      <x:c r="G1222" s="10" t="str">
        <x:v>Venda de produtos</x:v>
      </x:c>
      <x:c r="H1222" s="10" t="str">
        <x:v>REC00918</x:v>
      </x:c>
      <x:c r="I1222" s="20" t="n">
        <x:v>7710.33</x:v>
      </x:c>
      <x:c r="J1222" s="20" t="n">
        <x:v>7710.33</x:v>
      </x:c>
      <x:c r="K1222" s="10" t="str">
        <x:v>Realizado</x:v>
      </x:c>
      <x:c r="L1222" s="10" t="str">
        <x:v>Contas a Receber</x:v>
      </x:c>
    </x:row>
    <x:row r="1223" ht="18" customHeight="1">
      <x:c r="A1223" s="10" t="str">
        <x:v>MOV000555</x:v>
      </x:c>
      <x:c r="B1223" s="16" t="n">
        <x:v>45827.98061020833</x:v>
      </x:c>
      <x:c r="C1223" s="10" t="str">
        <x:v>EMP002</x:v>
      </x:c>
      <x:c r="D1223" s="10" t="str">
        <x:v>CTA003</x:v>
      </x:c>
      <x:c r="E1223" s="10" t="str">
        <x:v>Saída</x:v>
      </x:c>
      <x:c r="F1223" s="10" t="str">
        <x:v>CAT006</x:v>
      </x:c>
      <x:c r="G1223" s="10" t="str">
        <x:v>Compra de materiais</x:v>
      </x:c>
      <x:c r="H1223" s="10" t="str">
        <x:v>PAG00649</x:v>
      </x:c>
      <x:c r="I1223" s="20" t="n">
        <x:v>6808.34</x:v>
      </x:c>
      <x:c r="J1223" s="20" t="n">
        <x:v>-6808.34</x:v>
      </x:c>
      <x:c r="K1223" s="10" t="str">
        <x:v>Realizado</x:v>
      </x:c>
      <x:c r="L1223" s="10" t="str">
        <x:v>Contas a Pagar</x:v>
      </x:c>
    </x:row>
    <x:row r="1224" ht="18" customHeight="1">
      <x:c r="A1224" s="10" t="str">
        <x:v>MOV001562</x:v>
      </x:c>
      <x:c r="B1224" s="16" t="n">
        <x:v>45828.30288568287</x:v>
      </x:c>
      <x:c r="C1224" s="10" t="str">
        <x:v>EMP003</x:v>
      </x:c>
      <x:c r="D1224" s="10" t="str">
        <x:v>CTA005</x:v>
      </x:c>
      <x:c r="E1224" s="10" t="str">
        <x:v>Entrada</x:v>
      </x:c>
      <x:c r="F1224" s="10" t="str">
        <x:v>CAT003</x:v>
      </x:c>
      <x:c r="G1224" s="10" t="str">
        <x:v>Contrato mensal</x:v>
      </x:c>
      <x:c r="H1224" s="10" t="str">
        <x:v>REC00982</x:v>
      </x:c>
      <x:c r="I1224" s="20" t="n">
        <x:v>44225.74</x:v>
      </x:c>
      <x:c r="J1224" s="20" t="n">
        <x:v>44225.74</x:v>
      </x:c>
      <x:c r="K1224" s="10" t="str">
        <x:v>Realizado</x:v>
      </x:c>
      <x:c r="L1224" s="10" t="str">
        <x:v>Contas a Receber</x:v>
      </x:c>
    </x:row>
    <x:row r="1225" ht="18" customHeight="1">
      <x:c r="A1225" s="10" t="str">
        <x:v>MOV000321</x:v>
      </x:c>
      <x:c r="B1225" s="16" t="n">
        <x:v>45828.55242825232</x:v>
      </x:c>
      <x:c r="C1225" s="10" t="str">
        <x:v>EMP003</x:v>
      </x:c>
      <x:c r="D1225" s="10" t="str">
        <x:v>CTA006</x:v>
      </x:c>
      <x:c r="E1225" s="10" t="str">
        <x:v>Saída</x:v>
      </x:c>
      <x:c r="F1225" s="10" t="str">
        <x:v>CAT010</x:v>
      </x:c>
      <x:c r="G1225" s="10" t="str">
        <x:v>Prestação de serviços</x:v>
      </x:c>
      <x:c r="H1225" s="10" t="str">
        <x:v>PAG00373</x:v>
      </x:c>
      <x:c r="I1225" s="20" t="n">
        <x:v>5760.3</x:v>
      </x:c>
      <x:c r="J1225" s="20" t="n">
        <x:v>-5760.3</x:v>
      </x:c>
      <x:c r="K1225" s="10" t="str">
        <x:v>Realizado</x:v>
      </x:c>
      <x:c r="L1225" s="10" t="str">
        <x:v>Contas a Pagar</x:v>
      </x:c>
    </x:row>
    <x:row r="1226" ht="18" customHeight="1">
      <x:c r="A1226" s="10" t="str">
        <x:v>MOV000944</x:v>
      </x:c>
      <x:c r="B1226" s="16" t="n">
        <x:v>45828.66945907407</x:v>
      </x:c>
      <x:c r="C1226" s="10" t="str">
        <x:v>EMP002</x:v>
      </x:c>
      <x:c r="D1226" s="10" t="str">
        <x:v>CTA003</x:v>
      </x:c>
      <x:c r="E1226" s="10" t="str">
        <x:v>Entrada</x:v>
      </x:c>
      <x:c r="F1226" s="10" t="str">
        <x:v>CAT004</x:v>
      </x:c>
      <x:c r="G1226" s="10" t="str">
        <x:v>Projeto especial</x:v>
      </x:c>
      <x:c r="H1226" s="10" t="str">
        <x:v>REC00225</x:v>
      </x:c>
      <x:c r="I1226" s="20" t="n">
        <x:v>15322.01</x:v>
      </x:c>
      <x:c r="J1226" s="20" t="n">
        <x:v>15322.01</x:v>
      </x:c>
      <x:c r="K1226" s="10" t="str">
        <x:v>Realizado</x:v>
      </x:c>
      <x:c r="L1226" s="10" t="str">
        <x:v>Contas a Receber</x:v>
      </x:c>
    </x:row>
    <x:row r="1227" ht="18" customHeight="1">
      <x:c r="A1227" s="10" t="str">
        <x:v>MOV000701</x:v>
      </x:c>
      <x:c r="B1227" s="16" t="n">
        <x:v>45828.746914027775</x:v>
      </x:c>
      <x:c r="C1227" s="10" t="str">
        <x:v>EMP001</x:v>
      </x:c>
      <x:c r="D1227" s="10" t="str">
        <x:v>CTA001</x:v>
      </x:c>
      <x:c r="E1227" s="10" t="str">
        <x:v>Saída</x:v>
      </x:c>
      <x:c r="F1227" s="10" t="str">
        <x:v>CAT007</x:v>
      </x:c>
      <x:c r="G1227" s="10" t="str">
        <x:v>Prestação de serviços</x:v>
      </x:c>
      <x:c r="H1227" s="10" t="str">
        <x:v>PAG00831</x:v>
      </x:c>
      <x:c r="I1227" s="20" t="n">
        <x:v>7287.99</x:v>
      </x:c>
      <x:c r="J1227" s="20" t="n">
        <x:v>-7287.99</x:v>
      </x:c>
      <x:c r="K1227" s="10" t="str">
        <x:v>Realizado</x:v>
      </x:c>
      <x:c r="L1227" s="10" t="str">
        <x:v>Contas a Pagar</x:v>
      </x:c>
    </x:row>
    <x:row r="1228" ht="18" customHeight="1">
      <x:c r="A1228" s="10" t="str">
        <x:v>MOV000500</x:v>
      </x:c>
      <x:c r="B1228" s="16" t="n">
        <x:v>45828.93973259259</x:v>
      </x:c>
      <x:c r="C1228" s="10" t="str">
        <x:v>EMP002</x:v>
      </x:c>
      <x:c r="D1228" s="10" t="str">
        <x:v>CTA004</x:v>
      </x:c>
      <x:c r="E1228" s="10" t="str">
        <x:v>Saída</x:v>
      </x:c>
      <x:c r="F1228" s="10" t="str">
        <x:v>CAT005</x:v>
      </x:c>
      <x:c r="G1228" s="10" t="str">
        <x:v>Despesa operacional</x:v>
      </x:c>
      <x:c r="H1228" s="10" t="str">
        <x:v>PAG00588</x:v>
      </x:c>
      <x:c r="I1228" s="20" t="n">
        <x:v>39009.11</x:v>
      </x:c>
      <x:c r="J1228" s="20" t="n">
        <x:v>-39009.11</x:v>
      </x:c>
      <x:c r="K1228" s="10" t="str">
        <x:v>Realizado</x:v>
      </x:c>
      <x:c r="L1228" s="10" t="str">
        <x:v>Contas a Pagar</x:v>
      </x:c>
    </x:row>
    <x:row r="1229" ht="18" customHeight="1">
      <x:c r="A1229" s="10" t="str">
        <x:v>MOV000618</x:v>
      </x:c>
      <x:c r="B1229" s="16" t="n">
        <x:v>45829.189283113425</x:v>
      </x:c>
      <x:c r="C1229" s="10" t="str">
        <x:v>EMP003</x:v>
      </x:c>
      <x:c r="D1229" s="10" t="str">
        <x:v>CTA005</x:v>
      </x:c>
      <x:c r="E1229" s="10" t="str">
        <x:v>Saída</x:v>
      </x:c>
      <x:c r="F1229" s="10" t="str">
        <x:v>CAT011</x:v>
      </x:c>
      <x:c r="G1229" s="10" t="str">
        <x:v>Contrato recorrente</x:v>
      </x:c>
      <x:c r="H1229" s="10" t="str">
        <x:v>PAG00731</x:v>
      </x:c>
      <x:c r="I1229" s="20" t="n">
        <x:v>51010.04</x:v>
      </x:c>
      <x:c r="J1229" s="20" t="n">
        <x:v>-51010.04</x:v>
      </x:c>
      <x:c r="K1229" s="10" t="str">
        <x:v>Realizado</x:v>
      </x:c>
      <x:c r="L1229" s="10" t="str">
        <x:v>Contas a Pagar</x:v>
      </x:c>
    </x:row>
    <x:row r="1230" ht="18" customHeight="1">
      <x:c r="A1230" s="10" t="str">
        <x:v>MOV000513</x:v>
      </x:c>
      <x:c r="B1230" s="16" t="n">
        <x:v>45829.69718087963</x:v>
      </x:c>
      <x:c r="C1230" s="10" t="str">
        <x:v>EMP002</x:v>
      </x:c>
      <x:c r="D1230" s="10" t="str">
        <x:v>CTA003</x:v>
      </x:c>
      <x:c r="E1230" s="10" t="str">
        <x:v>Saída</x:v>
      </x:c>
      <x:c r="F1230" s="10" t="str">
        <x:v>CAT016</x:v>
      </x:c>
      <x:c r="G1230" s="10" t="str">
        <x:v>Tributos e taxas</x:v>
      </x:c>
      <x:c r="H1230" s="10" t="str">
        <x:v>PAG00603</x:v>
      </x:c>
      <x:c r="I1230" s="20" t="n">
        <x:v>17707.57</x:v>
      </x:c>
      <x:c r="J1230" s="20" t="n">
        <x:v>-17707.57</x:v>
      </x:c>
      <x:c r="K1230" s="10" t="str">
        <x:v>Realizado</x:v>
      </x:c>
      <x:c r="L1230" s="10" t="str">
        <x:v>Contas a Pagar</x:v>
      </x:c>
    </x:row>
    <x:row r="1231" ht="18" customHeight="1">
      <x:c r="A1231" s="10" t="str">
        <x:v>MOV001036</x:v>
      </x:c>
      <x:c r="B1231" s="16" t="n">
        <x:v>45829.815088564814</x:v>
      </x:c>
      <x:c r="C1231" s="10" t="str">
        <x:v>EMP002</x:v>
      </x:c>
      <x:c r="D1231" s="10" t="str">
        <x:v>CTA003</x:v>
      </x:c>
      <x:c r="E1231" s="10" t="str">
        <x:v>Entrada</x:v>
      </x:c>
      <x:c r="F1231" s="10" t="str">
        <x:v>CAT003</x:v>
      </x:c>
      <x:c r="G1231" s="10" t="str">
        <x:v>Prestação de serviços</x:v>
      </x:c>
      <x:c r="H1231" s="10" t="str">
        <x:v>REC00346</x:v>
      </x:c>
      <x:c r="I1231" s="20" t="n">
        <x:v>29783.87</x:v>
      </x:c>
      <x:c r="J1231" s="20" t="n">
        <x:v>29783.87</x:v>
      </x:c>
      <x:c r="K1231" s="10" t="str">
        <x:v>Realizado</x:v>
      </x:c>
      <x:c r="L1231" s="10" t="str">
        <x:v>Contas a Receber</x:v>
      </x:c>
    </x:row>
    <x:row r="1232" ht="18" customHeight="1">
      <x:c r="A1232" s="10" t="str">
        <x:v>MOV001231</x:v>
      </x:c>
      <x:c r="B1232" s="16" t="n">
        <x:v>45830.06272112268</x:v>
      </x:c>
      <x:c r="C1232" s="10" t="str">
        <x:v>EMP002</x:v>
      </x:c>
      <x:c r="D1232" s="10" t="str">
        <x:v>CTA003</x:v>
      </x:c>
      <x:c r="E1232" s="10" t="str">
        <x:v>Entrada</x:v>
      </x:c>
      <x:c r="F1232" s="10" t="str">
        <x:v>CAT002</x:v>
      </x:c>
      <x:c r="G1232" s="10" t="str">
        <x:v>Frete faturado</x:v>
      </x:c>
      <x:c r="H1232" s="10" t="str">
        <x:v>REC00583</x:v>
      </x:c>
      <x:c r="I1232" s="20" t="n">
        <x:v>132997.41</x:v>
      </x:c>
      <x:c r="J1232" s="20" t="n">
        <x:v>132997.41</x:v>
      </x:c>
      <x:c r="K1232" s="10" t="str">
        <x:v>Realizado</x:v>
      </x:c>
      <x:c r="L1232" s="10" t="str">
        <x:v>Contas a Receber</x:v>
      </x:c>
    </x:row>
    <x:row r="1233" ht="18" customHeight="1">
      <x:c r="A1233" s="10" t="str">
        <x:v>MOV001104</x:v>
      </x:c>
      <x:c r="B1233" s="16" t="n">
        <x:v>45830.06309037037</x:v>
      </x:c>
      <x:c r="C1233" s="10" t="str">
        <x:v>EMP003</x:v>
      </x:c>
      <x:c r="D1233" s="10" t="str">
        <x:v>CTA006</x:v>
      </x:c>
      <x:c r="E1233" s="10" t="str">
        <x:v>Entrada</x:v>
      </x:c>
      <x:c r="F1233" s="10" t="str">
        <x:v>CAT002</x:v>
      </x:c>
      <x:c r="G1233" s="10" t="str">
        <x:v>Venda de produtos</x:v>
      </x:c>
      <x:c r="H1233" s="10" t="str">
        <x:v>REC00430</x:v>
      </x:c>
      <x:c r="I1233" s="20" t="n">
        <x:v>103401.92</x:v>
      </x:c>
      <x:c r="J1233" s="20" t="n">
        <x:v>103401.92</x:v>
      </x:c>
      <x:c r="K1233" s="10" t="str">
        <x:v>Realizado</x:v>
      </x:c>
      <x:c r="L1233" s="10" t="str">
        <x:v>Contas a Receber</x:v>
      </x:c>
    </x:row>
    <x:row r="1234" ht="18" customHeight="1">
      <x:c r="A1234" s="10" t="str">
        <x:v>MOV000077</x:v>
      </x:c>
      <x:c r="B1234" s="16" t="n">
        <x:v>45830.126966689815</x:v>
      </x:c>
      <x:c r="C1234" s="10" t="str">
        <x:v>EMP002</x:v>
      </x:c>
      <x:c r="D1234" s="10" t="str">
        <x:v>CTA003</x:v>
      </x:c>
      <x:c r="E1234" s="10" t="str">
        <x:v>Saída</x:v>
      </x:c>
      <x:c r="F1234" s="10" t="str">
        <x:v>CAT005</x:v>
      </x:c>
      <x:c r="G1234" s="10" t="str">
        <x:v>Despesa operacional</x:v>
      </x:c>
      <x:c r="H1234" s="10" t="str">
        <x:v>PAG00086</x:v>
      </x:c>
      <x:c r="I1234" s="20" t="n">
        <x:v>2274.27</x:v>
      </x:c>
      <x:c r="J1234" s="20" t="n">
        <x:v>-2274.27</x:v>
      </x:c>
      <x:c r="K1234" s="10" t="str">
        <x:v>Realizado</x:v>
      </x:c>
      <x:c r="L1234" s="10" t="str">
        <x:v>Contas a Pagar</x:v>
      </x:c>
    </x:row>
    <x:row r="1235" ht="18" customHeight="1">
      <x:c r="A1235" s="10" t="str">
        <x:v>MOV000153</x:v>
      </x:c>
      <x:c r="B1235" s="16" t="n">
        <x:v>45830.476344386574</x:v>
      </x:c>
      <x:c r="C1235" s="10" t="str">
        <x:v>EMP001</x:v>
      </x:c>
      <x:c r="D1235" s="10" t="str">
        <x:v>CTA002</x:v>
      </x:c>
      <x:c r="E1235" s="10" t="str">
        <x:v>Saída</x:v>
      </x:c>
      <x:c r="F1235" s="10" t="str">
        <x:v>CAT017</x:v>
      </x:c>
      <x:c r="G1235" s="10" t="str">
        <x:v>Despesa operacional</x:v>
      </x:c>
      <x:c r="H1235" s="10" t="str">
        <x:v>PAG00176</x:v>
      </x:c>
      <x:c r="I1235" s="20" t="n">
        <x:v>8518.49</x:v>
      </x:c>
      <x:c r="J1235" s="20" t="n">
        <x:v>-8518.49</x:v>
      </x:c>
      <x:c r="K1235" s="10" t="str">
        <x:v>Realizado</x:v>
      </x:c>
      <x:c r="L1235" s="10" t="str">
        <x:v>Contas a Pagar</x:v>
      </x:c>
    </x:row>
    <x:row r="1236" ht="18" customHeight="1">
      <x:c r="A1236" s="10" t="str">
        <x:v>MOV000468</x:v>
      </x:c>
      <x:c r="B1236" s="16" t="n">
        <x:v>45830.505570810186</x:v>
      </x:c>
      <x:c r="C1236" s="10" t="str">
        <x:v>EMP001</x:v>
      </x:c>
      <x:c r="D1236" s="10" t="str">
        <x:v>CTA001</x:v>
      </x:c>
      <x:c r="E1236" s="10" t="str">
        <x:v>Saída</x:v>
      </x:c>
      <x:c r="F1236" s="10" t="str">
        <x:v>CAT005</x:v>
      </x:c>
      <x:c r="G1236" s="10" t="str">
        <x:v>Despesa operacional</x:v>
      </x:c>
      <x:c r="H1236" s="10" t="str">
        <x:v>PAG00549</x:v>
      </x:c>
      <x:c r="I1236" s="20" t="n">
        <x:v>9900.25</x:v>
      </x:c>
      <x:c r="J1236" s="20" t="n">
        <x:v>-9900.25</x:v>
      </x:c>
      <x:c r="K1236" s="10" t="str">
        <x:v>Realizado</x:v>
      </x:c>
      <x:c r="L1236" s="10" t="str">
        <x:v>Contas a Pagar</x:v>
      </x:c>
    </x:row>
    <x:row r="1237" ht="18" customHeight="1">
      <x:c r="A1237" s="10" t="str">
        <x:v>MOV000122</x:v>
      </x:c>
      <x:c r="B1237" s="16" t="n">
        <x:v>45830.632278206016</x:v>
      </x:c>
      <x:c r="C1237" s="10" t="str">
        <x:v>EMP003</x:v>
      </x:c>
      <x:c r="D1237" s="10" t="str">
        <x:v>CTA005</x:v>
      </x:c>
      <x:c r="E1237" s="10" t="str">
        <x:v>Saída</x:v>
      </x:c>
      <x:c r="F1237" s="10" t="str">
        <x:v>CAT010</x:v>
      </x:c>
      <x:c r="G1237" s="10" t="str">
        <x:v>Tributos e taxas</x:v>
      </x:c>
      <x:c r="H1237" s="10" t="str">
        <x:v>PAG00142</x:v>
      </x:c>
      <x:c r="I1237" s="20" t="n">
        <x:v>50743.27</x:v>
      </x:c>
      <x:c r="J1237" s="20" t="n">
        <x:v>-50743.27</x:v>
      </x:c>
      <x:c r="K1237" s="10" t="str">
        <x:v>Realizado</x:v>
      </x:c>
      <x:c r="L1237" s="10" t="str">
        <x:v>Contas a Pagar</x:v>
      </x:c>
    </x:row>
    <x:row r="1238" ht="18" customHeight="1">
      <x:c r="A1238" s="10" t="str">
        <x:v>MOV000391</x:v>
      </x:c>
      <x:c r="B1238" s="16" t="n">
        <x:v>45831.401920289354</x:v>
      </x:c>
      <x:c r="C1238" s="10" t="str">
        <x:v>EMP001</x:v>
      </x:c>
      <x:c r="D1238" s="10" t="str">
        <x:v>CTA002</x:v>
      </x:c>
      <x:c r="E1238" s="10" t="str">
        <x:v>Saída</x:v>
      </x:c>
      <x:c r="F1238" s="10" t="str">
        <x:v>CAT010</x:v>
      </x:c>
      <x:c r="G1238" s="10" t="str">
        <x:v>Tributos e taxas</x:v>
      </x:c>
      <x:c r="H1238" s="10" t="str">
        <x:v>PAG00455</x:v>
      </x:c>
      <x:c r="I1238" s="20" t="n">
        <x:v>68565.09</x:v>
      </x:c>
      <x:c r="J1238" s="20" t="n">
        <x:v>-68565.09</x:v>
      </x:c>
      <x:c r="K1238" s="10" t="str">
        <x:v>Realizado</x:v>
      </x:c>
      <x:c r="L1238" s="10" t="str">
        <x:v>Contas a Pagar</x:v>
      </x:c>
    </x:row>
    <x:row r="1239" ht="18" customHeight="1">
      <x:c r="A1239" s="10" t="str">
        <x:v>MOV001145</x:v>
      </x:c>
      <x:c r="B1239" s="16" t="n">
        <x:v>45832.75334387732</x:v>
      </x:c>
      <x:c r="C1239" s="10" t="str">
        <x:v>EMP003</x:v>
      </x:c>
      <x:c r="D1239" s="10" t="str">
        <x:v>CTA006</x:v>
      </x:c>
      <x:c r="E1239" s="10" t="str">
        <x:v>Entrada</x:v>
      </x:c>
      <x:c r="F1239" s="10" t="str">
        <x:v>CAT004</x:v>
      </x:c>
      <x:c r="G1239" s="10" t="str">
        <x:v>Frete faturado</x:v>
      </x:c>
      <x:c r="H1239" s="10" t="str">
        <x:v>REC00478</x:v>
      </x:c>
      <x:c r="I1239" s="20" t="n">
        <x:v>47047.85</x:v>
      </x:c>
      <x:c r="J1239" s="20" t="n">
        <x:v>47047.85</x:v>
      </x:c>
      <x:c r="K1239" s="10" t="str">
        <x:v>Realizado</x:v>
      </x:c>
      <x:c r="L1239" s="10" t="str">
        <x:v>Contas a Receber</x:v>
      </x:c>
    </x:row>
    <x:row r="1240" ht="18" customHeight="1">
      <x:c r="A1240" s="10" t="str">
        <x:v>MOV000663</x:v>
      </x:c>
      <x:c r="B1240" s="16" t="n">
        <x:v>45833.058653125</x:v>
      </x:c>
      <x:c r="C1240" s="10" t="str">
        <x:v>EMP003</x:v>
      </x:c>
      <x:c r="D1240" s="10" t="str">
        <x:v>CTA006</x:v>
      </x:c>
      <x:c r="E1240" s="10" t="str">
        <x:v>Saída</x:v>
      </x:c>
      <x:c r="F1240" s="10" t="str">
        <x:v>CAT014</x:v>
      </x:c>
      <x:c r="G1240" s="10" t="str">
        <x:v>Compra de materiais</x:v>
      </x:c>
      <x:c r="H1240" s="10" t="str">
        <x:v>PAG00787</x:v>
      </x:c>
      <x:c r="I1240" s="20" t="n">
        <x:v>72486.13</x:v>
      </x:c>
      <x:c r="J1240" s="20" t="n">
        <x:v>-72486.13</x:v>
      </x:c>
      <x:c r="K1240" s="10" t="str">
        <x:v>Realizado</x:v>
      </x:c>
      <x:c r="L1240" s="10" t="str">
        <x:v>Contas a Pagar</x:v>
      </x:c>
    </x:row>
    <x:row r="1241" ht="18" customHeight="1">
      <x:c r="A1241" s="10" t="str">
        <x:v>MOV000295</x:v>
      </x:c>
      <x:c r="B1241" s="16" t="n">
        <x:v>45833.18777362268</x:v>
      </x:c>
      <x:c r="C1241" s="10" t="str">
        <x:v>EMP003</x:v>
      </x:c>
      <x:c r="D1241" s="10" t="str">
        <x:v>CTA005</x:v>
      </x:c>
      <x:c r="E1241" s="10" t="str">
        <x:v>Saída</x:v>
      </x:c>
      <x:c r="F1241" s="10" t="str">
        <x:v>CAT012</x:v>
      </x:c>
      <x:c r="G1241" s="10" t="str">
        <x:v>Prestação de serviços</x:v>
      </x:c>
      <x:c r="H1241" s="10" t="str">
        <x:v>PAG00342</x:v>
      </x:c>
      <x:c r="I1241" s="20" t="n">
        <x:v>69111.08</x:v>
      </x:c>
      <x:c r="J1241" s="20" t="n">
        <x:v>-69111.08</x:v>
      </x:c>
      <x:c r="K1241" s="10" t="str">
        <x:v>Realizado</x:v>
      </x:c>
      <x:c r="L1241" s="10" t="str">
        <x:v>Contas a Pagar</x:v>
      </x:c>
    </x:row>
    <x:row r="1242" ht="18" customHeight="1">
      <x:c r="A1242" s="10" t="str">
        <x:v>MOV001198</x:v>
      </x:c>
      <x:c r="B1242" s="16" t="n">
        <x:v>45833.79852556713</x:v>
      </x:c>
      <x:c r="C1242" s="10" t="str">
        <x:v>EMP003</x:v>
      </x:c>
      <x:c r="D1242" s="10" t="str">
        <x:v>CTA005</x:v>
      </x:c>
      <x:c r="E1242" s="10" t="str">
        <x:v>Entrada</x:v>
      </x:c>
      <x:c r="F1242" s="10" t="str">
        <x:v>CAT003</x:v>
      </x:c>
      <x:c r="G1242" s="10" t="str">
        <x:v>Projeto especial</x:v>
      </x:c>
      <x:c r="H1242" s="10" t="str">
        <x:v>REC00542</x:v>
      </x:c>
      <x:c r="I1242" s="20" t="n">
        <x:v>10515.14</x:v>
      </x:c>
      <x:c r="J1242" s="20" t="n">
        <x:v>10515.14</x:v>
      </x:c>
      <x:c r="K1242" s="10" t="str">
        <x:v>Realizado</x:v>
      </x:c>
      <x:c r="L1242" s="10" t="str">
        <x:v>Contas a Receber</x:v>
      </x:c>
    </x:row>
    <x:row r="1243" ht="18" customHeight="1">
      <x:c r="A1243" s="10" t="str">
        <x:v>MOV000682</x:v>
      </x:c>
      <x:c r="B1243" s="16" t="n">
        <x:v>45834.1881653125</x:v>
      </x:c>
      <x:c r="C1243" s="10" t="str">
        <x:v>EMP002</x:v>
      </x:c>
      <x:c r="D1243" s="10" t="str">
        <x:v>CTA004</x:v>
      </x:c>
      <x:c r="E1243" s="10" t="str">
        <x:v>Saída</x:v>
      </x:c>
      <x:c r="F1243" s="10" t="str">
        <x:v>CAT006</x:v>
      </x:c>
      <x:c r="G1243" s="10" t="str">
        <x:v>Prestação de serviços</x:v>
      </x:c>
      <x:c r="H1243" s="10" t="str">
        <x:v>PAG00810</x:v>
      </x:c>
      <x:c r="I1243" s="20" t="n">
        <x:v>85968.48</x:v>
      </x:c>
      <x:c r="J1243" s="20" t="n">
        <x:v>-85968.48</x:v>
      </x:c>
      <x:c r="K1243" s="10" t="str">
        <x:v>Realizado</x:v>
      </x:c>
      <x:c r="L1243" s="10" t="str">
        <x:v>Contas a Pagar</x:v>
      </x:c>
    </x:row>
    <x:row r="1244" ht="18" customHeight="1">
      <x:c r="A1244" s="10" t="str">
        <x:v>MOV001136</x:v>
      </x:c>
      <x:c r="B1244" s="16" t="n">
        <x:v>45834.21638460648</x:v>
      </x:c>
      <x:c r="C1244" s="10" t="str">
        <x:v>EMP003</x:v>
      </x:c>
      <x:c r="D1244" s="10" t="str">
        <x:v>CTA006</x:v>
      </x:c>
      <x:c r="E1244" s="10" t="str">
        <x:v>Entrada</x:v>
      </x:c>
      <x:c r="F1244" s="10" t="str">
        <x:v>CAT004</x:v>
      </x:c>
      <x:c r="G1244" s="10" t="str">
        <x:v>Contrato mensal</x:v>
      </x:c>
      <x:c r="H1244" s="10" t="str">
        <x:v>REC00468</x:v>
      </x:c>
      <x:c r="I1244" s="20" t="n">
        <x:v>124801.36</x:v>
      </x:c>
      <x:c r="J1244" s="20" t="n">
        <x:v>124801.36</x:v>
      </x:c>
      <x:c r="K1244" s="10" t="str">
        <x:v>Realizado</x:v>
      </x:c>
      <x:c r="L1244" s="10" t="str">
        <x:v>Contas a Receber</x:v>
      </x:c>
    </x:row>
    <x:row r="1245" ht="18" customHeight="1">
      <x:c r="A1245" s="10" t="str">
        <x:v>MOV000454</x:v>
      </x:c>
      <x:c r="B1245" s="16" t="n">
        <x:v>45835.5462262037</x:v>
      </x:c>
      <x:c r="C1245" s="10" t="str">
        <x:v>EMP002</x:v>
      </x:c>
      <x:c r="D1245" s="10" t="str">
        <x:v>CTA003</x:v>
      </x:c>
      <x:c r="E1245" s="10" t="str">
        <x:v>Saída</x:v>
      </x:c>
      <x:c r="F1245" s="10" t="str">
        <x:v>CAT015</x:v>
      </x:c>
      <x:c r="G1245" s="10" t="str">
        <x:v>Compra de materiais</x:v>
      </x:c>
      <x:c r="H1245" s="10" t="str">
        <x:v>PAG00533</x:v>
      </x:c>
      <x:c r="I1245" s="20" t="n">
        <x:v>14165.83</x:v>
      </x:c>
      <x:c r="J1245" s="20" t="n">
        <x:v>-14165.83</x:v>
      </x:c>
      <x:c r="K1245" s="10" t="str">
        <x:v>Realizado</x:v>
      </x:c>
      <x:c r="L1245" s="10" t="str">
        <x:v>Contas a Pagar</x:v>
      </x:c>
    </x:row>
    <x:row r="1246" ht="18" customHeight="1">
      <x:c r="A1246" s="10" t="str">
        <x:v>MOV000373</x:v>
      </x:c>
      <x:c r="B1246" s="16" t="n">
        <x:v>45835.76040979167</x:v>
      </x:c>
      <x:c r="C1246" s="10" t="str">
        <x:v>EMP002</x:v>
      </x:c>
      <x:c r="D1246" s="10" t="str">
        <x:v>CTA004</x:v>
      </x:c>
      <x:c r="E1246" s="10" t="str">
        <x:v>Saída</x:v>
      </x:c>
      <x:c r="F1246" s="10" t="str">
        <x:v>CAT010</x:v>
      </x:c>
      <x:c r="G1246" s="10" t="str">
        <x:v>Prestação de serviços</x:v>
      </x:c>
      <x:c r="H1246" s="10" t="str">
        <x:v>PAG00433</x:v>
      </x:c>
      <x:c r="I1246" s="20" t="n">
        <x:v>76901.23</x:v>
      </x:c>
      <x:c r="J1246" s="20" t="n">
        <x:v>-76901.23</x:v>
      </x:c>
      <x:c r="K1246" s="10" t="str">
        <x:v>Realizado</x:v>
      </x:c>
      <x:c r="L1246" s="10" t="str">
        <x:v>Contas a Pagar</x:v>
      </x:c>
    </x:row>
    <x:row r="1247" ht="18" customHeight="1">
      <x:c r="A1247" s="10" t="str">
        <x:v>MOV000338</x:v>
      </x:c>
      <x:c r="B1247" s="16" t="n">
        <x:v>45835.78605488426</x:v>
      </x:c>
      <x:c r="C1247" s="10" t="str">
        <x:v>EMP002</x:v>
      </x:c>
      <x:c r="D1247" s="10" t="str">
        <x:v>CTA004</x:v>
      </x:c>
      <x:c r="E1247" s="10" t="str">
        <x:v>Saída</x:v>
      </x:c>
      <x:c r="F1247" s="10" t="str">
        <x:v>CAT012</x:v>
      </x:c>
      <x:c r="G1247" s="10" t="str">
        <x:v>Tributos e taxas</x:v>
      </x:c>
      <x:c r="H1247" s="10" t="str">
        <x:v>PAG00391</x:v>
      </x:c>
      <x:c r="I1247" s="20" t="n">
        <x:v>21712.84</x:v>
      </x:c>
      <x:c r="J1247" s="20" t="n">
        <x:v>-21712.84</x:v>
      </x:c>
      <x:c r="K1247" s="10" t="str">
        <x:v>Realizado</x:v>
      </x:c>
      <x:c r="L1247" s="10" t="str">
        <x:v>Contas a Pagar</x:v>
      </x:c>
    </x:row>
    <x:row r="1248" ht="18" customHeight="1">
      <x:c r="A1248" s="10" t="str">
        <x:v>MOV001377</x:v>
      </x:c>
      <x:c r="B1248" s="16" t="n">
        <x:v>45835.92788188657</x:v>
      </x:c>
      <x:c r="C1248" s="10" t="str">
        <x:v>EMP002</x:v>
      </x:c>
      <x:c r="D1248" s="10" t="str">
        <x:v>CTA004</x:v>
      </x:c>
      <x:c r="E1248" s="10" t="str">
        <x:v>Entrada</x:v>
      </x:c>
      <x:c r="F1248" s="10" t="str">
        <x:v>CAT001</x:v>
      </x:c>
      <x:c r="G1248" s="10" t="str">
        <x:v>Frete faturado</x:v>
      </x:c>
      <x:c r="H1248" s="10" t="str">
        <x:v>REC00750</x:v>
      </x:c>
      <x:c r="I1248" s="20" t="n">
        <x:v>1265.55</x:v>
      </x:c>
      <x:c r="J1248" s="20" t="n">
        <x:v>1265.55</x:v>
      </x:c>
      <x:c r="K1248" s="10" t="str">
        <x:v>Realizado</x:v>
      </x:c>
      <x:c r="L1248" s="10" t="str">
        <x:v>Contas a Receber</x:v>
      </x:c>
    </x:row>
    <x:row r="1249" ht="18" customHeight="1">
      <x:c r="A1249" s="10" t="str">
        <x:v>MOV000988</x:v>
      </x:c>
      <x:c r="B1249" s="16" t="n">
        <x:v>45836.36332079861</x:v>
      </x:c>
      <x:c r="C1249" s="10" t="str">
        <x:v>EMP001</x:v>
      </x:c>
      <x:c r="D1249" s="10" t="str">
        <x:v>CTA001</x:v>
      </x:c>
      <x:c r="E1249" s="10" t="str">
        <x:v>Entrada</x:v>
      </x:c>
      <x:c r="F1249" s="10" t="str">
        <x:v>CAT004</x:v>
      </x:c>
      <x:c r="G1249" s="10" t="str">
        <x:v>Venda de produtos</x:v>
      </x:c>
      <x:c r="H1249" s="10" t="str">
        <x:v>REC00285</x:v>
      </x:c>
      <x:c r="I1249" s="20" t="n">
        <x:v>5464.71</x:v>
      </x:c>
      <x:c r="J1249" s="20" t="n">
        <x:v>5464.71</x:v>
      </x:c>
      <x:c r="K1249" s="10" t="str">
        <x:v>Realizado</x:v>
      </x:c>
      <x:c r="L1249" s="10" t="str">
        <x:v>Contas a Receber</x:v>
      </x:c>
    </x:row>
    <x:row r="1250" ht="18" customHeight="1">
      <x:c r="A1250" s="10" t="str">
        <x:v>MOV001067</x:v>
      </x:c>
      <x:c r="B1250" s="16" t="n">
        <x:v>45837.19023195602</x:v>
      </x:c>
      <x:c r="C1250" s="10" t="str">
        <x:v>EMP002</x:v>
      </x:c>
      <x:c r="D1250" s="10" t="str">
        <x:v>CTA003</x:v>
      </x:c>
      <x:c r="E1250" s="10" t="str">
        <x:v>Entrada</x:v>
      </x:c>
      <x:c r="F1250" s="10" t="str">
        <x:v>CAT002</x:v>
      </x:c>
      <x:c r="G1250" s="10" t="str">
        <x:v>Projeto especial</x:v>
      </x:c>
      <x:c r="H1250" s="10" t="str">
        <x:v>REC00386</x:v>
      </x:c>
      <x:c r="I1250" s="20" t="n">
        <x:v>89875</x:v>
      </x:c>
      <x:c r="J1250" s="20" t="n">
        <x:v>89875</x:v>
      </x:c>
      <x:c r="K1250" s="10" t="str">
        <x:v>Realizado</x:v>
      </x:c>
      <x:c r="L1250" s="10" t="str">
        <x:v>Contas a Receber</x:v>
      </x:c>
    </x:row>
    <x:row r="1251" ht="18" customHeight="1">
      <x:c r="A1251" s="10" t="str">
        <x:v>MOV000999</x:v>
      </x:c>
      <x:c r="B1251" s="16" t="n">
        <x:v>45837.32184844907</x:v>
      </x:c>
      <x:c r="C1251" s="10" t="str">
        <x:v>EMP001</x:v>
      </x:c>
      <x:c r="D1251" s="10" t="str">
        <x:v>CTA002</x:v>
      </x:c>
      <x:c r="E1251" s="10" t="str">
        <x:v>Entrada</x:v>
      </x:c>
      <x:c r="F1251" s="10" t="str">
        <x:v>CAT004</x:v>
      </x:c>
      <x:c r="G1251" s="10" t="str">
        <x:v>Contrato mensal</x:v>
      </x:c>
      <x:c r="H1251" s="10" t="str">
        <x:v>REC00298</x:v>
      </x:c>
      <x:c r="I1251" s="20" t="n">
        <x:v>18860.17</x:v>
      </x:c>
      <x:c r="J1251" s="20" t="n">
        <x:v>18860.17</x:v>
      </x:c>
      <x:c r="K1251" s="10" t="str">
        <x:v>Realizado</x:v>
      </x:c>
      <x:c r="L1251" s="10" t="str">
        <x:v>Contas a Receber</x:v>
      </x:c>
    </x:row>
    <x:row r="1252" ht="18" customHeight="1">
      <x:c r="A1252" s="10" t="str">
        <x:v>MOV000840</x:v>
      </x:c>
      <x:c r="B1252" s="16" t="n">
        <x:v>45837.3313753125</x:v>
      </x:c>
      <x:c r="C1252" s="10" t="str">
        <x:v>EMP003</x:v>
      </x:c>
      <x:c r="D1252" s="10" t="str">
        <x:v>CTA005</x:v>
      </x:c>
      <x:c r="E1252" s="10" t="str">
        <x:v>Entrada</x:v>
      </x:c>
      <x:c r="F1252" s="10" t="str">
        <x:v>CAT003</x:v>
      </x:c>
      <x:c r="G1252" s="10" t="str">
        <x:v>Venda de produtos</x:v>
      </x:c>
      <x:c r="H1252" s="10" t="str">
        <x:v>REC00105</x:v>
      </x:c>
      <x:c r="I1252" s="20" t="n">
        <x:v>45437.58</x:v>
      </x:c>
      <x:c r="J1252" s="20" t="n">
        <x:v>45437.58</x:v>
      </x:c>
      <x:c r="K1252" s="10" t="str">
        <x:v>Realizado</x:v>
      </x:c>
      <x:c r="L1252" s="10" t="str">
        <x:v>Contas a Receber</x:v>
      </x:c>
    </x:row>
    <x:row r="1253" ht="18" customHeight="1">
      <x:c r="A1253" s="10" t="str">
        <x:v>MOV001603</x:v>
      </x:c>
      <x:c r="B1253" s="16" t="n">
        <x:v>45837.50509767361</x:v>
      </x:c>
      <x:c r="C1253" s="10" t="str">
        <x:v>EMP003</x:v>
      </x:c>
      <x:c r="D1253" s="10" t="str">
        <x:v>CTA005</x:v>
      </x:c>
      <x:c r="E1253" s="10" t="str">
        <x:v>Entrada</x:v>
      </x:c>
      <x:c r="F1253" s="10" t="str">
        <x:v>CAT001</x:v>
      </x:c>
      <x:c r="G1253" s="10" t="str">
        <x:v>Prestação de serviços</x:v>
      </x:c>
      <x:c r="H1253" s="10" t="str">
        <x:v>REC01031</x:v>
      </x:c>
      <x:c r="I1253" s="20" t="n">
        <x:v>61609.68</x:v>
      </x:c>
      <x:c r="J1253" s="20" t="n">
        <x:v>61609.68</x:v>
      </x:c>
      <x:c r="K1253" s="10" t="str">
        <x:v>Realizado</x:v>
      </x:c>
      <x:c r="L1253" s="10" t="str">
        <x:v>Contas a Receber</x:v>
      </x:c>
    </x:row>
    <x:row r="1254" ht="18" customHeight="1">
      <x:c r="A1254" s="10" t="str">
        <x:v>MOV001170</x:v>
      </x:c>
      <x:c r="B1254" s="16" t="n">
        <x:v>45837.7695897338</x:v>
      </x:c>
      <x:c r="C1254" s="10" t="str">
        <x:v>EMP003</x:v>
      </x:c>
      <x:c r="D1254" s="10" t="str">
        <x:v>CTA006</x:v>
      </x:c>
      <x:c r="E1254" s="10" t="str">
        <x:v>Entrada</x:v>
      </x:c>
      <x:c r="F1254" s="10" t="str">
        <x:v>CAT001</x:v>
      </x:c>
      <x:c r="G1254" s="10" t="str">
        <x:v>Projeto especial</x:v>
      </x:c>
      <x:c r="H1254" s="10" t="str">
        <x:v>REC00505</x:v>
      </x:c>
      <x:c r="I1254" s="20" t="n">
        <x:v>8022.16</x:v>
      </x:c>
      <x:c r="J1254" s="20" t="n">
        <x:v>8022.16</x:v>
      </x:c>
      <x:c r="K1254" s="10" t="str">
        <x:v>Realizado</x:v>
      </x:c>
      <x:c r="L1254" s="10" t="str">
        <x:v>Contas a Receber</x:v>
      </x:c>
    </x:row>
    <x:row r="1255" ht="18" customHeight="1">
      <x:c r="A1255" s="10" t="str">
        <x:v>MOV001029</x:v>
      </x:c>
      <x:c r="B1255" s="16" t="n">
        <x:v>45837.81247738426</x:v>
      </x:c>
      <x:c r="C1255" s="10" t="str">
        <x:v>EMP002</x:v>
      </x:c>
      <x:c r="D1255" s="10" t="str">
        <x:v>CTA004</x:v>
      </x:c>
      <x:c r="E1255" s="10" t="str">
        <x:v>Entrada</x:v>
      </x:c>
      <x:c r="F1255" s="10" t="str">
        <x:v>CAT003</x:v>
      </x:c>
      <x:c r="G1255" s="10" t="str">
        <x:v>Venda de produtos</x:v>
      </x:c>
      <x:c r="H1255" s="10" t="str">
        <x:v>REC00334</x:v>
      </x:c>
      <x:c r="I1255" s="20" t="n">
        <x:v>107070.91</x:v>
      </x:c>
      <x:c r="J1255" s="20" t="n">
        <x:v>107070.91</x:v>
      </x:c>
      <x:c r="K1255" s="10" t="str">
        <x:v>Realizado</x:v>
      </x:c>
      <x:c r="L1255" s="10" t="str">
        <x:v>Contas a Receber</x:v>
      </x:c>
    </x:row>
    <x:row r="1256" ht="18" customHeight="1">
      <x:c r="A1256" s="10" t="str">
        <x:v>MOV001232</x:v>
      </x:c>
      <x:c r="B1256" s="16" t="n">
        <x:v>45838.17297357639</x:v>
      </x:c>
      <x:c r="C1256" s="10" t="str">
        <x:v>EMP003</x:v>
      </x:c>
      <x:c r="D1256" s="10" t="str">
        <x:v>CTA006</x:v>
      </x:c>
      <x:c r="E1256" s="10" t="str">
        <x:v>Entrada</x:v>
      </x:c>
      <x:c r="F1256" s="10" t="str">
        <x:v>CAT004</x:v>
      </x:c>
      <x:c r="G1256" s="10" t="str">
        <x:v>Projeto especial</x:v>
      </x:c>
      <x:c r="H1256" s="10" t="str">
        <x:v>REC00584</x:v>
      </x:c>
      <x:c r="I1256" s="20" t="n">
        <x:v>67332.86</x:v>
      </x:c>
      <x:c r="J1256" s="20" t="n">
        <x:v>67332.86</x:v>
      </x:c>
      <x:c r="K1256" s="10" t="str">
        <x:v>Realizado</x:v>
      </x:c>
      <x:c r="L1256" s="10" t="str">
        <x:v>Contas a Receber</x:v>
      </x:c>
    </x:row>
    <x:row r="1257" ht="18" customHeight="1">
      <x:c r="A1257" s="10" t="str">
        <x:v>MOV000617</x:v>
      </x:c>
      <x:c r="B1257" s="16" t="n">
        <x:v>45838.67885285879</x:v>
      </x:c>
      <x:c r="C1257" s="10" t="str">
        <x:v>EMP002</x:v>
      </x:c>
      <x:c r="D1257" s="10" t="str">
        <x:v>CTA003</x:v>
      </x:c>
      <x:c r="E1257" s="10" t="str">
        <x:v>Saída</x:v>
      </x:c>
      <x:c r="F1257" s="10" t="str">
        <x:v>CAT012</x:v>
      </x:c>
      <x:c r="G1257" s="10" t="str">
        <x:v>Compra de materiais</x:v>
      </x:c>
      <x:c r="H1257" s="10" t="str">
        <x:v>PAG00730</x:v>
      </x:c>
      <x:c r="I1257" s="20" t="n">
        <x:v>18607.92</x:v>
      </x:c>
      <x:c r="J1257" s="20" t="n">
        <x:v>-18607.92</x:v>
      </x:c>
      <x:c r="K1257" s="10" t="str">
        <x:v>Realizado</x:v>
      </x:c>
      <x:c r="L1257" s="10" t="str">
        <x:v>Contas a Pagar</x:v>
      </x:c>
    </x:row>
    <x:row r="1258" ht="18" customHeight="1">
      <x:c r="A1258" s="10" t="str">
        <x:v>MOV001009</x:v>
      </x:c>
      <x:c r="B1258" s="16" t="n">
        <x:v>45839.73649564815</x:v>
      </x:c>
      <x:c r="C1258" s="10" t="str">
        <x:v>EMP003</x:v>
      </x:c>
      <x:c r="D1258" s="10" t="str">
        <x:v>CTA006</x:v>
      </x:c>
      <x:c r="E1258" s="10" t="str">
        <x:v>Entrada</x:v>
      </x:c>
      <x:c r="F1258" s="10" t="str">
        <x:v>CAT003</x:v>
      </x:c>
      <x:c r="G1258" s="10" t="str">
        <x:v>Prestação de serviços</x:v>
      </x:c>
      <x:c r="H1258" s="10" t="str">
        <x:v>REC00311</x:v>
      </x:c>
      <x:c r="I1258" s="20" t="n">
        <x:v>16613.81</x:v>
      </x:c>
      <x:c r="J1258" s="20" t="n">
        <x:v>16613.81</x:v>
      </x:c>
      <x:c r="K1258" s="10" t="str">
        <x:v>Realizado</x:v>
      </x:c>
      <x:c r="L1258" s="10" t="str">
        <x:v>Contas a Receber</x:v>
      </x:c>
    </x:row>
    <x:row r="1259" ht="18" customHeight="1">
      <x:c r="A1259" s="10" t="str">
        <x:v>MOV000778</x:v>
      </x:c>
      <x:c r="B1259" s="16" t="n">
        <x:v>45839.741706851855</x:v>
      </x:c>
      <x:c r="C1259" s="10" t="str">
        <x:v>EMP001</x:v>
      </x:c>
      <x:c r="D1259" s="10" t="str">
        <x:v>CTA001</x:v>
      </x:c>
      <x:c r="E1259" s="10" t="str">
        <x:v>Entrada</x:v>
      </x:c>
      <x:c r="F1259" s="10" t="str">
        <x:v>CAT002</x:v>
      </x:c>
      <x:c r="G1259" s="10" t="str">
        <x:v>Projeto especial</x:v>
      </x:c>
      <x:c r="H1259" s="10" t="str">
        <x:v>REC00031</x:v>
      </x:c>
      <x:c r="I1259" s="20" t="n">
        <x:v>31836.32</x:v>
      </x:c>
      <x:c r="J1259" s="20" t="n">
        <x:v>31836.32</x:v>
      </x:c>
      <x:c r="K1259" s="10" t="str">
        <x:v>Realizado</x:v>
      </x:c>
      <x:c r="L1259" s="10" t="str">
        <x:v>Contas a Receber</x:v>
      </x:c>
    </x:row>
    <x:row r="1260" ht="18" customHeight="1">
      <x:c r="A1260" s="10" t="str">
        <x:v>MOV000459</x:v>
      </x:c>
      <x:c r="B1260" s="16" t="n">
        <x:v>45839.905336145835</x:v>
      </x:c>
      <x:c r="C1260" s="10" t="str">
        <x:v>EMP002</x:v>
      </x:c>
      <x:c r="D1260" s="10" t="str">
        <x:v>CTA003</x:v>
      </x:c>
      <x:c r="E1260" s="10" t="str">
        <x:v>Saída</x:v>
      </x:c>
      <x:c r="F1260" s="10" t="str">
        <x:v>CAT016</x:v>
      </x:c>
      <x:c r="G1260" s="10" t="str">
        <x:v>Prestação de serviços</x:v>
      </x:c>
      <x:c r="H1260" s="10" t="str">
        <x:v>PAG00538</x:v>
      </x:c>
      <x:c r="I1260" s="20" t="n">
        <x:v>1698.27</x:v>
      </x:c>
      <x:c r="J1260" s="20" t="n">
        <x:v>-1698.27</x:v>
      </x:c>
      <x:c r="K1260" s="10" t="str">
        <x:v>Realizado</x:v>
      </x:c>
      <x:c r="L1260" s="10" t="str">
        <x:v>Contas a Pagar</x:v>
      </x:c>
    </x:row>
    <x:row r="1261" ht="18" customHeight="1">
      <x:c r="A1261" s="10" t="str">
        <x:v>MOV000536</x:v>
      </x:c>
      <x:c r="B1261" s="16" t="n">
        <x:v>45840.07516177083</x:v>
      </x:c>
      <x:c r="C1261" s="10" t="str">
        <x:v>EMP003</x:v>
      </x:c>
      <x:c r="D1261" s="10" t="str">
        <x:v>CTA006</x:v>
      </x:c>
      <x:c r="E1261" s="10" t="str">
        <x:v>Saída</x:v>
      </x:c>
      <x:c r="F1261" s="10" t="str">
        <x:v>CAT016</x:v>
      </x:c>
      <x:c r="G1261" s="10" t="str">
        <x:v>Tributos e taxas</x:v>
      </x:c>
      <x:c r="H1261" s="10" t="str">
        <x:v>PAG00628</x:v>
      </x:c>
      <x:c r="I1261" s="20" t="n">
        <x:v>67117.49</x:v>
      </x:c>
      <x:c r="J1261" s="20" t="n">
        <x:v>-67117.49</x:v>
      </x:c>
      <x:c r="K1261" s="10" t="str">
        <x:v>Realizado</x:v>
      </x:c>
      <x:c r="L1261" s="10" t="str">
        <x:v>Contas a Pagar</x:v>
      </x:c>
    </x:row>
    <x:row r="1262" ht="18" customHeight="1">
      <x:c r="A1262" s="10" t="str">
        <x:v>MOV000069</x:v>
      </x:c>
      <x:c r="B1262" s="16" t="n">
        <x:v>45840.1765196412</x:v>
      </x:c>
      <x:c r="C1262" s="10" t="str">
        <x:v>EMP003</x:v>
      </x:c>
      <x:c r="D1262" s="10" t="str">
        <x:v>CTA006</x:v>
      </x:c>
      <x:c r="E1262" s="10" t="str">
        <x:v>Saída</x:v>
      </x:c>
      <x:c r="F1262" s="10" t="str">
        <x:v>CAT013</x:v>
      </x:c>
      <x:c r="G1262" s="10" t="str">
        <x:v>Compra de materiais</x:v>
      </x:c>
      <x:c r="H1262" s="10" t="str">
        <x:v>PAG00076</x:v>
      </x:c>
      <x:c r="I1262" s="20" t="n">
        <x:v>20265.43</x:v>
      </x:c>
      <x:c r="J1262" s="20" t="n">
        <x:v>-20265.43</x:v>
      </x:c>
      <x:c r="K1262" s="10" t="str">
        <x:v>Realizado</x:v>
      </x:c>
      <x:c r="L1262" s="10" t="str">
        <x:v>Contas a Pagar</x:v>
      </x:c>
    </x:row>
    <x:row r="1263" ht="18" customHeight="1">
      <x:c r="A1263" s="10" t="str">
        <x:v>MOV001431</x:v>
      </x:c>
      <x:c r="B1263" s="16" t="n">
        <x:v>45840.4995449537</x:v>
      </x:c>
      <x:c r="C1263" s="10" t="str">
        <x:v>EMP002</x:v>
      </x:c>
      <x:c r="D1263" s="10" t="str">
        <x:v>CTA003</x:v>
      </x:c>
      <x:c r="E1263" s="10" t="str">
        <x:v>Entrada</x:v>
      </x:c>
      <x:c r="F1263" s="10" t="str">
        <x:v>CAT001</x:v>
      </x:c>
      <x:c r="G1263" s="10" t="str">
        <x:v>Frete faturado</x:v>
      </x:c>
      <x:c r="H1263" s="10" t="str">
        <x:v>REC00821</x:v>
      </x:c>
      <x:c r="I1263" s="20" t="n">
        <x:v>16697.82</x:v>
      </x:c>
      <x:c r="J1263" s="20" t="n">
        <x:v>16697.82</x:v>
      </x:c>
      <x:c r="K1263" s="10" t="str">
        <x:v>Realizado</x:v>
      </x:c>
      <x:c r="L1263" s="10" t="str">
        <x:v>Contas a Receber</x:v>
      </x:c>
    </x:row>
    <x:row r="1264" ht="18" customHeight="1">
      <x:c r="A1264" s="10" t="str">
        <x:v>MOV001413</x:v>
      </x:c>
      <x:c r="B1264" s="16" t="n">
        <x:v>45840.72806579861</x:v>
      </x:c>
      <x:c r="C1264" s="10" t="str">
        <x:v>EMP003</x:v>
      </x:c>
      <x:c r="D1264" s="10" t="str">
        <x:v>CTA005</x:v>
      </x:c>
      <x:c r="E1264" s="10" t="str">
        <x:v>Entrada</x:v>
      </x:c>
      <x:c r="F1264" s="10" t="str">
        <x:v>CAT003</x:v>
      </x:c>
      <x:c r="G1264" s="10" t="str">
        <x:v>Projeto especial</x:v>
      </x:c>
      <x:c r="H1264" s="10" t="str">
        <x:v>REC00795</x:v>
      </x:c>
      <x:c r="I1264" s="20" t="n">
        <x:v>10868.09</x:v>
      </x:c>
      <x:c r="J1264" s="20" t="n">
        <x:v>10868.09</x:v>
      </x:c>
      <x:c r="K1264" s="10" t="str">
        <x:v>Realizado</x:v>
      </x:c>
      <x:c r="L1264" s="10" t="str">
        <x:v>Contas a Receber</x:v>
      </x:c>
    </x:row>
    <x:row r="1265" ht="18" customHeight="1">
      <x:c r="A1265" s="10" t="str">
        <x:v>MOV000431</x:v>
      </x:c>
      <x:c r="B1265" s="16" t="n">
        <x:v>45841.3261125</x:v>
      </x:c>
      <x:c r="C1265" s="10" t="str">
        <x:v>EMP002</x:v>
      </x:c>
      <x:c r="D1265" s="10" t="str">
        <x:v>CTA003</x:v>
      </x:c>
      <x:c r="E1265" s="10" t="str">
        <x:v>Saída</x:v>
      </x:c>
      <x:c r="F1265" s="10" t="str">
        <x:v>CAT008</x:v>
      </x:c>
      <x:c r="G1265" s="10" t="str">
        <x:v>Despesa operacional</x:v>
      </x:c>
      <x:c r="H1265" s="10" t="str">
        <x:v>PAG00504</x:v>
      </x:c>
      <x:c r="I1265" s="20" t="n">
        <x:v>30468.42</x:v>
      </x:c>
      <x:c r="J1265" s="20" t="n">
        <x:v>-30468.42</x:v>
      </x:c>
      <x:c r="K1265" s="10" t="str">
        <x:v>Realizado</x:v>
      </x:c>
      <x:c r="L1265" s="10" t="str">
        <x:v>Contas a Pagar</x:v>
      </x:c>
    </x:row>
    <x:row r="1266" ht="18" customHeight="1">
      <x:c r="A1266" s="10" t="str">
        <x:v>MOV000695</x:v>
      </x:c>
      <x:c r="B1266" s="16" t="n">
        <x:v>45841.66782650463</x:v>
      </x:c>
      <x:c r="C1266" s="10" t="str">
        <x:v>EMP002</x:v>
      </x:c>
      <x:c r="D1266" s="10" t="str">
        <x:v>CTA003</x:v>
      </x:c>
      <x:c r="E1266" s="10" t="str">
        <x:v>Saída</x:v>
      </x:c>
      <x:c r="F1266" s="10" t="str">
        <x:v>CAT006</x:v>
      </x:c>
      <x:c r="G1266" s="10" t="str">
        <x:v>Despesa operacional</x:v>
      </x:c>
      <x:c r="H1266" s="10" t="str">
        <x:v>PAG00825</x:v>
      </x:c>
      <x:c r="I1266" s="20" t="n">
        <x:v>75830.51</x:v>
      </x:c>
      <x:c r="J1266" s="20" t="n">
        <x:v>-75830.51</x:v>
      </x:c>
      <x:c r="K1266" s="10" t="str">
        <x:v>Realizado</x:v>
      </x:c>
      <x:c r="L1266" s="10" t="str">
        <x:v>Contas a Pagar</x:v>
      </x:c>
    </x:row>
    <x:row r="1267" ht="18" customHeight="1">
      <x:c r="A1267" s="10" t="str">
        <x:v>MOV001217</x:v>
      </x:c>
      <x:c r="B1267" s="16" t="n">
        <x:v>45841.94124244213</x:v>
      </x:c>
      <x:c r="C1267" s="10" t="str">
        <x:v>EMP002</x:v>
      </x:c>
      <x:c r="D1267" s="10" t="str">
        <x:v>CTA003</x:v>
      </x:c>
      <x:c r="E1267" s="10" t="str">
        <x:v>Entrada</x:v>
      </x:c>
      <x:c r="F1267" s="10" t="str">
        <x:v>CAT003</x:v>
      </x:c>
      <x:c r="G1267" s="10" t="str">
        <x:v>Projeto especial</x:v>
      </x:c>
      <x:c r="H1267" s="10" t="str">
        <x:v>REC00566</x:v>
      </x:c>
      <x:c r="I1267" s="20" t="n">
        <x:v>143453.64</x:v>
      </x:c>
      <x:c r="J1267" s="20" t="n">
        <x:v>143453.64</x:v>
      </x:c>
      <x:c r="K1267" s="10" t="str">
        <x:v>Realizado</x:v>
      </x:c>
      <x:c r="L1267" s="10" t="str">
        <x:v>Contas a Receber</x:v>
      </x:c>
    </x:row>
    <x:row r="1268" ht="18" customHeight="1">
      <x:c r="A1268" s="10" t="str">
        <x:v>MOV000955</x:v>
      </x:c>
      <x:c r="B1268" s="16" t="n">
        <x:v>45842.399039108794</x:v>
      </x:c>
      <x:c r="C1268" s="10" t="str">
        <x:v>EMP001</x:v>
      </x:c>
      <x:c r="D1268" s="10" t="str">
        <x:v>CTA001</x:v>
      </x:c>
      <x:c r="E1268" s="10" t="str">
        <x:v>Entrada</x:v>
      </x:c>
      <x:c r="F1268" s="10" t="str">
        <x:v>CAT003</x:v>
      </x:c>
      <x:c r="G1268" s="10" t="str">
        <x:v>Contrato mensal</x:v>
      </x:c>
      <x:c r="H1268" s="10" t="str">
        <x:v>REC00241</x:v>
      </x:c>
      <x:c r="I1268" s="20" t="n">
        <x:v>33666.29</x:v>
      </x:c>
      <x:c r="J1268" s="20" t="n">
        <x:v>33666.29</x:v>
      </x:c>
      <x:c r="K1268" s="10" t="str">
        <x:v>Realizado</x:v>
      </x:c>
      <x:c r="L1268" s="10" t="str">
        <x:v>Contas a Receber</x:v>
      </x:c>
    </x:row>
    <x:row r="1269" ht="18" customHeight="1">
      <x:c r="A1269" s="10" t="str">
        <x:v>MOV000033</x:v>
      </x:c>
      <x:c r="B1269" s="16" t="n">
        <x:v>45842.48474763889</x:v>
      </x:c>
      <x:c r="C1269" s="10" t="str">
        <x:v>EMP001</x:v>
      </x:c>
      <x:c r="D1269" s="10" t="str">
        <x:v>CTA001</x:v>
      </x:c>
      <x:c r="E1269" s="10" t="str">
        <x:v>Saída</x:v>
      </x:c>
      <x:c r="F1269" s="10" t="str">
        <x:v>CAT008</x:v>
      </x:c>
      <x:c r="G1269" s="10" t="str">
        <x:v>Tributos e taxas</x:v>
      </x:c>
      <x:c r="H1269" s="10" t="str">
        <x:v>PAG00033</x:v>
      </x:c>
      <x:c r="I1269" s="20" t="n">
        <x:v>90530.95</x:v>
      </x:c>
      <x:c r="J1269" s="20" t="n">
        <x:v>-90530.95</x:v>
      </x:c>
      <x:c r="K1269" s="10" t="str">
        <x:v>Realizado</x:v>
      </x:c>
      <x:c r="L1269" s="10" t="str">
        <x:v>Contas a Pagar</x:v>
      </x:c>
    </x:row>
    <x:row r="1270" ht="18" customHeight="1">
      <x:c r="A1270" s="10" t="str">
        <x:v>MOV000045</x:v>
      </x:c>
      <x:c r="B1270" s="16" t="n">
        <x:v>45842.500398738426</x:v>
      </x:c>
      <x:c r="C1270" s="10" t="str">
        <x:v>EMP001</x:v>
      </x:c>
      <x:c r="D1270" s="10" t="str">
        <x:v>CTA001</x:v>
      </x:c>
      <x:c r="E1270" s="10" t="str">
        <x:v>Saída</x:v>
      </x:c>
      <x:c r="F1270" s="10" t="str">
        <x:v>CAT012</x:v>
      </x:c>
      <x:c r="G1270" s="10" t="str">
        <x:v>Prestação de serviços</x:v>
      </x:c>
      <x:c r="H1270" s="10" t="str">
        <x:v>PAG00045</x:v>
      </x:c>
      <x:c r="I1270" s="20" t="n">
        <x:v>62201.73</x:v>
      </x:c>
      <x:c r="J1270" s="20" t="n">
        <x:v>-62201.73</x:v>
      </x:c>
      <x:c r="K1270" s="10" t="str">
        <x:v>Realizado</x:v>
      </x:c>
      <x:c r="L1270" s="10" t="str">
        <x:v>Contas a Pagar</x:v>
      </x:c>
    </x:row>
    <x:row r="1271" ht="18" customHeight="1">
      <x:c r="A1271" s="10" t="str">
        <x:v>MOV000390</x:v>
      </x:c>
      <x:c r="B1271" s="16" t="n">
        <x:v>45843.17684976852</x:v>
      </x:c>
      <x:c r="C1271" s="10" t="str">
        <x:v>EMP002</x:v>
      </x:c>
      <x:c r="D1271" s="10" t="str">
        <x:v>CTA003</x:v>
      </x:c>
      <x:c r="E1271" s="10" t="str">
        <x:v>Saída</x:v>
      </x:c>
      <x:c r="F1271" s="10" t="str">
        <x:v>CAT011</x:v>
      </x:c>
      <x:c r="G1271" s="10" t="str">
        <x:v>Despesa operacional</x:v>
      </x:c>
      <x:c r="H1271" s="10" t="str">
        <x:v>PAG00454</x:v>
      </x:c>
      <x:c r="I1271" s="20" t="n">
        <x:v>41353.01</x:v>
      </x:c>
      <x:c r="J1271" s="20" t="n">
        <x:v>-41353.01</x:v>
      </x:c>
      <x:c r="K1271" s="10" t="str">
        <x:v>Realizado</x:v>
      </x:c>
      <x:c r="L1271" s="10" t="str">
        <x:v>Contas a Pagar</x:v>
      </x:c>
    </x:row>
    <x:row r="1272" ht="18" customHeight="1">
      <x:c r="A1272" s="10" t="str">
        <x:v>MOV000044</x:v>
      </x:c>
      <x:c r="B1272" s="16" t="n">
        <x:v>45845.01439398148</x:v>
      </x:c>
      <x:c r="C1272" s="10" t="str">
        <x:v>EMP002</x:v>
      </x:c>
      <x:c r="D1272" s="10" t="str">
        <x:v>CTA003</x:v>
      </x:c>
      <x:c r="E1272" s="10" t="str">
        <x:v>Saída</x:v>
      </x:c>
      <x:c r="F1272" s="10" t="str">
        <x:v>CAT013</x:v>
      </x:c>
      <x:c r="G1272" s="10" t="str">
        <x:v>Despesa operacional</x:v>
      </x:c>
      <x:c r="H1272" s="10" t="str">
        <x:v>PAG00044</x:v>
      </x:c>
      <x:c r="I1272" s="20" t="n">
        <x:v>25648.27</x:v>
      </x:c>
      <x:c r="J1272" s="20" t="n">
        <x:v>-25648.27</x:v>
      </x:c>
      <x:c r="K1272" s="10" t="str">
        <x:v>Realizado</x:v>
      </x:c>
      <x:c r="L1272" s="10" t="str">
        <x:v>Contas a Pagar</x:v>
      </x:c>
    </x:row>
    <x:row r="1273" ht="18" customHeight="1">
      <x:c r="A1273" s="10" t="str">
        <x:v>MOV001581</x:v>
      </x:c>
      <x:c r="B1273" s="16" t="n">
        <x:v>45845.33165</x:v>
      </x:c>
      <x:c r="C1273" s="10" t="str">
        <x:v>EMP002</x:v>
      </x:c>
      <x:c r="D1273" s="10" t="str">
        <x:v>CTA003</x:v>
      </x:c>
      <x:c r="E1273" s="10" t="str">
        <x:v>Entrada</x:v>
      </x:c>
      <x:c r="F1273" s="10" t="str">
        <x:v>CAT004</x:v>
      </x:c>
      <x:c r="G1273" s="10" t="str">
        <x:v>Projeto especial</x:v>
      </x:c>
      <x:c r="H1273" s="10" t="str">
        <x:v>REC01005</x:v>
      </x:c>
      <x:c r="I1273" s="20" t="n">
        <x:v>3218.86</x:v>
      </x:c>
      <x:c r="J1273" s="20" t="n">
        <x:v>3218.86</x:v>
      </x:c>
      <x:c r="K1273" s="10" t="str">
        <x:v>Realizado</x:v>
      </x:c>
      <x:c r="L1273" s="10" t="str">
        <x:v>Contas a Receber</x:v>
      </x:c>
    </x:row>
    <x:row r="1274" ht="18" customHeight="1">
      <x:c r="A1274" s="10" t="str">
        <x:v>MOV001476</x:v>
      </x:c>
      <x:c r="B1274" s="16" t="n">
        <x:v>45845.805367256944</x:v>
      </x:c>
      <x:c r="C1274" s="10" t="str">
        <x:v>EMP003</x:v>
      </x:c>
      <x:c r="D1274" s="10" t="str">
        <x:v>CTA005</x:v>
      </x:c>
      <x:c r="E1274" s="10" t="str">
        <x:v>Entrada</x:v>
      </x:c>
      <x:c r="F1274" s="10" t="str">
        <x:v>CAT004</x:v>
      </x:c>
      <x:c r="G1274" s="10" t="str">
        <x:v>Frete faturado</x:v>
      </x:c>
      <x:c r="H1274" s="10" t="str">
        <x:v>REC00875</x:v>
      </x:c>
      <x:c r="I1274" s="20" t="n">
        <x:v>145320.44</x:v>
      </x:c>
      <x:c r="J1274" s="20" t="n">
        <x:v>145320.44</x:v>
      </x:c>
      <x:c r="K1274" s="10" t="str">
        <x:v>Realizado</x:v>
      </x:c>
      <x:c r="L1274" s="10" t="str">
        <x:v>Contas a Receber</x:v>
      </x:c>
    </x:row>
    <x:row r="1275" ht="18" customHeight="1">
      <x:c r="A1275" s="10" t="str">
        <x:v>MOV000626</x:v>
      </x:c>
      <x:c r="B1275" s="16" t="n">
        <x:v>45845.93555594907</x:v>
      </x:c>
      <x:c r="C1275" s="10" t="str">
        <x:v>EMP001</x:v>
      </x:c>
      <x:c r="D1275" s="10" t="str">
        <x:v>CTA001</x:v>
      </x:c>
      <x:c r="E1275" s="10" t="str">
        <x:v>Saída</x:v>
      </x:c>
      <x:c r="F1275" s="10" t="str">
        <x:v>CAT006</x:v>
      </x:c>
      <x:c r="G1275" s="10" t="str">
        <x:v>Despesa operacional</x:v>
      </x:c>
      <x:c r="H1275" s="10" t="str">
        <x:v>PAG00744</x:v>
      </x:c>
      <x:c r="I1275" s="20" t="n">
        <x:v>44515.99</x:v>
      </x:c>
      <x:c r="J1275" s="20" t="n">
        <x:v>-44515.99</x:v>
      </x:c>
      <x:c r="K1275" s="10" t="str">
        <x:v>Realizado</x:v>
      </x:c>
      <x:c r="L1275" s="10" t="str">
        <x:v>Contas a Pagar</x:v>
      </x:c>
    </x:row>
    <x:row r="1276" ht="18" customHeight="1">
      <x:c r="A1276" s="10" t="str">
        <x:v>MOV000397</x:v>
      </x:c>
      <x:c r="B1276" s="16" t="n">
        <x:v>45847.06314017361</x:v>
      </x:c>
      <x:c r="C1276" s="10" t="str">
        <x:v>EMP002</x:v>
      </x:c>
      <x:c r="D1276" s="10" t="str">
        <x:v>CTA003</x:v>
      </x:c>
      <x:c r="E1276" s="10" t="str">
        <x:v>Saída</x:v>
      </x:c>
      <x:c r="F1276" s="10" t="str">
        <x:v>CAT009</x:v>
      </x:c>
      <x:c r="G1276" s="10" t="str">
        <x:v>Despesa operacional</x:v>
      </x:c>
      <x:c r="H1276" s="10" t="str">
        <x:v>PAG00462</x:v>
      </x:c>
      <x:c r="I1276" s="20" t="n">
        <x:v>79811.59</x:v>
      </x:c>
      <x:c r="J1276" s="20" t="n">
        <x:v>-79811.59</x:v>
      </x:c>
      <x:c r="K1276" s="10" t="str">
        <x:v>Realizado</x:v>
      </x:c>
      <x:c r="L1276" s="10" t="str">
        <x:v>Contas a Pagar</x:v>
      </x:c>
    </x:row>
    <x:row r="1277" ht="18" customHeight="1">
      <x:c r="A1277" s="10" t="str">
        <x:v>MOV000678</x:v>
      </x:c>
      <x:c r="B1277" s="16" t="n">
        <x:v>45847.11139273148</x:v>
      </x:c>
      <x:c r="C1277" s="10" t="str">
        <x:v>EMP003</x:v>
      </x:c>
      <x:c r="D1277" s="10" t="str">
        <x:v>CTA005</x:v>
      </x:c>
      <x:c r="E1277" s="10" t="str">
        <x:v>Saída</x:v>
      </x:c>
      <x:c r="F1277" s="10" t="str">
        <x:v>CAT011</x:v>
      </x:c>
      <x:c r="G1277" s="10" t="str">
        <x:v>Tributos e taxas</x:v>
      </x:c>
      <x:c r="H1277" s="10" t="str">
        <x:v>PAG00805</x:v>
      </x:c>
      <x:c r="I1277" s="20" t="n">
        <x:v>77755.4</x:v>
      </x:c>
      <x:c r="J1277" s="20" t="n">
        <x:v>-77755.4</x:v>
      </x:c>
      <x:c r="K1277" s="10" t="str">
        <x:v>Realizado</x:v>
      </x:c>
      <x:c r="L1277" s="10" t="str">
        <x:v>Contas a Pagar</x:v>
      </x:c>
    </x:row>
    <x:row r="1278" ht="18" customHeight="1">
      <x:c r="A1278" s="10" t="str">
        <x:v>MOV000362</x:v>
      </x:c>
      <x:c r="B1278" s="16" t="n">
        <x:v>45847.317491180554</x:v>
      </x:c>
      <x:c r="C1278" s="10" t="str">
        <x:v>EMP003</x:v>
      </x:c>
      <x:c r="D1278" s="10" t="str">
        <x:v>CTA005</x:v>
      </x:c>
      <x:c r="E1278" s="10" t="str">
        <x:v>Saída</x:v>
      </x:c>
      <x:c r="F1278" s="10" t="str">
        <x:v>CAT009</x:v>
      </x:c>
      <x:c r="G1278" s="10" t="str">
        <x:v>Prestação de serviços</x:v>
      </x:c>
      <x:c r="H1278" s="10" t="str">
        <x:v>PAG00421</x:v>
      </x:c>
      <x:c r="I1278" s="20" t="n">
        <x:v>1183.26</x:v>
      </x:c>
      <x:c r="J1278" s="20" t="n">
        <x:v>-1183.26</x:v>
      </x:c>
      <x:c r="K1278" s="10" t="str">
        <x:v>Realizado</x:v>
      </x:c>
      <x:c r="L1278" s="10" t="str">
        <x:v>Contas a Pagar</x:v>
      </x:c>
    </x:row>
    <x:row r="1279" ht="18" customHeight="1">
      <x:c r="A1279" s="10" t="str">
        <x:v>MOV000640</x:v>
      </x:c>
      <x:c r="B1279" s="16" t="n">
        <x:v>45847.72727105324</x:v>
      </x:c>
      <x:c r="C1279" s="10" t="str">
        <x:v>EMP003</x:v>
      </x:c>
      <x:c r="D1279" s="10" t="str">
        <x:v>CTA006</x:v>
      </x:c>
      <x:c r="E1279" s="10" t="str">
        <x:v>Saída</x:v>
      </x:c>
      <x:c r="F1279" s="10" t="str">
        <x:v>CAT005</x:v>
      </x:c>
      <x:c r="G1279" s="10" t="str">
        <x:v>Prestação de serviços</x:v>
      </x:c>
      <x:c r="H1279" s="10" t="str">
        <x:v>PAG00758</x:v>
      </x:c>
      <x:c r="I1279" s="20" t="n">
        <x:v>925.33</x:v>
      </x:c>
      <x:c r="J1279" s="20" t="n">
        <x:v>-925.33</x:v>
      </x:c>
      <x:c r="K1279" s="10" t="str">
        <x:v>Realizado</x:v>
      </x:c>
      <x:c r="L1279" s="10" t="str">
        <x:v>Contas a Pagar</x:v>
      </x:c>
    </x:row>
    <x:row r="1280" ht="18" customHeight="1">
      <x:c r="A1280" s="10" t="str">
        <x:v>MOV001507</x:v>
      </x:c>
      <x:c r="B1280" s="16" t="n">
        <x:v>45847.93266466435</x:v>
      </x:c>
      <x:c r="C1280" s="10" t="str">
        <x:v>EMP001</x:v>
      </x:c>
      <x:c r="D1280" s="10" t="str">
        <x:v>CTA002</x:v>
      </x:c>
      <x:c r="E1280" s="10" t="str">
        <x:v>Entrada</x:v>
      </x:c>
      <x:c r="F1280" s="10" t="str">
        <x:v>CAT004</x:v>
      </x:c>
      <x:c r="G1280" s="10" t="str">
        <x:v>Venda de produtos</x:v>
      </x:c>
      <x:c r="H1280" s="10" t="str">
        <x:v>REC00917</x:v>
      </x:c>
      <x:c r="I1280" s="20" t="n">
        <x:v>79816.24</x:v>
      </x:c>
      <x:c r="J1280" s="20" t="n">
        <x:v>79816.24</x:v>
      </x:c>
      <x:c r="K1280" s="10" t="str">
        <x:v>Realizado</x:v>
      </x:c>
      <x:c r="L1280" s="10" t="str">
        <x:v>Contas a Receber</x:v>
      </x:c>
    </x:row>
    <x:row r="1281" ht="18" customHeight="1">
      <x:c r="A1281" s="10" t="str">
        <x:v>MOV000056</x:v>
      </x:c>
      <x:c r="B1281" s="16" t="n">
        <x:v>45848.58619987268</x:v>
      </x:c>
      <x:c r="C1281" s="10" t="str">
        <x:v>EMP003</x:v>
      </x:c>
      <x:c r="D1281" s="10" t="str">
        <x:v>CTA005</x:v>
      </x:c>
      <x:c r="E1281" s="10" t="str">
        <x:v>Saída</x:v>
      </x:c>
      <x:c r="F1281" s="10" t="str">
        <x:v>CAT006</x:v>
      </x:c>
      <x:c r="G1281" s="10" t="str">
        <x:v>Prestação de serviços</x:v>
      </x:c>
      <x:c r="H1281" s="10" t="str">
        <x:v>PAG00057</x:v>
      </x:c>
      <x:c r="I1281" s="20" t="n">
        <x:v>35763.7</x:v>
      </x:c>
      <x:c r="J1281" s="20" t="n">
        <x:v>-35763.7</x:v>
      </x:c>
      <x:c r="K1281" s="10" t="str">
        <x:v>Realizado</x:v>
      </x:c>
      <x:c r="L1281" s="10" t="str">
        <x:v>Contas a Pagar</x:v>
      </x:c>
    </x:row>
    <x:row r="1282" ht="18" customHeight="1">
      <x:c r="A1282" s="10" t="str">
        <x:v>MOV001568</x:v>
      </x:c>
      <x:c r="B1282" s="16" t="n">
        <x:v>45849.398765150465</x:v>
      </x:c>
      <x:c r="C1282" s="10" t="str">
        <x:v>EMP002</x:v>
      </x:c>
      <x:c r="D1282" s="10" t="str">
        <x:v>CTA003</x:v>
      </x:c>
      <x:c r="E1282" s="10" t="str">
        <x:v>Entrada</x:v>
      </x:c>
      <x:c r="F1282" s="10" t="str">
        <x:v>CAT001</x:v>
      </x:c>
      <x:c r="G1282" s="10" t="str">
        <x:v>Venda de produtos</x:v>
      </x:c>
      <x:c r="H1282" s="10" t="str">
        <x:v>REC00990</x:v>
      </x:c>
      <x:c r="I1282" s="20" t="n">
        <x:v>95334.78</x:v>
      </x:c>
      <x:c r="J1282" s="20" t="n">
        <x:v>95334.78</x:v>
      </x:c>
      <x:c r="K1282" s="10" t="str">
        <x:v>Realizado</x:v>
      </x:c>
      <x:c r="L1282" s="10" t="str">
        <x:v>Contas a Receber</x:v>
      </x:c>
    </x:row>
    <x:row r="1283" ht="18" customHeight="1">
      <x:c r="A1283" s="10" t="str">
        <x:v>MOV000516</x:v>
      </x:c>
      <x:c r="B1283" s="16" t="n">
        <x:v>45849.63782431713</x:v>
      </x:c>
      <x:c r="C1283" s="10" t="str">
        <x:v>EMP003</x:v>
      </x:c>
      <x:c r="D1283" s="10" t="str">
        <x:v>CTA006</x:v>
      </x:c>
      <x:c r="E1283" s="10" t="str">
        <x:v>Saída</x:v>
      </x:c>
      <x:c r="F1283" s="10" t="str">
        <x:v>CAT006</x:v>
      </x:c>
      <x:c r="G1283" s="10" t="str">
        <x:v>Contrato recorrente</x:v>
      </x:c>
      <x:c r="H1283" s="10" t="str">
        <x:v>PAG00606</x:v>
      </x:c>
      <x:c r="I1283" s="20" t="n">
        <x:v>82668.76</x:v>
      </x:c>
      <x:c r="J1283" s="20" t="n">
        <x:v>-82668.76</x:v>
      </x:c>
      <x:c r="K1283" s="10" t="str">
        <x:v>Realizado</x:v>
      </x:c>
      <x:c r="L1283" s="10" t="str">
        <x:v>Contas a Pagar</x:v>
      </x:c>
    </x:row>
    <x:row r="1284" ht="18" customHeight="1">
      <x:c r="A1284" s="10" t="str">
        <x:v>MOV000933</x:v>
      </x:c>
      <x:c r="B1284" s="16" t="n">
        <x:v>45849.77809140046</x:v>
      </x:c>
      <x:c r="C1284" s="10" t="str">
        <x:v>EMP001</x:v>
      </x:c>
      <x:c r="D1284" s="10" t="str">
        <x:v>CTA002</x:v>
      </x:c>
      <x:c r="E1284" s="10" t="str">
        <x:v>Entrada</x:v>
      </x:c>
      <x:c r="F1284" s="10" t="str">
        <x:v>CAT004</x:v>
      </x:c>
      <x:c r="G1284" s="10" t="str">
        <x:v>Frete faturado</x:v>
      </x:c>
      <x:c r="H1284" s="10" t="str">
        <x:v>REC00213</x:v>
      </x:c>
      <x:c r="I1284" s="20" t="n">
        <x:v>21121.02</x:v>
      </x:c>
      <x:c r="J1284" s="20" t="n">
        <x:v>21121.02</x:v>
      </x:c>
      <x:c r="K1284" s="10" t="str">
        <x:v>Realizado</x:v>
      </x:c>
      <x:c r="L1284" s="10" t="str">
        <x:v>Contas a Receber</x:v>
      </x:c>
    </x:row>
    <x:row r="1285" ht="18" customHeight="1">
      <x:c r="A1285" s="10" t="str">
        <x:v>MOV001119</x:v>
      </x:c>
      <x:c r="B1285" s="16" t="n">
        <x:v>45849.82828371528</x:v>
      </x:c>
      <x:c r="C1285" s="10" t="str">
        <x:v>EMP001</x:v>
      </x:c>
      <x:c r="D1285" s="10" t="str">
        <x:v>CTA001</x:v>
      </x:c>
      <x:c r="E1285" s="10" t="str">
        <x:v>Entrada</x:v>
      </x:c>
      <x:c r="F1285" s="10" t="str">
        <x:v>CAT003</x:v>
      </x:c>
      <x:c r="G1285" s="10" t="str">
        <x:v>Frete faturado</x:v>
      </x:c>
      <x:c r="H1285" s="10" t="str">
        <x:v>REC00448</x:v>
      </x:c>
      <x:c r="I1285" s="20" t="n">
        <x:v>84149.74</x:v>
      </x:c>
      <x:c r="J1285" s="20" t="n">
        <x:v>84149.74</x:v>
      </x:c>
      <x:c r="K1285" s="10" t="str">
        <x:v>Realizado</x:v>
      </x:c>
      <x:c r="L1285" s="10" t="str">
        <x:v>Contas a Receber</x:v>
      </x:c>
    </x:row>
    <x:row r="1286" ht="18" customHeight="1">
      <x:c r="A1286" s="10" t="str">
        <x:v>MOV001536</x:v>
      </x:c>
      <x:c r="B1286" s="16" t="n">
        <x:v>45850.08237859954</x:v>
      </x:c>
      <x:c r="C1286" s="10" t="str">
        <x:v>EMP002</x:v>
      </x:c>
      <x:c r="D1286" s="10" t="str">
        <x:v>CTA003</x:v>
      </x:c>
      <x:c r="E1286" s="10" t="str">
        <x:v>Entrada</x:v>
      </x:c>
      <x:c r="F1286" s="10" t="str">
        <x:v>CAT003</x:v>
      </x:c>
      <x:c r="G1286" s="10" t="str">
        <x:v>Projeto especial</x:v>
      </x:c>
      <x:c r="H1286" s="10" t="str">
        <x:v>REC00951</x:v>
      </x:c>
      <x:c r="I1286" s="20" t="n">
        <x:v>23457.87</x:v>
      </x:c>
      <x:c r="J1286" s="20" t="n">
        <x:v>23457.87</x:v>
      </x:c>
      <x:c r="K1286" s="10" t="str">
        <x:v>Realizado</x:v>
      </x:c>
      <x:c r="L1286" s="10" t="str">
        <x:v>Contas a Receber</x:v>
      </x:c>
    </x:row>
    <x:row r="1287" ht="18" customHeight="1">
      <x:c r="A1287" s="10" t="str">
        <x:v>MOV000639</x:v>
      </x:c>
      <x:c r="B1287" s="16" t="n">
        <x:v>45850.14337023148</x:v>
      </x:c>
      <x:c r="C1287" s="10" t="str">
        <x:v>EMP001</x:v>
      </x:c>
      <x:c r="D1287" s="10" t="str">
        <x:v>CTA002</x:v>
      </x:c>
      <x:c r="E1287" s="10" t="str">
        <x:v>Saída</x:v>
      </x:c>
      <x:c r="F1287" s="10" t="str">
        <x:v>CAT006</x:v>
      </x:c>
      <x:c r="G1287" s="10" t="str">
        <x:v>Contrato recorrente</x:v>
      </x:c>
      <x:c r="H1287" s="10" t="str">
        <x:v>PAG00757</x:v>
      </x:c>
      <x:c r="I1287" s="20" t="n">
        <x:v>7606.26</x:v>
      </x:c>
      <x:c r="J1287" s="20" t="n">
        <x:v>-7606.26</x:v>
      </x:c>
      <x:c r="K1287" s="10" t="str">
        <x:v>Realizado</x:v>
      </x:c>
      <x:c r="L1287" s="10" t="str">
        <x:v>Contas a Pagar</x:v>
      </x:c>
    </x:row>
    <x:row r="1288" ht="18" customHeight="1">
      <x:c r="A1288" s="10" t="str">
        <x:v>MOV000958</x:v>
      </x:c>
      <x:c r="B1288" s="16" t="n">
        <x:v>45850.66538170139</x:v>
      </x:c>
      <x:c r="C1288" s="10" t="str">
        <x:v>EMP003</x:v>
      </x:c>
      <x:c r="D1288" s="10" t="str">
        <x:v>CTA005</x:v>
      </x:c>
      <x:c r="E1288" s="10" t="str">
        <x:v>Entrada</x:v>
      </x:c>
      <x:c r="F1288" s="10" t="str">
        <x:v>CAT004</x:v>
      </x:c>
      <x:c r="G1288" s="10" t="str">
        <x:v>Frete faturado</x:v>
      </x:c>
      <x:c r="H1288" s="10" t="str">
        <x:v>REC00244</x:v>
      </x:c>
      <x:c r="I1288" s="20" t="n">
        <x:v>105795.6</x:v>
      </x:c>
      <x:c r="J1288" s="20" t="n">
        <x:v>105795.6</x:v>
      </x:c>
      <x:c r="K1288" s="10" t="str">
        <x:v>Realizado</x:v>
      </x:c>
      <x:c r="L1288" s="10" t="str">
        <x:v>Contas a Receber</x:v>
      </x:c>
    </x:row>
    <x:row r="1289" ht="18" customHeight="1">
      <x:c r="A1289" s="10" t="str">
        <x:v>MOV001250</x:v>
      </x:c>
      <x:c r="B1289" s="16" t="n">
        <x:v>45851.19450978009</x:v>
      </x:c>
      <x:c r="C1289" s="10" t="str">
        <x:v>EMP002</x:v>
      </x:c>
      <x:c r="D1289" s="10" t="str">
        <x:v>CTA003</x:v>
      </x:c>
      <x:c r="E1289" s="10" t="str">
        <x:v>Entrada</x:v>
      </x:c>
      <x:c r="F1289" s="10" t="str">
        <x:v>CAT004</x:v>
      </x:c>
      <x:c r="G1289" s="10" t="str">
        <x:v>Contrato mensal</x:v>
      </x:c>
      <x:c r="H1289" s="10" t="str">
        <x:v>REC00603</x:v>
      </x:c>
      <x:c r="I1289" s="20" t="n">
        <x:v>116652.98</x:v>
      </x:c>
      <x:c r="J1289" s="20" t="n">
        <x:v>116652.98</x:v>
      </x:c>
      <x:c r="K1289" s="10" t="str">
        <x:v>Realizado</x:v>
      </x:c>
      <x:c r="L1289" s="10" t="str">
        <x:v>Contas a Receber</x:v>
      </x:c>
    </x:row>
    <x:row r="1290" ht="18" customHeight="1">
      <x:c r="A1290" s="10" t="str">
        <x:v>MOV000912</x:v>
      </x:c>
      <x:c r="B1290" s="16" t="n">
        <x:v>45851.23803350695</x:v>
      </x:c>
      <x:c r="C1290" s="10" t="str">
        <x:v>EMP001</x:v>
      </x:c>
      <x:c r="D1290" s="10" t="str">
        <x:v>CTA001</x:v>
      </x:c>
      <x:c r="E1290" s="10" t="str">
        <x:v>Entrada</x:v>
      </x:c>
      <x:c r="F1290" s="10" t="str">
        <x:v>CAT002</x:v>
      </x:c>
      <x:c r="G1290" s="10" t="str">
        <x:v>Contrato mensal</x:v>
      </x:c>
      <x:c r="H1290" s="10" t="str">
        <x:v>REC00190</x:v>
      </x:c>
      <x:c r="I1290" s="20" t="n">
        <x:v>47219.17</x:v>
      </x:c>
      <x:c r="J1290" s="20" t="n">
        <x:v>47219.17</x:v>
      </x:c>
      <x:c r="K1290" s="10" t="str">
        <x:v>Realizado</x:v>
      </x:c>
      <x:c r="L1290" s="10" t="str">
        <x:v>Contas a Receber</x:v>
      </x:c>
    </x:row>
    <x:row r="1291" ht="18" customHeight="1">
      <x:c r="A1291" s="10" t="str">
        <x:v>MOV000359</x:v>
      </x:c>
      <x:c r="B1291" s="16" t="n">
        <x:v>45851.68401538194</x:v>
      </x:c>
      <x:c r="C1291" s="10" t="str">
        <x:v>EMP003</x:v>
      </x:c>
      <x:c r="D1291" s="10" t="str">
        <x:v>CTA005</x:v>
      </x:c>
      <x:c r="E1291" s="10" t="str">
        <x:v>Saída</x:v>
      </x:c>
      <x:c r="F1291" s="10" t="str">
        <x:v>CAT007</x:v>
      </x:c>
      <x:c r="G1291" s="10" t="str">
        <x:v>Tributos e taxas</x:v>
      </x:c>
      <x:c r="H1291" s="10" t="str">
        <x:v>PAG00418</x:v>
      </x:c>
      <x:c r="I1291" s="20" t="n">
        <x:v>14676.04</x:v>
      </x:c>
      <x:c r="J1291" s="20" t="n">
        <x:v>-14676.04</x:v>
      </x:c>
      <x:c r="K1291" s="10" t="str">
        <x:v>Realizado</x:v>
      </x:c>
      <x:c r="L1291" s="10" t="str">
        <x:v>Contas a Pagar</x:v>
      </x:c>
    </x:row>
    <x:row r="1292" ht="18" customHeight="1">
      <x:c r="A1292" s="10" t="str">
        <x:v>MOV000022</x:v>
      </x:c>
      <x:c r="B1292" s="16" t="n">
        <x:v>45851.953140833335</x:v>
      </x:c>
      <x:c r="C1292" s="10" t="str">
        <x:v>EMP001</x:v>
      </x:c>
      <x:c r="D1292" s="10" t="str">
        <x:v>CTA002</x:v>
      </x:c>
      <x:c r="E1292" s="10" t="str">
        <x:v>Saída</x:v>
      </x:c>
      <x:c r="F1292" s="10" t="str">
        <x:v>CAT017</x:v>
      </x:c>
      <x:c r="G1292" s="10" t="str">
        <x:v>Despesa operacional</x:v>
      </x:c>
      <x:c r="H1292" s="10" t="str">
        <x:v>PAG00020</x:v>
      </x:c>
      <x:c r="I1292" s="20" t="n">
        <x:v>76102.41</x:v>
      </x:c>
      <x:c r="J1292" s="20" t="n">
        <x:v>-76102.41</x:v>
      </x:c>
      <x:c r="K1292" s="10" t="str">
        <x:v>Realizado</x:v>
      </x:c>
      <x:c r="L1292" s="10" t="str">
        <x:v>Contas a Pagar</x:v>
      </x:c>
    </x:row>
    <x:row r="1293" ht="18" customHeight="1">
      <x:c r="A1293" s="10" t="str">
        <x:v>MOV000323</x:v>
      </x:c>
      <x:c r="B1293" s="16" t="n">
        <x:v>45852.33547770834</x:v>
      </x:c>
      <x:c r="C1293" s="10" t="str">
        <x:v>EMP001</x:v>
      </x:c>
      <x:c r="D1293" s="10" t="str">
        <x:v>CTA001</x:v>
      </x:c>
      <x:c r="E1293" s="10" t="str">
        <x:v>Saída</x:v>
      </x:c>
      <x:c r="F1293" s="10" t="str">
        <x:v>CAT005</x:v>
      </x:c>
      <x:c r="G1293" s="10" t="str">
        <x:v>Contrato recorrente</x:v>
      </x:c>
      <x:c r="H1293" s="10" t="str">
        <x:v>PAG00376</x:v>
      </x:c>
      <x:c r="I1293" s="20" t="n">
        <x:v>5448.76</x:v>
      </x:c>
      <x:c r="J1293" s="20" t="n">
        <x:v>-5448.76</x:v>
      </x:c>
      <x:c r="K1293" s="10" t="str">
        <x:v>Realizado</x:v>
      </x:c>
      <x:c r="L1293" s="10" t="str">
        <x:v>Contas a Pagar</x:v>
      </x:c>
    </x:row>
    <x:row r="1294" ht="18" customHeight="1">
      <x:c r="A1294" s="10" t="str">
        <x:v>MOV001545</x:v>
      </x:c>
      <x:c r="B1294" s="16" t="n">
        <x:v>45852.65633907408</x:v>
      </x:c>
      <x:c r="C1294" s="10" t="str">
        <x:v>EMP001</x:v>
      </x:c>
      <x:c r="D1294" s="10" t="str">
        <x:v>CTA001</x:v>
      </x:c>
      <x:c r="E1294" s="10" t="str">
        <x:v>Entrada</x:v>
      </x:c>
      <x:c r="F1294" s="10" t="str">
        <x:v>CAT002</x:v>
      </x:c>
      <x:c r="G1294" s="10" t="str">
        <x:v>Prestação de serviços</x:v>
      </x:c>
      <x:c r="H1294" s="10" t="str">
        <x:v>REC00962</x:v>
      </x:c>
      <x:c r="I1294" s="20" t="n">
        <x:v>56216.36</x:v>
      </x:c>
      <x:c r="J1294" s="20" t="n">
        <x:v>56216.36</x:v>
      </x:c>
      <x:c r="K1294" s="10" t="str">
        <x:v>Realizado</x:v>
      </x:c>
      <x:c r="L1294" s="10" t="str">
        <x:v>Contas a Receber</x:v>
      </x:c>
    </x:row>
    <x:row r="1295" ht="18" customHeight="1">
      <x:c r="A1295" s="10" t="str">
        <x:v>MOV000956</x:v>
      </x:c>
      <x:c r="B1295" s="16" t="n">
        <x:v>45853.25810063657</x:v>
      </x:c>
      <x:c r="C1295" s="10" t="str">
        <x:v>EMP001</x:v>
      </x:c>
      <x:c r="D1295" s="10" t="str">
        <x:v>CTA001</x:v>
      </x:c>
      <x:c r="E1295" s="10" t="str">
        <x:v>Entrada</x:v>
      </x:c>
      <x:c r="F1295" s="10" t="str">
        <x:v>CAT002</x:v>
      </x:c>
      <x:c r="G1295" s="10" t="str">
        <x:v>Contrato mensal</x:v>
      </x:c>
      <x:c r="H1295" s="10" t="str">
        <x:v>REC00242</x:v>
      </x:c>
      <x:c r="I1295" s="20" t="n">
        <x:v>122794.61</x:v>
      </x:c>
      <x:c r="J1295" s="20" t="n">
        <x:v>122794.61</x:v>
      </x:c>
      <x:c r="K1295" s="10" t="str">
        <x:v>Realizado</x:v>
      </x:c>
      <x:c r="L1295" s="10" t="str">
        <x:v>Contas a Receber</x:v>
      </x:c>
    </x:row>
    <x:row r="1296" ht="18" customHeight="1">
      <x:c r="A1296" s="10" t="str">
        <x:v>MOV001463</x:v>
      </x:c>
      <x:c r="B1296" s="16" t="n">
        <x:v>45853.41201734954</x:v>
      </x:c>
      <x:c r="C1296" s="10" t="str">
        <x:v>EMP001</x:v>
      </x:c>
      <x:c r="D1296" s="10" t="str">
        <x:v>CTA001</x:v>
      </x:c>
      <x:c r="E1296" s="10" t="str">
        <x:v>Entrada</x:v>
      </x:c>
      <x:c r="F1296" s="10" t="str">
        <x:v>CAT004</x:v>
      </x:c>
      <x:c r="G1296" s="10" t="str">
        <x:v>Venda de produtos</x:v>
      </x:c>
      <x:c r="H1296" s="10" t="str">
        <x:v>REC00860</x:v>
      </x:c>
      <x:c r="I1296" s="20" t="n">
        <x:v>79845.55</x:v>
      </x:c>
      <x:c r="J1296" s="20" t="n">
        <x:v>79845.55</x:v>
      </x:c>
      <x:c r="K1296" s="10" t="str">
        <x:v>Realizado</x:v>
      </x:c>
      <x:c r="L1296" s="10" t="str">
        <x:v>Contas a Receber</x:v>
      </x:c>
    </x:row>
    <x:row r="1297" ht="18" customHeight="1">
      <x:c r="A1297" s="10" t="str">
        <x:v>MOV000890</x:v>
      </x:c>
      <x:c r="B1297" s="16" t="n">
        <x:v>45854.30645974537</x:v>
      </x:c>
      <x:c r="C1297" s="10" t="str">
        <x:v>EMP002</x:v>
      </x:c>
      <x:c r="D1297" s="10" t="str">
        <x:v>CTA004</x:v>
      </x:c>
      <x:c r="E1297" s="10" t="str">
        <x:v>Entrada</x:v>
      </x:c>
      <x:c r="F1297" s="10" t="str">
        <x:v>CAT004</x:v>
      </x:c>
      <x:c r="G1297" s="10" t="str">
        <x:v>Venda de produtos</x:v>
      </x:c>
      <x:c r="H1297" s="10" t="str">
        <x:v>REC00165</x:v>
      </x:c>
      <x:c r="I1297" s="20" t="n">
        <x:v>5002.59</x:v>
      </x:c>
      <x:c r="J1297" s="20" t="n">
        <x:v>5002.59</x:v>
      </x:c>
      <x:c r="K1297" s="10" t="str">
        <x:v>Realizado</x:v>
      </x:c>
      <x:c r="L1297" s="10" t="str">
        <x:v>Contas a Receber</x:v>
      </x:c>
    </x:row>
    <x:row r="1298" ht="18" customHeight="1">
      <x:c r="A1298" s="10" t="str">
        <x:v>MOV000949</x:v>
      </x:c>
      <x:c r="B1298" s="16" t="n">
        <x:v>45854.37093498842</x:v>
      </x:c>
      <x:c r="C1298" s="10" t="str">
        <x:v>EMP001</x:v>
      </x:c>
      <x:c r="D1298" s="10" t="str">
        <x:v>CTA001</x:v>
      </x:c>
      <x:c r="E1298" s="10" t="str">
        <x:v>Entrada</x:v>
      </x:c>
      <x:c r="F1298" s="10" t="str">
        <x:v>CAT001</x:v>
      </x:c>
      <x:c r="G1298" s="10" t="str">
        <x:v>Frete faturado</x:v>
      </x:c>
      <x:c r="H1298" s="10" t="str">
        <x:v>REC00230</x:v>
      </x:c>
      <x:c r="I1298" s="20" t="n">
        <x:v>42302.75</x:v>
      </x:c>
      <x:c r="J1298" s="20" t="n">
        <x:v>42302.75</x:v>
      </x:c>
      <x:c r="K1298" s="10" t="str">
        <x:v>Realizado</x:v>
      </x:c>
      <x:c r="L1298" s="10" t="str">
        <x:v>Contas a Receber</x:v>
      </x:c>
    </x:row>
    <x:row r="1299" ht="18" customHeight="1">
      <x:c r="A1299" s="10" t="str">
        <x:v>MOV000216</x:v>
      </x:c>
      <x:c r="B1299" s="16" t="n">
        <x:v>45854.40537334491</x:v>
      </x:c>
      <x:c r="C1299" s="10" t="str">
        <x:v>EMP003</x:v>
      </x:c>
      <x:c r="D1299" s="10" t="str">
        <x:v>CTA006</x:v>
      </x:c>
      <x:c r="E1299" s="10" t="str">
        <x:v>Saída</x:v>
      </x:c>
      <x:c r="F1299" s="10" t="str">
        <x:v>CAT013</x:v>
      </x:c>
      <x:c r="G1299" s="10" t="str">
        <x:v>Tributos e taxas</x:v>
      </x:c>
      <x:c r="H1299" s="10" t="str">
        <x:v>PAG00250</x:v>
      </x:c>
      <x:c r="I1299" s="20" t="n">
        <x:v>12571.88</x:v>
      </x:c>
      <x:c r="J1299" s="20" t="n">
        <x:v>-12571.88</x:v>
      </x:c>
      <x:c r="K1299" s="10" t="str">
        <x:v>Realizado</x:v>
      </x:c>
      <x:c r="L1299" s="10" t="str">
        <x:v>Contas a Pagar</x:v>
      </x:c>
    </x:row>
    <x:row r="1300" ht="18" customHeight="1">
      <x:c r="A1300" s="10" t="str">
        <x:v>MOV001268</x:v>
      </x:c>
      <x:c r="B1300" s="16" t="n">
        <x:v>45855.34998782408</x:v>
      </x:c>
      <x:c r="C1300" s="10" t="str">
        <x:v>EMP002</x:v>
      </x:c>
      <x:c r="D1300" s="10" t="str">
        <x:v>CTA004</x:v>
      </x:c>
      <x:c r="E1300" s="10" t="str">
        <x:v>Entrada</x:v>
      </x:c>
      <x:c r="F1300" s="10" t="str">
        <x:v>CAT004</x:v>
      </x:c>
      <x:c r="G1300" s="10" t="str">
        <x:v>Venda de produtos</x:v>
      </x:c>
      <x:c r="H1300" s="10" t="str">
        <x:v>REC00628</x:v>
      </x:c>
      <x:c r="I1300" s="20" t="n">
        <x:v>88645.51</x:v>
      </x:c>
      <x:c r="J1300" s="20" t="n">
        <x:v>88645.51</x:v>
      </x:c>
      <x:c r="K1300" s="10" t="str">
        <x:v>Realizado</x:v>
      </x:c>
      <x:c r="L1300" s="10" t="str">
        <x:v>Contas a Receber</x:v>
      </x:c>
    </x:row>
    <x:row r="1301" ht="18" customHeight="1">
      <x:c r="A1301" s="10" t="str">
        <x:v>MOV000152</x:v>
      </x:c>
      <x:c r="B1301" s="16" t="n">
        <x:v>45855.90561130787</x:v>
      </x:c>
      <x:c r="C1301" s="10" t="str">
        <x:v>EMP001</x:v>
      </x:c>
      <x:c r="D1301" s="10" t="str">
        <x:v>CTA001</x:v>
      </x:c>
      <x:c r="E1301" s="10" t="str">
        <x:v>Saída</x:v>
      </x:c>
      <x:c r="F1301" s="10" t="str">
        <x:v>CAT007</x:v>
      </x:c>
      <x:c r="G1301" s="10" t="str">
        <x:v>Compra de materiais</x:v>
      </x:c>
      <x:c r="H1301" s="10" t="str">
        <x:v>PAG00175</x:v>
      </x:c>
      <x:c r="I1301" s="20" t="n">
        <x:v>1408.57</x:v>
      </x:c>
      <x:c r="J1301" s="20" t="n">
        <x:v>-1408.57</x:v>
      </x:c>
      <x:c r="K1301" s="10" t="str">
        <x:v>Realizado</x:v>
      </x:c>
      <x:c r="L1301" s="10" t="str">
        <x:v>Contas a Pagar</x:v>
      </x:c>
    </x:row>
    <x:row r="1302" ht="18" customHeight="1">
      <x:c r="A1302" s="10" t="str">
        <x:v>MOV001131</x:v>
      </x:c>
      <x:c r="B1302" s="16" t="n">
        <x:v>45855.956743344905</x:v>
      </x:c>
      <x:c r="C1302" s="10" t="str">
        <x:v>EMP002</x:v>
      </x:c>
      <x:c r="D1302" s="10" t="str">
        <x:v>CTA004</x:v>
      </x:c>
      <x:c r="E1302" s="10" t="str">
        <x:v>Entrada</x:v>
      </x:c>
      <x:c r="F1302" s="10" t="str">
        <x:v>CAT003</x:v>
      </x:c>
      <x:c r="G1302" s="10" t="str">
        <x:v>Prestação de serviços</x:v>
      </x:c>
      <x:c r="H1302" s="10" t="str">
        <x:v>REC00462</x:v>
      </x:c>
      <x:c r="I1302" s="20" t="n">
        <x:v>11955.36</x:v>
      </x:c>
      <x:c r="J1302" s="20" t="n">
        <x:v>11955.36</x:v>
      </x:c>
      <x:c r="K1302" s="10" t="str">
        <x:v>Realizado</x:v>
      </x:c>
      <x:c r="L1302" s="10" t="str">
        <x:v>Contas a Receber</x:v>
      </x:c>
    </x:row>
    <x:row r="1303" ht="18" customHeight="1">
      <x:c r="A1303" s="10" t="str">
        <x:v>MOV000026</x:v>
      </x:c>
      <x:c r="B1303" s="16" t="n">
        <x:v>45856.60560502315</x:v>
      </x:c>
      <x:c r="C1303" s="10" t="str">
        <x:v>EMP001</x:v>
      </x:c>
      <x:c r="D1303" s="10" t="str">
        <x:v>CTA001</x:v>
      </x:c>
      <x:c r="E1303" s="10" t="str">
        <x:v>Saída</x:v>
      </x:c>
      <x:c r="F1303" s="10" t="str">
        <x:v>CAT005</x:v>
      </x:c>
      <x:c r="G1303" s="10" t="str">
        <x:v>Compra de materiais</x:v>
      </x:c>
      <x:c r="H1303" s="10" t="str">
        <x:v>PAG00025</x:v>
      </x:c>
      <x:c r="I1303" s="20" t="n">
        <x:v>70899.62</x:v>
      </x:c>
      <x:c r="J1303" s="20" t="n">
        <x:v>-70899.62</x:v>
      </x:c>
      <x:c r="K1303" s="10" t="str">
        <x:v>Realizado</x:v>
      </x:c>
      <x:c r="L1303" s="10" t="str">
        <x:v>Contas a Pagar</x:v>
      </x:c>
    </x:row>
    <x:row r="1304" ht="18" customHeight="1">
      <x:c r="A1304" s="10" t="str">
        <x:v>MOV001589</x:v>
      </x:c>
      <x:c r="B1304" s="16" t="n">
        <x:v>45856.8307055787</x:v>
      </x:c>
      <x:c r="C1304" s="10" t="str">
        <x:v>EMP002</x:v>
      </x:c>
      <x:c r="D1304" s="10" t="str">
        <x:v>CTA004</x:v>
      </x:c>
      <x:c r="E1304" s="10" t="str">
        <x:v>Entrada</x:v>
      </x:c>
      <x:c r="F1304" s="10" t="str">
        <x:v>CAT001</x:v>
      </x:c>
      <x:c r="G1304" s="10" t="str">
        <x:v>Projeto especial</x:v>
      </x:c>
      <x:c r="H1304" s="10" t="str">
        <x:v>REC01015</x:v>
      </x:c>
      <x:c r="I1304" s="20" t="n">
        <x:v>31455.42</x:v>
      </x:c>
      <x:c r="J1304" s="20" t="n">
        <x:v>31455.42</x:v>
      </x:c>
      <x:c r="K1304" s="10" t="str">
        <x:v>Realizado</x:v>
      </x:c>
      <x:c r="L1304" s="10" t="str">
        <x:v>Contas a Receber</x:v>
      </x:c>
    </x:row>
    <x:row r="1305" ht="18" customHeight="1">
      <x:c r="A1305" s="10" t="str">
        <x:v>MOV001609</x:v>
      </x:c>
      <x:c r="B1305" s="16" t="n">
        <x:v>45856.84312107639</x:v>
      </x:c>
      <x:c r="C1305" s="10" t="str">
        <x:v>EMP003</x:v>
      </x:c>
      <x:c r="D1305" s="10" t="str">
        <x:v>CTA006</x:v>
      </x:c>
      <x:c r="E1305" s="10" t="str">
        <x:v>Entrada</x:v>
      </x:c>
      <x:c r="F1305" s="10" t="str">
        <x:v>CAT004</x:v>
      </x:c>
      <x:c r="G1305" s="10" t="str">
        <x:v>Contrato mensal</x:v>
      </x:c>
      <x:c r="H1305" s="10" t="str">
        <x:v>REC01038</x:v>
      </x:c>
      <x:c r="I1305" s="20" t="n">
        <x:v>3297.14</x:v>
      </x:c>
      <x:c r="J1305" s="20" t="n">
        <x:v>3297.14</x:v>
      </x:c>
      <x:c r="K1305" s="10" t="str">
        <x:v>Realizado</x:v>
      </x:c>
      <x:c r="L1305" s="10" t="str">
        <x:v>Contas a Receber</x:v>
      </x:c>
    </x:row>
    <x:row r="1306" ht="18" customHeight="1">
      <x:c r="A1306" s="10" t="str">
        <x:v>MOV000102</x:v>
      </x:c>
      <x:c r="B1306" s="16" t="n">
        <x:v>45857.352295729164</x:v>
      </x:c>
      <x:c r="C1306" s="10" t="str">
        <x:v>EMP002</x:v>
      </x:c>
      <x:c r="D1306" s="10" t="str">
        <x:v>CTA003</x:v>
      </x:c>
      <x:c r="E1306" s="10" t="str">
        <x:v>Saída</x:v>
      </x:c>
      <x:c r="F1306" s="10" t="str">
        <x:v>CAT011</x:v>
      </x:c>
      <x:c r="G1306" s="10" t="str">
        <x:v>Contrato recorrente</x:v>
      </x:c>
      <x:c r="H1306" s="10" t="str">
        <x:v>PAG00113</x:v>
      </x:c>
      <x:c r="I1306" s="20" t="n">
        <x:v>28255.21</x:v>
      </x:c>
      <x:c r="J1306" s="20" t="n">
        <x:v>-28255.21</x:v>
      </x:c>
      <x:c r="K1306" s="10" t="str">
        <x:v>Realizado</x:v>
      </x:c>
      <x:c r="L1306" s="10" t="str">
        <x:v>Contas a Pagar</x:v>
      </x:c>
    </x:row>
    <x:row r="1307" ht="18" customHeight="1">
      <x:c r="A1307" s="10" t="str">
        <x:v>MOV001473</x:v>
      </x:c>
      <x:c r="B1307" s="16" t="n">
        <x:v>45858.32744613426</x:v>
      </x:c>
      <x:c r="C1307" s="10" t="str">
        <x:v>EMP003</x:v>
      </x:c>
      <x:c r="D1307" s="10" t="str">
        <x:v>CTA005</x:v>
      </x:c>
      <x:c r="E1307" s="10" t="str">
        <x:v>Entrada</x:v>
      </x:c>
      <x:c r="F1307" s="10" t="str">
        <x:v>CAT004</x:v>
      </x:c>
      <x:c r="G1307" s="10" t="str">
        <x:v>Prestação de serviços</x:v>
      </x:c>
      <x:c r="H1307" s="10" t="str">
        <x:v>REC00872</x:v>
      </x:c>
      <x:c r="I1307" s="20" t="n">
        <x:v>34354.49</x:v>
      </x:c>
      <x:c r="J1307" s="20" t="n">
        <x:v>34354.49</x:v>
      </x:c>
      <x:c r="K1307" s="10" t="str">
        <x:v>Realizado</x:v>
      </x:c>
      <x:c r="L1307" s="10" t="str">
        <x:v>Contas a Receber</x:v>
      </x:c>
    </x:row>
    <x:row r="1308" ht="18" customHeight="1">
      <x:c r="A1308" s="10" t="str">
        <x:v>MOV001117</x:v>
      </x:c>
      <x:c r="B1308" s="16" t="n">
        <x:v>45859.00903769676</x:v>
      </x:c>
      <x:c r="C1308" s="10" t="str">
        <x:v>EMP001</x:v>
      </x:c>
      <x:c r="D1308" s="10" t="str">
        <x:v>CTA001</x:v>
      </x:c>
      <x:c r="E1308" s="10" t="str">
        <x:v>Entrada</x:v>
      </x:c>
      <x:c r="F1308" s="10" t="str">
        <x:v>CAT004</x:v>
      </x:c>
      <x:c r="G1308" s="10" t="str">
        <x:v>Frete faturado</x:v>
      </x:c>
      <x:c r="H1308" s="10" t="str">
        <x:v>REC00446</x:v>
      </x:c>
      <x:c r="I1308" s="20" t="n">
        <x:v>1615.61</x:v>
      </x:c>
      <x:c r="J1308" s="20" t="n">
        <x:v>1615.61</x:v>
      </x:c>
      <x:c r="K1308" s="10" t="str">
        <x:v>Realizado</x:v>
      </x:c>
      <x:c r="L1308" s="10" t="str">
        <x:v>Contas a Receber</x:v>
      </x:c>
    </x:row>
    <x:row r="1309" ht="18" customHeight="1">
      <x:c r="A1309" s="10" t="str">
        <x:v>MOV000497</x:v>
      </x:c>
      <x:c r="B1309" s="16" t="n">
        <x:v>45859.62724253472</x:v>
      </x:c>
      <x:c r="C1309" s="10" t="str">
        <x:v>EMP001</x:v>
      </x:c>
      <x:c r="D1309" s="10" t="str">
        <x:v>CTA002</x:v>
      </x:c>
      <x:c r="E1309" s="10" t="str">
        <x:v>Saída</x:v>
      </x:c>
      <x:c r="F1309" s="10" t="str">
        <x:v>CAT016</x:v>
      </x:c>
      <x:c r="G1309" s="10" t="str">
        <x:v>Tributos e taxas</x:v>
      </x:c>
      <x:c r="H1309" s="10" t="str">
        <x:v>PAG00582</x:v>
      </x:c>
      <x:c r="I1309" s="20" t="n">
        <x:v>78675.26</x:v>
      </x:c>
      <x:c r="J1309" s="20" t="n">
        <x:v>-78675.26</x:v>
      </x:c>
      <x:c r="K1309" s="10" t="str">
        <x:v>Realizado</x:v>
      </x:c>
      <x:c r="L1309" s="10" t="str">
        <x:v>Contas a Pagar</x:v>
      </x:c>
    </x:row>
    <x:row r="1310" ht="18" customHeight="1">
      <x:c r="A1310" s="10" t="str">
        <x:v>MOV000280</x:v>
      </x:c>
      <x:c r="B1310" s="16" t="n">
        <x:v>45860.31665032407</x:v>
      </x:c>
      <x:c r="C1310" s="10" t="str">
        <x:v>EMP002</x:v>
      </x:c>
      <x:c r="D1310" s="10" t="str">
        <x:v>CTA003</x:v>
      </x:c>
      <x:c r="E1310" s="10" t="str">
        <x:v>Saída</x:v>
      </x:c>
      <x:c r="F1310" s="10" t="str">
        <x:v>CAT015</x:v>
      </x:c>
      <x:c r="G1310" s="10" t="str">
        <x:v>Despesa operacional</x:v>
      </x:c>
      <x:c r="H1310" s="10" t="str">
        <x:v>PAG00326</x:v>
      </x:c>
      <x:c r="I1310" s="20" t="n">
        <x:v>13575.97</x:v>
      </x:c>
      <x:c r="J1310" s="20" t="n">
        <x:v>-13575.97</x:v>
      </x:c>
      <x:c r="K1310" s="10" t="str">
        <x:v>Realizado</x:v>
      </x:c>
      <x:c r="L1310" s="10" t="str">
        <x:v>Contas a Pagar</x:v>
      </x:c>
    </x:row>
    <x:row r="1311" ht="18" customHeight="1">
      <x:c r="A1311" s="10" t="str">
        <x:v>MOV000766</x:v>
      </x:c>
      <x:c r="B1311" s="16" t="n">
        <x:v>45860.74733170139</x:v>
      </x:c>
      <x:c r="C1311" s="10" t="str">
        <x:v>EMP001</x:v>
      </x:c>
      <x:c r="D1311" s="10" t="str">
        <x:v>CTA002</x:v>
      </x:c>
      <x:c r="E1311" s="10" t="str">
        <x:v>Entrada</x:v>
      </x:c>
      <x:c r="F1311" s="10" t="str">
        <x:v>CAT003</x:v>
      </x:c>
      <x:c r="G1311" s="10" t="str">
        <x:v>Projeto especial</x:v>
      </x:c>
      <x:c r="H1311" s="10" t="str">
        <x:v>REC00011</x:v>
      </x:c>
      <x:c r="I1311" s="20" t="n">
        <x:v>18169.52</x:v>
      </x:c>
      <x:c r="J1311" s="20" t="n">
        <x:v>18169.52</x:v>
      </x:c>
      <x:c r="K1311" s="10" t="str">
        <x:v>Realizado</x:v>
      </x:c>
      <x:c r="L1311" s="10" t="str">
        <x:v>Contas a Receber</x:v>
      </x:c>
    </x:row>
    <x:row r="1312" ht="18" customHeight="1">
      <x:c r="A1312" s="10" t="str">
        <x:v>MOV001611</x:v>
      </x:c>
      <x:c r="B1312" s="16" t="n">
        <x:v>45861.0998772338</x:v>
      </x:c>
      <x:c r="C1312" s="10" t="str">
        <x:v>EMP001</x:v>
      </x:c>
      <x:c r="D1312" s="10" t="str">
        <x:v>CTA001</x:v>
      </x:c>
      <x:c r="E1312" s="10" t="str">
        <x:v>Entrada</x:v>
      </x:c>
      <x:c r="F1312" s="10" t="str">
        <x:v>CAT001</x:v>
      </x:c>
      <x:c r="G1312" s="10" t="str">
        <x:v>Contrato mensal</x:v>
      </x:c>
      <x:c r="H1312" s="10" t="str">
        <x:v>REC01040</x:v>
      </x:c>
      <x:c r="I1312" s="20" t="n">
        <x:v>897.5</x:v>
      </x:c>
      <x:c r="J1312" s="20" t="n">
        <x:v>897.5</x:v>
      </x:c>
      <x:c r="K1312" s="10" t="str">
        <x:v>Realizado</x:v>
      </x:c>
      <x:c r="L1312" s="10" t="str">
        <x:v>Contas a Receber</x:v>
      </x:c>
    </x:row>
    <x:row r="1313" ht="18" customHeight="1">
      <x:c r="A1313" s="10" t="str">
        <x:v>MOV000736</x:v>
      </x:c>
      <x:c r="B1313" s="16" t="n">
        <x:v>45862.010299050926</x:v>
      </x:c>
      <x:c r="C1313" s="10" t="str">
        <x:v>EMP003</x:v>
      </x:c>
      <x:c r="D1313" s="10" t="str">
        <x:v>CTA006</x:v>
      </x:c>
      <x:c r="E1313" s="10" t="str">
        <x:v>Saída</x:v>
      </x:c>
      <x:c r="F1313" s="10" t="str">
        <x:v>CAT010</x:v>
      </x:c>
      <x:c r="G1313" s="10" t="str">
        <x:v>Compra de materiais</x:v>
      </x:c>
      <x:c r="H1313" s="10" t="str">
        <x:v>PAG00875</x:v>
      </x:c>
      <x:c r="I1313" s="20" t="n">
        <x:v>3245.49</x:v>
      </x:c>
      <x:c r="J1313" s="20" t="n">
        <x:v>-3245.49</x:v>
      </x:c>
      <x:c r="K1313" s="10" t="str">
        <x:v>Realizado</x:v>
      </x:c>
      <x:c r="L1313" s="10" t="str">
        <x:v>Contas a Pagar</x:v>
      </x:c>
    </x:row>
    <x:row r="1314" ht="18" customHeight="1">
      <x:c r="A1314" s="10" t="str">
        <x:v>MOV001120</x:v>
      </x:c>
      <x:c r="B1314" s="16" t="n">
        <x:v>45862.103867233796</x:v>
      </x:c>
      <x:c r="C1314" s="10" t="str">
        <x:v>EMP002</x:v>
      </x:c>
      <x:c r="D1314" s="10" t="str">
        <x:v>CTA003</x:v>
      </x:c>
      <x:c r="E1314" s="10" t="str">
        <x:v>Entrada</x:v>
      </x:c>
      <x:c r="F1314" s="10" t="str">
        <x:v>CAT001</x:v>
      </x:c>
      <x:c r="G1314" s="10" t="str">
        <x:v>Venda de produtos</x:v>
      </x:c>
      <x:c r="H1314" s="10" t="str">
        <x:v>REC00449</x:v>
      </x:c>
      <x:c r="I1314" s="20" t="n">
        <x:v>34639.11</x:v>
      </x:c>
      <x:c r="J1314" s="20" t="n">
        <x:v>34639.11</x:v>
      </x:c>
      <x:c r="K1314" s="10" t="str">
        <x:v>Realizado</x:v>
      </x:c>
      <x:c r="L1314" s="10" t="str">
        <x:v>Contas a Receber</x:v>
      </x:c>
    </x:row>
    <x:row r="1315" ht="18" customHeight="1">
      <x:c r="A1315" s="10" t="str">
        <x:v>MOV000521</x:v>
      </x:c>
      <x:c r="B1315" s="16" t="n">
        <x:v>45863.00127763889</x:v>
      </x:c>
      <x:c r="C1315" s="10" t="str">
        <x:v>EMP003</x:v>
      </x:c>
      <x:c r="D1315" s="10" t="str">
        <x:v>CTA006</x:v>
      </x:c>
      <x:c r="E1315" s="10" t="str">
        <x:v>Saída</x:v>
      </x:c>
      <x:c r="F1315" s="10" t="str">
        <x:v>CAT017</x:v>
      </x:c>
      <x:c r="G1315" s="10" t="str">
        <x:v>Prestação de serviços</x:v>
      </x:c>
      <x:c r="H1315" s="10" t="str">
        <x:v>PAG00611</x:v>
      </x:c>
      <x:c r="I1315" s="20" t="n">
        <x:v>18259.72</x:v>
      </x:c>
      <x:c r="J1315" s="20" t="n">
        <x:v>-18259.72</x:v>
      </x:c>
      <x:c r="K1315" s="10" t="str">
        <x:v>Realizado</x:v>
      </x:c>
      <x:c r="L1315" s="10" t="str">
        <x:v>Contas a Pagar</x:v>
      </x:c>
    </x:row>
    <x:row r="1316" ht="18" customHeight="1">
      <x:c r="A1316" s="10" t="str">
        <x:v>MOV000916</x:v>
      </x:c>
      <x:c r="B1316" s="16" t="n">
        <x:v>45863.73193351852</x:v>
      </x:c>
      <x:c r="C1316" s="10" t="str">
        <x:v>EMP002</x:v>
      </x:c>
      <x:c r="D1316" s="10" t="str">
        <x:v>CTA004</x:v>
      </x:c>
      <x:c r="E1316" s="10" t="str">
        <x:v>Entrada</x:v>
      </x:c>
      <x:c r="F1316" s="10" t="str">
        <x:v>CAT003</x:v>
      </x:c>
      <x:c r="G1316" s="10" t="str">
        <x:v>Frete faturado</x:v>
      </x:c>
      <x:c r="H1316" s="10" t="str">
        <x:v>REC00194</x:v>
      </x:c>
      <x:c r="I1316" s="20" t="n">
        <x:v>79953.22</x:v>
      </x:c>
      <x:c r="J1316" s="20" t="n">
        <x:v>79953.22</x:v>
      </x:c>
      <x:c r="K1316" s="10" t="str">
        <x:v>Realizado</x:v>
      </x:c>
      <x:c r="L1316" s="10" t="str">
        <x:v>Contas a Receber</x:v>
      </x:c>
    </x:row>
    <x:row r="1317" ht="18" customHeight="1">
      <x:c r="A1317" s="10" t="str">
        <x:v>MOV000859</x:v>
      </x:c>
      <x:c r="B1317" s="16" t="n">
        <x:v>45863.99533936343</x:v>
      </x:c>
      <x:c r="C1317" s="10" t="str">
        <x:v>EMP001</x:v>
      </x:c>
      <x:c r="D1317" s="10" t="str">
        <x:v>CTA001</x:v>
      </x:c>
      <x:c r="E1317" s="10" t="str">
        <x:v>Entrada</x:v>
      </x:c>
      <x:c r="F1317" s="10" t="str">
        <x:v>CAT004</x:v>
      </x:c>
      <x:c r="G1317" s="10" t="str">
        <x:v>Frete faturado</x:v>
      </x:c>
      <x:c r="H1317" s="10" t="str">
        <x:v>REC00129</x:v>
      </x:c>
      <x:c r="I1317" s="20" t="n">
        <x:v>113898.42</x:v>
      </x:c>
      <x:c r="J1317" s="20" t="n">
        <x:v>113898.42</x:v>
      </x:c>
      <x:c r="K1317" s="10" t="str">
        <x:v>Realizado</x:v>
      </x:c>
      <x:c r="L1317" s="10" t="str">
        <x:v>Contas a Receber</x:v>
      </x:c>
    </x:row>
    <x:row r="1318" ht="18" customHeight="1">
      <x:c r="A1318" s="10" t="str">
        <x:v>MOV001028</x:v>
      </x:c>
      <x:c r="B1318" s="16" t="n">
        <x:v>45864.85072883102</x:v>
      </x:c>
      <x:c r="C1318" s="10" t="str">
        <x:v>EMP003</x:v>
      </x:c>
      <x:c r="D1318" s="10" t="str">
        <x:v>CTA005</x:v>
      </x:c>
      <x:c r="E1318" s="10" t="str">
        <x:v>Entrada</x:v>
      </x:c>
      <x:c r="F1318" s="10" t="str">
        <x:v>CAT001</x:v>
      </x:c>
      <x:c r="G1318" s="10" t="str">
        <x:v>Venda de produtos</x:v>
      </x:c>
      <x:c r="H1318" s="10" t="str">
        <x:v>REC00333</x:v>
      </x:c>
      <x:c r="I1318" s="20" t="n">
        <x:v>100806.49</x:v>
      </x:c>
      <x:c r="J1318" s="20" t="n">
        <x:v>100806.49</x:v>
      </x:c>
      <x:c r="K1318" s="10" t="str">
        <x:v>Realizado</x:v>
      </x:c>
      <x:c r="L1318" s="10" t="str">
        <x:v>Contas a Receber</x:v>
      </x:c>
    </x:row>
    <x:row r="1319" ht="18" customHeight="1">
      <x:c r="A1319" s="10" t="str">
        <x:v>MOV001652</x:v>
      </x:c>
      <x:c r="B1319" s="16" t="n">
        <x:v>45864.88432157407</x:v>
      </x:c>
      <x:c r="C1319" s="10" t="str">
        <x:v>EMP002</x:v>
      </x:c>
      <x:c r="D1319" s="10" t="str">
        <x:v>CTA004</x:v>
      </x:c>
      <x:c r="E1319" s="10" t="str">
        <x:v>Entrada</x:v>
      </x:c>
      <x:c r="F1319" s="10" t="str">
        <x:v>CAT004</x:v>
      </x:c>
      <x:c r="G1319" s="10" t="str">
        <x:v>Venda de produtos</x:v>
      </x:c>
      <x:c r="H1319" s="10" t="str">
        <x:v>REC01092</x:v>
      </x:c>
      <x:c r="I1319" s="20" t="n">
        <x:v>56761.98</x:v>
      </x:c>
      <x:c r="J1319" s="20" t="n">
        <x:v>56761.98</x:v>
      </x:c>
      <x:c r="K1319" s="10" t="str">
        <x:v>Realizado</x:v>
      </x:c>
      <x:c r="L1319" s="10" t="str">
        <x:v>Contas a Receber</x:v>
      </x:c>
    </x:row>
    <x:row r="1320" ht="18" customHeight="1">
      <x:c r="A1320" s="10" t="str">
        <x:v>MOV001382</x:v>
      </x:c>
      <x:c r="B1320" s="16" t="n">
        <x:v>45865.46665275463</x:v>
      </x:c>
      <x:c r="C1320" s="10" t="str">
        <x:v>EMP003</x:v>
      </x:c>
      <x:c r="D1320" s="10" t="str">
        <x:v>CTA005</x:v>
      </x:c>
      <x:c r="E1320" s="10" t="str">
        <x:v>Entrada</x:v>
      </x:c>
      <x:c r="F1320" s="10" t="str">
        <x:v>CAT001</x:v>
      </x:c>
      <x:c r="G1320" s="10" t="str">
        <x:v>Frete faturado</x:v>
      </x:c>
      <x:c r="H1320" s="10" t="str">
        <x:v>REC00757</x:v>
      </x:c>
      <x:c r="I1320" s="20" t="n">
        <x:v>119885.35</x:v>
      </x:c>
      <x:c r="J1320" s="20" t="n">
        <x:v>119885.35</x:v>
      </x:c>
      <x:c r="K1320" s="10" t="str">
        <x:v>Realizado</x:v>
      </x:c>
      <x:c r="L1320" s="10" t="str">
        <x:v>Contas a Receber</x:v>
      </x:c>
    </x:row>
    <x:row r="1321" ht="18" customHeight="1">
      <x:c r="A1321" s="10" t="str">
        <x:v>MOV001094</x:v>
      </x:c>
      <x:c r="B1321" s="16" t="n">
        <x:v>45865.58404025463</x:v>
      </x:c>
      <x:c r="C1321" s="10" t="str">
        <x:v>EMP001</x:v>
      </x:c>
      <x:c r="D1321" s="10" t="str">
        <x:v>CTA002</x:v>
      </x:c>
      <x:c r="E1321" s="10" t="str">
        <x:v>Entrada</x:v>
      </x:c>
      <x:c r="F1321" s="10" t="str">
        <x:v>CAT003</x:v>
      </x:c>
      <x:c r="G1321" s="10" t="str">
        <x:v>Venda de produtos</x:v>
      </x:c>
      <x:c r="H1321" s="10" t="str">
        <x:v>REC00418</x:v>
      </x:c>
      <x:c r="I1321" s="20" t="n">
        <x:v>52522.58</x:v>
      </x:c>
      <x:c r="J1321" s="20" t="n">
        <x:v>52522.58</x:v>
      </x:c>
      <x:c r="K1321" s="10" t="str">
        <x:v>Realizado</x:v>
      </x:c>
      <x:c r="L1321" s="10" t="str">
        <x:v>Contas a Receber</x:v>
      </x:c>
    </x:row>
    <x:row r="1322" ht="18" customHeight="1">
      <x:c r="A1322" s="10" t="str">
        <x:v>MOV000482</x:v>
      </x:c>
      <x:c r="B1322" s="16" t="n">
        <x:v>45866.08037304398</x:v>
      </x:c>
      <x:c r="C1322" s="10" t="str">
        <x:v>EMP002</x:v>
      </x:c>
      <x:c r="D1322" s="10" t="str">
        <x:v>CTA003</x:v>
      </x:c>
      <x:c r="E1322" s="10" t="str">
        <x:v>Saída</x:v>
      </x:c>
      <x:c r="F1322" s="10" t="str">
        <x:v>CAT018</x:v>
      </x:c>
      <x:c r="G1322" s="10" t="str">
        <x:v>Prestação de serviços</x:v>
      </x:c>
      <x:c r="H1322" s="10" t="str">
        <x:v>PAG00566</x:v>
      </x:c>
      <x:c r="I1322" s="20" t="n">
        <x:v>9428.29</x:v>
      </x:c>
      <x:c r="J1322" s="20" t="n">
        <x:v>-9428.29</x:v>
      </x:c>
      <x:c r="K1322" s="10" t="str">
        <x:v>Realizado</x:v>
      </x:c>
      <x:c r="L1322" s="10" t="str">
        <x:v>Contas a Pagar</x:v>
      </x:c>
    </x:row>
    <x:row r="1323" ht="18" customHeight="1">
      <x:c r="A1323" s="10" t="str">
        <x:v>MOV001351</x:v>
      </x:c>
      <x:c r="B1323" s="16" t="n">
        <x:v>45866.55218774306</x:v>
      </x:c>
      <x:c r="C1323" s="10" t="str">
        <x:v>EMP002</x:v>
      </x:c>
      <x:c r="D1323" s="10" t="str">
        <x:v>CTA003</x:v>
      </x:c>
      <x:c r="E1323" s="10" t="str">
        <x:v>Entrada</x:v>
      </x:c>
      <x:c r="F1323" s="10" t="str">
        <x:v>CAT001</x:v>
      </x:c>
      <x:c r="G1323" s="10" t="str">
        <x:v>Contrato mensal</x:v>
      </x:c>
      <x:c r="H1323" s="10" t="str">
        <x:v>REC00718</x:v>
      </x:c>
      <x:c r="I1323" s="20" t="n">
        <x:v>1561.47</x:v>
      </x:c>
      <x:c r="J1323" s="20" t="n">
        <x:v>1561.47</x:v>
      </x:c>
      <x:c r="K1323" s="10" t="str">
        <x:v>Realizado</x:v>
      </x:c>
      <x:c r="L1323" s="10" t="str">
        <x:v>Contas a Receber</x:v>
      </x:c>
    </x:row>
    <x:row r="1324" ht="18" customHeight="1">
      <x:c r="A1324" s="10" t="str">
        <x:v>MOV000644</x:v>
      </x:c>
      <x:c r="B1324" s="16" t="n">
        <x:v>45867.19656613426</x:v>
      </x:c>
      <x:c r="C1324" s="10" t="str">
        <x:v>EMP003</x:v>
      </x:c>
      <x:c r="D1324" s="10" t="str">
        <x:v>CTA006</x:v>
      </x:c>
      <x:c r="E1324" s="10" t="str">
        <x:v>Saída</x:v>
      </x:c>
      <x:c r="F1324" s="10" t="str">
        <x:v>CAT017</x:v>
      </x:c>
      <x:c r="G1324" s="10" t="str">
        <x:v>Tributos e taxas</x:v>
      </x:c>
      <x:c r="H1324" s="10" t="str">
        <x:v>PAG00764</x:v>
      </x:c>
      <x:c r="I1324" s="20" t="n">
        <x:v>21368.11</x:v>
      </x:c>
      <x:c r="J1324" s="20" t="n">
        <x:v>-21368.11</x:v>
      </x:c>
      <x:c r="K1324" s="10" t="str">
        <x:v>Realizado</x:v>
      </x:c>
      <x:c r="L1324" s="10" t="str">
        <x:v>Contas a Pagar</x:v>
      </x:c>
    </x:row>
    <x:row r="1325" ht="18" customHeight="1">
      <x:c r="A1325" s="10" t="str">
        <x:v>MOV000131</x:v>
      </x:c>
      <x:c r="B1325" s="16" t="n">
        <x:v>45867.263488449076</x:v>
      </x:c>
      <x:c r="C1325" s="10" t="str">
        <x:v>EMP003</x:v>
      </x:c>
      <x:c r="D1325" s="10" t="str">
        <x:v>CTA005</x:v>
      </x:c>
      <x:c r="E1325" s="10" t="str">
        <x:v>Saída</x:v>
      </x:c>
      <x:c r="F1325" s="10" t="str">
        <x:v>CAT005</x:v>
      </x:c>
      <x:c r="G1325" s="10" t="str">
        <x:v>Contrato recorrente</x:v>
      </x:c>
      <x:c r="H1325" s="10" t="str">
        <x:v>PAG00152</x:v>
      </x:c>
      <x:c r="I1325" s="20" t="n">
        <x:v>12748.86</x:v>
      </x:c>
      <x:c r="J1325" s="20" t="n">
        <x:v>-12748.86</x:v>
      </x:c>
      <x:c r="K1325" s="10" t="str">
        <x:v>Realizado</x:v>
      </x:c>
      <x:c r="L1325" s="10" t="str">
        <x:v>Contas a Pagar</x:v>
      </x:c>
    </x:row>
    <x:row r="1326" ht="18" customHeight="1">
      <x:c r="A1326" s="10" t="str">
        <x:v>MOV000438</x:v>
      </x:c>
      <x:c r="B1326" s="16" t="n">
        <x:v>45867.265409224536</x:v>
      </x:c>
      <x:c r="C1326" s="10" t="str">
        <x:v>EMP001</x:v>
      </x:c>
      <x:c r="D1326" s="10" t="str">
        <x:v>CTA001</x:v>
      </x:c>
      <x:c r="E1326" s="10" t="str">
        <x:v>Saída</x:v>
      </x:c>
      <x:c r="F1326" s="10" t="str">
        <x:v>CAT018</x:v>
      </x:c>
      <x:c r="G1326" s="10" t="str">
        <x:v>Despesa operacional</x:v>
      </x:c>
      <x:c r="H1326" s="10" t="str">
        <x:v>PAG00512</x:v>
      </x:c>
      <x:c r="I1326" s="20" t="n">
        <x:v>2814.65</x:v>
      </x:c>
      <x:c r="J1326" s="20" t="n">
        <x:v>-2814.65</x:v>
      </x:c>
      <x:c r="K1326" s="10" t="str">
        <x:v>Realizado</x:v>
      </x:c>
      <x:c r="L1326" s="10" t="str">
        <x:v>Contas a Pagar</x:v>
      </x:c>
    </x:row>
    <x:row r="1327" ht="18" customHeight="1">
      <x:c r="A1327" s="10" t="str">
        <x:v>MOV001503</x:v>
      </x:c>
      <x:c r="B1327" s="16" t="n">
        <x:v>45867.914672893516</x:v>
      </x:c>
      <x:c r="C1327" s="10" t="str">
        <x:v>EMP003</x:v>
      </x:c>
      <x:c r="D1327" s="10" t="str">
        <x:v>CTA006</x:v>
      </x:c>
      <x:c r="E1327" s="10" t="str">
        <x:v>Entrada</x:v>
      </x:c>
      <x:c r="F1327" s="10" t="str">
        <x:v>CAT002</x:v>
      </x:c>
      <x:c r="G1327" s="10" t="str">
        <x:v>Contrato mensal</x:v>
      </x:c>
      <x:c r="H1327" s="10" t="str">
        <x:v>REC00912</x:v>
      </x:c>
      <x:c r="I1327" s="20" t="n">
        <x:v>52984.7</x:v>
      </x:c>
      <x:c r="J1327" s="20" t="n">
        <x:v>52984.7</x:v>
      </x:c>
      <x:c r="K1327" s="10" t="str">
        <x:v>Realizado</x:v>
      </x:c>
      <x:c r="L1327" s="10" t="str">
        <x:v>Contas a Receber</x:v>
      </x:c>
    </x:row>
    <x:row r="1328" ht="18" customHeight="1">
      <x:c r="A1328" s="10" t="str">
        <x:v>MOV000241</x:v>
      </x:c>
      <x:c r="B1328" s="16" t="n">
        <x:v>45867.93956359954</x:v>
      </x:c>
      <x:c r="C1328" s="10" t="str">
        <x:v>EMP002</x:v>
      </x:c>
      <x:c r="D1328" s="10" t="str">
        <x:v>CTA003</x:v>
      </x:c>
      <x:c r="E1328" s="10" t="str">
        <x:v>Saída</x:v>
      </x:c>
      <x:c r="F1328" s="10" t="str">
        <x:v>CAT010</x:v>
      </x:c>
      <x:c r="G1328" s="10" t="str">
        <x:v>Tributos e taxas</x:v>
      </x:c>
      <x:c r="H1328" s="10" t="str">
        <x:v>PAG00281</x:v>
      </x:c>
      <x:c r="I1328" s="20" t="n">
        <x:v>37096.76</x:v>
      </x:c>
      <x:c r="J1328" s="20" t="n">
        <x:v>-37096.76</x:v>
      </x:c>
      <x:c r="K1328" s="10" t="str">
        <x:v>Realizado</x:v>
      </x:c>
      <x:c r="L1328" s="10" t="str">
        <x:v>Contas a Pagar</x:v>
      </x:c>
    </x:row>
    <x:row r="1329" ht="18" customHeight="1">
      <x:c r="A1329" s="10" t="str">
        <x:v>MOV001169</x:v>
      </x:c>
      <x:c r="B1329" s="16" t="n">
        <x:v>45868.17851505787</x:v>
      </x:c>
      <x:c r="C1329" s="10" t="str">
        <x:v>EMP003</x:v>
      </x:c>
      <x:c r="D1329" s="10" t="str">
        <x:v>CTA005</x:v>
      </x:c>
      <x:c r="E1329" s="10" t="str">
        <x:v>Entrada</x:v>
      </x:c>
      <x:c r="F1329" s="10" t="str">
        <x:v>CAT001</x:v>
      </x:c>
      <x:c r="G1329" s="10" t="str">
        <x:v>Contrato mensal</x:v>
      </x:c>
      <x:c r="H1329" s="10" t="str">
        <x:v>REC00503</x:v>
      </x:c>
      <x:c r="I1329" s="20" t="n">
        <x:v>109741.51</x:v>
      </x:c>
      <x:c r="J1329" s="20" t="n">
        <x:v>109741.51</x:v>
      </x:c>
      <x:c r="K1329" s="10" t="str">
        <x:v>Realizado</x:v>
      </x:c>
      <x:c r="L1329" s="10" t="str">
        <x:v>Contas a Receber</x:v>
      </x:c>
    </x:row>
    <x:row r="1330" ht="18" customHeight="1">
      <x:c r="A1330" s="10" t="str">
        <x:v>MOV000526</x:v>
      </x:c>
      <x:c r="B1330" s="16" t="n">
        <x:v>45868.48624436343</x:v>
      </x:c>
      <x:c r="C1330" s="10" t="str">
        <x:v>EMP001</x:v>
      </x:c>
      <x:c r="D1330" s="10" t="str">
        <x:v>CTA001</x:v>
      </x:c>
      <x:c r="E1330" s="10" t="str">
        <x:v>Saída</x:v>
      </x:c>
      <x:c r="F1330" s="10" t="str">
        <x:v>CAT012</x:v>
      </x:c>
      <x:c r="G1330" s="10" t="str">
        <x:v>Contrato recorrente</x:v>
      </x:c>
      <x:c r="H1330" s="10" t="str">
        <x:v>PAG00616</x:v>
      </x:c>
      <x:c r="I1330" s="20" t="n">
        <x:v>48823.33</x:v>
      </x:c>
      <x:c r="J1330" s="20" t="n">
        <x:v>-48823.33</x:v>
      </x:c>
      <x:c r="K1330" s="10" t="str">
        <x:v>Realizado</x:v>
      </x:c>
      <x:c r="L1330" s="10" t="str">
        <x:v>Contas a Pagar</x:v>
      </x:c>
    </x:row>
    <x:row r="1331" ht="18" customHeight="1">
      <x:c r="A1331" s="10" t="str">
        <x:v>MOV000178</x:v>
      </x:c>
      <x:c r="B1331" s="16" t="n">
        <x:v>45868.51637803241</x:v>
      </x:c>
      <x:c r="C1331" s="10" t="str">
        <x:v>EMP001</x:v>
      </x:c>
      <x:c r="D1331" s="10" t="str">
        <x:v>CTA001</x:v>
      </x:c>
      <x:c r="E1331" s="10" t="str">
        <x:v>Saída</x:v>
      </x:c>
      <x:c r="F1331" s="10" t="str">
        <x:v>CAT013</x:v>
      </x:c>
      <x:c r="G1331" s="10" t="str">
        <x:v>Tributos e taxas</x:v>
      </x:c>
      <x:c r="H1331" s="10" t="str">
        <x:v>PAG00209</x:v>
      </x:c>
      <x:c r="I1331" s="20" t="n">
        <x:v>20404.92</x:v>
      </x:c>
      <x:c r="J1331" s="20" t="n">
        <x:v>-20404.92</x:v>
      </x:c>
      <x:c r="K1331" s="10" t="str">
        <x:v>Realizado</x:v>
      </x:c>
      <x:c r="L1331" s="10" t="str">
        <x:v>Contas a Pagar</x:v>
      </x:c>
    </x:row>
    <x:row r="1332" ht="18" customHeight="1">
      <x:c r="A1332" s="10" t="str">
        <x:v>MOV000035</x:v>
      </x:c>
      <x:c r="B1332" s="16" t="n">
        <x:v>45868.72554721065</x:v>
      </x:c>
      <x:c r="C1332" s="10" t="str">
        <x:v>EMP002</x:v>
      </x:c>
      <x:c r="D1332" s="10" t="str">
        <x:v>CTA003</x:v>
      </x:c>
      <x:c r="E1332" s="10" t="str">
        <x:v>Saída</x:v>
      </x:c>
      <x:c r="F1332" s="10" t="str">
        <x:v>CAT014</x:v>
      </x:c>
      <x:c r="G1332" s="10" t="str">
        <x:v>Despesa operacional</x:v>
      </x:c>
      <x:c r="H1332" s="10" t="str">
        <x:v>PAG00035</x:v>
      </x:c>
      <x:c r="I1332" s="20" t="n">
        <x:v>53408.25</x:v>
      </x:c>
      <x:c r="J1332" s="20" t="n">
        <x:v>-53408.25</x:v>
      </x:c>
      <x:c r="K1332" s="10" t="str">
        <x:v>Realizado</x:v>
      </x:c>
      <x:c r="L1332" s="10" t="str">
        <x:v>Contas a Pagar</x:v>
      </x:c>
    </x:row>
    <x:row r="1333" ht="18" customHeight="1">
      <x:c r="A1333" s="10" t="str">
        <x:v>MOV001122</x:v>
      </x:c>
      <x:c r="B1333" s="16" t="n">
        <x:v>45868.780703668985</x:v>
      </x:c>
      <x:c r="C1333" s="10" t="str">
        <x:v>EMP002</x:v>
      </x:c>
      <x:c r="D1333" s="10" t="str">
        <x:v>CTA003</x:v>
      </x:c>
      <x:c r="E1333" s="10" t="str">
        <x:v>Entrada</x:v>
      </x:c>
      <x:c r="F1333" s="10" t="str">
        <x:v>CAT003</x:v>
      </x:c>
      <x:c r="G1333" s="10" t="str">
        <x:v>Contrato mensal</x:v>
      </x:c>
      <x:c r="H1333" s="10" t="str">
        <x:v>REC00451</x:v>
      </x:c>
      <x:c r="I1333" s="20" t="n">
        <x:v>53303.93</x:v>
      </x:c>
      <x:c r="J1333" s="20" t="n">
        <x:v>53303.93</x:v>
      </x:c>
      <x:c r="K1333" s="10" t="str">
        <x:v>Realizado</x:v>
      </x:c>
      <x:c r="L1333" s="10" t="str">
        <x:v>Contas a Receber</x:v>
      </x:c>
    </x:row>
    <x:row r="1334" ht="18" customHeight="1">
      <x:c r="A1334" s="10" t="str">
        <x:v>MOV000494</x:v>
      </x:c>
      <x:c r="B1334" s="16" t="n">
        <x:v>45869.122827962965</x:v>
      </x:c>
      <x:c r="C1334" s="10" t="str">
        <x:v>EMP001</x:v>
      </x:c>
      <x:c r="D1334" s="10" t="str">
        <x:v>CTA002</x:v>
      </x:c>
      <x:c r="E1334" s="10" t="str">
        <x:v>Saída</x:v>
      </x:c>
      <x:c r="F1334" s="10" t="str">
        <x:v>CAT018</x:v>
      </x:c>
      <x:c r="G1334" s="10" t="str">
        <x:v>Prestação de serviços</x:v>
      </x:c>
      <x:c r="H1334" s="10" t="str">
        <x:v>PAG00579</x:v>
      </x:c>
      <x:c r="I1334" s="20" t="n">
        <x:v>109816.47</x:v>
      </x:c>
      <x:c r="J1334" s="20" t="n">
        <x:v>-109816.47</x:v>
      </x:c>
      <x:c r="K1334" s="10" t="str">
        <x:v>Realizado</x:v>
      </x:c>
      <x:c r="L1334" s="10" t="str">
        <x:v>Contas a Pagar</x:v>
      </x:c>
    </x:row>
    <x:row r="1335" ht="18" customHeight="1">
      <x:c r="A1335" s="10" t="str">
        <x:v>MOV001291</x:v>
      </x:c>
      <x:c r="B1335" s="16" t="n">
        <x:v>45869.904898252316</x:v>
      </x:c>
      <x:c r="C1335" s="10" t="str">
        <x:v>EMP002</x:v>
      </x:c>
      <x:c r="D1335" s="10" t="str">
        <x:v>CTA004</x:v>
      </x:c>
      <x:c r="E1335" s="10" t="str">
        <x:v>Entrada</x:v>
      </x:c>
      <x:c r="F1335" s="10" t="str">
        <x:v>CAT003</x:v>
      </x:c>
      <x:c r="G1335" s="10" t="str">
        <x:v>Contrato mensal</x:v>
      </x:c>
      <x:c r="H1335" s="10" t="str">
        <x:v>REC00653</x:v>
      </x:c>
      <x:c r="I1335" s="20" t="n">
        <x:v>8371.39</x:v>
      </x:c>
      <x:c r="J1335" s="20" t="n">
        <x:v>8371.39</x:v>
      </x:c>
      <x:c r="K1335" s="10" t="str">
        <x:v>Realizado</x:v>
      </x:c>
      <x:c r="L1335" s="10" t="str">
        <x:v>Contas a Receber</x:v>
      </x:c>
    </x:row>
    <x:row r="1336" ht="18" customHeight="1">
      <x:c r="A1336" s="10" t="str">
        <x:v>MOV001497</x:v>
      </x:c>
      <x:c r="B1336" s="16" t="n">
        <x:v>45870.84969858796</x:v>
      </x:c>
      <x:c r="C1336" s="10" t="str">
        <x:v>EMP002</x:v>
      </x:c>
      <x:c r="D1336" s="10" t="str">
        <x:v>CTA003</x:v>
      </x:c>
      <x:c r="E1336" s="10" t="str">
        <x:v>Entrada</x:v>
      </x:c>
      <x:c r="F1336" s="10" t="str">
        <x:v>CAT003</x:v>
      </x:c>
      <x:c r="G1336" s="10" t="str">
        <x:v>Prestação de serviços</x:v>
      </x:c>
      <x:c r="H1336" s="10" t="str">
        <x:v>REC00903</x:v>
      </x:c>
      <x:c r="I1336" s="20" t="n">
        <x:v>14813.38</x:v>
      </x:c>
      <x:c r="J1336" s="20" t="n">
        <x:v>14813.38</x:v>
      </x:c>
      <x:c r="K1336" s="10" t="str">
        <x:v>Realizado</x:v>
      </x:c>
      <x:c r="L1336" s="10" t="str">
        <x:v>Contas a Receber</x:v>
      </x:c>
    </x:row>
    <x:row r="1337" ht="18" customHeight="1">
      <x:c r="A1337" s="10" t="str">
        <x:v>MOV001214</x:v>
      </x:c>
      <x:c r="B1337" s="16" t="n">
        <x:v>45871.130018194446</x:v>
      </x:c>
      <x:c r="C1337" s="10" t="str">
        <x:v>EMP003</x:v>
      </x:c>
      <x:c r="D1337" s="10" t="str">
        <x:v>CTA006</x:v>
      </x:c>
      <x:c r="E1337" s="10" t="str">
        <x:v>Entrada</x:v>
      </x:c>
      <x:c r="F1337" s="10" t="str">
        <x:v>CAT003</x:v>
      </x:c>
      <x:c r="G1337" s="10" t="str">
        <x:v>Projeto especial</x:v>
      </x:c>
      <x:c r="H1337" s="10" t="str">
        <x:v>REC00563</x:v>
      </x:c>
      <x:c r="I1337" s="20" t="n">
        <x:v>111699.15</x:v>
      </x:c>
      <x:c r="J1337" s="20" t="n">
        <x:v>111699.15</x:v>
      </x:c>
      <x:c r="K1337" s="10" t="str">
        <x:v>Realizado</x:v>
      </x:c>
      <x:c r="L1337" s="10" t="str">
        <x:v>Contas a Receber</x:v>
      </x:c>
    </x:row>
    <x:row r="1338" ht="18" customHeight="1">
      <x:c r="A1338" s="10" t="str">
        <x:v>MOV000703</x:v>
      </x:c>
      <x:c r="B1338" s="16" t="n">
        <x:v>45871.159263946756</x:v>
      </x:c>
      <x:c r="C1338" s="10" t="str">
        <x:v>EMP002</x:v>
      </x:c>
      <x:c r="D1338" s="10" t="str">
        <x:v>CTA004</x:v>
      </x:c>
      <x:c r="E1338" s="10" t="str">
        <x:v>Saída</x:v>
      </x:c>
      <x:c r="F1338" s="10" t="str">
        <x:v>CAT012</x:v>
      </x:c>
      <x:c r="G1338" s="10" t="str">
        <x:v>Tributos e taxas</x:v>
      </x:c>
      <x:c r="H1338" s="10" t="str">
        <x:v>PAG00835</x:v>
      </x:c>
      <x:c r="I1338" s="20" t="n">
        <x:v>98533.84</x:v>
      </x:c>
      <x:c r="J1338" s="20" t="n">
        <x:v>-98533.84</x:v>
      </x:c>
      <x:c r="K1338" s="10" t="str">
        <x:v>Realizado</x:v>
      </x:c>
      <x:c r="L1338" s="10" t="str">
        <x:v>Contas a Pagar</x:v>
      </x:c>
    </x:row>
    <x:row r="1339" ht="18" customHeight="1">
      <x:c r="A1339" s="10" t="str">
        <x:v>MOV001080</x:v>
      </x:c>
      <x:c r="B1339" s="16" t="n">
        <x:v>45871.27083710648</x:v>
      </x:c>
      <x:c r="C1339" s="10" t="str">
        <x:v>EMP003</x:v>
      </x:c>
      <x:c r="D1339" s="10" t="str">
        <x:v>CTA006</x:v>
      </x:c>
      <x:c r="E1339" s="10" t="str">
        <x:v>Entrada</x:v>
      </x:c>
      <x:c r="F1339" s="10" t="str">
        <x:v>CAT002</x:v>
      </x:c>
      <x:c r="G1339" s="10" t="str">
        <x:v>Prestação de serviços</x:v>
      </x:c>
      <x:c r="H1339" s="10" t="str">
        <x:v>REC00401</x:v>
      </x:c>
      <x:c r="I1339" s="20" t="n">
        <x:v>123579.4</x:v>
      </x:c>
      <x:c r="J1339" s="20" t="n">
        <x:v>123579.4</x:v>
      </x:c>
      <x:c r="K1339" s="10" t="str">
        <x:v>Realizado</x:v>
      </x:c>
      <x:c r="L1339" s="10" t="str">
        <x:v>Contas a Receber</x:v>
      </x:c>
    </x:row>
    <x:row r="1340" ht="18" customHeight="1">
      <x:c r="A1340" s="10" t="str">
        <x:v>MOV000677</x:v>
      </x:c>
      <x:c r="B1340" s="16" t="n">
        <x:v>45872.35801560185</x:v>
      </x:c>
      <x:c r="C1340" s="10" t="str">
        <x:v>EMP001</x:v>
      </x:c>
      <x:c r="D1340" s="10" t="str">
        <x:v>CTA001</x:v>
      </x:c>
      <x:c r="E1340" s="10" t="str">
        <x:v>Saída</x:v>
      </x:c>
      <x:c r="F1340" s="10" t="str">
        <x:v>CAT017</x:v>
      </x:c>
      <x:c r="G1340" s="10" t="str">
        <x:v>Prestação de serviços</x:v>
      </x:c>
      <x:c r="H1340" s="10" t="str">
        <x:v>PAG00804</x:v>
      </x:c>
      <x:c r="I1340" s="20" t="n">
        <x:v>84149.73</x:v>
      </x:c>
      <x:c r="J1340" s="20" t="n">
        <x:v>-84149.73</x:v>
      </x:c>
      <x:c r="K1340" s="10" t="str">
        <x:v>Realizado</x:v>
      </x:c>
      <x:c r="L1340" s="10" t="str">
        <x:v>Contas a Pagar</x:v>
      </x:c>
    </x:row>
    <x:row r="1341" ht="18" customHeight="1">
      <x:c r="A1341" s="10" t="str">
        <x:v>MOV000967</x:v>
      </x:c>
      <x:c r="B1341" s="16" t="n">
        <x:v>45872.44798686342</x:v>
      </x:c>
      <x:c r="C1341" s="10" t="str">
        <x:v>EMP001</x:v>
      </x:c>
      <x:c r="D1341" s="10" t="str">
        <x:v>CTA002</x:v>
      </x:c>
      <x:c r="E1341" s="10" t="str">
        <x:v>Entrada</x:v>
      </x:c>
      <x:c r="F1341" s="10" t="str">
        <x:v>CAT001</x:v>
      </x:c>
      <x:c r="G1341" s="10" t="str">
        <x:v>Contrato mensal</x:v>
      </x:c>
      <x:c r="H1341" s="10" t="str">
        <x:v>REC00257</x:v>
      </x:c>
      <x:c r="I1341" s="20" t="n">
        <x:v>66320.79</x:v>
      </x:c>
      <x:c r="J1341" s="20" t="n">
        <x:v>66320.79</x:v>
      </x:c>
      <x:c r="K1341" s="10" t="str">
        <x:v>Realizado</x:v>
      </x:c>
      <x:c r="L1341" s="10" t="str">
        <x:v>Contas a Receber</x:v>
      </x:c>
    </x:row>
    <x:row r="1342" ht="18" customHeight="1">
      <x:c r="A1342" s="10" t="str">
        <x:v>MOV000858</x:v>
      </x:c>
      <x:c r="B1342" s="16" t="n">
        <x:v>45873.603221770834</x:v>
      </x:c>
      <x:c r="C1342" s="10" t="str">
        <x:v>EMP003</x:v>
      </x:c>
      <x:c r="D1342" s="10" t="str">
        <x:v>CTA005</x:v>
      </x:c>
      <x:c r="E1342" s="10" t="str">
        <x:v>Entrada</x:v>
      </x:c>
      <x:c r="F1342" s="10" t="str">
        <x:v>CAT002</x:v>
      </x:c>
      <x:c r="G1342" s="10" t="str">
        <x:v>Frete faturado</x:v>
      </x:c>
      <x:c r="H1342" s="10" t="str">
        <x:v>REC00128</x:v>
      </x:c>
      <x:c r="I1342" s="20" t="n">
        <x:v>58979.66</x:v>
      </x:c>
      <x:c r="J1342" s="20" t="n">
        <x:v>58979.66</x:v>
      </x:c>
      <x:c r="K1342" s="10" t="str">
        <x:v>Realizado</x:v>
      </x:c>
      <x:c r="L1342" s="10" t="str">
        <x:v>Contas a Receber</x:v>
      </x:c>
    </x:row>
    <x:row r="1343" ht="18" customHeight="1">
      <x:c r="A1343" s="10" t="str">
        <x:v>MOV000838</x:v>
      </x:c>
      <x:c r="B1343" s="16" t="n">
        <x:v>45873.67203248842</x:v>
      </x:c>
      <x:c r="C1343" s="10" t="str">
        <x:v>EMP002</x:v>
      </x:c>
      <x:c r="D1343" s="10" t="str">
        <x:v>CTA004</x:v>
      </x:c>
      <x:c r="E1343" s="10" t="str">
        <x:v>Entrada</x:v>
      </x:c>
      <x:c r="F1343" s="10" t="str">
        <x:v>CAT002</x:v>
      </x:c>
      <x:c r="G1343" s="10" t="str">
        <x:v>Frete faturado</x:v>
      </x:c>
      <x:c r="H1343" s="10" t="str">
        <x:v>REC00103</x:v>
      </x:c>
      <x:c r="I1343" s="20" t="n">
        <x:v>96782.66</x:v>
      </x:c>
      <x:c r="J1343" s="20" t="n">
        <x:v>96782.66</x:v>
      </x:c>
      <x:c r="K1343" s="10" t="str">
        <x:v>Realizado</x:v>
      </x:c>
      <x:c r="L1343" s="10" t="str">
        <x:v>Contas a Receber</x:v>
      </x:c>
    </x:row>
    <x:row r="1344" ht="18" customHeight="1">
      <x:c r="A1344" s="10" t="str">
        <x:v>MOV001590</x:v>
      </x:c>
      <x:c r="B1344" s="16" t="n">
        <x:v>45873.803377777775</x:v>
      </x:c>
      <x:c r="C1344" s="10" t="str">
        <x:v>EMP003</x:v>
      </x:c>
      <x:c r="D1344" s="10" t="str">
        <x:v>CTA006</x:v>
      </x:c>
      <x:c r="E1344" s="10" t="str">
        <x:v>Entrada</x:v>
      </x:c>
      <x:c r="F1344" s="10" t="str">
        <x:v>CAT004</x:v>
      </x:c>
      <x:c r="G1344" s="10" t="str">
        <x:v>Frete faturado</x:v>
      </x:c>
      <x:c r="H1344" s="10" t="str">
        <x:v>REC01016</x:v>
      </x:c>
      <x:c r="I1344" s="20" t="n">
        <x:v>84788.1</x:v>
      </x:c>
      <x:c r="J1344" s="20" t="n">
        <x:v>84788.1</x:v>
      </x:c>
      <x:c r="K1344" s="10" t="str">
        <x:v>Realizado</x:v>
      </x:c>
      <x:c r="L1344" s="10" t="str">
        <x:v>Contas a Receber</x:v>
      </x:c>
    </x:row>
    <x:row r="1345" ht="18" customHeight="1">
      <x:c r="A1345" s="10" t="str">
        <x:v>MOV001325</x:v>
      </x:c>
      <x:c r="B1345" s="16" t="n">
        <x:v>45874.54493938657</x:v>
      </x:c>
      <x:c r="C1345" s="10" t="str">
        <x:v>EMP001</x:v>
      </x:c>
      <x:c r="D1345" s="10" t="str">
        <x:v>CTA001</x:v>
      </x:c>
      <x:c r="E1345" s="10" t="str">
        <x:v>Entrada</x:v>
      </x:c>
      <x:c r="F1345" s="10" t="str">
        <x:v>CAT002</x:v>
      </x:c>
      <x:c r="G1345" s="10" t="str">
        <x:v>Frete faturado</x:v>
      </x:c>
      <x:c r="H1345" s="10" t="str">
        <x:v>REC00689</x:v>
      </x:c>
      <x:c r="I1345" s="20" t="n">
        <x:v>38352.57</x:v>
      </x:c>
      <x:c r="J1345" s="20" t="n">
        <x:v>38352.57</x:v>
      </x:c>
      <x:c r="K1345" s="10" t="str">
        <x:v>Realizado</x:v>
      </x:c>
      <x:c r="L1345" s="10" t="str">
        <x:v>Contas a Receber</x:v>
      </x:c>
    </x:row>
    <x:row r="1346" ht="18" customHeight="1">
      <x:c r="A1346" s="10" t="str">
        <x:v>MOV000147</x:v>
      </x:c>
      <x:c r="B1346" s="16" t="n">
        <x:v>45874.71525486111</x:v>
      </x:c>
      <x:c r="C1346" s="10" t="str">
        <x:v>EMP003</x:v>
      </x:c>
      <x:c r="D1346" s="10" t="str">
        <x:v>CTA006</x:v>
      </x:c>
      <x:c r="E1346" s="10" t="str">
        <x:v>Saída</x:v>
      </x:c>
      <x:c r="F1346" s="10" t="str">
        <x:v>CAT015</x:v>
      </x:c>
      <x:c r="G1346" s="10" t="str">
        <x:v>Contrato recorrente</x:v>
      </x:c>
      <x:c r="H1346" s="10" t="str">
        <x:v>PAG00169</x:v>
      </x:c>
      <x:c r="I1346" s="20" t="n">
        <x:v>14458.81</x:v>
      </x:c>
      <x:c r="J1346" s="20" t="n">
        <x:v>-14458.81</x:v>
      </x:c>
      <x:c r="K1346" s="10" t="str">
        <x:v>Realizado</x:v>
      </x:c>
      <x:c r="L1346" s="10" t="str">
        <x:v>Contas a Pagar</x:v>
      </x:c>
    </x:row>
    <x:row r="1347" ht="18" customHeight="1">
      <x:c r="A1347" s="10" t="str">
        <x:v>MOV000384</x:v>
      </x:c>
      <x:c r="B1347" s="16" t="n">
        <x:v>45875.3843153125</x:v>
      </x:c>
      <x:c r="C1347" s="10" t="str">
        <x:v>EMP003</x:v>
      </x:c>
      <x:c r="D1347" s="10" t="str">
        <x:v>CTA005</x:v>
      </x:c>
      <x:c r="E1347" s="10" t="str">
        <x:v>Saída</x:v>
      </x:c>
      <x:c r="F1347" s="10" t="str">
        <x:v>CAT011</x:v>
      </x:c>
      <x:c r="G1347" s="10" t="str">
        <x:v>Tributos e taxas</x:v>
      </x:c>
      <x:c r="H1347" s="10" t="str">
        <x:v>PAG00446</x:v>
      </x:c>
      <x:c r="I1347" s="20" t="n">
        <x:v>598.43</x:v>
      </x:c>
      <x:c r="J1347" s="20" t="n">
        <x:v>-598.43</x:v>
      </x:c>
      <x:c r="K1347" s="10" t="str">
        <x:v>Realizado</x:v>
      </x:c>
      <x:c r="L1347" s="10" t="str">
        <x:v>Contas a Pagar</x:v>
      </x:c>
    </x:row>
    <x:row r="1348" ht="18" customHeight="1">
      <x:c r="A1348" s="10" t="str">
        <x:v>MOV000365</x:v>
      </x:c>
      <x:c r="B1348" s="16" t="n">
        <x:v>45875.68927244213</x:v>
      </x:c>
      <x:c r="C1348" s="10" t="str">
        <x:v>EMP003</x:v>
      </x:c>
      <x:c r="D1348" s="10" t="str">
        <x:v>CTA005</x:v>
      </x:c>
      <x:c r="E1348" s="10" t="str">
        <x:v>Saída</x:v>
      </x:c>
      <x:c r="F1348" s="10" t="str">
        <x:v>CAT008</x:v>
      </x:c>
      <x:c r="G1348" s="10" t="str">
        <x:v>Despesa operacional</x:v>
      </x:c>
      <x:c r="H1348" s="10" t="str">
        <x:v>PAG00424</x:v>
      </x:c>
      <x:c r="I1348" s="20" t="n">
        <x:v>8824.76</x:v>
      </x:c>
      <x:c r="J1348" s="20" t="n">
        <x:v>-8824.76</x:v>
      </x:c>
      <x:c r="K1348" s="10" t="str">
        <x:v>Realizado</x:v>
      </x:c>
      <x:c r="L1348" s="10" t="str">
        <x:v>Contas a Pagar</x:v>
      </x:c>
    </x:row>
    <x:row r="1349" ht="18" customHeight="1">
      <x:c r="A1349" s="10" t="str">
        <x:v>MOV000383</x:v>
      </x:c>
      <x:c r="B1349" s="16" t="n">
        <x:v>45875.888903900464</x:v>
      </x:c>
      <x:c r="C1349" s="10" t="str">
        <x:v>EMP003</x:v>
      </x:c>
      <x:c r="D1349" s="10" t="str">
        <x:v>CTA006</x:v>
      </x:c>
      <x:c r="E1349" s="10" t="str">
        <x:v>Saída</x:v>
      </x:c>
      <x:c r="F1349" s="10" t="str">
        <x:v>CAT016</x:v>
      </x:c>
      <x:c r="G1349" s="10" t="str">
        <x:v>Contrato recorrente</x:v>
      </x:c>
      <x:c r="H1349" s="10" t="str">
        <x:v>PAG00445</x:v>
      </x:c>
      <x:c r="I1349" s="20" t="n">
        <x:v>78258.3</x:v>
      </x:c>
      <x:c r="J1349" s="20" t="n">
        <x:v>-78258.3</x:v>
      </x:c>
      <x:c r="K1349" s="10" t="str">
        <x:v>Realizado</x:v>
      </x:c>
      <x:c r="L1349" s="10" t="str">
        <x:v>Contas a Pagar</x:v>
      </x:c>
    </x:row>
    <x:row r="1350" ht="18" customHeight="1">
      <x:c r="A1350" s="10" t="str">
        <x:v>MOV001541</x:v>
      </x:c>
      <x:c r="B1350" s="16" t="n">
        <x:v>45876.12320469908</x:v>
      </x:c>
      <x:c r="C1350" s="10" t="str">
        <x:v>EMP003</x:v>
      </x:c>
      <x:c r="D1350" s="10" t="str">
        <x:v>CTA005</x:v>
      </x:c>
      <x:c r="E1350" s="10" t="str">
        <x:v>Entrada</x:v>
      </x:c>
      <x:c r="F1350" s="10" t="str">
        <x:v>CAT004</x:v>
      </x:c>
      <x:c r="G1350" s="10" t="str">
        <x:v>Contrato mensal</x:v>
      </x:c>
      <x:c r="H1350" s="10" t="str">
        <x:v>REC00958</x:v>
      </x:c>
      <x:c r="I1350" s="20" t="n">
        <x:v>80801.92</x:v>
      </x:c>
      <x:c r="J1350" s="20" t="n">
        <x:v>80801.92</x:v>
      </x:c>
      <x:c r="K1350" s="10" t="str">
        <x:v>Realizado</x:v>
      </x:c>
      <x:c r="L1350" s="10" t="str">
        <x:v>Contas a Receber</x:v>
      </x:c>
    </x:row>
    <x:row r="1351" ht="18" customHeight="1">
      <x:c r="A1351" s="10" t="str">
        <x:v>MOV000014</x:v>
      </x:c>
      <x:c r="B1351" s="16" t="n">
        <x:v>45876.20938400463</x:v>
      </x:c>
      <x:c r="C1351" s="10" t="str">
        <x:v>EMP001</x:v>
      </x:c>
      <x:c r="D1351" s="10" t="str">
        <x:v>CTA001</x:v>
      </x:c>
      <x:c r="E1351" s="10" t="str">
        <x:v>Saída</x:v>
      </x:c>
      <x:c r="F1351" s="10" t="str">
        <x:v>CAT018</x:v>
      </x:c>
      <x:c r="G1351" s="10" t="str">
        <x:v>Despesa operacional</x:v>
      </x:c>
      <x:c r="H1351" s="10" t="str">
        <x:v>PAG00011</x:v>
      </x:c>
      <x:c r="I1351" s="20" t="n">
        <x:v>55796.3</x:v>
      </x:c>
      <x:c r="J1351" s="20" t="n">
        <x:v>-55796.3</x:v>
      </x:c>
      <x:c r="K1351" s="10" t="str">
        <x:v>Realizado</x:v>
      </x:c>
      <x:c r="L1351" s="10" t="str">
        <x:v>Contas a Pagar</x:v>
      </x:c>
    </x:row>
    <x:row r="1352" ht="18" customHeight="1">
      <x:c r="A1352" s="10" t="str">
        <x:v>MOV000655</x:v>
      </x:c>
      <x:c r="B1352" s="16" t="n">
        <x:v>45876.307836458334</x:v>
      </x:c>
      <x:c r="C1352" s="10" t="str">
        <x:v>EMP003</x:v>
      </x:c>
      <x:c r="D1352" s="10" t="str">
        <x:v>CTA006</x:v>
      </x:c>
      <x:c r="E1352" s="10" t="str">
        <x:v>Saída</x:v>
      </x:c>
      <x:c r="F1352" s="10" t="str">
        <x:v>CAT007</x:v>
      </x:c>
      <x:c r="G1352" s="10" t="str">
        <x:v>Despesa operacional</x:v>
      </x:c>
      <x:c r="H1352" s="10" t="str">
        <x:v>PAG00777</x:v>
      </x:c>
      <x:c r="I1352" s="20" t="n">
        <x:v>1504.58</x:v>
      </x:c>
      <x:c r="J1352" s="20" t="n">
        <x:v>-1504.58</x:v>
      </x:c>
      <x:c r="K1352" s="10" t="str">
        <x:v>Realizado</x:v>
      </x:c>
      <x:c r="L1352" s="10" t="str">
        <x:v>Contas a Pagar</x:v>
      </x:c>
    </x:row>
    <x:row r="1353" ht="18" customHeight="1">
      <x:c r="A1353" s="10" t="str">
        <x:v>MOV001157</x:v>
      </x:c>
      <x:c r="B1353" s="16" t="n">
        <x:v>45876.38654300926</x:v>
      </x:c>
      <x:c r="C1353" s="10" t="str">
        <x:v>EMP001</x:v>
      </x:c>
      <x:c r="D1353" s="10" t="str">
        <x:v>CTA001</x:v>
      </x:c>
      <x:c r="E1353" s="10" t="str">
        <x:v>Entrada</x:v>
      </x:c>
      <x:c r="F1353" s="10" t="str">
        <x:v>CAT003</x:v>
      </x:c>
      <x:c r="G1353" s="10" t="str">
        <x:v>Prestação de serviços</x:v>
      </x:c>
      <x:c r="H1353" s="10" t="str">
        <x:v>REC00490</x:v>
      </x:c>
      <x:c r="I1353" s="20" t="n">
        <x:v>22260.29</x:v>
      </x:c>
      <x:c r="J1353" s="20" t="n">
        <x:v>22260.29</x:v>
      </x:c>
      <x:c r="K1353" s="10" t="str">
        <x:v>Realizado</x:v>
      </x:c>
      <x:c r="L1353" s="10" t="str">
        <x:v>Contas a Receber</x:v>
      </x:c>
    </x:row>
    <x:row r="1354" ht="18" customHeight="1">
      <x:c r="A1354" s="10" t="str">
        <x:v>MOV001230</x:v>
      </x:c>
      <x:c r="B1354" s="16" t="n">
        <x:v>45876.4837522338</x:v>
      </x:c>
      <x:c r="C1354" s="10" t="str">
        <x:v>EMP001</x:v>
      </x:c>
      <x:c r="D1354" s="10" t="str">
        <x:v>CTA001</x:v>
      </x:c>
      <x:c r="E1354" s="10" t="str">
        <x:v>Entrada</x:v>
      </x:c>
      <x:c r="F1354" s="10" t="str">
        <x:v>CAT001</x:v>
      </x:c>
      <x:c r="G1354" s="10" t="str">
        <x:v>Frete faturado</x:v>
      </x:c>
      <x:c r="H1354" s="10" t="str">
        <x:v>REC00582</x:v>
      </x:c>
      <x:c r="I1354" s="20" t="n">
        <x:v>117924.88</x:v>
      </x:c>
      <x:c r="J1354" s="20" t="n">
        <x:v>117924.88</x:v>
      </x:c>
      <x:c r="K1354" s="10" t="str">
        <x:v>Realizado</x:v>
      </x:c>
      <x:c r="L1354" s="10" t="str">
        <x:v>Contas a Receber</x:v>
      </x:c>
    </x:row>
    <x:row r="1355" ht="18" customHeight="1">
      <x:c r="A1355" s="10" t="str">
        <x:v>MOV000989</x:v>
      </x:c>
      <x:c r="B1355" s="16" t="n">
        <x:v>45876.88052659722</x:v>
      </x:c>
      <x:c r="C1355" s="10" t="str">
        <x:v>EMP003</x:v>
      </x:c>
      <x:c r="D1355" s="10" t="str">
        <x:v>CTA006</x:v>
      </x:c>
      <x:c r="E1355" s="10" t="str">
        <x:v>Entrada</x:v>
      </x:c>
      <x:c r="F1355" s="10" t="str">
        <x:v>CAT002</x:v>
      </x:c>
      <x:c r="G1355" s="10" t="str">
        <x:v>Prestação de serviços</x:v>
      </x:c>
      <x:c r="H1355" s="10" t="str">
        <x:v>REC00286</x:v>
      </x:c>
      <x:c r="I1355" s="20" t="n">
        <x:v>37755.57</x:v>
      </x:c>
      <x:c r="J1355" s="20" t="n">
        <x:v>37755.57</x:v>
      </x:c>
      <x:c r="K1355" s="10" t="str">
        <x:v>Realizado</x:v>
      </x:c>
      <x:c r="L1355" s="10" t="str">
        <x:v>Contas a Receber</x:v>
      </x:c>
    </x:row>
    <x:row r="1356" ht="18" customHeight="1">
      <x:c r="A1356" s="10" t="str">
        <x:v>MOV001583</x:v>
      </x:c>
      <x:c r="B1356" s="16" t="n">
        <x:v>45877.78600366898</x:v>
      </x:c>
      <x:c r="C1356" s="10" t="str">
        <x:v>EMP003</x:v>
      </x:c>
      <x:c r="D1356" s="10" t="str">
        <x:v>CTA005</x:v>
      </x:c>
      <x:c r="E1356" s="10" t="str">
        <x:v>Entrada</x:v>
      </x:c>
      <x:c r="F1356" s="10" t="str">
        <x:v>CAT004</x:v>
      </x:c>
      <x:c r="G1356" s="10" t="str">
        <x:v>Projeto especial</x:v>
      </x:c>
      <x:c r="H1356" s="10" t="str">
        <x:v>REC01007</x:v>
      </x:c>
      <x:c r="I1356" s="20" t="n">
        <x:v>9009.89</x:v>
      </x:c>
      <x:c r="J1356" s="20" t="n">
        <x:v>9009.89</x:v>
      </x:c>
      <x:c r="K1356" s="10" t="str">
        <x:v>Realizado</x:v>
      </x:c>
      <x:c r="L1356" s="10" t="str">
        <x:v>Contas a Receber</x:v>
      </x:c>
    </x:row>
    <x:row r="1357" ht="18" customHeight="1">
      <x:c r="A1357" s="10" t="str">
        <x:v>MOV000604</x:v>
      </x:c>
      <x:c r="B1357" s="16" t="n">
        <x:v>45878.70210059028</x:v>
      </x:c>
      <x:c r="C1357" s="10" t="str">
        <x:v>EMP001</x:v>
      </x:c>
      <x:c r="D1357" s="10" t="str">
        <x:v>CTA002</x:v>
      </x:c>
      <x:c r="E1357" s="10" t="str">
        <x:v>Saída</x:v>
      </x:c>
      <x:c r="F1357" s="10" t="str">
        <x:v>CAT014</x:v>
      </x:c>
      <x:c r="G1357" s="10" t="str">
        <x:v>Despesa operacional</x:v>
      </x:c>
      <x:c r="H1357" s="10" t="str">
        <x:v>PAG00715</x:v>
      </x:c>
      <x:c r="I1357" s="20" t="n">
        <x:v>61927.99</x:v>
      </x:c>
      <x:c r="J1357" s="20" t="n">
        <x:v>-61927.99</x:v>
      </x:c>
      <x:c r="K1357" s="10" t="str">
        <x:v>Realizado</x:v>
      </x:c>
      <x:c r="L1357" s="10" t="str">
        <x:v>Contas a Pagar</x:v>
      </x:c>
    </x:row>
    <x:row r="1358" ht="18" customHeight="1">
      <x:c r="A1358" s="10" t="str">
        <x:v>MOV001164</x:v>
      </x:c>
      <x:c r="B1358" s="16" t="n">
        <x:v>45878.94181671296</x:v>
      </x:c>
      <x:c r="C1358" s="10" t="str">
        <x:v>EMP001</x:v>
      </x:c>
      <x:c r="D1358" s="10" t="str">
        <x:v>CTA002</x:v>
      </x:c>
      <x:c r="E1358" s="10" t="str">
        <x:v>Entrada</x:v>
      </x:c>
      <x:c r="F1358" s="10" t="str">
        <x:v>CAT004</x:v>
      </x:c>
      <x:c r="G1358" s="10" t="str">
        <x:v>Frete faturado</x:v>
      </x:c>
      <x:c r="H1358" s="10" t="str">
        <x:v>REC00497</x:v>
      </x:c>
      <x:c r="I1358" s="20" t="n">
        <x:v>38197.35</x:v>
      </x:c>
      <x:c r="J1358" s="20" t="n">
        <x:v>38197.35</x:v>
      </x:c>
      <x:c r="K1358" s="10" t="str">
        <x:v>Realizado</x:v>
      </x:c>
      <x:c r="L1358" s="10" t="str">
        <x:v>Contas a Receber</x:v>
      </x:c>
    </x:row>
    <x:row r="1359" ht="18" customHeight="1">
      <x:c r="A1359" s="10" t="str">
        <x:v>MOV001477</x:v>
      </x:c>
      <x:c r="B1359" s="16" t="n">
        <x:v>45879.26291760417</x:v>
      </x:c>
      <x:c r="C1359" s="10" t="str">
        <x:v>EMP003</x:v>
      </x:c>
      <x:c r="D1359" s="10" t="str">
        <x:v>CTA006</x:v>
      </x:c>
      <x:c r="E1359" s="10" t="str">
        <x:v>Entrada</x:v>
      </x:c>
      <x:c r="F1359" s="10" t="str">
        <x:v>CAT004</x:v>
      </x:c>
      <x:c r="G1359" s="10" t="str">
        <x:v>Frete faturado</x:v>
      </x:c>
      <x:c r="H1359" s="10" t="str">
        <x:v>REC00876</x:v>
      </x:c>
      <x:c r="I1359" s="20" t="n">
        <x:v>80278.07</x:v>
      </x:c>
      <x:c r="J1359" s="20" t="n">
        <x:v>80278.07</x:v>
      </x:c>
      <x:c r="K1359" s="10" t="str">
        <x:v>Realizado</x:v>
      </x:c>
      <x:c r="L1359" s="10" t="str">
        <x:v>Contas a Receber</x:v>
      </x:c>
    </x:row>
    <x:row r="1360" ht="18" customHeight="1">
      <x:c r="A1360" s="10" t="str">
        <x:v>MOV001364</x:v>
      </x:c>
      <x:c r="B1360" s="16" t="n">
        <x:v>45879.331222685185</x:v>
      </x:c>
      <x:c r="C1360" s="10" t="str">
        <x:v>EMP002</x:v>
      </x:c>
      <x:c r="D1360" s="10" t="str">
        <x:v>CTA003</x:v>
      </x:c>
      <x:c r="E1360" s="10" t="str">
        <x:v>Entrada</x:v>
      </x:c>
      <x:c r="F1360" s="10" t="str">
        <x:v>CAT002</x:v>
      </x:c>
      <x:c r="G1360" s="10" t="str">
        <x:v>Projeto especial</x:v>
      </x:c>
      <x:c r="H1360" s="10" t="str">
        <x:v>REC00733</x:v>
      </x:c>
      <x:c r="I1360" s="20" t="n">
        <x:v>31130.69</x:v>
      </x:c>
      <x:c r="J1360" s="20" t="n">
        <x:v>31130.69</x:v>
      </x:c>
      <x:c r="K1360" s="10" t="str">
        <x:v>Realizado</x:v>
      </x:c>
      <x:c r="L1360" s="10" t="str">
        <x:v>Contas a Receber</x:v>
      </x:c>
    </x:row>
    <x:row r="1361" ht="18" customHeight="1">
      <x:c r="A1361" s="10" t="str">
        <x:v>MOV001599</x:v>
      </x:c>
      <x:c r="B1361" s="16" t="n">
        <x:v>45880.52093100695</x:v>
      </x:c>
      <x:c r="C1361" s="10" t="str">
        <x:v>EMP001</x:v>
      </x:c>
      <x:c r="D1361" s="10" t="str">
        <x:v>CTA002</x:v>
      </x:c>
      <x:c r="E1361" s="10" t="str">
        <x:v>Entrada</x:v>
      </x:c>
      <x:c r="F1361" s="10" t="str">
        <x:v>CAT003</x:v>
      </x:c>
      <x:c r="G1361" s="10" t="str">
        <x:v>Contrato mensal</x:v>
      </x:c>
      <x:c r="H1361" s="10" t="str">
        <x:v>REC01027</x:v>
      </x:c>
      <x:c r="I1361" s="20" t="n">
        <x:v>56778.87</x:v>
      </x:c>
      <x:c r="J1361" s="20" t="n">
        <x:v>56778.87</x:v>
      </x:c>
      <x:c r="K1361" s="10" t="str">
        <x:v>Realizado</x:v>
      </x:c>
      <x:c r="L1361" s="10" t="str">
        <x:v>Contas a Receber</x:v>
      </x:c>
    </x:row>
    <x:row r="1362" ht="18" customHeight="1">
      <x:c r="A1362" s="10" t="str">
        <x:v>MOV001285</x:v>
      </x:c>
      <x:c r="B1362" s="16" t="n">
        <x:v>45880.61016293982</x:v>
      </x:c>
      <x:c r="C1362" s="10" t="str">
        <x:v>EMP003</x:v>
      </x:c>
      <x:c r="D1362" s="10" t="str">
        <x:v>CTA005</x:v>
      </x:c>
      <x:c r="E1362" s="10" t="str">
        <x:v>Entrada</x:v>
      </x:c>
      <x:c r="F1362" s="10" t="str">
        <x:v>CAT004</x:v>
      </x:c>
      <x:c r="G1362" s="10" t="str">
        <x:v>Contrato mensal</x:v>
      </x:c>
      <x:c r="H1362" s="10" t="str">
        <x:v>REC00645</x:v>
      </x:c>
      <x:c r="I1362" s="20" t="n">
        <x:v>120228.06</x:v>
      </x:c>
      <x:c r="J1362" s="20" t="n">
        <x:v>120228.06</x:v>
      </x:c>
      <x:c r="K1362" s="10" t="str">
        <x:v>Realizado</x:v>
      </x:c>
      <x:c r="L1362" s="10" t="str">
        <x:v>Contas a Receber</x:v>
      </x:c>
    </x:row>
    <x:row r="1363" ht="18" customHeight="1">
      <x:c r="A1363" s="10" t="str">
        <x:v>MOV000227</x:v>
      </x:c>
      <x:c r="B1363" s="16" t="n">
        <x:v>45881.59902252315</x:v>
      </x:c>
      <x:c r="C1363" s="10" t="str">
        <x:v>EMP002</x:v>
      </x:c>
      <x:c r="D1363" s="10" t="str">
        <x:v>CTA004</x:v>
      </x:c>
      <x:c r="E1363" s="10" t="str">
        <x:v>Saída</x:v>
      </x:c>
      <x:c r="F1363" s="10" t="str">
        <x:v>CAT005</x:v>
      </x:c>
      <x:c r="G1363" s="10" t="str">
        <x:v>Tributos e taxas</x:v>
      </x:c>
      <x:c r="H1363" s="10" t="str">
        <x:v>PAG00266</x:v>
      </x:c>
      <x:c r="I1363" s="20" t="n">
        <x:v>1173.27</x:v>
      </x:c>
      <x:c r="J1363" s="20" t="n">
        <x:v>-1173.27</x:v>
      </x:c>
      <x:c r="K1363" s="10" t="str">
        <x:v>Realizado</x:v>
      </x:c>
      <x:c r="L1363" s="10" t="str">
        <x:v>Contas a Pagar</x:v>
      </x:c>
    </x:row>
    <x:row r="1364" ht="18" customHeight="1">
      <x:c r="A1364" s="10" t="str">
        <x:v>MOV001031</x:v>
      </x:c>
      <x:c r="B1364" s="16" t="n">
        <x:v>45882.76147106481</x:v>
      </x:c>
      <x:c r="C1364" s="10" t="str">
        <x:v>EMP002</x:v>
      </x:c>
      <x:c r="D1364" s="10" t="str">
        <x:v>CTA003</x:v>
      </x:c>
      <x:c r="E1364" s="10" t="str">
        <x:v>Entrada</x:v>
      </x:c>
      <x:c r="F1364" s="10" t="str">
        <x:v>CAT003</x:v>
      </x:c>
      <x:c r="G1364" s="10" t="str">
        <x:v>Frete faturado</x:v>
      </x:c>
      <x:c r="H1364" s="10" t="str">
        <x:v>REC00336</x:v>
      </x:c>
      <x:c r="I1364" s="20" t="n">
        <x:v>97808.57</x:v>
      </x:c>
      <x:c r="J1364" s="20" t="n">
        <x:v>97808.57</x:v>
      </x:c>
      <x:c r="K1364" s="10" t="str">
        <x:v>Realizado</x:v>
      </x:c>
      <x:c r="L1364" s="10" t="str">
        <x:v>Contas a Receber</x:v>
      </x:c>
    </x:row>
    <x:row r="1365" ht="18" customHeight="1">
      <x:c r="A1365" s="10" t="str">
        <x:v>MOV000841</x:v>
      </x:c>
      <x:c r="B1365" s="16" t="n">
        <x:v>45882.967847974534</x:v>
      </x:c>
      <x:c r="C1365" s="10" t="str">
        <x:v>EMP001</x:v>
      </x:c>
      <x:c r="D1365" s="10" t="str">
        <x:v>CTA002</x:v>
      </x:c>
      <x:c r="E1365" s="10" t="str">
        <x:v>Entrada</x:v>
      </x:c>
      <x:c r="F1365" s="10" t="str">
        <x:v>CAT004</x:v>
      </x:c>
      <x:c r="G1365" s="10" t="str">
        <x:v>Frete faturado</x:v>
      </x:c>
      <x:c r="H1365" s="10" t="str">
        <x:v>REC00106</x:v>
      </x:c>
      <x:c r="I1365" s="20" t="n">
        <x:v>136310.57</x:v>
      </x:c>
      <x:c r="J1365" s="20" t="n">
        <x:v>136310.57</x:v>
      </x:c>
      <x:c r="K1365" s="10" t="str">
        <x:v>Realizado</x:v>
      </x:c>
      <x:c r="L1365" s="10" t="str">
        <x:v>Contas a Receber</x:v>
      </x:c>
    </x:row>
    <x:row r="1366" ht="18" customHeight="1">
      <x:c r="A1366" s="10" t="str">
        <x:v>MOV001560</x:v>
      </x:c>
      <x:c r="B1366" s="16" t="n">
        <x:v>45882.981109224536</x:v>
      </x:c>
      <x:c r="C1366" s="10" t="str">
        <x:v>EMP003</x:v>
      </x:c>
      <x:c r="D1366" s="10" t="str">
        <x:v>CTA005</x:v>
      </x:c>
      <x:c r="E1366" s="10" t="str">
        <x:v>Entrada</x:v>
      </x:c>
      <x:c r="F1366" s="10" t="str">
        <x:v>CAT003</x:v>
      </x:c>
      <x:c r="G1366" s="10" t="str">
        <x:v>Contrato mensal</x:v>
      </x:c>
      <x:c r="H1366" s="10" t="str">
        <x:v>REC00980</x:v>
      </x:c>
      <x:c r="I1366" s="20" t="n">
        <x:v>61779.88</x:v>
      </x:c>
      <x:c r="J1366" s="20" t="n">
        <x:v>61779.88</x:v>
      </x:c>
      <x:c r="K1366" s="10" t="str">
        <x:v>Realizado</x:v>
      </x:c>
      <x:c r="L1366" s="10" t="str">
        <x:v>Contas a Receber</x:v>
      </x:c>
    </x:row>
    <x:row r="1367" ht="18" customHeight="1">
      <x:c r="A1367" s="10" t="str">
        <x:v>MOV000349</x:v>
      </x:c>
      <x:c r="B1367" s="16" t="n">
        <x:v>45883.124582916666</x:v>
      </x:c>
      <x:c r="C1367" s="10" t="str">
        <x:v>EMP003</x:v>
      </x:c>
      <x:c r="D1367" s="10" t="str">
        <x:v>CTA006</x:v>
      </x:c>
      <x:c r="E1367" s="10" t="str">
        <x:v>Saída</x:v>
      </x:c>
      <x:c r="F1367" s="10" t="str">
        <x:v>CAT005</x:v>
      </x:c>
      <x:c r="G1367" s="10" t="str">
        <x:v>Prestação de serviços</x:v>
      </x:c>
      <x:c r="H1367" s="10" t="str">
        <x:v>PAG00403</x:v>
      </x:c>
      <x:c r="I1367" s="20" t="n">
        <x:v>38433.71</x:v>
      </x:c>
      <x:c r="J1367" s="20" t="n">
        <x:v>-38433.71</x:v>
      </x:c>
      <x:c r="K1367" s="10" t="str">
        <x:v>Realizado</x:v>
      </x:c>
      <x:c r="L1367" s="10" t="str">
        <x:v>Contas a Pagar</x:v>
      </x:c>
    </x:row>
    <x:row r="1368" ht="18" customHeight="1">
      <x:c r="A1368" s="10" t="str">
        <x:v>MOV001050</x:v>
      </x:c>
      <x:c r="B1368" s="16" t="n">
        <x:v>45883.18023902778</x:v>
      </x:c>
      <x:c r="C1368" s="10" t="str">
        <x:v>EMP003</x:v>
      </x:c>
      <x:c r="D1368" s="10" t="str">
        <x:v>CTA006</x:v>
      </x:c>
      <x:c r="E1368" s="10" t="str">
        <x:v>Entrada</x:v>
      </x:c>
      <x:c r="F1368" s="10" t="str">
        <x:v>CAT003</x:v>
      </x:c>
      <x:c r="G1368" s="10" t="str">
        <x:v>Contrato mensal</x:v>
      </x:c>
      <x:c r="H1368" s="10" t="str">
        <x:v>REC00361</x:v>
      </x:c>
      <x:c r="I1368" s="20" t="n">
        <x:v>97240.53</x:v>
      </x:c>
      <x:c r="J1368" s="20" t="n">
        <x:v>97240.53</x:v>
      </x:c>
      <x:c r="K1368" s="10" t="str">
        <x:v>Realizado</x:v>
      </x:c>
      <x:c r="L1368" s="10" t="str">
        <x:v>Contas a Receber</x:v>
      </x:c>
    </x:row>
    <x:row r="1369" ht="18" customHeight="1">
      <x:c r="A1369" s="10" t="str">
        <x:v>MOV000993</x:v>
      </x:c>
      <x:c r="B1369" s="16" t="n">
        <x:v>45883.21266460648</x:v>
      </x:c>
      <x:c r="C1369" s="10" t="str">
        <x:v>EMP002</x:v>
      </x:c>
      <x:c r="D1369" s="10" t="str">
        <x:v>CTA003</x:v>
      </x:c>
      <x:c r="E1369" s="10" t="str">
        <x:v>Entrada</x:v>
      </x:c>
      <x:c r="F1369" s="10" t="str">
        <x:v>CAT002</x:v>
      </x:c>
      <x:c r="G1369" s="10" t="str">
        <x:v>Frete faturado</x:v>
      </x:c>
      <x:c r="H1369" s="10" t="str">
        <x:v>REC00291</x:v>
      </x:c>
      <x:c r="I1369" s="20" t="n">
        <x:v>15760.37</x:v>
      </x:c>
      <x:c r="J1369" s="20" t="n">
        <x:v>15760.37</x:v>
      </x:c>
      <x:c r="K1369" s="10" t="str">
        <x:v>Realizado</x:v>
      </x:c>
      <x:c r="L1369" s="10" t="str">
        <x:v>Contas a Receber</x:v>
      </x:c>
    </x:row>
    <x:row r="1370" ht="18" customHeight="1">
      <x:c r="A1370" s="10" t="str">
        <x:v>MOV000728</x:v>
      </x:c>
      <x:c r="B1370" s="16" t="n">
        <x:v>45883.74995017361</x:v>
      </x:c>
      <x:c r="C1370" s="10" t="str">
        <x:v>EMP001</x:v>
      </x:c>
      <x:c r="D1370" s="10" t="str">
        <x:v>CTA002</x:v>
      </x:c>
      <x:c r="E1370" s="10" t="str">
        <x:v>Saída</x:v>
      </x:c>
      <x:c r="F1370" s="10" t="str">
        <x:v>CAT011</x:v>
      </x:c>
      <x:c r="G1370" s="10" t="str">
        <x:v>Tributos e taxas</x:v>
      </x:c>
      <x:c r="H1370" s="10" t="str">
        <x:v>PAG00866</x:v>
      </x:c>
      <x:c r="I1370" s="20" t="n">
        <x:v>4201.04</x:v>
      </x:c>
      <x:c r="J1370" s="20" t="n">
        <x:v>-4201.04</x:v>
      </x:c>
      <x:c r="K1370" s="10" t="str">
        <x:v>Realizado</x:v>
      </x:c>
      <x:c r="L1370" s="10" t="str">
        <x:v>Contas a Pagar</x:v>
      </x:c>
    </x:row>
    <x:row r="1371" ht="18" customHeight="1">
      <x:c r="A1371" s="10" t="str">
        <x:v>MOV000473</x:v>
      </x:c>
      <x:c r="B1371" s="16" t="n">
        <x:v>45883.99425221065</x:v>
      </x:c>
      <x:c r="C1371" s="10" t="str">
        <x:v>EMP002</x:v>
      </x:c>
      <x:c r="D1371" s="10" t="str">
        <x:v>CTA004</x:v>
      </x:c>
      <x:c r="E1371" s="10" t="str">
        <x:v>Saída</x:v>
      </x:c>
      <x:c r="F1371" s="10" t="str">
        <x:v>CAT012</x:v>
      </x:c>
      <x:c r="G1371" s="10" t="str">
        <x:v>Prestação de serviços</x:v>
      </x:c>
      <x:c r="H1371" s="10" t="str">
        <x:v>PAG00555</x:v>
      </x:c>
      <x:c r="I1371" s="20" t="n">
        <x:v>25224.01</x:v>
      </x:c>
      <x:c r="J1371" s="20" t="n">
        <x:v>-25224.01</x:v>
      </x:c>
      <x:c r="K1371" s="10" t="str">
        <x:v>Realizado</x:v>
      </x:c>
      <x:c r="L1371" s="10" t="str">
        <x:v>Contas a Pagar</x:v>
      </x:c>
    </x:row>
    <x:row r="1372" ht="18" customHeight="1">
      <x:c r="A1372" s="10" t="str">
        <x:v>MOV001105</x:v>
      </x:c>
      <x:c r="B1372" s="16" t="n">
        <x:v>45884.020055497684</x:v>
      </x:c>
      <x:c r="C1372" s="10" t="str">
        <x:v>EMP002</x:v>
      </x:c>
      <x:c r="D1372" s="10" t="str">
        <x:v>CTA003</x:v>
      </x:c>
      <x:c r="E1372" s="10" t="str">
        <x:v>Entrada</x:v>
      </x:c>
      <x:c r="F1372" s="10" t="str">
        <x:v>CAT004</x:v>
      </x:c>
      <x:c r="G1372" s="10" t="str">
        <x:v>Prestação de serviços</x:v>
      </x:c>
      <x:c r="H1372" s="10" t="str">
        <x:v>REC00431</x:v>
      </x:c>
      <x:c r="I1372" s="20" t="n">
        <x:v>75419.87</x:v>
      </x:c>
      <x:c r="J1372" s="20" t="n">
        <x:v>75419.87</x:v>
      </x:c>
      <x:c r="K1372" s="10" t="str">
        <x:v>Realizado</x:v>
      </x:c>
      <x:c r="L1372" s="10" t="str">
        <x:v>Contas a Receber</x:v>
      </x:c>
    </x:row>
    <x:row r="1373" ht="18" customHeight="1">
      <x:c r="A1373" s="10" t="str">
        <x:v>MOV000346</x:v>
      </x:c>
      <x:c r="B1373" s="16" t="n">
        <x:v>45884.131096770834</x:v>
      </x:c>
      <x:c r="C1373" s="10" t="str">
        <x:v>EMP002</x:v>
      </x:c>
      <x:c r="D1373" s="10" t="str">
        <x:v>CTA004</x:v>
      </x:c>
      <x:c r="E1373" s="10" t="str">
        <x:v>Saída</x:v>
      </x:c>
      <x:c r="F1373" s="10" t="str">
        <x:v>CAT017</x:v>
      </x:c>
      <x:c r="G1373" s="10" t="str">
        <x:v>Prestação de serviços</x:v>
      </x:c>
      <x:c r="H1373" s="10" t="str">
        <x:v>PAG00400</x:v>
      </x:c>
      <x:c r="I1373" s="20" t="n">
        <x:v>24332.04</x:v>
      </x:c>
      <x:c r="J1373" s="20" t="n">
        <x:v>-24332.04</x:v>
      </x:c>
      <x:c r="K1373" s="10" t="str">
        <x:v>Realizado</x:v>
      </x:c>
      <x:c r="L1373" s="10" t="str">
        <x:v>Contas a Pagar</x:v>
      </x:c>
    </x:row>
    <x:row r="1374" ht="18" customHeight="1">
      <x:c r="A1374" s="10" t="str">
        <x:v>MOV001493</x:v>
      </x:c>
      <x:c r="B1374" s="16" t="n">
        <x:v>45884.58336157408</x:v>
      </x:c>
      <x:c r="C1374" s="10" t="str">
        <x:v>EMP003</x:v>
      </x:c>
      <x:c r="D1374" s="10" t="str">
        <x:v>CTA005</x:v>
      </x:c>
      <x:c r="E1374" s="10" t="str">
        <x:v>Entrada</x:v>
      </x:c>
      <x:c r="F1374" s="10" t="str">
        <x:v>CAT002</x:v>
      </x:c>
      <x:c r="G1374" s="10" t="str">
        <x:v>Frete faturado</x:v>
      </x:c>
      <x:c r="H1374" s="10" t="str">
        <x:v>REC00897</x:v>
      </x:c>
      <x:c r="I1374" s="20" t="n">
        <x:v>18378.68</x:v>
      </x:c>
      <x:c r="J1374" s="20" t="n">
        <x:v>18378.68</x:v>
      </x:c>
      <x:c r="K1374" s="10" t="str">
        <x:v>Realizado</x:v>
      </x:c>
      <x:c r="L1374" s="10" t="str">
        <x:v>Contas a Receber</x:v>
      </x:c>
    </x:row>
    <x:row r="1375" ht="18" customHeight="1">
      <x:c r="A1375" s="10" t="str">
        <x:v>MOV001335</x:v>
      </x:c>
      <x:c r="B1375" s="16" t="n">
        <x:v>45885.07224101852</x:v>
      </x:c>
      <x:c r="C1375" s="10" t="str">
        <x:v>EMP003</x:v>
      </x:c>
      <x:c r="D1375" s="10" t="str">
        <x:v>CTA005</x:v>
      </x:c>
      <x:c r="E1375" s="10" t="str">
        <x:v>Entrada</x:v>
      </x:c>
      <x:c r="F1375" s="10" t="str">
        <x:v>CAT002</x:v>
      </x:c>
      <x:c r="G1375" s="10" t="str">
        <x:v>Venda de produtos</x:v>
      </x:c>
      <x:c r="H1375" s="10" t="str">
        <x:v>REC00701</x:v>
      </x:c>
      <x:c r="I1375" s="20" t="n">
        <x:v>49421.55</x:v>
      </x:c>
      <x:c r="J1375" s="20" t="n">
        <x:v>49421.55</x:v>
      </x:c>
      <x:c r="K1375" s="10" t="str">
        <x:v>Realizado</x:v>
      </x:c>
      <x:c r="L1375" s="10" t="str">
        <x:v>Contas a Receber</x:v>
      </x:c>
    </x:row>
    <x:row r="1376" ht="18" customHeight="1">
      <x:c r="A1376" s="10" t="str">
        <x:v>MOV000407</x:v>
      </x:c>
      <x:c r="B1376" s="16" t="n">
        <x:v>45885.29057653935</x:v>
      </x:c>
      <x:c r="C1376" s="10" t="str">
        <x:v>EMP001</x:v>
      </x:c>
      <x:c r="D1376" s="10" t="str">
        <x:v>CTA001</x:v>
      </x:c>
      <x:c r="E1376" s="10" t="str">
        <x:v>Saída</x:v>
      </x:c>
      <x:c r="F1376" s="10" t="str">
        <x:v>CAT017</x:v>
      </x:c>
      <x:c r="G1376" s="10" t="str">
        <x:v>Tributos e taxas</x:v>
      </x:c>
      <x:c r="H1376" s="10" t="str">
        <x:v>PAG00474</x:v>
      </x:c>
      <x:c r="I1376" s="20" t="n">
        <x:v>63038.52</x:v>
      </x:c>
      <x:c r="J1376" s="20" t="n">
        <x:v>-63038.52</x:v>
      </x:c>
      <x:c r="K1376" s="10" t="str">
        <x:v>Realizado</x:v>
      </x:c>
      <x:c r="L1376" s="10" t="str">
        <x:v>Contas a Pagar</x:v>
      </x:c>
    </x:row>
    <x:row r="1377" ht="18" customHeight="1">
      <x:c r="A1377" s="10" t="str">
        <x:v>MOV000862</x:v>
      </x:c>
      <x:c r="B1377" s="16" t="n">
        <x:v>45885.78412541666</x:v>
      </x:c>
      <x:c r="C1377" s="10" t="str">
        <x:v>EMP001</x:v>
      </x:c>
      <x:c r="D1377" s="10" t="str">
        <x:v>CTA001</x:v>
      </x:c>
      <x:c r="E1377" s="10" t="str">
        <x:v>Entrada</x:v>
      </x:c>
      <x:c r="F1377" s="10" t="str">
        <x:v>CAT003</x:v>
      </x:c>
      <x:c r="G1377" s="10" t="str">
        <x:v>Projeto especial</x:v>
      </x:c>
      <x:c r="H1377" s="10" t="str">
        <x:v>REC00132</x:v>
      </x:c>
      <x:c r="I1377" s="20" t="n">
        <x:v>89446.72</x:v>
      </x:c>
      <x:c r="J1377" s="20" t="n">
        <x:v>89446.72</x:v>
      </x:c>
      <x:c r="K1377" s="10" t="str">
        <x:v>Realizado</x:v>
      </x:c>
      <x:c r="L1377" s="10" t="str">
        <x:v>Contas a Receber</x:v>
      </x:c>
    </x:row>
    <x:row r="1378" ht="18" customHeight="1">
      <x:c r="A1378" s="10" t="str">
        <x:v>MOV000367</x:v>
      </x:c>
      <x:c r="B1378" s="16" t="n">
        <x:v>45886.20670167824</x:v>
      </x:c>
      <x:c r="C1378" s="10" t="str">
        <x:v>EMP003</x:v>
      </x:c>
      <x:c r="D1378" s="10" t="str">
        <x:v>CTA005</x:v>
      </x:c>
      <x:c r="E1378" s="10" t="str">
        <x:v>Saída</x:v>
      </x:c>
      <x:c r="F1378" s="10" t="str">
        <x:v>CAT016</x:v>
      </x:c>
      <x:c r="G1378" s="10" t="str">
        <x:v>Despesa operacional</x:v>
      </x:c>
      <x:c r="H1378" s="10" t="str">
        <x:v>PAG00426</x:v>
      </x:c>
      <x:c r="I1378" s="20" t="n">
        <x:v>5711.84</x:v>
      </x:c>
      <x:c r="J1378" s="20" t="n">
        <x:v>-5711.84</x:v>
      </x:c>
      <x:c r="K1378" s="10" t="str">
        <x:v>Realizado</x:v>
      </x:c>
      <x:c r="L1378" s="10" t="str">
        <x:v>Contas a Pagar</x:v>
      </x:c>
    </x:row>
    <x:row r="1379" ht="18" customHeight="1">
      <x:c r="A1379" s="10" t="str">
        <x:v>MOV000358</x:v>
      </x:c>
      <x:c r="B1379" s="16" t="n">
        <x:v>45886.66331592593</x:v>
      </x:c>
      <x:c r="C1379" s="10" t="str">
        <x:v>EMP003</x:v>
      </x:c>
      <x:c r="D1379" s="10" t="str">
        <x:v>CTA006</x:v>
      </x:c>
      <x:c r="E1379" s="10" t="str">
        <x:v>Saída</x:v>
      </x:c>
      <x:c r="F1379" s="10" t="str">
        <x:v>CAT012</x:v>
      </x:c>
      <x:c r="G1379" s="10" t="str">
        <x:v>Contrato recorrente</x:v>
      </x:c>
      <x:c r="H1379" s="10" t="str">
        <x:v>PAG00416</x:v>
      </x:c>
      <x:c r="I1379" s="20" t="n">
        <x:v>34873.73</x:v>
      </x:c>
      <x:c r="J1379" s="20" t="n">
        <x:v>-34873.73</x:v>
      </x:c>
      <x:c r="K1379" s="10" t="str">
        <x:v>Realizado</x:v>
      </x:c>
      <x:c r="L1379" s="10" t="str">
        <x:v>Contas a Pagar</x:v>
      </x:c>
    </x:row>
    <x:row r="1380" ht="18" customHeight="1">
      <x:c r="A1380" s="10" t="str">
        <x:v>MOV000114</x:v>
      </x:c>
      <x:c r="B1380" s="16" t="n">
        <x:v>45886.7810165162</x:v>
      </x:c>
      <x:c r="C1380" s="10" t="str">
        <x:v>EMP002</x:v>
      </x:c>
      <x:c r="D1380" s="10" t="str">
        <x:v>CTA003</x:v>
      </x:c>
      <x:c r="E1380" s="10" t="str">
        <x:v>Saída</x:v>
      </x:c>
      <x:c r="F1380" s="10" t="str">
        <x:v>CAT006</x:v>
      </x:c>
      <x:c r="G1380" s="10" t="str">
        <x:v>Prestação de serviços</x:v>
      </x:c>
      <x:c r="H1380" s="10" t="str">
        <x:v>PAG00133</x:v>
      </x:c>
      <x:c r="I1380" s="20" t="n">
        <x:v>36001.61</x:v>
      </x:c>
      <x:c r="J1380" s="20" t="n">
        <x:v>-36001.61</x:v>
      </x:c>
      <x:c r="K1380" s="10" t="str">
        <x:v>Realizado</x:v>
      </x:c>
      <x:c r="L1380" s="10" t="str">
        <x:v>Contas a Pagar</x:v>
      </x:c>
    </x:row>
    <x:row r="1381" ht="18" customHeight="1">
      <x:c r="A1381" s="10" t="str">
        <x:v>MOV000550</x:v>
      </x:c>
      <x:c r="B1381" s="16" t="n">
        <x:v>45887.23317831018</x:v>
      </x:c>
      <x:c r="C1381" s="10" t="str">
        <x:v>EMP003</x:v>
      </x:c>
      <x:c r="D1381" s="10" t="str">
        <x:v>CTA005</x:v>
      </x:c>
      <x:c r="E1381" s="10" t="str">
        <x:v>Saída</x:v>
      </x:c>
      <x:c r="F1381" s="10" t="str">
        <x:v>CAT013</x:v>
      </x:c>
      <x:c r="G1381" s="10" t="str">
        <x:v>Prestação de serviços</x:v>
      </x:c>
      <x:c r="H1381" s="10" t="str">
        <x:v>PAG00644</x:v>
      </x:c>
      <x:c r="I1381" s="20" t="n">
        <x:v>23449.98</x:v>
      </x:c>
      <x:c r="J1381" s="20" t="n">
        <x:v>-23449.98</x:v>
      </x:c>
      <x:c r="K1381" s="10" t="str">
        <x:v>Realizado</x:v>
      </x:c>
      <x:c r="L1381" s="10" t="str">
        <x:v>Contas a Pagar</x:v>
      </x:c>
    </x:row>
    <x:row r="1382" ht="18" customHeight="1">
      <x:c r="A1382" s="10" t="str">
        <x:v>MOV000460</x:v>
      </x:c>
      <x:c r="B1382" s="16" t="n">
        <x:v>45887.46982530093</x:v>
      </x:c>
      <x:c r="C1382" s="10" t="str">
        <x:v>EMP002</x:v>
      </x:c>
      <x:c r="D1382" s="10" t="str">
        <x:v>CTA004</x:v>
      </x:c>
      <x:c r="E1382" s="10" t="str">
        <x:v>Saída</x:v>
      </x:c>
      <x:c r="F1382" s="10" t="str">
        <x:v>CAT013</x:v>
      </x:c>
      <x:c r="G1382" s="10" t="str">
        <x:v>Tributos e taxas</x:v>
      </x:c>
      <x:c r="H1382" s="10" t="str">
        <x:v>PAG00539</x:v>
      </x:c>
      <x:c r="I1382" s="20" t="n">
        <x:v>112166.15</x:v>
      </x:c>
      <x:c r="J1382" s="20" t="n">
        <x:v>-112166.15</x:v>
      </x:c>
      <x:c r="K1382" s="10" t="str">
        <x:v>Realizado</x:v>
      </x:c>
      <x:c r="L1382" s="10" t="str">
        <x:v>Contas a Pagar</x:v>
      </x:c>
    </x:row>
    <x:row r="1383" ht="18" customHeight="1">
      <x:c r="A1383" s="10" t="str">
        <x:v>MOV001506</x:v>
      </x:c>
      <x:c r="B1383" s="16" t="n">
        <x:v>45887.53346711805</x:v>
      </x:c>
      <x:c r="C1383" s="10" t="str">
        <x:v>EMP002</x:v>
      </x:c>
      <x:c r="D1383" s="10" t="str">
        <x:v>CTA003</x:v>
      </x:c>
      <x:c r="E1383" s="10" t="str">
        <x:v>Entrada</x:v>
      </x:c>
      <x:c r="F1383" s="10" t="str">
        <x:v>CAT003</x:v>
      </x:c>
      <x:c r="G1383" s="10" t="str">
        <x:v>Prestação de serviços</x:v>
      </x:c>
      <x:c r="H1383" s="10" t="str">
        <x:v>REC00916</x:v>
      </x:c>
      <x:c r="I1383" s="20" t="n">
        <x:v>37798.59</x:v>
      </x:c>
      <x:c r="J1383" s="20" t="n">
        <x:v>37798.59</x:v>
      </x:c>
      <x:c r="K1383" s="10" t="str">
        <x:v>Realizado</x:v>
      </x:c>
      <x:c r="L1383" s="10" t="str">
        <x:v>Contas a Receber</x:v>
      </x:c>
    </x:row>
    <x:row r="1384" ht="18" customHeight="1">
      <x:c r="A1384" s="10" t="str">
        <x:v>MOV000658</x:v>
      </x:c>
      <x:c r="B1384" s="16" t="n">
        <x:v>45887.80329130787</x:v>
      </x:c>
      <x:c r="C1384" s="10" t="str">
        <x:v>EMP003</x:v>
      </x:c>
      <x:c r="D1384" s="10" t="str">
        <x:v>CTA005</x:v>
      </x:c>
      <x:c r="E1384" s="10" t="str">
        <x:v>Saída</x:v>
      </x:c>
      <x:c r="F1384" s="10" t="str">
        <x:v>CAT014</x:v>
      </x:c>
      <x:c r="G1384" s="10" t="str">
        <x:v>Compra de materiais</x:v>
      </x:c>
      <x:c r="H1384" s="10" t="str">
        <x:v>PAG00781</x:v>
      </x:c>
      <x:c r="I1384" s="20" t="n">
        <x:v>50311.4</x:v>
      </x:c>
      <x:c r="J1384" s="20" t="n">
        <x:v>-50311.4</x:v>
      </x:c>
      <x:c r="K1384" s="10" t="str">
        <x:v>Realizado</x:v>
      </x:c>
      <x:c r="L1384" s="10" t="str">
        <x:v>Contas a Pagar</x:v>
      </x:c>
    </x:row>
    <x:row r="1385" ht="18" customHeight="1">
      <x:c r="A1385" s="10" t="str">
        <x:v>MOV000829</x:v>
      </x:c>
      <x:c r="B1385" s="16" t="n">
        <x:v>45887.89749527778</x:v>
      </x:c>
      <x:c r="C1385" s="10" t="str">
        <x:v>EMP003</x:v>
      </x:c>
      <x:c r="D1385" s="10" t="str">
        <x:v>CTA005</x:v>
      </x:c>
      <x:c r="E1385" s="10" t="str">
        <x:v>Entrada</x:v>
      </x:c>
      <x:c r="F1385" s="10" t="str">
        <x:v>CAT001</x:v>
      </x:c>
      <x:c r="G1385" s="10" t="str">
        <x:v>Prestação de serviços</x:v>
      </x:c>
      <x:c r="H1385" s="10" t="str">
        <x:v>REC00092</x:v>
      </x:c>
      <x:c r="I1385" s="20" t="n">
        <x:v>30698.77</x:v>
      </x:c>
      <x:c r="J1385" s="20" t="n">
        <x:v>30698.77</x:v>
      </x:c>
      <x:c r="K1385" s="10" t="str">
        <x:v>Realizado</x:v>
      </x:c>
      <x:c r="L1385" s="10" t="str">
        <x:v>Contas a Receber</x:v>
      </x:c>
    </x:row>
    <x:row r="1386" ht="18" customHeight="1">
      <x:c r="A1386" s="10" t="str">
        <x:v>MOV000116</x:v>
      </x:c>
      <x:c r="B1386" s="16" t="n">
        <x:v>45889.058952997686</x:v>
      </x:c>
      <x:c r="C1386" s="10" t="str">
        <x:v>EMP001</x:v>
      </x:c>
      <x:c r="D1386" s="10" t="str">
        <x:v>CTA002</x:v>
      </x:c>
      <x:c r="E1386" s="10" t="str">
        <x:v>Saída</x:v>
      </x:c>
      <x:c r="F1386" s="10" t="str">
        <x:v>CAT015</x:v>
      </x:c>
      <x:c r="G1386" s="10" t="str">
        <x:v>Tributos e taxas</x:v>
      </x:c>
      <x:c r="H1386" s="10" t="str">
        <x:v>PAG00135</x:v>
      </x:c>
      <x:c r="I1386" s="20" t="n">
        <x:v>49113.37</x:v>
      </x:c>
      <x:c r="J1386" s="20" t="n">
        <x:v>-49113.37</x:v>
      </x:c>
      <x:c r="K1386" s="10" t="str">
        <x:v>Realizado</x:v>
      </x:c>
      <x:c r="L1386" s="10" t="str">
        <x:v>Contas a Pagar</x:v>
      </x:c>
    </x:row>
    <x:row r="1387" ht="18" customHeight="1">
      <x:c r="A1387" s="10" t="str">
        <x:v>MOV001556</x:v>
      </x:c>
      <x:c r="B1387" s="16" t="n">
        <x:v>45890.36667730324</x:v>
      </x:c>
      <x:c r="C1387" s="10" t="str">
        <x:v>EMP001</x:v>
      </x:c>
      <x:c r="D1387" s="10" t="str">
        <x:v>CTA002</x:v>
      </x:c>
      <x:c r="E1387" s="10" t="str">
        <x:v>Entrada</x:v>
      </x:c>
      <x:c r="F1387" s="10" t="str">
        <x:v>CAT004</x:v>
      </x:c>
      <x:c r="G1387" s="10" t="str">
        <x:v>Contrato mensal</x:v>
      </x:c>
      <x:c r="H1387" s="10" t="str">
        <x:v>REC00974</x:v>
      </x:c>
      <x:c r="I1387" s="20" t="n">
        <x:v>10416.58</x:v>
      </x:c>
      <x:c r="J1387" s="20" t="n">
        <x:v>10416.58</x:v>
      </x:c>
      <x:c r="K1387" s="10" t="str">
        <x:v>Realizado</x:v>
      </x:c>
      <x:c r="L1387" s="10" t="str">
        <x:v>Contas a Receber</x:v>
      </x:c>
    </x:row>
    <x:row r="1388" ht="18" customHeight="1">
      <x:c r="A1388" s="10" t="str">
        <x:v>MOV000648</x:v>
      </x:c>
      <x:c r="B1388" s="16" t="n">
        <x:v>45890.85718575231</x:v>
      </x:c>
      <x:c r="C1388" s="10" t="str">
        <x:v>EMP002</x:v>
      </x:c>
      <x:c r="D1388" s="10" t="str">
        <x:v>CTA003</x:v>
      </x:c>
      <x:c r="E1388" s="10" t="str">
        <x:v>Saída</x:v>
      </x:c>
      <x:c r="F1388" s="10" t="str">
        <x:v>CAT011</x:v>
      </x:c>
      <x:c r="G1388" s="10" t="str">
        <x:v>Tributos e taxas</x:v>
      </x:c>
      <x:c r="H1388" s="10" t="str">
        <x:v>PAG00768</x:v>
      </x:c>
      <x:c r="I1388" s="20" t="n">
        <x:v>11173.74</x:v>
      </x:c>
      <x:c r="J1388" s="20" t="n">
        <x:v>-11173.74</x:v>
      </x:c>
      <x:c r="K1388" s="10" t="str">
        <x:v>Realizado</x:v>
      </x:c>
      <x:c r="L1388" s="10" t="str">
        <x:v>Contas a Pagar</x:v>
      </x:c>
    </x:row>
    <x:row r="1389" ht="18" customHeight="1">
      <x:c r="A1389" s="10" t="str">
        <x:v>MOV000537</x:v>
      </x:c>
      <x:c r="B1389" s="16" t="n">
        <x:v>45891.981855949074</x:v>
      </x:c>
      <x:c r="C1389" s="10" t="str">
        <x:v>EMP003</x:v>
      </x:c>
      <x:c r="D1389" s="10" t="str">
        <x:v>CTA005</x:v>
      </x:c>
      <x:c r="E1389" s="10" t="str">
        <x:v>Saída</x:v>
      </x:c>
      <x:c r="F1389" s="10" t="str">
        <x:v>CAT010</x:v>
      </x:c>
      <x:c r="G1389" s="10" t="str">
        <x:v>Tributos e taxas</x:v>
      </x:c>
      <x:c r="H1389" s="10" t="str">
        <x:v>PAG00629</x:v>
      </x:c>
      <x:c r="I1389" s="20" t="n">
        <x:v>75546.6</x:v>
      </x:c>
      <x:c r="J1389" s="20" t="n">
        <x:v>-75546.6</x:v>
      </x:c>
      <x:c r="K1389" s="10" t="str">
        <x:v>Realizado</x:v>
      </x:c>
      <x:c r="L1389" s="10" t="str">
        <x:v>Contas a Pagar</x:v>
      </x:c>
    </x:row>
    <x:row r="1390" ht="18" customHeight="1">
      <x:c r="A1390" s="10" t="str">
        <x:v>MOV000222</x:v>
      </x:c>
      <x:c r="B1390" s="16" t="n">
        <x:v>45893.091507337966</x:v>
      </x:c>
      <x:c r="C1390" s="10" t="str">
        <x:v>EMP001</x:v>
      </x:c>
      <x:c r="D1390" s="10" t="str">
        <x:v>CTA001</x:v>
      </x:c>
      <x:c r="E1390" s="10" t="str">
        <x:v>Saída</x:v>
      </x:c>
      <x:c r="F1390" s="10" t="str">
        <x:v>CAT006</x:v>
      </x:c>
      <x:c r="G1390" s="10" t="str">
        <x:v>Contrato recorrente</x:v>
      </x:c>
      <x:c r="H1390" s="10" t="str">
        <x:v>PAG00259</x:v>
      </x:c>
      <x:c r="I1390" s="20" t="n">
        <x:v>90341.78</x:v>
      </x:c>
      <x:c r="J1390" s="20" t="n">
        <x:v>-90341.78</x:v>
      </x:c>
      <x:c r="K1390" s="10" t="str">
        <x:v>Realizado</x:v>
      </x:c>
      <x:c r="L1390" s="10" t="str">
        <x:v>Contas a Pagar</x:v>
      </x:c>
    </x:row>
    <x:row r="1391" ht="18" customHeight="1">
      <x:c r="A1391" s="10" t="str">
        <x:v>MOV000709</x:v>
      </x:c>
      <x:c r="B1391" s="16" t="n">
        <x:v>45893.211766782406</x:v>
      </x:c>
      <x:c r="C1391" s="10" t="str">
        <x:v>EMP003</x:v>
      </x:c>
      <x:c r="D1391" s="10" t="str">
        <x:v>CTA005</x:v>
      </x:c>
      <x:c r="E1391" s="10" t="str">
        <x:v>Saída</x:v>
      </x:c>
      <x:c r="F1391" s="10" t="str">
        <x:v>CAT007</x:v>
      </x:c>
      <x:c r="G1391" s="10" t="str">
        <x:v>Contrato recorrente</x:v>
      </x:c>
      <x:c r="H1391" s="10" t="str">
        <x:v>PAG00843</x:v>
      </x:c>
      <x:c r="I1391" s="20" t="n">
        <x:v>38762.99</x:v>
      </x:c>
      <x:c r="J1391" s="20" t="n">
        <x:v>-38762.99</x:v>
      </x:c>
      <x:c r="K1391" s="10" t="str">
        <x:v>Realizado</x:v>
      </x:c>
      <x:c r="L1391" s="10" t="str">
        <x:v>Contas a Pagar</x:v>
      </x:c>
    </x:row>
    <x:row r="1392" ht="18" customHeight="1">
      <x:c r="A1392" s="10" t="str">
        <x:v>MOV001475</x:v>
      </x:c>
      <x:c r="B1392" s="16" t="n">
        <x:v>45893.56564540509</x:v>
      </x:c>
      <x:c r="C1392" s="10" t="str">
        <x:v>EMP002</x:v>
      </x:c>
      <x:c r="D1392" s="10" t="str">
        <x:v>CTA003</x:v>
      </x:c>
      <x:c r="E1392" s="10" t="str">
        <x:v>Entrada</x:v>
      </x:c>
      <x:c r="F1392" s="10" t="str">
        <x:v>CAT004</x:v>
      </x:c>
      <x:c r="G1392" s="10" t="str">
        <x:v>Venda de produtos</x:v>
      </x:c>
      <x:c r="H1392" s="10" t="str">
        <x:v>REC00874</x:v>
      </x:c>
      <x:c r="I1392" s="20" t="n">
        <x:v>25655.03</x:v>
      </x:c>
      <x:c r="J1392" s="20" t="n">
        <x:v>25655.03</x:v>
      </x:c>
      <x:c r="K1392" s="10" t="str">
        <x:v>Realizado</x:v>
      </x:c>
      <x:c r="L1392" s="10" t="str">
        <x:v>Contas a Receber</x:v>
      </x:c>
    </x:row>
    <x:row r="1393" ht="18" customHeight="1">
      <x:c r="A1393" s="10" t="str">
        <x:v>MOV000822</x:v>
      </x:c>
      <x:c r="B1393" s="16" t="n">
        <x:v>45894.248843333335</x:v>
      </x:c>
      <x:c r="C1393" s="10" t="str">
        <x:v>EMP001</x:v>
      </x:c>
      <x:c r="D1393" s="10" t="str">
        <x:v>CTA001</x:v>
      </x:c>
      <x:c r="E1393" s="10" t="str">
        <x:v>Entrada</x:v>
      </x:c>
      <x:c r="F1393" s="10" t="str">
        <x:v>CAT004</x:v>
      </x:c>
      <x:c r="G1393" s="10" t="str">
        <x:v>Projeto especial</x:v>
      </x:c>
      <x:c r="H1393" s="10" t="str">
        <x:v>REC00084</x:v>
      </x:c>
      <x:c r="I1393" s="20" t="n">
        <x:v>102477.27</x:v>
      </x:c>
      <x:c r="J1393" s="20" t="n">
        <x:v>102477.27</x:v>
      </x:c>
      <x:c r="K1393" s="10" t="str">
        <x:v>Realizado</x:v>
      </x:c>
      <x:c r="L1393" s="10" t="str">
        <x:v>Contas a Receber</x:v>
      </x:c>
    </x:row>
    <x:row r="1394" ht="18" customHeight="1">
      <x:c r="A1394" s="10" t="str">
        <x:v>MOV001108</x:v>
      </x:c>
      <x:c r="B1394" s="16" t="n">
        <x:v>45894.45858803241</x:v>
      </x:c>
      <x:c r="C1394" s="10" t="str">
        <x:v>EMP001</x:v>
      </x:c>
      <x:c r="D1394" s="10" t="str">
        <x:v>CTA001</x:v>
      </x:c>
      <x:c r="E1394" s="10" t="str">
        <x:v>Entrada</x:v>
      </x:c>
      <x:c r="F1394" s="10" t="str">
        <x:v>CAT004</x:v>
      </x:c>
      <x:c r="G1394" s="10" t="str">
        <x:v>Venda de produtos</x:v>
      </x:c>
      <x:c r="H1394" s="10" t="str">
        <x:v>REC00434</x:v>
      </x:c>
      <x:c r="I1394" s="20" t="n">
        <x:v>45177.14</x:v>
      </x:c>
      <x:c r="J1394" s="20" t="n">
        <x:v>45177.14</x:v>
      </x:c>
      <x:c r="K1394" s="10" t="str">
        <x:v>Realizado</x:v>
      </x:c>
      <x:c r="L1394" s="10" t="str">
        <x:v>Contas a Receber</x:v>
      </x:c>
    </x:row>
    <x:row r="1395" ht="18" customHeight="1">
      <x:c r="A1395" s="10" t="str">
        <x:v>MOV000669</x:v>
      </x:c>
      <x:c r="B1395" s="16" t="n">
        <x:v>45894.686287303244</x:v>
      </x:c>
      <x:c r="C1395" s="10" t="str">
        <x:v>EMP002</x:v>
      </x:c>
      <x:c r="D1395" s="10" t="str">
        <x:v>CTA004</x:v>
      </x:c>
      <x:c r="E1395" s="10" t="str">
        <x:v>Saída</x:v>
      </x:c>
      <x:c r="F1395" s="10" t="str">
        <x:v>CAT015</x:v>
      </x:c>
      <x:c r="G1395" s="10" t="str">
        <x:v>Prestação de serviços</x:v>
      </x:c>
      <x:c r="H1395" s="10" t="str">
        <x:v>PAG00794</x:v>
      </x:c>
      <x:c r="I1395" s="20" t="n">
        <x:v>11028.3</x:v>
      </x:c>
      <x:c r="J1395" s="20" t="n">
        <x:v>-11028.3</x:v>
      </x:c>
      <x:c r="K1395" s="10" t="str">
        <x:v>Realizado</x:v>
      </x:c>
      <x:c r="L1395" s="10" t="str">
        <x:v>Contas a Pagar</x:v>
      </x:c>
    </x:row>
    <x:row r="1396" ht="18" customHeight="1">
      <x:c r="A1396" s="10" t="str">
        <x:v>MOV001048</x:v>
      </x:c>
      <x:c r="B1396" s="16" t="n">
        <x:v>45895.158373032406</x:v>
      </x:c>
      <x:c r="C1396" s="10" t="str">
        <x:v>EMP001</x:v>
      </x:c>
      <x:c r="D1396" s="10" t="str">
        <x:v>CTA002</x:v>
      </x:c>
      <x:c r="E1396" s="10" t="str">
        <x:v>Entrada</x:v>
      </x:c>
      <x:c r="F1396" s="10" t="str">
        <x:v>CAT004</x:v>
      </x:c>
      <x:c r="G1396" s="10" t="str">
        <x:v>Contrato mensal</x:v>
      </x:c>
      <x:c r="H1396" s="10" t="str">
        <x:v>REC00359</x:v>
      </x:c>
      <x:c r="I1396" s="20" t="n">
        <x:v>23479.28</x:v>
      </x:c>
      <x:c r="J1396" s="20" t="n">
        <x:v>23479.28</x:v>
      </x:c>
      <x:c r="K1396" s="10" t="str">
        <x:v>Realizado</x:v>
      </x:c>
      <x:c r="L1396" s="10" t="str">
        <x:v>Contas a Receber</x:v>
      </x:c>
    </x:row>
    <x:row r="1397" ht="18" customHeight="1">
      <x:c r="A1397" s="10" t="str">
        <x:v>MOV000124</x:v>
      </x:c>
      <x:c r="B1397" s="16" t="n">
        <x:v>45897.11836483797</x:v>
      </x:c>
      <x:c r="C1397" s="10" t="str">
        <x:v>EMP003</x:v>
      </x:c>
      <x:c r="D1397" s="10" t="str">
        <x:v>CTA005</x:v>
      </x:c>
      <x:c r="E1397" s="10" t="str">
        <x:v>Saída</x:v>
      </x:c>
      <x:c r="F1397" s="10" t="str">
        <x:v>CAT006</x:v>
      </x:c>
      <x:c r="G1397" s="10" t="str">
        <x:v>Contrato recorrente</x:v>
      </x:c>
      <x:c r="H1397" s="10" t="str">
        <x:v>PAG00144</x:v>
      </x:c>
      <x:c r="I1397" s="20" t="n">
        <x:v>23396.96</x:v>
      </x:c>
      <x:c r="J1397" s="20" t="n">
        <x:v>-23396.96</x:v>
      </x:c>
      <x:c r="K1397" s="10" t="str">
        <x:v>Realizado</x:v>
      </x:c>
      <x:c r="L1397" s="10" t="str">
        <x:v>Contas a Pagar</x:v>
      </x:c>
    </x:row>
    <x:row r="1398" ht="18" customHeight="1">
      <x:c r="A1398" s="10" t="str">
        <x:v>MOV001281</x:v>
      </x:c>
      <x:c r="B1398" s="16" t="n">
        <x:v>45897.29958053241</x:v>
      </x:c>
      <x:c r="C1398" s="10" t="str">
        <x:v>EMP002</x:v>
      </x:c>
      <x:c r="D1398" s="10" t="str">
        <x:v>CTA003</x:v>
      </x:c>
      <x:c r="E1398" s="10" t="str">
        <x:v>Entrada</x:v>
      </x:c>
      <x:c r="F1398" s="10" t="str">
        <x:v>CAT002</x:v>
      </x:c>
      <x:c r="G1398" s="10" t="str">
        <x:v>Venda de produtos</x:v>
      </x:c>
      <x:c r="H1398" s="10" t="str">
        <x:v>REC00641</x:v>
      </x:c>
      <x:c r="I1398" s="20" t="n">
        <x:v>118195.43</x:v>
      </x:c>
      <x:c r="J1398" s="20" t="n">
        <x:v>118195.43</x:v>
      </x:c>
      <x:c r="K1398" s="10" t="str">
        <x:v>Realizado</x:v>
      </x:c>
      <x:c r="L1398" s="10" t="str">
        <x:v>Contas a Receber</x:v>
      </x:c>
    </x:row>
    <x:row r="1399" ht="18" customHeight="1">
      <x:c r="A1399" s="10" t="str">
        <x:v>MOV001103</x:v>
      </x:c>
      <x:c r="B1399" s="16" t="n">
        <x:v>45897.633543599535</x:v>
      </x:c>
      <x:c r="C1399" s="10" t="str">
        <x:v>EMP003</x:v>
      </x:c>
      <x:c r="D1399" s="10" t="str">
        <x:v>CTA006</x:v>
      </x:c>
      <x:c r="E1399" s="10" t="str">
        <x:v>Entrada</x:v>
      </x:c>
      <x:c r="F1399" s="10" t="str">
        <x:v>CAT004</x:v>
      </x:c>
      <x:c r="G1399" s="10" t="str">
        <x:v>Contrato mensal</x:v>
      </x:c>
      <x:c r="H1399" s="10" t="str">
        <x:v>REC00429</x:v>
      </x:c>
      <x:c r="I1399" s="20" t="n">
        <x:v>70385.48</x:v>
      </x:c>
      <x:c r="J1399" s="20" t="n">
        <x:v>70385.48</x:v>
      </x:c>
      <x:c r="K1399" s="10" t="str">
        <x:v>Realizado</x:v>
      </x:c>
      <x:c r="L1399" s="10" t="str">
        <x:v>Contas a Receber</x:v>
      </x:c>
    </x:row>
    <x:row r="1400" ht="18" customHeight="1">
      <x:c r="A1400" s="10" t="str">
        <x:v>MOV000903</x:v>
      </x:c>
      <x:c r="B1400" s="16" t="n">
        <x:v>45898.25316826389</x:v>
      </x:c>
      <x:c r="C1400" s="10" t="str">
        <x:v>EMP001</x:v>
      </x:c>
      <x:c r="D1400" s="10" t="str">
        <x:v>CTA001</x:v>
      </x:c>
      <x:c r="E1400" s="10" t="str">
        <x:v>Entrada</x:v>
      </x:c>
      <x:c r="F1400" s="10" t="str">
        <x:v>CAT001</x:v>
      </x:c>
      <x:c r="G1400" s="10" t="str">
        <x:v>Contrato mensal</x:v>
      </x:c>
      <x:c r="H1400" s="10" t="str">
        <x:v>REC00180</x:v>
      </x:c>
      <x:c r="I1400" s="20" t="n">
        <x:v>3987.72</x:v>
      </x:c>
      <x:c r="J1400" s="20" t="n">
        <x:v>3987.72</x:v>
      </x:c>
      <x:c r="K1400" s="10" t="str">
        <x:v>Realizado</x:v>
      </x:c>
      <x:c r="L1400" s="10" t="str">
        <x:v>Contas a Receber</x:v>
      </x:c>
    </x:row>
    <x:row r="1401" ht="18" customHeight="1">
      <x:c r="A1401" s="10" t="str">
        <x:v>MOV001607</x:v>
      </x:c>
      <x:c r="B1401" s="16" t="n">
        <x:v>45898.69920909722</x:v>
      </x:c>
      <x:c r="C1401" s="10" t="str">
        <x:v>EMP003</x:v>
      </x:c>
      <x:c r="D1401" s="10" t="str">
        <x:v>CTA006</x:v>
      </x:c>
      <x:c r="E1401" s="10" t="str">
        <x:v>Entrada</x:v>
      </x:c>
      <x:c r="F1401" s="10" t="str">
        <x:v>CAT002</x:v>
      </x:c>
      <x:c r="G1401" s="10" t="str">
        <x:v>Contrato mensal</x:v>
      </x:c>
      <x:c r="H1401" s="10" t="str">
        <x:v>REC01035</x:v>
      </x:c>
      <x:c r="I1401" s="20" t="n">
        <x:v>8210.64</x:v>
      </x:c>
      <x:c r="J1401" s="20" t="n">
        <x:v>8210.64</x:v>
      </x:c>
      <x:c r="K1401" s="10" t="str">
        <x:v>Realizado</x:v>
      </x:c>
      <x:c r="L1401" s="10" t="str">
        <x:v>Contas a Receber</x:v>
      </x:c>
    </x:row>
    <x:row r="1402" ht="18" customHeight="1">
      <x:c r="A1402" s="10" t="str">
        <x:v>MOV000281</x:v>
      </x:c>
      <x:c r="B1402" s="16" t="n">
        <x:v>45898.82725498843</x:v>
      </x:c>
      <x:c r="C1402" s="10" t="str">
        <x:v>EMP002</x:v>
      </x:c>
      <x:c r="D1402" s="10" t="str">
        <x:v>CTA004</x:v>
      </x:c>
      <x:c r="E1402" s="10" t="str">
        <x:v>Saída</x:v>
      </x:c>
      <x:c r="F1402" s="10" t="str">
        <x:v>CAT012</x:v>
      </x:c>
      <x:c r="G1402" s="10" t="str">
        <x:v>Prestação de serviços</x:v>
      </x:c>
      <x:c r="H1402" s="10" t="str">
        <x:v>PAG00327</x:v>
      </x:c>
      <x:c r="I1402" s="20" t="n">
        <x:v>83971.41</x:v>
      </x:c>
      <x:c r="J1402" s="20" t="n">
        <x:v>-83971.41</x:v>
      </x:c>
      <x:c r="K1402" s="10" t="str">
        <x:v>Realizado</x:v>
      </x:c>
      <x:c r="L1402" s="10" t="str">
        <x:v>Contas a Pagar</x:v>
      </x:c>
    </x:row>
    <x:row r="1403" ht="18" customHeight="1">
      <x:c r="A1403" s="10" t="str">
        <x:v>MOV001251</x:v>
      </x:c>
      <x:c r="B1403" s="16" t="n">
        <x:v>45899.58268532407</x:v>
      </x:c>
      <x:c r="C1403" s="10" t="str">
        <x:v>EMP003</x:v>
      </x:c>
      <x:c r="D1403" s="10" t="str">
        <x:v>CTA005</x:v>
      </x:c>
      <x:c r="E1403" s="10" t="str">
        <x:v>Entrada</x:v>
      </x:c>
      <x:c r="F1403" s="10" t="str">
        <x:v>CAT004</x:v>
      </x:c>
      <x:c r="G1403" s="10" t="str">
        <x:v>Prestação de serviços</x:v>
      </x:c>
      <x:c r="H1403" s="10" t="str">
        <x:v>REC00605</x:v>
      </x:c>
      <x:c r="I1403" s="20" t="n">
        <x:v>19037.66</x:v>
      </x:c>
      <x:c r="J1403" s="20" t="n">
        <x:v>19037.66</x:v>
      </x:c>
      <x:c r="K1403" s="10" t="str">
        <x:v>Realizado</x:v>
      </x:c>
      <x:c r="L1403" s="10" t="str">
        <x:v>Contas a Receber</x:v>
      </x:c>
    </x:row>
    <x:row r="1404" ht="18" customHeight="1">
      <x:c r="A1404" s="10" t="str">
        <x:v>MOV001340</x:v>
      </x:c>
      <x:c r="B1404" s="16" t="n">
        <x:v>45899.718736759256</x:v>
      </x:c>
      <x:c r="C1404" s="10" t="str">
        <x:v>EMP003</x:v>
      </x:c>
      <x:c r="D1404" s="10" t="str">
        <x:v>CTA005</x:v>
      </x:c>
      <x:c r="E1404" s="10" t="str">
        <x:v>Entrada</x:v>
      </x:c>
      <x:c r="F1404" s="10" t="str">
        <x:v>CAT003</x:v>
      </x:c>
      <x:c r="G1404" s="10" t="str">
        <x:v>Venda de produtos</x:v>
      </x:c>
      <x:c r="H1404" s="10" t="str">
        <x:v>REC00706</x:v>
      </x:c>
      <x:c r="I1404" s="20" t="n">
        <x:v>19604.06</x:v>
      </x:c>
      <x:c r="J1404" s="20" t="n">
        <x:v>19604.06</x:v>
      </x:c>
      <x:c r="K1404" s="10" t="str">
        <x:v>Realizado</x:v>
      </x:c>
      <x:c r="L1404" s="10" t="str">
        <x:v>Contas a Receber</x:v>
      </x:c>
    </x:row>
    <x:row r="1405" ht="18" customHeight="1">
      <x:c r="A1405" s="10" t="str">
        <x:v>MOV000892</x:v>
      </x:c>
      <x:c r="B1405" s="16" t="n">
        <x:v>45899.74732513889</x:v>
      </x:c>
      <x:c r="C1405" s="10" t="str">
        <x:v>EMP002</x:v>
      </x:c>
      <x:c r="D1405" s="10" t="str">
        <x:v>CTA004</x:v>
      </x:c>
      <x:c r="E1405" s="10" t="str">
        <x:v>Entrada</x:v>
      </x:c>
      <x:c r="F1405" s="10" t="str">
        <x:v>CAT001</x:v>
      </x:c>
      <x:c r="G1405" s="10" t="str">
        <x:v>Projeto especial</x:v>
      </x:c>
      <x:c r="H1405" s="10" t="str">
        <x:v>REC00167</x:v>
      </x:c>
      <x:c r="I1405" s="20" t="n">
        <x:v>82313.66</x:v>
      </x:c>
      <x:c r="J1405" s="20" t="n">
        <x:v>82313.66</x:v>
      </x:c>
      <x:c r="K1405" s="10" t="str">
        <x:v>Realizado</x:v>
      </x:c>
      <x:c r="L1405" s="10" t="str">
        <x:v>Contas a Receber</x:v>
      </x:c>
    </x:row>
    <x:row r="1406" ht="18" customHeight="1">
      <x:c r="A1406" s="10" t="str">
        <x:v>MOV000747</x:v>
      </x:c>
      <x:c r="B1406" s="16" t="n">
        <x:v>45900.49439090278</x:v>
      </x:c>
      <x:c r="C1406" s="10" t="str">
        <x:v>EMP001</x:v>
      </x:c>
      <x:c r="D1406" s="10" t="str">
        <x:v>CTA001</x:v>
      </x:c>
      <x:c r="E1406" s="10" t="str">
        <x:v>Saída</x:v>
      </x:c>
      <x:c r="F1406" s="10" t="str">
        <x:v>CAT016</x:v>
      </x:c>
      <x:c r="G1406" s="10" t="str">
        <x:v>Despesa operacional</x:v>
      </x:c>
      <x:c r="H1406" s="10" t="str">
        <x:v>PAG00887</x:v>
      </x:c>
      <x:c r="I1406" s="20" t="n">
        <x:v>19787.24</x:v>
      </x:c>
      <x:c r="J1406" s="20" t="n">
        <x:v>-19787.24</x:v>
      </x:c>
      <x:c r="K1406" s="10" t="str">
        <x:v>Realizado</x:v>
      </x:c>
      <x:c r="L1406" s="10" t="str">
        <x:v>Contas a Pagar</x:v>
      </x:c>
    </x:row>
    <x:row r="1407" ht="18" customHeight="1">
      <x:c r="A1407" s="10" t="str">
        <x:v>MOV001167</x:v>
      </x:c>
      <x:c r="B1407" s="16" t="n">
        <x:v>45900.70999190972</x:v>
      </x:c>
      <x:c r="C1407" s="10" t="str">
        <x:v>EMP003</x:v>
      </x:c>
      <x:c r="D1407" s="10" t="str">
        <x:v>CTA006</x:v>
      </x:c>
      <x:c r="E1407" s="10" t="str">
        <x:v>Entrada</x:v>
      </x:c>
      <x:c r="F1407" s="10" t="str">
        <x:v>CAT004</x:v>
      </x:c>
      <x:c r="G1407" s="10" t="str">
        <x:v>Prestação de serviços</x:v>
      </x:c>
      <x:c r="H1407" s="10" t="str">
        <x:v>REC00501</x:v>
      </x:c>
      <x:c r="I1407" s="20" t="n">
        <x:v>8413.72</x:v>
      </x:c>
      <x:c r="J1407" s="20" t="n">
        <x:v>8413.72</x:v>
      </x:c>
      <x:c r="K1407" s="10" t="str">
        <x:v>Realizado</x:v>
      </x:c>
      <x:c r="L1407" s="10" t="str">
        <x:v>Contas a Receber</x:v>
      </x:c>
    </x:row>
    <x:row r="1408" ht="18" customHeight="1">
      <x:c r="A1408" s="10" t="str">
        <x:v>MOV000086</x:v>
      </x:c>
      <x:c r="B1408" s="16" t="n">
        <x:v>45901.122123113426</x:v>
      </x:c>
      <x:c r="C1408" s="10" t="str">
        <x:v>EMP001</x:v>
      </x:c>
      <x:c r="D1408" s="10" t="str">
        <x:v>CTA002</x:v>
      </x:c>
      <x:c r="E1408" s="10" t="str">
        <x:v>Saída</x:v>
      </x:c>
      <x:c r="F1408" s="10" t="str">
        <x:v>CAT015</x:v>
      </x:c>
      <x:c r="G1408" s="10" t="str">
        <x:v>Despesa operacional</x:v>
      </x:c>
      <x:c r="H1408" s="10" t="str">
        <x:v>PAG00097</x:v>
      </x:c>
      <x:c r="I1408" s="20" t="n">
        <x:v>66746</x:v>
      </x:c>
      <x:c r="J1408" s="20" t="n">
        <x:v>-66746</x:v>
      </x:c>
      <x:c r="K1408" s="10" t="str">
        <x:v>Realizado</x:v>
      </x:c>
      <x:c r="L1408" s="10" t="str">
        <x:v>Contas a Pagar</x:v>
      </x:c>
    </x:row>
    <x:row r="1409" ht="18" customHeight="1">
      <x:c r="A1409" s="10" t="str">
        <x:v>MOV000848</x:v>
      </x:c>
      <x:c r="B1409" s="16" t="n">
        <x:v>45901.20312932871</x:v>
      </x:c>
      <x:c r="C1409" s="10" t="str">
        <x:v>EMP003</x:v>
      </x:c>
      <x:c r="D1409" s="10" t="str">
        <x:v>CTA005</x:v>
      </x:c>
      <x:c r="E1409" s="10" t="str">
        <x:v>Entrada</x:v>
      </x:c>
      <x:c r="F1409" s="10" t="str">
        <x:v>CAT004</x:v>
      </x:c>
      <x:c r="G1409" s="10" t="str">
        <x:v>Projeto especial</x:v>
      </x:c>
      <x:c r="H1409" s="10" t="str">
        <x:v>REC00117</x:v>
      </x:c>
      <x:c r="I1409" s="20" t="n">
        <x:v>13755.17</x:v>
      </x:c>
      <x:c r="J1409" s="20" t="n">
        <x:v>13755.17</x:v>
      </x:c>
      <x:c r="K1409" s="10" t="str">
        <x:v>Realizado</x:v>
      </x:c>
      <x:c r="L1409" s="10" t="str">
        <x:v>Contas a Receber</x:v>
      </x:c>
    </x:row>
    <x:row r="1410" ht="18" customHeight="1">
      <x:c r="A1410" s="10" t="str">
        <x:v>MOV001596</x:v>
      </x:c>
      <x:c r="B1410" s="16" t="n">
        <x:v>45901.365126979166</x:v>
      </x:c>
      <x:c r="C1410" s="10" t="str">
        <x:v>EMP003</x:v>
      </x:c>
      <x:c r="D1410" s="10" t="str">
        <x:v>CTA005</x:v>
      </x:c>
      <x:c r="E1410" s="10" t="str">
        <x:v>Entrada</x:v>
      </x:c>
      <x:c r="F1410" s="10" t="str">
        <x:v>CAT002</x:v>
      </x:c>
      <x:c r="G1410" s="10" t="str">
        <x:v>Venda de produtos</x:v>
      </x:c>
      <x:c r="H1410" s="10" t="str">
        <x:v>REC01023</x:v>
      </x:c>
      <x:c r="I1410" s="20" t="n">
        <x:v>64503.05</x:v>
      </x:c>
      <x:c r="J1410" s="20" t="n">
        <x:v>64503.05</x:v>
      </x:c>
      <x:c r="K1410" s="10" t="str">
        <x:v>Realizado</x:v>
      </x:c>
      <x:c r="L1410" s="10" t="str">
        <x:v>Contas a Receber</x:v>
      </x:c>
    </x:row>
    <x:row r="1411" ht="18" customHeight="1">
      <x:c r="A1411" s="10" t="str">
        <x:v>MOV001367</x:v>
      </x:c>
      <x:c r="B1411" s="16" t="n">
        <x:v>45902.540625636575</x:v>
      </x:c>
      <x:c r="C1411" s="10" t="str">
        <x:v>EMP001</x:v>
      </x:c>
      <x:c r="D1411" s="10" t="str">
        <x:v>CTA001</x:v>
      </x:c>
      <x:c r="E1411" s="10" t="str">
        <x:v>Entrada</x:v>
      </x:c>
      <x:c r="F1411" s="10" t="str">
        <x:v>CAT003</x:v>
      </x:c>
      <x:c r="G1411" s="10" t="str">
        <x:v>Contrato mensal</x:v>
      </x:c>
      <x:c r="H1411" s="10" t="str">
        <x:v>REC00736</x:v>
      </x:c>
      <x:c r="I1411" s="20" t="n">
        <x:v>59351.05</x:v>
      </x:c>
      <x:c r="J1411" s="20" t="n">
        <x:v>59351.05</x:v>
      </x:c>
      <x:c r="K1411" s="10" t="str">
        <x:v>Realizado</x:v>
      </x:c>
      <x:c r="L1411" s="10" t="str">
        <x:v>Contas a Receber</x:v>
      </x:c>
    </x:row>
    <x:row r="1412" ht="18" customHeight="1">
      <x:c r="A1412" s="10" t="str">
        <x:v>MOV001247</x:v>
      </x:c>
      <x:c r="B1412" s="16" t="n">
        <x:v>45903.663637384256</x:v>
      </x:c>
      <x:c r="C1412" s="10" t="str">
        <x:v>EMP002</x:v>
      </x:c>
      <x:c r="D1412" s="10" t="str">
        <x:v>CTA004</x:v>
      </x:c>
      <x:c r="E1412" s="10" t="str">
        <x:v>Entrada</x:v>
      </x:c>
      <x:c r="F1412" s="10" t="str">
        <x:v>CAT001</x:v>
      </x:c>
      <x:c r="G1412" s="10" t="str">
        <x:v>Venda de produtos</x:v>
      </x:c>
      <x:c r="H1412" s="10" t="str">
        <x:v>REC00599</x:v>
      </x:c>
      <x:c r="I1412" s="20" t="n">
        <x:v>72225.81</x:v>
      </x:c>
      <x:c r="J1412" s="20" t="n">
        <x:v>72225.81</x:v>
      </x:c>
      <x:c r="K1412" s="10" t="str">
        <x:v>Realizado</x:v>
      </x:c>
      <x:c r="L1412" s="10" t="str">
        <x:v>Contas a Receber</x:v>
      </x:c>
    </x:row>
    <x:row r="1413" ht="18" customHeight="1">
      <x:c r="A1413" s="10" t="str">
        <x:v>MOV000118</x:v>
      </x:c>
      <x:c r="B1413" s="16" t="n">
        <x:v>45903.86195265046</x:v>
      </x:c>
      <x:c r="C1413" s="10" t="str">
        <x:v>EMP001</x:v>
      </x:c>
      <x:c r="D1413" s="10" t="str">
        <x:v>CTA002</x:v>
      </x:c>
      <x:c r="E1413" s="10" t="str">
        <x:v>Saída</x:v>
      </x:c>
      <x:c r="F1413" s="10" t="str">
        <x:v>CAT008</x:v>
      </x:c>
      <x:c r="G1413" s="10" t="str">
        <x:v>Despesa operacional</x:v>
      </x:c>
      <x:c r="H1413" s="10" t="str">
        <x:v>PAG00137</x:v>
      </x:c>
      <x:c r="I1413" s="20" t="n">
        <x:v>86144.19</x:v>
      </x:c>
      <x:c r="J1413" s="20" t="n">
        <x:v>-86144.19</x:v>
      </x:c>
      <x:c r="K1413" s="10" t="str">
        <x:v>Realizado</x:v>
      </x:c>
      <x:c r="L1413" s="10" t="str">
        <x:v>Contas a Pagar</x:v>
      </x:c>
    </x:row>
    <x:row r="1414" ht="18" customHeight="1">
      <x:c r="A1414" s="10" t="str">
        <x:v>MOV001585</x:v>
      </x:c>
      <x:c r="B1414" s="16" t="n">
        <x:v>45904.00285844907</x:v>
      </x:c>
      <x:c r="C1414" s="10" t="str">
        <x:v>EMP001</x:v>
      </x:c>
      <x:c r="D1414" s="10" t="str">
        <x:v>CTA001</x:v>
      </x:c>
      <x:c r="E1414" s="10" t="str">
        <x:v>Entrada</x:v>
      </x:c>
      <x:c r="F1414" s="10" t="str">
        <x:v>CAT004</x:v>
      </x:c>
      <x:c r="G1414" s="10" t="str">
        <x:v>Frete faturado</x:v>
      </x:c>
      <x:c r="H1414" s="10" t="str">
        <x:v>REC01010</x:v>
      </x:c>
      <x:c r="I1414" s="20" t="n">
        <x:v>38484.8</x:v>
      </x:c>
      <x:c r="J1414" s="20" t="n">
        <x:v>38484.8</x:v>
      </x:c>
      <x:c r="K1414" s="10" t="str">
        <x:v>Realizado</x:v>
      </x:c>
      <x:c r="L1414" s="10" t="str">
        <x:v>Contas a Receber</x:v>
      </x:c>
    </x:row>
    <x:row r="1415" ht="18" customHeight="1">
      <x:c r="A1415" s="10" t="str">
        <x:v>MOV000424</x:v>
      </x:c>
      <x:c r="B1415" s="16" t="n">
        <x:v>45905.01961128472</x:v>
      </x:c>
      <x:c r="C1415" s="10" t="str">
        <x:v>EMP002</x:v>
      </x:c>
      <x:c r="D1415" s="10" t="str">
        <x:v>CTA003</x:v>
      </x:c>
      <x:c r="E1415" s="10" t="str">
        <x:v>Saída</x:v>
      </x:c>
      <x:c r="F1415" s="10" t="str">
        <x:v>CAT015</x:v>
      </x:c>
      <x:c r="G1415" s="10" t="str">
        <x:v>Prestação de serviços</x:v>
      </x:c>
      <x:c r="H1415" s="10" t="str">
        <x:v>PAG00497</x:v>
      </x:c>
      <x:c r="I1415" s="20" t="n">
        <x:v>12942.66</x:v>
      </x:c>
      <x:c r="J1415" s="20" t="n">
        <x:v>-12942.66</x:v>
      </x:c>
      <x:c r="K1415" s="10" t="str">
        <x:v>Realizado</x:v>
      </x:c>
      <x:c r="L1415" s="10" t="str">
        <x:v>Contas a Pagar</x:v>
      </x:c>
    </x:row>
    <x:row r="1416" ht="18" customHeight="1">
      <x:c r="A1416" s="10" t="str">
        <x:v>MOV000489</x:v>
      </x:c>
      <x:c r="B1416" s="16" t="n">
        <x:v>45905.28180462963</x:v>
      </x:c>
      <x:c r="C1416" s="10" t="str">
        <x:v>EMP003</x:v>
      </x:c>
      <x:c r="D1416" s="10" t="str">
        <x:v>CTA005</x:v>
      </x:c>
      <x:c r="E1416" s="10" t="str">
        <x:v>Saída</x:v>
      </x:c>
      <x:c r="F1416" s="10" t="str">
        <x:v>CAT008</x:v>
      </x:c>
      <x:c r="G1416" s="10" t="str">
        <x:v>Contrato recorrente</x:v>
      </x:c>
      <x:c r="H1416" s="10" t="str">
        <x:v>PAG00573</x:v>
      </x:c>
      <x:c r="I1416" s="20" t="n">
        <x:v>38101.84</x:v>
      </x:c>
      <x:c r="J1416" s="20" t="n">
        <x:v>-38101.84</x:v>
      </x:c>
      <x:c r="K1416" s="10" t="str">
        <x:v>Realizado</x:v>
      </x:c>
      <x:c r="L1416" s="10" t="str">
        <x:v>Contas a Pagar</x:v>
      </x:c>
    </x:row>
    <x:row r="1417" ht="18" customHeight="1">
      <x:c r="A1417" s="10" t="str">
        <x:v>MOV000887</x:v>
      </x:c>
      <x:c r="B1417" s="16" t="n">
        <x:v>45905.89507298611</x:v>
      </x:c>
      <x:c r="C1417" s="10" t="str">
        <x:v>EMP001</x:v>
      </x:c>
      <x:c r="D1417" s="10" t="str">
        <x:v>CTA001</x:v>
      </x:c>
      <x:c r="E1417" s="10" t="str">
        <x:v>Entrada</x:v>
      </x:c>
      <x:c r="F1417" s="10" t="str">
        <x:v>CAT004</x:v>
      </x:c>
      <x:c r="G1417" s="10" t="str">
        <x:v>Venda de produtos</x:v>
      </x:c>
      <x:c r="H1417" s="10" t="str">
        <x:v>REC00160</x:v>
      </x:c>
      <x:c r="I1417" s="20" t="n">
        <x:v>117872.11</x:v>
      </x:c>
      <x:c r="J1417" s="20" t="n">
        <x:v>117872.11</x:v>
      </x:c>
      <x:c r="K1417" s="10" t="str">
        <x:v>Realizado</x:v>
      </x:c>
      <x:c r="L1417" s="10" t="str">
        <x:v>Contas a Receber</x:v>
      </x:c>
    </x:row>
    <x:row r="1418" ht="18" customHeight="1">
      <x:c r="A1418" s="10" t="str">
        <x:v>MOV001435</x:v>
      </x:c>
      <x:c r="B1418" s="16" t="n">
        <x:v>45906.9034865162</x:v>
      </x:c>
      <x:c r="C1418" s="10" t="str">
        <x:v>EMP003</x:v>
      </x:c>
      <x:c r="D1418" s="10" t="str">
        <x:v>CTA006</x:v>
      </x:c>
      <x:c r="E1418" s="10" t="str">
        <x:v>Entrada</x:v>
      </x:c>
      <x:c r="F1418" s="10" t="str">
        <x:v>CAT002</x:v>
      </x:c>
      <x:c r="G1418" s="10" t="str">
        <x:v>Prestação de serviços</x:v>
      </x:c>
      <x:c r="H1418" s="10" t="str">
        <x:v>REC00825</x:v>
      </x:c>
      <x:c r="I1418" s="20" t="n">
        <x:v>112641.84</x:v>
      </x:c>
      <x:c r="J1418" s="20" t="n">
        <x:v>112641.84</x:v>
      </x:c>
      <x:c r="K1418" s="10" t="str">
        <x:v>Realizado</x:v>
      </x:c>
      <x:c r="L1418" s="10" t="str">
        <x:v>Contas a Receber</x:v>
      </x:c>
    </x:row>
    <x:row r="1419" ht="18" customHeight="1">
      <x:c r="A1419" s="10" t="str">
        <x:v>MOV001320</x:v>
      </x:c>
      <x:c r="B1419" s="16" t="n">
        <x:v>45907.05638822917</x:v>
      </x:c>
      <x:c r="C1419" s="10" t="str">
        <x:v>EMP001</x:v>
      </x:c>
      <x:c r="D1419" s="10" t="str">
        <x:v>CTA002</x:v>
      </x:c>
      <x:c r="E1419" s="10" t="str">
        <x:v>Entrada</x:v>
      </x:c>
      <x:c r="F1419" s="10" t="str">
        <x:v>CAT003</x:v>
      </x:c>
      <x:c r="G1419" s="10" t="str">
        <x:v>Prestação de serviços</x:v>
      </x:c>
      <x:c r="H1419" s="10" t="str">
        <x:v>REC00683</x:v>
      </x:c>
      <x:c r="I1419" s="20" t="n">
        <x:v>75913.69</x:v>
      </x:c>
      <x:c r="J1419" s="20" t="n">
        <x:v>75913.69</x:v>
      </x:c>
      <x:c r="K1419" s="10" t="str">
        <x:v>Realizado</x:v>
      </x:c>
      <x:c r="L1419" s="10" t="str">
        <x:v>Contas a Receber</x:v>
      </x:c>
    </x:row>
    <x:row r="1420" ht="18" customHeight="1">
      <x:c r="A1420" s="10" t="str">
        <x:v>MOV001658</x:v>
      </x:c>
      <x:c r="B1420" s="16" t="n">
        <x:v>45907.49258976852</x:v>
      </x:c>
      <x:c r="C1420" s="10" t="str">
        <x:v>EMP001</x:v>
      </x:c>
      <x:c r="D1420" s="10" t="str">
        <x:v>CTA001</x:v>
      </x:c>
      <x:c r="E1420" s="10" t="str">
        <x:v>Entrada</x:v>
      </x:c>
      <x:c r="F1420" s="10" t="str">
        <x:v>CAT001</x:v>
      </x:c>
      <x:c r="G1420" s="10" t="str">
        <x:v>Frete faturado</x:v>
      </x:c>
      <x:c r="H1420" s="10" t="str">
        <x:v>REC01099</x:v>
      </x:c>
      <x:c r="I1420" s="20" t="n">
        <x:v>129267.41</x:v>
      </x:c>
      <x:c r="J1420" s="20" t="n">
        <x:v>129267.41</x:v>
      </x:c>
      <x:c r="K1420" s="10" t="str">
        <x:v>Realizado</x:v>
      </x:c>
      <x:c r="L1420" s="10" t="str">
        <x:v>Contas a Receber</x:v>
      </x:c>
    </x:row>
    <x:row r="1421" ht="18" customHeight="1">
      <x:c r="A1421" s="10" t="str">
        <x:v>MOV000715</x:v>
      </x:c>
      <x:c r="B1421" s="16" t="n">
        <x:v>45907.58480928241</x:v>
      </x:c>
      <x:c r="C1421" s="10" t="str">
        <x:v>EMP002</x:v>
      </x:c>
      <x:c r="D1421" s="10" t="str">
        <x:v>CTA004</x:v>
      </x:c>
      <x:c r="E1421" s="10" t="str">
        <x:v>Saída</x:v>
      </x:c>
      <x:c r="F1421" s="10" t="str">
        <x:v>CAT013</x:v>
      </x:c>
      <x:c r="G1421" s="10" t="str">
        <x:v>Prestação de serviços</x:v>
      </x:c>
      <x:c r="H1421" s="10" t="str">
        <x:v>PAG00849</x:v>
      </x:c>
      <x:c r="I1421" s="20" t="n">
        <x:v>72217.21</x:v>
      </x:c>
      <x:c r="J1421" s="20" t="n">
        <x:v>-72217.21</x:v>
      </x:c>
      <x:c r="K1421" s="10" t="str">
        <x:v>Realizado</x:v>
      </x:c>
      <x:c r="L1421" s="10" t="str">
        <x:v>Contas a Pagar</x:v>
      </x:c>
    </x:row>
    <x:row r="1422" ht="18" customHeight="1">
      <x:c r="A1422" s="10" t="str">
        <x:v>MOV000277</x:v>
      </x:c>
      <x:c r="B1422" s="16" t="n">
        <x:v>45908.29337753472</x:v>
      </x:c>
      <x:c r="C1422" s="10" t="str">
        <x:v>EMP001</x:v>
      </x:c>
      <x:c r="D1422" s="10" t="str">
        <x:v>CTA001</x:v>
      </x:c>
      <x:c r="E1422" s="10" t="str">
        <x:v>Saída</x:v>
      </x:c>
      <x:c r="F1422" s="10" t="str">
        <x:v>CAT016</x:v>
      </x:c>
      <x:c r="G1422" s="10" t="str">
        <x:v>Prestação de serviços</x:v>
      </x:c>
      <x:c r="H1422" s="10" t="str">
        <x:v>PAG00322</x:v>
      </x:c>
      <x:c r="I1422" s="20" t="n">
        <x:v>28647.7</x:v>
      </x:c>
      <x:c r="J1422" s="20" t="n">
        <x:v>-28647.7</x:v>
      </x:c>
      <x:c r="K1422" s="10" t="str">
        <x:v>Realizado</x:v>
      </x:c>
      <x:c r="L1422" s="10" t="str">
        <x:v>Contas a Pagar</x:v>
      </x:c>
    </x:row>
    <x:row r="1423" ht="18" customHeight="1">
      <x:c r="A1423" s="10" t="str">
        <x:v>MOV001139</x:v>
      </x:c>
      <x:c r="B1423" s="16" t="n">
        <x:v>45908.31858706019</x:v>
      </x:c>
      <x:c r="C1423" s="10" t="str">
        <x:v>EMP003</x:v>
      </x:c>
      <x:c r="D1423" s="10" t="str">
        <x:v>CTA005</x:v>
      </x:c>
      <x:c r="E1423" s="10" t="str">
        <x:v>Entrada</x:v>
      </x:c>
      <x:c r="F1423" s="10" t="str">
        <x:v>CAT004</x:v>
      </x:c>
      <x:c r="G1423" s="10" t="str">
        <x:v>Venda de produtos</x:v>
      </x:c>
      <x:c r="H1423" s="10" t="str">
        <x:v>REC00471</x:v>
      </x:c>
      <x:c r="I1423" s="20" t="n">
        <x:v>31723.29</x:v>
      </x:c>
      <x:c r="J1423" s="20" t="n">
        <x:v>31723.29</x:v>
      </x:c>
      <x:c r="K1423" s="10" t="str">
        <x:v>Realizado</x:v>
      </x:c>
      <x:c r="L1423" s="10" t="str">
        <x:v>Contas a Receber</x:v>
      </x:c>
    </x:row>
    <x:row r="1424" ht="18" customHeight="1">
      <x:c r="A1424" s="10" t="str">
        <x:v>MOV001368</x:v>
      </x:c>
      <x:c r="B1424" s="16" t="n">
        <x:v>45909.929733125</x:v>
      </x:c>
      <x:c r="C1424" s="10" t="str">
        <x:v>EMP003</x:v>
      </x:c>
      <x:c r="D1424" s="10" t="str">
        <x:v>CTA005</x:v>
      </x:c>
      <x:c r="E1424" s="10" t="str">
        <x:v>Entrada</x:v>
      </x:c>
      <x:c r="F1424" s="10" t="str">
        <x:v>CAT003</x:v>
      </x:c>
      <x:c r="G1424" s="10" t="str">
        <x:v>Venda de produtos</x:v>
      </x:c>
      <x:c r="H1424" s="10" t="str">
        <x:v>REC00737</x:v>
      </x:c>
      <x:c r="I1424" s="20" t="n">
        <x:v>116981.28</x:v>
      </x:c>
      <x:c r="J1424" s="20" t="n">
        <x:v>116981.28</x:v>
      </x:c>
      <x:c r="K1424" s="10" t="str">
        <x:v>Realizado</x:v>
      </x:c>
      <x:c r="L1424" s="10" t="str">
        <x:v>Contas a Receber</x:v>
      </x:c>
    </x:row>
    <x:row r="1425" ht="18" customHeight="1">
      <x:c r="A1425" s="10" t="str">
        <x:v>MOV000722</x:v>
      </x:c>
      <x:c r="B1425" s="16" t="n">
        <x:v>45910.47050299768</x:v>
      </x:c>
      <x:c r="C1425" s="10" t="str">
        <x:v>EMP003</x:v>
      </x:c>
      <x:c r="D1425" s="10" t="str">
        <x:v>CTA005</x:v>
      </x:c>
      <x:c r="E1425" s="10" t="str">
        <x:v>Saída</x:v>
      </x:c>
      <x:c r="F1425" s="10" t="str">
        <x:v>CAT017</x:v>
      </x:c>
      <x:c r="G1425" s="10" t="str">
        <x:v>Compra de materiais</x:v>
      </x:c>
      <x:c r="H1425" s="10" t="str">
        <x:v>PAG00856</x:v>
      </x:c>
      <x:c r="I1425" s="20" t="n">
        <x:v>1241.58</x:v>
      </x:c>
      <x:c r="J1425" s="20" t="n">
        <x:v>-1241.58</x:v>
      </x:c>
      <x:c r="K1425" s="10" t="str">
        <x:v>Realizado</x:v>
      </x:c>
      <x:c r="L1425" s="10" t="str">
        <x:v>Contas a Pagar</x:v>
      </x:c>
    </x:row>
    <x:row r="1426" ht="18" customHeight="1">
      <x:c r="A1426" s="10" t="str">
        <x:v>MOV001339</x:v>
      </x:c>
      <x:c r="B1426" s="16" t="n">
        <x:v>45910.51586060185</x:v>
      </x:c>
      <x:c r="C1426" s="10" t="str">
        <x:v>EMP001</x:v>
      </x:c>
      <x:c r="D1426" s="10" t="str">
        <x:v>CTA002</x:v>
      </x:c>
      <x:c r="E1426" s="10" t="str">
        <x:v>Entrada</x:v>
      </x:c>
      <x:c r="F1426" s="10" t="str">
        <x:v>CAT004</x:v>
      </x:c>
      <x:c r="G1426" s="10" t="str">
        <x:v>Projeto especial</x:v>
      </x:c>
      <x:c r="H1426" s="10" t="str">
        <x:v>REC00705</x:v>
      </x:c>
      <x:c r="I1426" s="20" t="n">
        <x:v>109941.96</x:v>
      </x:c>
      <x:c r="J1426" s="20" t="n">
        <x:v>109941.96</x:v>
      </x:c>
      <x:c r="K1426" s="10" t="str">
        <x:v>Realizado</x:v>
      </x:c>
      <x:c r="L1426" s="10" t="str">
        <x:v>Contas a Receber</x:v>
      </x:c>
    </x:row>
    <x:row r="1427" ht="18" customHeight="1">
      <x:c r="A1427" s="10" t="str">
        <x:v>MOV001294</x:v>
      </x:c>
      <x:c r="B1427" s="16" t="n">
        <x:v>45910.6526556713</x:v>
      </x:c>
      <x:c r="C1427" s="10" t="str">
        <x:v>EMP002</x:v>
      </x:c>
      <x:c r="D1427" s="10" t="str">
        <x:v>CTA003</x:v>
      </x:c>
      <x:c r="E1427" s="10" t="str">
        <x:v>Entrada</x:v>
      </x:c>
      <x:c r="F1427" s="10" t="str">
        <x:v>CAT002</x:v>
      </x:c>
      <x:c r="G1427" s="10" t="str">
        <x:v>Projeto especial</x:v>
      </x:c>
      <x:c r="H1427" s="10" t="str">
        <x:v>REC00656</x:v>
      </x:c>
      <x:c r="I1427" s="20" t="n">
        <x:v>27417.76</x:v>
      </x:c>
      <x:c r="J1427" s="20" t="n">
        <x:v>27417.76</x:v>
      </x:c>
      <x:c r="K1427" s="10" t="str">
        <x:v>Realizado</x:v>
      </x:c>
      <x:c r="L1427" s="10" t="str">
        <x:v>Contas a Receber</x:v>
      </x:c>
    </x:row>
    <x:row r="1428" ht="18" customHeight="1">
      <x:c r="A1428" s="10" t="str">
        <x:v>MOV001210</x:v>
      </x:c>
      <x:c r="B1428" s="16" t="n">
        <x:v>45911.08350018519</x:v>
      </x:c>
      <x:c r="C1428" s="10" t="str">
        <x:v>EMP001</x:v>
      </x:c>
      <x:c r="D1428" s="10" t="str">
        <x:v>CTA001</x:v>
      </x:c>
      <x:c r="E1428" s="10" t="str">
        <x:v>Entrada</x:v>
      </x:c>
      <x:c r="F1428" s="10" t="str">
        <x:v>CAT002</x:v>
      </x:c>
      <x:c r="G1428" s="10" t="str">
        <x:v>Frete faturado</x:v>
      </x:c>
      <x:c r="H1428" s="10" t="str">
        <x:v>REC00556</x:v>
      </x:c>
      <x:c r="I1428" s="20" t="n">
        <x:v>120241.97</x:v>
      </x:c>
      <x:c r="J1428" s="20" t="n">
        <x:v>120241.97</x:v>
      </x:c>
      <x:c r="K1428" s="10" t="str">
        <x:v>Realizado</x:v>
      </x:c>
      <x:c r="L1428" s="10" t="str">
        <x:v>Contas a Receber</x:v>
      </x:c>
    </x:row>
    <x:row r="1429" ht="18" customHeight="1">
      <x:c r="A1429" s="10" t="str">
        <x:v>MOV001034</x:v>
      </x:c>
      <x:c r="B1429" s="16" t="n">
        <x:v>45911.20370922454</x:v>
      </x:c>
      <x:c r="C1429" s="10" t="str">
        <x:v>EMP003</x:v>
      </x:c>
      <x:c r="D1429" s="10" t="str">
        <x:v>CTA006</x:v>
      </x:c>
      <x:c r="E1429" s="10" t="str">
        <x:v>Entrada</x:v>
      </x:c>
      <x:c r="F1429" s="10" t="str">
        <x:v>CAT001</x:v>
      </x:c>
      <x:c r="G1429" s="10" t="str">
        <x:v>Venda de produtos</x:v>
      </x:c>
      <x:c r="H1429" s="10" t="str">
        <x:v>REC00341</x:v>
      </x:c>
      <x:c r="I1429" s="20" t="n">
        <x:v>81925.18</x:v>
      </x:c>
      <x:c r="J1429" s="20" t="n">
        <x:v>81925.18</x:v>
      </x:c>
      <x:c r="K1429" s="10" t="str">
        <x:v>Realizado</x:v>
      </x:c>
      <x:c r="L1429" s="10" t="str">
        <x:v>Contas a Receber</x:v>
      </x:c>
    </x:row>
    <x:row r="1430" ht="18" customHeight="1">
      <x:c r="A1430" s="10" t="str">
        <x:v>MOV000210</x:v>
      </x:c>
      <x:c r="B1430" s="16" t="n">
        <x:v>45911.33790511574</x:v>
      </x:c>
      <x:c r="C1430" s="10" t="str">
        <x:v>EMP002</x:v>
      </x:c>
      <x:c r="D1430" s="10" t="str">
        <x:v>CTA003</x:v>
      </x:c>
      <x:c r="E1430" s="10" t="str">
        <x:v>Saída</x:v>
      </x:c>
      <x:c r="F1430" s="10" t="str">
        <x:v>CAT009</x:v>
      </x:c>
      <x:c r="G1430" s="10" t="str">
        <x:v>Compra de materiais</x:v>
      </x:c>
      <x:c r="H1430" s="10" t="str">
        <x:v>PAG00244</x:v>
      </x:c>
      <x:c r="I1430" s="20" t="n">
        <x:v>37604.01</x:v>
      </x:c>
      <x:c r="J1430" s="20" t="n">
        <x:v>-37604.01</x:v>
      </x:c>
      <x:c r="K1430" s="10" t="str">
        <x:v>Realizado</x:v>
      </x:c>
      <x:c r="L1430" s="10" t="str">
        <x:v>Contas a Pagar</x:v>
      </x:c>
    </x:row>
    <x:row r="1431" ht="18" customHeight="1">
      <x:c r="A1431" s="10" t="str">
        <x:v>MOV001039</x:v>
      </x:c>
      <x:c r="B1431" s="16" t="n">
        <x:v>45911.378028784726</x:v>
      </x:c>
      <x:c r="C1431" s="10" t="str">
        <x:v>EMP002</x:v>
      </x:c>
      <x:c r="D1431" s="10" t="str">
        <x:v>CTA004</x:v>
      </x:c>
      <x:c r="E1431" s="10" t="str">
        <x:v>Entrada</x:v>
      </x:c>
      <x:c r="F1431" s="10" t="str">
        <x:v>CAT001</x:v>
      </x:c>
      <x:c r="G1431" s="10" t="str">
        <x:v>Contrato mensal</x:v>
      </x:c>
      <x:c r="H1431" s="10" t="str">
        <x:v>REC00349</x:v>
      </x:c>
      <x:c r="I1431" s="20" t="n">
        <x:v>37105.17</x:v>
      </x:c>
      <x:c r="J1431" s="20" t="n">
        <x:v>37105.17</x:v>
      </x:c>
      <x:c r="K1431" s="10" t="str">
        <x:v>Realizado</x:v>
      </x:c>
      <x:c r="L1431" s="10" t="str">
        <x:v>Contas a Receber</x:v>
      </x:c>
    </x:row>
    <x:row r="1432" ht="18" customHeight="1">
      <x:c r="A1432" s="10" t="str">
        <x:v>MOV000441</x:v>
      </x:c>
      <x:c r="B1432" s="16" t="n">
        <x:v>45911.41504446759</x:v>
      </x:c>
      <x:c r="C1432" s="10" t="str">
        <x:v>EMP003</x:v>
      </x:c>
      <x:c r="D1432" s="10" t="str">
        <x:v>CTA006</x:v>
      </x:c>
      <x:c r="E1432" s="10" t="str">
        <x:v>Saída</x:v>
      </x:c>
      <x:c r="F1432" s="10" t="str">
        <x:v>CAT007</x:v>
      </x:c>
      <x:c r="G1432" s="10" t="str">
        <x:v>Contrato recorrente</x:v>
      </x:c>
      <x:c r="H1432" s="10" t="str">
        <x:v>PAG00515</x:v>
      </x:c>
      <x:c r="I1432" s="20" t="n">
        <x:v>46030.77</x:v>
      </x:c>
      <x:c r="J1432" s="20" t="n">
        <x:v>-46030.77</x:v>
      </x:c>
      <x:c r="K1432" s="10" t="str">
        <x:v>Realizado</x:v>
      </x:c>
      <x:c r="L1432" s="10" t="str">
        <x:v>Contas a Pagar</x:v>
      </x:c>
    </x:row>
    <x:row r="1433" ht="18" customHeight="1">
      <x:c r="A1433" s="10" t="str">
        <x:v>MOV000846</x:v>
      </x:c>
      <x:c r="B1433" s="16" t="n">
        <x:v>45912.01951096065</x:v>
      </x:c>
      <x:c r="C1433" s="10" t="str">
        <x:v>EMP003</x:v>
      </x:c>
      <x:c r="D1433" s="10" t="str">
        <x:v>CTA005</x:v>
      </x:c>
      <x:c r="E1433" s="10" t="str">
        <x:v>Entrada</x:v>
      </x:c>
      <x:c r="F1433" s="10" t="str">
        <x:v>CAT003</x:v>
      </x:c>
      <x:c r="G1433" s="10" t="str">
        <x:v>Contrato mensal</x:v>
      </x:c>
      <x:c r="H1433" s="10" t="str">
        <x:v>REC00114</x:v>
      </x:c>
      <x:c r="I1433" s="20" t="n">
        <x:v>5812.39</x:v>
      </x:c>
      <x:c r="J1433" s="20" t="n">
        <x:v>5812.39</x:v>
      </x:c>
      <x:c r="K1433" s="10" t="str">
        <x:v>Realizado</x:v>
      </x:c>
      <x:c r="L1433" s="10" t="str">
        <x:v>Contas a Receber</x:v>
      </x:c>
    </x:row>
    <x:row r="1434" ht="18" customHeight="1">
      <x:c r="A1434" s="10" t="str">
        <x:v>MOV001132</x:v>
      </x:c>
      <x:c r="B1434" s="16" t="n">
        <x:v>45912.32679306713</x:v>
      </x:c>
      <x:c r="C1434" s="10" t="str">
        <x:v>EMP001</x:v>
      </x:c>
      <x:c r="D1434" s="10" t="str">
        <x:v>CTA001</x:v>
      </x:c>
      <x:c r="E1434" s="10" t="str">
        <x:v>Entrada</x:v>
      </x:c>
      <x:c r="F1434" s="10" t="str">
        <x:v>CAT001</x:v>
      </x:c>
      <x:c r="G1434" s="10" t="str">
        <x:v>Projeto especial</x:v>
      </x:c>
      <x:c r="H1434" s="10" t="str">
        <x:v>REC00464</x:v>
      </x:c>
      <x:c r="I1434" s="20" t="n">
        <x:v>21030.19</x:v>
      </x:c>
      <x:c r="J1434" s="20" t="n">
        <x:v>21030.19</x:v>
      </x:c>
      <x:c r="K1434" s="10" t="str">
        <x:v>Realizado</x:v>
      </x:c>
      <x:c r="L1434" s="10" t="str">
        <x:v>Contas a Receber</x:v>
      </x:c>
    </x:row>
    <x:row r="1435" ht="18" customHeight="1">
      <x:c r="A1435" s="10" t="str">
        <x:v>MOV001013</x:v>
      </x:c>
      <x:c r="B1435" s="16" t="n">
        <x:v>45912.35062283565</x:v>
      </x:c>
      <x:c r="C1435" s="10" t="str">
        <x:v>EMP003</x:v>
      </x:c>
      <x:c r="D1435" s="10" t="str">
        <x:v>CTA006</x:v>
      </x:c>
      <x:c r="E1435" s="10" t="str">
        <x:v>Entrada</x:v>
      </x:c>
      <x:c r="F1435" s="10" t="str">
        <x:v>CAT001</x:v>
      </x:c>
      <x:c r="G1435" s="10" t="str">
        <x:v>Frete faturado</x:v>
      </x:c>
      <x:c r="H1435" s="10" t="str">
        <x:v>REC00315</x:v>
      </x:c>
      <x:c r="I1435" s="20" t="n">
        <x:v>68361.25</x:v>
      </x:c>
      <x:c r="J1435" s="20" t="n">
        <x:v>68361.25</x:v>
      </x:c>
      <x:c r="K1435" s="10" t="str">
        <x:v>Realizado</x:v>
      </x:c>
      <x:c r="L1435" s="10" t="str">
        <x:v>Contas a Receber</x:v>
      </x:c>
    </x:row>
    <x:row r="1436" ht="18" customHeight="1">
      <x:c r="A1436" s="10" t="str">
        <x:v>MOV000445</x:v>
      </x:c>
      <x:c r="B1436" s="16" t="n">
        <x:v>45912.49104061343</x:v>
      </x:c>
      <x:c r="C1436" s="10" t="str">
        <x:v>EMP003</x:v>
      </x:c>
      <x:c r="D1436" s="10" t="str">
        <x:v>CTA006</x:v>
      </x:c>
      <x:c r="E1436" s="10" t="str">
        <x:v>Saída</x:v>
      </x:c>
      <x:c r="F1436" s="10" t="str">
        <x:v>CAT007</x:v>
      </x:c>
      <x:c r="G1436" s="10" t="str">
        <x:v>Tributos e taxas</x:v>
      </x:c>
      <x:c r="H1436" s="10" t="str">
        <x:v>PAG00522</x:v>
      </x:c>
      <x:c r="I1436" s="20" t="n">
        <x:v>90823.78</x:v>
      </x:c>
      <x:c r="J1436" s="20" t="n">
        <x:v>-90823.78</x:v>
      </x:c>
      <x:c r="K1436" s="10" t="str">
        <x:v>Realizado</x:v>
      </x:c>
      <x:c r="L1436" s="10" t="str">
        <x:v>Contas a Pagar</x:v>
      </x:c>
    </x:row>
    <x:row r="1437" ht="18" customHeight="1">
      <x:c r="A1437" s="10" t="str">
        <x:v>MOV000371</x:v>
      </x:c>
      <x:c r="B1437" s="16" t="n">
        <x:v>45913.50020844908</x:v>
      </x:c>
      <x:c r="C1437" s="10" t="str">
        <x:v>EMP001</x:v>
      </x:c>
      <x:c r="D1437" s="10" t="str">
        <x:v>CTA001</x:v>
      </x:c>
      <x:c r="E1437" s="10" t="str">
        <x:v>Saída</x:v>
      </x:c>
      <x:c r="F1437" s="10" t="str">
        <x:v>CAT015</x:v>
      </x:c>
      <x:c r="G1437" s="10" t="str">
        <x:v>Tributos e taxas</x:v>
      </x:c>
      <x:c r="H1437" s="10" t="str">
        <x:v>PAG00431</x:v>
      </x:c>
      <x:c r="I1437" s="20" t="n">
        <x:v>49189.14</x:v>
      </x:c>
      <x:c r="J1437" s="20" t="n">
        <x:v>-49189.14</x:v>
      </x:c>
      <x:c r="K1437" s="10" t="str">
        <x:v>Realizado</x:v>
      </x:c>
      <x:c r="L1437" s="10" t="str">
        <x:v>Contas a Pagar</x:v>
      </x:c>
    </x:row>
    <x:row r="1438" ht="18" customHeight="1">
      <x:c r="A1438" s="10" t="str">
        <x:v>MOV000340</x:v>
      </x:c>
      <x:c r="B1438" s="16" t="n">
        <x:v>45913.93808431713</x:v>
      </x:c>
      <x:c r="C1438" s="10" t="str">
        <x:v>EMP003</x:v>
      </x:c>
      <x:c r="D1438" s="10" t="str">
        <x:v>CTA005</x:v>
      </x:c>
      <x:c r="E1438" s="10" t="str">
        <x:v>Saída</x:v>
      </x:c>
      <x:c r="F1438" s="10" t="str">
        <x:v>CAT006</x:v>
      </x:c>
      <x:c r="G1438" s="10" t="str">
        <x:v>Prestação de serviços</x:v>
      </x:c>
      <x:c r="H1438" s="10" t="str">
        <x:v>PAG00394</x:v>
      </x:c>
      <x:c r="I1438" s="20" t="n">
        <x:v>612.06</x:v>
      </x:c>
      <x:c r="J1438" s="20" t="n">
        <x:v>-612.06</x:v>
      </x:c>
      <x:c r="K1438" s="10" t="str">
        <x:v>Realizado</x:v>
      </x:c>
      <x:c r="L1438" s="10" t="str">
        <x:v>Contas a Pagar</x:v>
      </x:c>
    </x:row>
    <x:row r="1439" ht="18" customHeight="1">
      <x:c r="A1439" s="10" t="str">
        <x:v>MOV000190</x:v>
      </x:c>
      <x:c r="B1439" s="16" t="n">
        <x:v>45914.023626689814</x:v>
      </x:c>
      <x:c r="C1439" s="10" t="str">
        <x:v>EMP002</x:v>
      </x:c>
      <x:c r="D1439" s="10" t="str">
        <x:v>CTA004</x:v>
      </x:c>
      <x:c r="E1439" s="10" t="str">
        <x:v>Saída</x:v>
      </x:c>
      <x:c r="F1439" s="10" t="str">
        <x:v>CAT008</x:v>
      </x:c>
      <x:c r="G1439" s="10" t="str">
        <x:v>Prestação de serviços</x:v>
      </x:c>
      <x:c r="H1439" s="10" t="str">
        <x:v>PAG00223</x:v>
      </x:c>
      <x:c r="I1439" s="20" t="n">
        <x:v>15425.3</x:v>
      </x:c>
      <x:c r="J1439" s="20" t="n">
        <x:v>-15425.3</x:v>
      </x:c>
      <x:c r="K1439" s="10" t="str">
        <x:v>Realizado</x:v>
      </x:c>
      <x:c r="L1439" s="10" t="str">
        <x:v>Contas a Pagar</x:v>
      </x:c>
    </x:row>
    <x:row r="1440" ht="18" customHeight="1">
      <x:c r="A1440" s="10" t="str">
        <x:v>MOV000836</x:v>
      </x:c>
      <x:c r="B1440" s="16" t="n">
        <x:v>45914.046952303244</x:v>
      </x:c>
      <x:c r="C1440" s="10" t="str">
        <x:v>EMP002</x:v>
      </x:c>
      <x:c r="D1440" s="10" t="str">
        <x:v>CTA004</x:v>
      </x:c>
      <x:c r="E1440" s="10" t="str">
        <x:v>Entrada</x:v>
      </x:c>
      <x:c r="F1440" s="10" t="str">
        <x:v>CAT004</x:v>
      </x:c>
      <x:c r="G1440" s="10" t="str">
        <x:v>Prestação de serviços</x:v>
      </x:c>
      <x:c r="H1440" s="10" t="str">
        <x:v>REC00101</x:v>
      </x:c>
      <x:c r="I1440" s="20" t="n">
        <x:v>57114.17</x:v>
      </x:c>
      <x:c r="J1440" s="20" t="n">
        <x:v>57114.17</x:v>
      </x:c>
      <x:c r="K1440" s="10" t="str">
        <x:v>Realizado</x:v>
      </x:c>
      <x:c r="L1440" s="10" t="str">
        <x:v>Contas a Receber</x:v>
      </x:c>
    </x:row>
    <x:row r="1441" ht="18" customHeight="1">
      <x:c r="A1441" s="10" t="str">
        <x:v>MOV001653</x:v>
      </x:c>
      <x:c r="B1441" s="16" t="n">
        <x:v>45914.09380793982</x:v>
      </x:c>
      <x:c r="C1441" s="10" t="str">
        <x:v>EMP001</x:v>
      </x:c>
      <x:c r="D1441" s="10" t="str">
        <x:v>CTA001</x:v>
      </x:c>
      <x:c r="E1441" s="10" t="str">
        <x:v>Entrada</x:v>
      </x:c>
      <x:c r="F1441" s="10" t="str">
        <x:v>CAT002</x:v>
      </x:c>
      <x:c r="G1441" s="10" t="str">
        <x:v>Contrato mensal</x:v>
      </x:c>
      <x:c r="H1441" s="10" t="str">
        <x:v>REC01093</x:v>
      </x:c>
      <x:c r="I1441" s="20" t="n">
        <x:v>20514.24</x:v>
      </x:c>
      <x:c r="J1441" s="20" t="n">
        <x:v>20514.24</x:v>
      </x:c>
      <x:c r="K1441" s="10" t="str">
        <x:v>Realizado</x:v>
      </x:c>
      <x:c r="L1441" s="10" t="str">
        <x:v>Contas a Receber</x:v>
      </x:c>
    </x:row>
    <x:row r="1442" ht="18" customHeight="1">
      <x:c r="A1442" s="10" t="str">
        <x:v>MOV000188</x:v>
      </x:c>
      <x:c r="B1442" s="16" t="n">
        <x:v>45914.47101020833</x:v>
      </x:c>
      <x:c r="C1442" s="10" t="str">
        <x:v>EMP002</x:v>
      </x:c>
      <x:c r="D1442" s="10" t="str">
        <x:v>CTA004</x:v>
      </x:c>
      <x:c r="E1442" s="10" t="str">
        <x:v>Saída</x:v>
      </x:c>
      <x:c r="F1442" s="10" t="str">
        <x:v>CAT012</x:v>
      </x:c>
      <x:c r="G1442" s="10" t="str">
        <x:v>Compra de materiais</x:v>
      </x:c>
      <x:c r="H1442" s="10" t="str">
        <x:v>PAG00221</x:v>
      </x:c>
      <x:c r="I1442" s="20" t="n">
        <x:v>13793.09</x:v>
      </x:c>
      <x:c r="J1442" s="20" t="n">
        <x:v>-13793.09</x:v>
      </x:c>
      <x:c r="K1442" s="10" t="str">
        <x:v>Realizado</x:v>
      </x:c>
      <x:c r="L1442" s="10" t="str">
        <x:v>Contas a Pagar</x:v>
      </x:c>
    </x:row>
    <x:row r="1443" ht="18" customHeight="1">
      <x:c r="A1443" s="10" t="str">
        <x:v>MOV001215</x:v>
      </x:c>
      <x:c r="B1443" s="16" t="n">
        <x:v>45915.4461762963</x:v>
      </x:c>
      <x:c r="C1443" s="10" t="str">
        <x:v>EMP001</x:v>
      </x:c>
      <x:c r="D1443" s="10" t="str">
        <x:v>CTA002</x:v>
      </x:c>
      <x:c r="E1443" s="10" t="str">
        <x:v>Entrada</x:v>
      </x:c>
      <x:c r="F1443" s="10" t="str">
        <x:v>CAT004</x:v>
      </x:c>
      <x:c r="G1443" s="10" t="str">
        <x:v>Prestação de serviços</x:v>
      </x:c>
      <x:c r="H1443" s="10" t="str">
        <x:v>REC00564</x:v>
      </x:c>
      <x:c r="I1443" s="20" t="n">
        <x:v>128930.05</x:v>
      </x:c>
      <x:c r="J1443" s="20" t="n">
        <x:v>128930.05</x:v>
      </x:c>
      <x:c r="K1443" s="10" t="str">
        <x:v>Realizado</x:v>
      </x:c>
      <x:c r="L1443" s="10" t="str">
        <x:v>Contas a Receber</x:v>
      </x:c>
    </x:row>
    <x:row r="1444" ht="18" customHeight="1">
      <x:c r="A1444" s="10" t="str">
        <x:v>MOV000538</x:v>
      </x:c>
      <x:c r="B1444" s="16" t="n">
        <x:v>45915.513454224536</x:v>
      </x:c>
      <x:c r="C1444" s="10" t="str">
        <x:v>EMP002</x:v>
      </x:c>
      <x:c r="D1444" s="10" t="str">
        <x:v>CTA004</x:v>
      </x:c>
      <x:c r="E1444" s="10" t="str">
        <x:v>Saída</x:v>
      </x:c>
      <x:c r="F1444" s="10" t="str">
        <x:v>CAT017</x:v>
      </x:c>
      <x:c r="G1444" s="10" t="str">
        <x:v>Compra de materiais</x:v>
      </x:c>
      <x:c r="H1444" s="10" t="str">
        <x:v>PAG00630</x:v>
      </x:c>
      <x:c r="I1444" s="20" t="n">
        <x:v>907.2</x:v>
      </x:c>
      <x:c r="J1444" s="20" t="n">
        <x:v>-907.2</x:v>
      </x:c>
      <x:c r="K1444" s="10" t="str">
        <x:v>Realizado</x:v>
      </x:c>
      <x:c r="L1444" s="10" t="str">
        <x:v>Contas a Pagar</x:v>
      </x:c>
    </x:row>
    <x:row r="1445" ht="18" customHeight="1">
      <x:c r="A1445" s="10" t="str">
        <x:v>MOV000757</x:v>
      </x:c>
      <x:c r="B1445" s="16" t="n">
        <x:v>45915.76147467593</x:v>
      </x:c>
      <x:c r="C1445" s="10" t="str">
        <x:v>EMP001</x:v>
      </x:c>
      <x:c r="D1445" s="10" t="str">
        <x:v>CTA002</x:v>
      </x:c>
      <x:c r="E1445" s="10" t="str">
        <x:v>Saída</x:v>
      </x:c>
      <x:c r="F1445" s="10" t="str">
        <x:v>CAT015</x:v>
      </x:c>
      <x:c r="G1445" s="10" t="str">
        <x:v>Tributos e taxas</x:v>
      </x:c>
      <x:c r="H1445" s="10" t="str">
        <x:v>PAG00900</x:v>
      </x:c>
      <x:c r="I1445" s="20" t="n">
        <x:v>30206.07</x:v>
      </x:c>
      <x:c r="J1445" s="20" t="n">
        <x:v>-30206.07</x:v>
      </x:c>
      <x:c r="K1445" s="10" t="str">
        <x:v>Realizado</x:v>
      </x:c>
      <x:c r="L1445" s="10" t="str">
        <x:v>Contas a Pagar</x:v>
      </x:c>
    </x:row>
    <x:row r="1446" ht="18" customHeight="1">
      <x:c r="A1446" s="10" t="str">
        <x:v>MOV000725</x:v>
      </x:c>
      <x:c r="B1446" s="16" t="n">
        <x:v>45916.02530783565</x:v>
      </x:c>
      <x:c r="C1446" s="10" t="str">
        <x:v>EMP003</x:v>
      </x:c>
      <x:c r="D1446" s="10" t="str">
        <x:v>CTA006</x:v>
      </x:c>
      <x:c r="E1446" s="10" t="str">
        <x:v>Saída</x:v>
      </x:c>
      <x:c r="F1446" s="10" t="str">
        <x:v>CAT017</x:v>
      </x:c>
      <x:c r="G1446" s="10" t="str">
        <x:v>Tributos e taxas</x:v>
      </x:c>
      <x:c r="H1446" s="10" t="str">
        <x:v>PAG00859</x:v>
      </x:c>
      <x:c r="I1446" s="20" t="n">
        <x:v>2229.91</x:v>
      </x:c>
      <x:c r="J1446" s="20" t="n">
        <x:v>-2229.91</x:v>
      </x:c>
      <x:c r="K1446" s="10" t="str">
        <x:v>Realizado</x:v>
      </x:c>
      <x:c r="L1446" s="10" t="str">
        <x:v>Contas a Pagar</x:v>
      </x:c>
    </x:row>
    <x:row r="1447" ht="18" customHeight="1">
      <x:c r="A1447" s="10" t="str">
        <x:v>MOV000334</x:v>
      </x:c>
      <x:c r="B1447" s="16" t="n">
        <x:v>45916.12490545139</x:v>
      </x:c>
      <x:c r="C1447" s="10" t="str">
        <x:v>EMP003</x:v>
      </x:c>
      <x:c r="D1447" s="10" t="str">
        <x:v>CTA006</x:v>
      </x:c>
      <x:c r="E1447" s="10" t="str">
        <x:v>Saída</x:v>
      </x:c>
      <x:c r="F1447" s="10" t="str">
        <x:v>CAT011</x:v>
      </x:c>
      <x:c r="G1447" s="10" t="str">
        <x:v>Prestação de serviços</x:v>
      </x:c>
      <x:c r="H1447" s="10" t="str">
        <x:v>PAG00387</x:v>
      </x:c>
      <x:c r="I1447" s="20" t="n">
        <x:v>29811.62</x:v>
      </x:c>
      <x:c r="J1447" s="20" t="n">
        <x:v>-29811.62</x:v>
      </x:c>
      <x:c r="K1447" s="10" t="str">
        <x:v>Realizado</x:v>
      </x:c>
      <x:c r="L1447" s="10" t="str">
        <x:v>Contas a Pagar</x:v>
      </x:c>
    </x:row>
    <x:row r="1448" ht="18" customHeight="1">
      <x:c r="A1448" s="10" t="str">
        <x:v>MOV000874</x:v>
      </x:c>
      <x:c r="B1448" s="16" t="n">
        <x:v>45916.19680748843</x:v>
      </x:c>
      <x:c r="C1448" s="10" t="str">
        <x:v>EMP003</x:v>
      </x:c>
      <x:c r="D1448" s="10" t="str">
        <x:v>CTA006</x:v>
      </x:c>
      <x:c r="E1448" s="10" t="str">
        <x:v>Entrada</x:v>
      </x:c>
      <x:c r="F1448" s="10" t="str">
        <x:v>CAT003</x:v>
      </x:c>
      <x:c r="G1448" s="10" t="str">
        <x:v>Contrato mensal</x:v>
      </x:c>
      <x:c r="H1448" s="10" t="str">
        <x:v>REC00145</x:v>
      </x:c>
      <x:c r="I1448" s="20" t="n">
        <x:v>142062.46</x:v>
      </x:c>
      <x:c r="J1448" s="20" t="n">
        <x:v>142062.46</x:v>
      </x:c>
      <x:c r="K1448" s="10" t="str">
        <x:v>Realizado</x:v>
      </x:c>
      <x:c r="L1448" s="10" t="str">
        <x:v>Contas a Receber</x:v>
      </x:c>
    </x:row>
    <x:row r="1449" ht="18" customHeight="1">
      <x:c r="A1449" s="10" t="str">
        <x:v>MOV000143</x:v>
      </x:c>
      <x:c r="B1449" s="16" t="n">
        <x:v>45917.4959687963</x:v>
      </x:c>
      <x:c r="C1449" s="10" t="str">
        <x:v>EMP002</x:v>
      </x:c>
      <x:c r="D1449" s="10" t="str">
        <x:v>CTA003</x:v>
      </x:c>
      <x:c r="E1449" s="10" t="str">
        <x:v>Saída</x:v>
      </x:c>
      <x:c r="F1449" s="10" t="str">
        <x:v>CAT007</x:v>
      </x:c>
      <x:c r="G1449" s="10" t="str">
        <x:v>Tributos e taxas</x:v>
      </x:c>
      <x:c r="H1449" s="10" t="str">
        <x:v>PAG00164</x:v>
      </x:c>
      <x:c r="I1449" s="20" t="n">
        <x:v>57329.47</x:v>
      </x:c>
      <x:c r="J1449" s="20" t="n">
        <x:v>-57329.47</x:v>
      </x:c>
      <x:c r="K1449" s="10" t="str">
        <x:v>Realizado</x:v>
      </x:c>
      <x:c r="L1449" s="10" t="str">
        <x:v>Contas a Pagar</x:v>
      </x:c>
    </x:row>
    <x:row r="1450" ht="18" customHeight="1">
      <x:c r="A1450" s="10" t="str">
        <x:v>MOV000878</x:v>
      </x:c>
      <x:c r="B1450" s="16" t="n">
        <x:v>45918.22383163194</x:v>
      </x:c>
      <x:c r="C1450" s="10" t="str">
        <x:v>EMP003</x:v>
      </x:c>
      <x:c r="D1450" s="10" t="str">
        <x:v>CTA006</x:v>
      </x:c>
      <x:c r="E1450" s="10" t="str">
        <x:v>Entrada</x:v>
      </x:c>
      <x:c r="F1450" s="10" t="str">
        <x:v>CAT003</x:v>
      </x:c>
      <x:c r="G1450" s="10" t="str">
        <x:v>Prestação de serviços</x:v>
      </x:c>
      <x:c r="H1450" s="10" t="str">
        <x:v>REC00149</x:v>
      </x:c>
      <x:c r="I1450" s="20" t="n">
        <x:v>139560.5</x:v>
      </x:c>
      <x:c r="J1450" s="20" t="n">
        <x:v>139560.5</x:v>
      </x:c>
      <x:c r="K1450" s="10" t="str">
        <x:v>Realizado</x:v>
      </x:c>
      <x:c r="L1450" s="10" t="str">
        <x:v>Contas a Receber</x:v>
      </x:c>
    </x:row>
    <x:row r="1451" ht="18" customHeight="1">
      <x:c r="A1451" s="10" t="str">
        <x:v>MOV000723</x:v>
      </x:c>
      <x:c r="B1451" s="16" t="n">
        <x:v>45918.340231539354</x:v>
      </x:c>
      <x:c r="C1451" s="10" t="str">
        <x:v>EMP001</x:v>
      </x:c>
      <x:c r="D1451" s="10" t="str">
        <x:v>CTA001</x:v>
      </x:c>
      <x:c r="E1451" s="10" t="str">
        <x:v>Saída</x:v>
      </x:c>
      <x:c r="F1451" s="10" t="str">
        <x:v>CAT018</x:v>
      </x:c>
      <x:c r="G1451" s="10" t="str">
        <x:v>Despesa operacional</x:v>
      </x:c>
      <x:c r="H1451" s="10" t="str">
        <x:v>PAG00857</x:v>
      </x:c>
      <x:c r="I1451" s="20" t="n">
        <x:v>93493.74</x:v>
      </x:c>
      <x:c r="J1451" s="20" t="n">
        <x:v>-93493.74</x:v>
      </x:c>
      <x:c r="K1451" s="10" t="str">
        <x:v>Realizado</x:v>
      </x:c>
      <x:c r="L1451" s="10" t="str">
        <x:v>Contas a Pagar</x:v>
      </x:c>
    </x:row>
    <x:row r="1452" ht="18" customHeight="1">
      <x:c r="A1452" s="10" t="str">
        <x:v>MOV000685</x:v>
      </x:c>
      <x:c r="B1452" s="16" t="n">
        <x:v>45918.637657569445</x:v>
      </x:c>
      <x:c r="C1452" s="10" t="str">
        <x:v>EMP002</x:v>
      </x:c>
      <x:c r="D1452" s="10" t="str">
        <x:v>CTA003</x:v>
      </x:c>
      <x:c r="E1452" s="10" t="str">
        <x:v>Saída</x:v>
      </x:c>
      <x:c r="F1452" s="10" t="str">
        <x:v>CAT009</x:v>
      </x:c>
      <x:c r="G1452" s="10" t="str">
        <x:v>Contrato recorrente</x:v>
      </x:c>
      <x:c r="H1452" s="10" t="str">
        <x:v>PAG00814</x:v>
      </x:c>
      <x:c r="I1452" s="20" t="n">
        <x:v>82331.34</x:v>
      </x:c>
      <x:c r="J1452" s="20" t="n">
        <x:v>-82331.34</x:v>
      </x:c>
      <x:c r="K1452" s="10" t="str">
        <x:v>Realizado</x:v>
      </x:c>
      <x:c r="L1452" s="10" t="str">
        <x:v>Contas a Pagar</x:v>
      </x:c>
    </x:row>
    <x:row r="1453" ht="18" customHeight="1">
      <x:c r="A1453" s="10" t="str">
        <x:v>MOV001399</x:v>
      </x:c>
      <x:c r="B1453" s="16" t="n">
        <x:v>45918.91180818287</x:v>
      </x:c>
      <x:c r="C1453" s="10" t="str">
        <x:v>EMP001</x:v>
      </x:c>
      <x:c r="D1453" s="10" t="str">
        <x:v>CTA001</x:v>
      </x:c>
      <x:c r="E1453" s="10" t="str">
        <x:v>Entrada</x:v>
      </x:c>
      <x:c r="F1453" s="10" t="str">
        <x:v>CAT001</x:v>
      </x:c>
      <x:c r="G1453" s="10" t="str">
        <x:v>Prestação de serviços</x:v>
      </x:c>
      <x:c r="H1453" s="10" t="str">
        <x:v>REC00779</x:v>
      </x:c>
      <x:c r="I1453" s="20" t="n">
        <x:v>51916.22</x:v>
      </x:c>
      <x:c r="J1453" s="20" t="n">
        <x:v>51916.22</x:v>
      </x:c>
      <x:c r="K1453" s="10" t="str">
        <x:v>Realizado</x:v>
      </x:c>
      <x:c r="L1453" s="10" t="str">
        <x:v>Contas a Receber</x:v>
      </x:c>
    </x:row>
    <x:row r="1454" ht="18" customHeight="1">
      <x:c r="A1454" s="10" t="str">
        <x:v>MOV000266</x:v>
      </x:c>
      <x:c r="B1454" s="16" t="n">
        <x:v>45919.32102771991</x:v>
      </x:c>
      <x:c r="C1454" s="10" t="str">
        <x:v>EMP001</x:v>
      </x:c>
      <x:c r="D1454" s="10" t="str">
        <x:v>CTA002</x:v>
      </x:c>
      <x:c r="E1454" s="10" t="str">
        <x:v>Saída</x:v>
      </x:c>
      <x:c r="F1454" s="10" t="str">
        <x:v>CAT015</x:v>
      </x:c>
      <x:c r="G1454" s="10" t="str">
        <x:v>Compra de materiais</x:v>
      </x:c>
      <x:c r="H1454" s="10" t="str">
        <x:v>PAG00309</x:v>
      </x:c>
      <x:c r="I1454" s="20" t="n">
        <x:v>48432.03</x:v>
      </x:c>
      <x:c r="J1454" s="20" t="n">
        <x:v>-48432.03</x:v>
      </x:c>
      <x:c r="K1454" s="10" t="str">
        <x:v>Realizado</x:v>
      </x:c>
      <x:c r="L1454" s="10" t="str">
        <x:v>Contas a Pagar</x:v>
      </x:c>
    </x:row>
    <x:row r="1455" ht="18" customHeight="1">
      <x:c r="A1455" s="10" t="str">
        <x:v>MOV000691</x:v>
      </x:c>
      <x:c r="B1455" s="16" t="n">
        <x:v>45919.481454872686</x:v>
      </x:c>
      <x:c r="C1455" s="10" t="str">
        <x:v>EMP001</x:v>
      </x:c>
      <x:c r="D1455" s="10" t="str">
        <x:v>CTA001</x:v>
      </x:c>
      <x:c r="E1455" s="10" t="str">
        <x:v>Saída</x:v>
      </x:c>
      <x:c r="F1455" s="10" t="str">
        <x:v>CAT015</x:v>
      </x:c>
      <x:c r="G1455" s="10" t="str">
        <x:v>Despesa operacional</x:v>
      </x:c>
      <x:c r="H1455" s="10" t="str">
        <x:v>PAG00821</x:v>
      </x:c>
      <x:c r="I1455" s="20" t="n">
        <x:v>92722.59</x:v>
      </x:c>
      <x:c r="J1455" s="20" t="n">
        <x:v>-92722.59</x:v>
      </x:c>
      <x:c r="K1455" s="10" t="str">
        <x:v>Realizado</x:v>
      </x:c>
      <x:c r="L1455" s="10" t="str">
        <x:v>Contas a Pagar</x:v>
      </x:c>
    </x:row>
    <x:row r="1456" ht="18" customHeight="1">
      <x:c r="A1456" s="10" t="str">
        <x:v>MOV001532</x:v>
      </x:c>
      <x:c r="B1456" s="16" t="n">
        <x:v>45920.047451805556</x:v>
      </x:c>
      <x:c r="C1456" s="10" t="str">
        <x:v>EMP002</x:v>
      </x:c>
      <x:c r="D1456" s="10" t="str">
        <x:v>CTA003</x:v>
      </x:c>
      <x:c r="E1456" s="10" t="str">
        <x:v>Entrada</x:v>
      </x:c>
      <x:c r="F1456" s="10" t="str">
        <x:v>CAT004</x:v>
      </x:c>
      <x:c r="G1456" s="10" t="str">
        <x:v>Frete faturado</x:v>
      </x:c>
      <x:c r="H1456" s="10" t="str">
        <x:v>REC00945</x:v>
      </x:c>
      <x:c r="I1456" s="20" t="n">
        <x:v>3419.51</x:v>
      </x:c>
      <x:c r="J1456" s="20" t="n">
        <x:v>3419.51</x:v>
      </x:c>
      <x:c r="K1456" s="10" t="str">
        <x:v>Realizado</x:v>
      </x:c>
      <x:c r="L1456" s="10" t="str">
        <x:v>Contas a Receber</x:v>
      </x:c>
    </x:row>
    <x:row r="1457" ht="18" customHeight="1">
      <x:c r="A1457" s="10" t="str">
        <x:v>MOV000229</x:v>
      </x:c>
      <x:c r="B1457" s="16" t="n">
        <x:v>45920.51769821759</x:v>
      </x:c>
      <x:c r="C1457" s="10" t="str">
        <x:v>EMP001</x:v>
      </x:c>
      <x:c r="D1457" s="10" t="str">
        <x:v>CTA002</x:v>
      </x:c>
      <x:c r="E1457" s="10" t="str">
        <x:v>Saída</x:v>
      </x:c>
      <x:c r="F1457" s="10" t="str">
        <x:v>CAT006</x:v>
      </x:c>
      <x:c r="G1457" s="10" t="str">
        <x:v>Compra de materiais</x:v>
      </x:c>
      <x:c r="H1457" s="10" t="str">
        <x:v>PAG00268</x:v>
      </x:c>
      <x:c r="I1457" s="20" t="n">
        <x:v>81182.3</x:v>
      </x:c>
      <x:c r="J1457" s="20" t="n">
        <x:v>-81182.3</x:v>
      </x:c>
      <x:c r="K1457" s="10" t="str">
        <x:v>Realizado</x:v>
      </x:c>
      <x:c r="L1457" s="10" t="str">
        <x:v>Contas a Pagar</x:v>
      </x:c>
    </x:row>
    <x:row r="1458" ht="18" customHeight="1">
      <x:c r="A1458" s="10" t="str">
        <x:v>MOV000472</x:v>
      </x:c>
      <x:c r="B1458" s="16" t="n">
        <x:v>45921.78223175926</x:v>
      </x:c>
      <x:c r="C1458" s="10" t="str">
        <x:v>EMP003</x:v>
      </x:c>
      <x:c r="D1458" s="10" t="str">
        <x:v>CTA006</x:v>
      </x:c>
      <x:c r="E1458" s="10" t="str">
        <x:v>Saída</x:v>
      </x:c>
      <x:c r="F1458" s="10" t="str">
        <x:v>CAT006</x:v>
      </x:c>
      <x:c r="G1458" s="10" t="str">
        <x:v>Prestação de serviços</x:v>
      </x:c>
      <x:c r="H1458" s="10" t="str">
        <x:v>PAG00554</x:v>
      </x:c>
      <x:c r="I1458" s="20" t="n">
        <x:v>17836.79</x:v>
      </x:c>
      <x:c r="J1458" s="20" t="n">
        <x:v>-17836.79</x:v>
      </x:c>
      <x:c r="K1458" s="10" t="str">
        <x:v>Realizado</x:v>
      </x:c>
      <x:c r="L1458" s="10" t="str">
        <x:v>Contas a Pagar</x:v>
      </x:c>
    </x:row>
    <x:row r="1459" ht="18" customHeight="1">
      <x:c r="A1459" s="10" t="str">
        <x:v>MOV000272</x:v>
      </x:c>
      <x:c r="B1459" s="16" t="n">
        <x:v>45922.19413934028</x:v>
      </x:c>
      <x:c r="C1459" s="10" t="str">
        <x:v>EMP003</x:v>
      </x:c>
      <x:c r="D1459" s="10" t="str">
        <x:v>CTA006</x:v>
      </x:c>
      <x:c r="E1459" s="10" t="str">
        <x:v>Saída</x:v>
      </x:c>
      <x:c r="F1459" s="10" t="str">
        <x:v>CAT009</x:v>
      </x:c>
      <x:c r="G1459" s="10" t="str">
        <x:v>Tributos e taxas</x:v>
      </x:c>
      <x:c r="H1459" s="10" t="str">
        <x:v>PAG00316</x:v>
      </x:c>
      <x:c r="I1459" s="20" t="n">
        <x:v>90086.02</x:v>
      </x:c>
      <x:c r="J1459" s="20" t="n">
        <x:v>-90086.02</x:v>
      </x:c>
      <x:c r="K1459" s="10" t="str">
        <x:v>Realizado</x:v>
      </x:c>
      <x:c r="L1459" s="10" t="str">
        <x:v>Contas a Pagar</x:v>
      </x:c>
    </x:row>
    <x:row r="1460" ht="18" customHeight="1">
      <x:c r="A1460" s="10" t="str">
        <x:v>MOV000333</x:v>
      </x:c>
      <x:c r="B1460" s="16" t="n">
        <x:v>45922.81047991898</x:v>
      </x:c>
      <x:c r="C1460" s="10" t="str">
        <x:v>EMP001</x:v>
      </x:c>
      <x:c r="D1460" s="10" t="str">
        <x:v>CTA002</x:v>
      </x:c>
      <x:c r="E1460" s="10" t="str">
        <x:v>Saída</x:v>
      </x:c>
      <x:c r="F1460" s="10" t="str">
        <x:v>CAT018</x:v>
      </x:c>
      <x:c r="G1460" s="10" t="str">
        <x:v>Despesa operacional</x:v>
      </x:c>
      <x:c r="H1460" s="10" t="str">
        <x:v>PAG00386</x:v>
      </x:c>
      <x:c r="I1460" s="20" t="n">
        <x:v>103729.28</x:v>
      </x:c>
      <x:c r="J1460" s="20" t="n">
        <x:v>-103729.28</x:v>
      </x:c>
      <x:c r="K1460" s="10" t="str">
        <x:v>Realizado</x:v>
      </x:c>
      <x:c r="L1460" s="10" t="str">
        <x:v>Contas a Pagar</x:v>
      </x:c>
    </x:row>
    <x:row r="1461" ht="18" customHeight="1">
      <x:c r="A1461" s="10" t="str">
        <x:v>MOV000082</x:v>
      </x:c>
      <x:c r="B1461" s="16" t="n">
        <x:v>45923.54210652778</x:v>
      </x:c>
      <x:c r="C1461" s="10" t="str">
        <x:v>EMP003</x:v>
      </x:c>
      <x:c r="D1461" s="10" t="str">
        <x:v>CTA005</x:v>
      </x:c>
      <x:c r="E1461" s="10" t="str">
        <x:v>Saída</x:v>
      </x:c>
      <x:c r="F1461" s="10" t="str">
        <x:v>CAT008</x:v>
      </x:c>
      <x:c r="G1461" s="10" t="str">
        <x:v>Tributos e taxas</x:v>
      </x:c>
      <x:c r="H1461" s="10" t="str">
        <x:v>PAG00093</x:v>
      </x:c>
      <x:c r="I1461" s="20" t="n">
        <x:v>52512.34</x:v>
      </x:c>
      <x:c r="J1461" s="20" t="n">
        <x:v>-52512.34</x:v>
      </x:c>
      <x:c r="K1461" s="10" t="str">
        <x:v>Realizado</x:v>
      </x:c>
      <x:c r="L1461" s="10" t="str">
        <x:v>Contas a Pagar</x:v>
      </x:c>
    </x:row>
    <x:row r="1462" ht="18" customHeight="1">
      <x:c r="A1462" s="10" t="str">
        <x:v>MOV001259</x:v>
      </x:c>
      <x:c r="B1462" s="16" t="n">
        <x:v>45924.038445659724</x:v>
      </x:c>
      <x:c r="C1462" s="10" t="str">
        <x:v>EMP001</x:v>
      </x:c>
      <x:c r="D1462" s="10" t="str">
        <x:v>CTA002</x:v>
      </x:c>
      <x:c r="E1462" s="10" t="str">
        <x:v>Entrada</x:v>
      </x:c>
      <x:c r="F1462" s="10" t="str">
        <x:v>CAT004</x:v>
      </x:c>
      <x:c r="G1462" s="10" t="str">
        <x:v>Frete faturado</x:v>
      </x:c>
      <x:c r="H1462" s="10" t="str">
        <x:v>REC00614</x:v>
      </x:c>
      <x:c r="I1462" s="20" t="n">
        <x:v>46453.02</x:v>
      </x:c>
      <x:c r="J1462" s="20" t="n">
        <x:v>46453.02</x:v>
      </x:c>
      <x:c r="K1462" s="10" t="str">
        <x:v>Realizado</x:v>
      </x:c>
      <x:c r="L1462" s="10" t="str">
        <x:v>Contas a Receber</x:v>
      </x:c>
    </x:row>
    <x:row r="1463" ht="18" customHeight="1">
      <x:c r="A1463" s="10" t="str">
        <x:v>MOV000120</x:v>
      </x:c>
      <x:c r="B1463" s="16" t="n">
        <x:v>45924.437987314814</x:v>
      </x:c>
      <x:c r="C1463" s="10" t="str">
        <x:v>EMP001</x:v>
      </x:c>
      <x:c r="D1463" s="10" t="str">
        <x:v>CTA001</x:v>
      </x:c>
      <x:c r="E1463" s="10" t="str">
        <x:v>Saída</x:v>
      </x:c>
      <x:c r="F1463" s="10" t="str">
        <x:v>CAT013</x:v>
      </x:c>
      <x:c r="G1463" s="10" t="str">
        <x:v>Despesa operacional</x:v>
      </x:c>
      <x:c r="H1463" s="10" t="str">
        <x:v>PAG00140</x:v>
      </x:c>
      <x:c r="I1463" s="20" t="n">
        <x:v>15218.97</x:v>
      </x:c>
      <x:c r="J1463" s="20" t="n">
        <x:v>-15218.97</x:v>
      </x:c>
      <x:c r="K1463" s="10" t="str">
        <x:v>Realizado</x:v>
      </x:c>
      <x:c r="L1463" s="10" t="str">
        <x:v>Contas a Pagar</x:v>
      </x:c>
    </x:row>
    <x:row r="1464" ht="18" customHeight="1">
      <x:c r="A1464" s="10" t="str">
        <x:v>MOV000039</x:v>
      </x:c>
      <x:c r="B1464" s="16" t="n">
        <x:v>45924.618395324076</x:v>
      </x:c>
      <x:c r="C1464" s="10" t="str">
        <x:v>EMP002</x:v>
      </x:c>
      <x:c r="D1464" s="10" t="str">
        <x:v>CTA003</x:v>
      </x:c>
      <x:c r="E1464" s="10" t="str">
        <x:v>Saída</x:v>
      </x:c>
      <x:c r="F1464" s="10" t="str">
        <x:v>CAT013</x:v>
      </x:c>
      <x:c r="G1464" s="10" t="str">
        <x:v>Tributos e taxas</x:v>
      </x:c>
      <x:c r="H1464" s="10" t="str">
        <x:v>PAG00039</x:v>
      </x:c>
      <x:c r="I1464" s="20" t="n">
        <x:v>2990.06</x:v>
      </x:c>
      <x:c r="J1464" s="20" t="n">
        <x:v>-2990.06</x:v>
      </x:c>
      <x:c r="K1464" s="10" t="str">
        <x:v>Realizado</x:v>
      </x:c>
      <x:c r="L1464" s="10" t="str">
        <x:v>Contas a Pagar</x:v>
      </x:c>
    </x:row>
    <x:row r="1465" ht="18" customHeight="1">
      <x:c r="A1465" s="10" t="str">
        <x:v>MOV000865</x:v>
      </x:c>
      <x:c r="B1465" s="16" t="n">
        <x:v>45924.63557107639</x:v>
      </x:c>
      <x:c r="C1465" s="10" t="str">
        <x:v>EMP002</x:v>
      </x:c>
      <x:c r="D1465" s="10" t="str">
        <x:v>CTA004</x:v>
      </x:c>
      <x:c r="E1465" s="10" t="str">
        <x:v>Entrada</x:v>
      </x:c>
      <x:c r="F1465" s="10" t="str">
        <x:v>CAT001</x:v>
      </x:c>
      <x:c r="G1465" s="10" t="str">
        <x:v>Prestação de serviços</x:v>
      </x:c>
      <x:c r="H1465" s="10" t="str">
        <x:v>REC00135</x:v>
      </x:c>
      <x:c r="I1465" s="20" t="n">
        <x:v>3650.49</x:v>
      </x:c>
      <x:c r="J1465" s="20" t="n">
        <x:v>3650.49</x:v>
      </x:c>
      <x:c r="K1465" s="10" t="str">
        <x:v>Realizado</x:v>
      </x:c>
      <x:c r="L1465" s="10" t="str">
        <x:v>Contas a Receber</x:v>
      </x:c>
    </x:row>
    <x:row r="1466" ht="18" customHeight="1">
      <x:c r="A1466" s="10" t="str">
        <x:v>MOV001376</x:v>
      </x:c>
      <x:c r="B1466" s="16" t="n">
        <x:v>45924.71900478009</x:v>
      </x:c>
      <x:c r="C1466" s="10" t="str">
        <x:v>EMP003</x:v>
      </x:c>
      <x:c r="D1466" s="10" t="str">
        <x:v>CTA006</x:v>
      </x:c>
      <x:c r="E1466" s="10" t="str">
        <x:v>Entrada</x:v>
      </x:c>
      <x:c r="F1466" s="10" t="str">
        <x:v>CAT003</x:v>
      </x:c>
      <x:c r="G1466" s="10" t="str">
        <x:v>Projeto especial</x:v>
      </x:c>
      <x:c r="H1466" s="10" t="str">
        <x:v>REC00747</x:v>
      </x:c>
      <x:c r="I1466" s="20" t="n">
        <x:v>31226.87</x:v>
      </x:c>
      <x:c r="J1466" s="20" t="n">
        <x:v>31226.87</x:v>
      </x:c>
      <x:c r="K1466" s="10" t="str">
        <x:v>Realizado</x:v>
      </x:c>
      <x:c r="L1466" s="10" t="str">
        <x:v>Contas a Receber</x:v>
      </x:c>
    </x:row>
    <x:row r="1467" ht="18" customHeight="1">
      <x:c r="A1467" s="10" t="str">
        <x:v>MOV000579</x:v>
      </x:c>
      <x:c r="B1467" s="16" t="n">
        <x:v>45924.923329467594</x:v>
      </x:c>
      <x:c r="C1467" s="10" t="str">
        <x:v>EMP003</x:v>
      </x:c>
      <x:c r="D1467" s="10" t="str">
        <x:v>CTA006</x:v>
      </x:c>
      <x:c r="E1467" s="10" t="str">
        <x:v>Saída</x:v>
      </x:c>
      <x:c r="F1467" s="10" t="str">
        <x:v>CAT013</x:v>
      </x:c>
      <x:c r="G1467" s="10" t="str">
        <x:v>Compra de materiais</x:v>
      </x:c>
      <x:c r="H1467" s="10" t="str">
        <x:v>PAG00681</x:v>
      </x:c>
      <x:c r="I1467" s="20" t="n">
        <x:v>20093.83</x:v>
      </x:c>
      <x:c r="J1467" s="20" t="n">
        <x:v>-20093.83</x:v>
      </x:c>
      <x:c r="K1467" s="10" t="str">
        <x:v>Realizado</x:v>
      </x:c>
      <x:c r="L1467" s="10" t="str">
        <x:v>Contas a Pagar</x:v>
      </x:c>
    </x:row>
    <x:row r="1468" ht="18" customHeight="1">
      <x:c r="A1468" s="10" t="str">
        <x:v>MOV000485</x:v>
      </x:c>
      <x:c r="B1468" s="16" t="n">
        <x:v>45926.187076319446</x:v>
      </x:c>
      <x:c r="C1468" s="10" t="str">
        <x:v>EMP002</x:v>
      </x:c>
      <x:c r="D1468" s="10" t="str">
        <x:v>CTA004</x:v>
      </x:c>
      <x:c r="E1468" s="10" t="str">
        <x:v>Saída</x:v>
      </x:c>
      <x:c r="F1468" s="10" t="str">
        <x:v>CAT009</x:v>
      </x:c>
      <x:c r="G1468" s="10" t="str">
        <x:v>Despesa operacional</x:v>
      </x:c>
      <x:c r="H1468" s="10" t="str">
        <x:v>PAG00569</x:v>
      </x:c>
      <x:c r="I1468" s="20" t="n">
        <x:v>91473.8</x:v>
      </x:c>
      <x:c r="J1468" s="20" t="n">
        <x:v>-91473.8</x:v>
      </x:c>
      <x:c r="K1468" s="10" t="str">
        <x:v>Realizado</x:v>
      </x:c>
      <x:c r="L1468" s="10" t="str">
        <x:v>Contas a Pagar</x:v>
      </x:c>
    </x:row>
    <x:row r="1469" ht="18" customHeight="1">
      <x:c r="A1469" s="10" t="str">
        <x:v>MOV001327</x:v>
      </x:c>
      <x:c r="B1469" s="16" t="n">
        <x:v>45926.29156744213</x:v>
      </x:c>
      <x:c r="C1469" s="10" t="str">
        <x:v>EMP001</x:v>
      </x:c>
      <x:c r="D1469" s="10" t="str">
        <x:v>CTA001</x:v>
      </x:c>
      <x:c r="E1469" s="10" t="str">
        <x:v>Entrada</x:v>
      </x:c>
      <x:c r="F1469" s="10" t="str">
        <x:v>CAT004</x:v>
      </x:c>
      <x:c r="G1469" s="10" t="str">
        <x:v>Prestação de serviços</x:v>
      </x:c>
      <x:c r="H1469" s="10" t="str">
        <x:v>REC00691</x:v>
      </x:c>
      <x:c r="I1469" s="20" t="n">
        <x:v>1105.56</x:v>
      </x:c>
      <x:c r="J1469" s="20" t="n">
        <x:v>1105.56</x:v>
      </x:c>
      <x:c r="K1469" s="10" t="str">
        <x:v>Realizado</x:v>
      </x:c>
      <x:c r="L1469" s="10" t="str">
        <x:v>Contas a Receber</x:v>
      </x:c>
    </x:row>
    <x:row r="1470" ht="18" customHeight="1">
      <x:c r="A1470" s="10" t="str">
        <x:v>MOV001647</x:v>
      </x:c>
      <x:c r="B1470" s="16" t="n">
        <x:v>45926.363467650466</x:v>
      </x:c>
      <x:c r="C1470" s="10" t="str">
        <x:v>EMP001</x:v>
      </x:c>
      <x:c r="D1470" s="10" t="str">
        <x:v>CTA001</x:v>
      </x:c>
      <x:c r="E1470" s="10" t="str">
        <x:v>Entrada</x:v>
      </x:c>
      <x:c r="F1470" s="10" t="str">
        <x:v>CAT004</x:v>
      </x:c>
      <x:c r="G1470" s="10" t="str">
        <x:v>Projeto especial</x:v>
      </x:c>
      <x:c r="H1470" s="10" t="str">
        <x:v>REC01084</x:v>
      </x:c>
      <x:c r="I1470" s="20" t="n">
        <x:v>17415.32</x:v>
      </x:c>
      <x:c r="J1470" s="20" t="n">
        <x:v>17415.32</x:v>
      </x:c>
      <x:c r="K1470" s="10" t="str">
        <x:v>Realizado</x:v>
      </x:c>
      <x:c r="L1470" s="10" t="str">
        <x:v>Contas a Receber</x:v>
      </x:c>
    </x:row>
    <x:row r="1471" ht="18" customHeight="1">
      <x:c r="A1471" s="10" t="str">
        <x:v>MOV000185</x:v>
      </x:c>
      <x:c r="B1471" s="16" t="n">
        <x:v>45926.38772519676</x:v>
      </x:c>
      <x:c r="C1471" s="10" t="str">
        <x:v>EMP002</x:v>
      </x:c>
      <x:c r="D1471" s="10" t="str">
        <x:v>CTA004</x:v>
      </x:c>
      <x:c r="E1471" s="10" t="str">
        <x:v>Saída</x:v>
      </x:c>
      <x:c r="F1471" s="10" t="str">
        <x:v>CAT005</x:v>
      </x:c>
      <x:c r="G1471" s="10" t="str">
        <x:v>Prestação de serviços</x:v>
      </x:c>
      <x:c r="H1471" s="10" t="str">
        <x:v>PAG00218</x:v>
      </x:c>
      <x:c r="I1471" s="20" t="n">
        <x:v>24177.38</x:v>
      </x:c>
      <x:c r="J1471" s="20" t="n">
        <x:v>-24177.38</x:v>
      </x:c>
      <x:c r="K1471" s="10" t="str">
        <x:v>Realizado</x:v>
      </x:c>
      <x:c r="L1471" s="10" t="str">
        <x:v>Contas a Pagar</x:v>
      </x:c>
    </x:row>
    <x:row r="1472" ht="18" customHeight="1">
      <x:c r="A1472" s="10" t="str">
        <x:v>MOV000406</x:v>
      </x:c>
      <x:c r="B1472" s="16" t="n">
        <x:v>45926.64871971065</x:v>
      </x:c>
      <x:c r="C1472" s="10" t="str">
        <x:v>EMP002</x:v>
      </x:c>
      <x:c r="D1472" s="10" t="str">
        <x:v>CTA003</x:v>
      </x:c>
      <x:c r="E1472" s="10" t="str">
        <x:v>Saída</x:v>
      </x:c>
      <x:c r="F1472" s="10" t="str">
        <x:v>CAT015</x:v>
      </x:c>
      <x:c r="G1472" s="10" t="str">
        <x:v>Compra de materiais</x:v>
      </x:c>
      <x:c r="H1472" s="10" t="str">
        <x:v>PAG00473</x:v>
      </x:c>
      <x:c r="I1472" s="20" t="n">
        <x:v>20672.75</x:v>
      </x:c>
      <x:c r="J1472" s="20" t="n">
        <x:v>-20672.75</x:v>
      </x:c>
      <x:c r="K1472" s="10" t="str">
        <x:v>Realizado</x:v>
      </x:c>
      <x:c r="L1472" s="10" t="str">
        <x:v>Contas a Pagar</x:v>
      </x:c>
    </x:row>
    <x:row r="1473" ht="18" customHeight="1">
      <x:c r="A1473" s="10" t="str">
        <x:v>MOV001183</x:v>
      </x:c>
      <x:c r="B1473" s="16" t="n">
        <x:v>45926.69195252315</x:v>
      </x:c>
      <x:c r="C1473" s="10" t="str">
        <x:v>EMP001</x:v>
      </x:c>
      <x:c r="D1473" s="10" t="str">
        <x:v>CTA001</x:v>
      </x:c>
      <x:c r="E1473" s="10" t="str">
        <x:v>Entrada</x:v>
      </x:c>
      <x:c r="F1473" s="10" t="str">
        <x:v>CAT004</x:v>
      </x:c>
      <x:c r="G1473" s="10" t="str">
        <x:v>Projeto especial</x:v>
      </x:c>
      <x:c r="H1473" s="10" t="str">
        <x:v>REC00523</x:v>
      </x:c>
      <x:c r="I1473" s="20" t="n">
        <x:v>109935.43</x:v>
      </x:c>
      <x:c r="J1473" s="20" t="n">
        <x:v>109935.43</x:v>
      </x:c>
      <x:c r="K1473" s="10" t="str">
        <x:v>Realizado</x:v>
      </x:c>
      <x:c r="L1473" s="10" t="str">
        <x:v>Contas a Receber</x:v>
      </x:c>
    </x:row>
    <x:row r="1474" ht="18" customHeight="1">
      <x:c r="A1474" s="10" t="str">
        <x:v>MOV001199</x:v>
      </x:c>
      <x:c r="B1474" s="16" t="n">
        <x:v>45926.88065827546</x:v>
      </x:c>
      <x:c r="C1474" s="10" t="str">
        <x:v>EMP001</x:v>
      </x:c>
      <x:c r="D1474" s="10" t="str">
        <x:v>CTA002</x:v>
      </x:c>
      <x:c r="E1474" s="10" t="str">
        <x:v>Entrada</x:v>
      </x:c>
      <x:c r="F1474" s="10" t="str">
        <x:v>CAT001</x:v>
      </x:c>
      <x:c r="G1474" s="10" t="str">
        <x:v>Projeto especial</x:v>
      </x:c>
      <x:c r="H1474" s="10" t="str">
        <x:v>REC00543</x:v>
      </x:c>
      <x:c r="I1474" s="20" t="n">
        <x:v>66539.76</x:v>
      </x:c>
      <x:c r="J1474" s="20" t="n">
        <x:v>66539.76</x:v>
      </x:c>
      <x:c r="K1474" s="10" t="str">
        <x:v>Realizado</x:v>
      </x:c>
      <x:c r="L1474" s="10" t="str">
        <x:v>Contas a Receber</x:v>
      </x:c>
    </x:row>
    <x:row r="1475" ht="18" customHeight="1">
      <x:c r="A1475" s="10" t="str">
        <x:v>MOV000628</x:v>
      </x:c>
      <x:c r="B1475" s="16" t="n">
        <x:v>45927.73704777778</x:v>
      </x:c>
      <x:c r="C1475" s="10" t="str">
        <x:v>EMP003</x:v>
      </x:c>
      <x:c r="D1475" s="10" t="str">
        <x:v>CTA006</x:v>
      </x:c>
      <x:c r="E1475" s="10" t="str">
        <x:v>Saída</x:v>
      </x:c>
      <x:c r="F1475" s="10" t="str">
        <x:v>CAT014</x:v>
      </x:c>
      <x:c r="G1475" s="10" t="str">
        <x:v>Compra de materiais</x:v>
      </x:c>
      <x:c r="H1475" s="10" t="str">
        <x:v>PAG00746</x:v>
      </x:c>
      <x:c r="I1475" s="20" t="n">
        <x:v>107388.98</x:v>
      </x:c>
      <x:c r="J1475" s="20" t="n">
        <x:v>-107388.98</x:v>
      </x:c>
      <x:c r="K1475" s="10" t="str">
        <x:v>Realizado</x:v>
      </x:c>
      <x:c r="L1475" s="10" t="str">
        <x:v>Contas a Pagar</x:v>
      </x:c>
    </x:row>
    <x:row r="1476" ht="18" customHeight="1">
      <x:c r="A1476" s="10" t="str">
        <x:v>MOV000011</x:v>
      </x:c>
      <x:c r="B1476" s="16" t="n">
        <x:v>45928.92583409722</x:v>
      </x:c>
      <x:c r="C1476" s="10" t="str">
        <x:v>EMP001</x:v>
      </x:c>
      <x:c r="D1476" s="10" t="str">
        <x:v>CTA001</x:v>
      </x:c>
      <x:c r="E1476" s="10" t="str">
        <x:v>Saída</x:v>
      </x:c>
      <x:c r="F1476" s="10" t="str">
        <x:v>CAT009</x:v>
      </x:c>
      <x:c r="G1476" s="10" t="str">
        <x:v>Despesa operacional</x:v>
      </x:c>
      <x:c r="H1476" s="10" t="str">
        <x:v>PAG00008</x:v>
      </x:c>
      <x:c r="I1476" s="20" t="n">
        <x:v>38763.48</x:v>
      </x:c>
      <x:c r="J1476" s="20" t="n">
        <x:v>-38763.48</x:v>
      </x:c>
      <x:c r="K1476" s="10" t="str">
        <x:v>Realizado</x:v>
      </x:c>
      <x:c r="L1476" s="10" t="str">
        <x:v>Contas a Pagar</x:v>
      </x:c>
    </x:row>
    <x:row r="1477" ht="18" customHeight="1">
      <x:c r="A1477" s="10" t="str">
        <x:v>MOV000629</x:v>
      </x:c>
      <x:c r="B1477" s="16" t="n">
        <x:v>45930.90332060185</x:v>
      </x:c>
      <x:c r="C1477" s="10" t="str">
        <x:v>EMP001</x:v>
      </x:c>
      <x:c r="D1477" s="10" t="str">
        <x:v>CTA002</x:v>
      </x:c>
      <x:c r="E1477" s="10" t="str">
        <x:v>Saída</x:v>
      </x:c>
      <x:c r="F1477" s="10" t="str">
        <x:v>CAT018</x:v>
      </x:c>
      <x:c r="G1477" s="10" t="str">
        <x:v>Tributos e taxas</x:v>
      </x:c>
      <x:c r="H1477" s="10" t="str">
        <x:v>PAG00747</x:v>
      </x:c>
      <x:c r="I1477" s="20" t="n">
        <x:v>6101.35</x:v>
      </x:c>
      <x:c r="J1477" s="20" t="n">
        <x:v>-6101.35</x:v>
      </x:c>
      <x:c r="K1477" s="10" t="str">
        <x:v>Realizado</x:v>
      </x:c>
      <x:c r="L1477" s="10" t="str">
        <x:v>Contas a Pagar</x:v>
      </x:c>
    </x:row>
    <x:row r="1478" ht="18" customHeight="1">
      <x:c r="A1478" s="10" t="str">
        <x:v>MOV001394</x:v>
      </x:c>
      <x:c r="B1478" s="16" t="n">
        <x:v>45931.114456076386</x:v>
      </x:c>
      <x:c r="C1478" s="10" t="str">
        <x:v>EMP003</x:v>
      </x:c>
      <x:c r="D1478" s="10" t="str">
        <x:v>CTA005</x:v>
      </x:c>
      <x:c r="E1478" s="10" t="str">
        <x:v>Entrada</x:v>
      </x:c>
      <x:c r="F1478" s="10" t="str">
        <x:v>CAT004</x:v>
      </x:c>
      <x:c r="G1478" s="10" t="str">
        <x:v>Projeto especial</x:v>
      </x:c>
      <x:c r="H1478" s="10" t="str">
        <x:v>REC00774</x:v>
      </x:c>
      <x:c r="I1478" s="20" t="n">
        <x:v>113984.75</x:v>
      </x:c>
      <x:c r="J1478" s="20" t="n">
        <x:v>113984.75</x:v>
      </x:c>
      <x:c r="K1478" s="10" t="str">
        <x:v>Realizado</x:v>
      </x:c>
      <x:c r="L1478" s="10" t="str">
        <x:v>Contas a Receber</x:v>
      </x:c>
    </x:row>
    <x:row r="1479" ht="18" customHeight="1">
      <x:c r="A1479" s="10" t="str">
        <x:v>MOV000511</x:v>
      </x:c>
      <x:c r="B1479" s="16" t="n">
        <x:v>45931.59614753472</x:v>
      </x:c>
      <x:c r="C1479" s="10" t="str">
        <x:v>EMP002</x:v>
      </x:c>
      <x:c r="D1479" s="10" t="str">
        <x:v>CTA004</x:v>
      </x:c>
      <x:c r="E1479" s="10" t="str">
        <x:v>Saída</x:v>
      </x:c>
      <x:c r="F1479" s="10" t="str">
        <x:v>CAT011</x:v>
      </x:c>
      <x:c r="G1479" s="10" t="str">
        <x:v>Contrato recorrente</x:v>
      </x:c>
      <x:c r="H1479" s="10" t="str">
        <x:v>PAG00601</x:v>
      </x:c>
      <x:c r="I1479" s="20" t="n">
        <x:v>112181.55</x:v>
      </x:c>
      <x:c r="J1479" s="20" t="n">
        <x:v>-112181.55</x:v>
      </x:c>
      <x:c r="K1479" s="10" t="str">
        <x:v>Realizado</x:v>
      </x:c>
      <x:c r="L1479" s="10" t="str">
        <x:v>Contas a Pagar</x:v>
      </x:c>
    </x:row>
    <x:row r="1480" ht="18" customHeight="1">
      <x:c r="A1480" s="10" t="str">
        <x:v>MOV000908</x:v>
      </x:c>
      <x:c r="B1480" s="16" t="n">
        <x:v>45932.01667715278</x:v>
      </x:c>
      <x:c r="C1480" s="10" t="str">
        <x:v>EMP001</x:v>
      </x:c>
      <x:c r="D1480" s="10" t="str">
        <x:v>CTA002</x:v>
      </x:c>
      <x:c r="E1480" s="10" t="str">
        <x:v>Entrada</x:v>
      </x:c>
      <x:c r="F1480" s="10" t="str">
        <x:v>CAT001</x:v>
      </x:c>
      <x:c r="G1480" s="10" t="str">
        <x:v>Prestação de serviços</x:v>
      </x:c>
      <x:c r="H1480" s="10" t="str">
        <x:v>REC00186</x:v>
      </x:c>
      <x:c r="I1480" s="20" t="n">
        <x:v>76377.06</x:v>
      </x:c>
      <x:c r="J1480" s="20" t="n">
        <x:v>76377.06</x:v>
      </x:c>
      <x:c r="K1480" s="10" t="str">
        <x:v>Realizado</x:v>
      </x:c>
      <x:c r="L1480" s="10" t="str">
        <x:v>Contas a Receber</x:v>
      </x:c>
    </x:row>
    <x:row r="1481" ht="18" customHeight="1">
      <x:c r="A1481" s="10" t="str">
        <x:v>MOV001289</x:v>
      </x:c>
      <x:c r="B1481" s="16" t="n">
        <x:v>45932.59213217592</x:v>
      </x:c>
      <x:c r="C1481" s="10" t="str">
        <x:v>EMP001</x:v>
      </x:c>
      <x:c r="D1481" s="10" t="str">
        <x:v>CTA001</x:v>
      </x:c>
      <x:c r="E1481" s="10" t="str">
        <x:v>Entrada</x:v>
      </x:c>
      <x:c r="F1481" s="10" t="str">
        <x:v>CAT001</x:v>
      </x:c>
      <x:c r="G1481" s="10" t="str">
        <x:v>Projeto especial</x:v>
      </x:c>
      <x:c r="H1481" s="10" t="str">
        <x:v>REC00650</x:v>
      </x:c>
      <x:c r="I1481" s="20" t="n">
        <x:v>129773.19</x:v>
      </x:c>
      <x:c r="J1481" s="20" t="n">
        <x:v>129773.19</x:v>
      </x:c>
      <x:c r="K1481" s="10" t="str">
        <x:v>Realizado</x:v>
      </x:c>
      <x:c r="L1481" s="10" t="str">
        <x:v>Contas a Receber</x:v>
      </x:c>
    </x:row>
    <x:row r="1482" ht="18" customHeight="1">
      <x:c r="A1482" s="10" t="str">
        <x:v>MOV000523</x:v>
      </x:c>
      <x:c r="B1482" s="16" t="n">
        <x:v>45932.697049965274</x:v>
      </x:c>
      <x:c r="C1482" s="10" t="str">
        <x:v>EMP001</x:v>
      </x:c>
      <x:c r="D1482" s="10" t="str">
        <x:v>CTA002</x:v>
      </x:c>
      <x:c r="E1482" s="10" t="str">
        <x:v>Saída</x:v>
      </x:c>
      <x:c r="F1482" s="10" t="str">
        <x:v>CAT007</x:v>
      </x:c>
      <x:c r="G1482" s="10" t="str">
        <x:v>Contrato recorrente</x:v>
      </x:c>
      <x:c r="H1482" s="10" t="str">
        <x:v>PAG00613</x:v>
      </x:c>
      <x:c r="I1482" s="20" t="n">
        <x:v>64223.75</x:v>
      </x:c>
      <x:c r="J1482" s="20" t="n">
        <x:v>-64223.75</x:v>
      </x:c>
      <x:c r="K1482" s="10" t="str">
        <x:v>Realizado</x:v>
      </x:c>
      <x:c r="L1482" s="10" t="str">
        <x:v>Contas a Pagar</x:v>
      </x:c>
    </x:row>
    <x:row r="1483" ht="18" customHeight="1">
      <x:c r="A1483" s="10" t="str">
        <x:v>MOV000292</x:v>
      </x:c>
      <x:c r="B1483" s="16" t="n">
        <x:v>45933.05405831018</x:v>
      </x:c>
      <x:c r="C1483" s="10" t="str">
        <x:v>EMP001</x:v>
      </x:c>
      <x:c r="D1483" s="10" t="str">
        <x:v>CTA001</x:v>
      </x:c>
      <x:c r="E1483" s="10" t="str">
        <x:v>Saída</x:v>
      </x:c>
      <x:c r="F1483" s="10" t="str">
        <x:v>CAT008</x:v>
      </x:c>
      <x:c r="G1483" s="10" t="str">
        <x:v>Prestação de serviços</x:v>
      </x:c>
      <x:c r="H1483" s="10" t="str">
        <x:v>PAG00339</x:v>
      </x:c>
      <x:c r="I1483" s="20" t="n">
        <x:v>86935.14</x:v>
      </x:c>
      <x:c r="J1483" s="20" t="n">
        <x:v>-86935.14</x:v>
      </x:c>
      <x:c r="K1483" s="10" t="str">
        <x:v>Realizado</x:v>
      </x:c>
      <x:c r="L1483" s="10" t="str">
        <x:v>Contas a Pagar</x:v>
      </x:c>
    </x:row>
    <x:row r="1484" ht="18" customHeight="1">
      <x:c r="A1484" s="10" t="str">
        <x:v>MOV001022</x:v>
      </x:c>
      <x:c r="B1484" s="16" t="n">
        <x:v>45933.23927342593</x:v>
      </x:c>
      <x:c r="C1484" s="10" t="str">
        <x:v>EMP002</x:v>
      </x:c>
      <x:c r="D1484" s="10" t="str">
        <x:v>CTA004</x:v>
      </x:c>
      <x:c r="E1484" s="10" t="str">
        <x:v>Entrada</x:v>
      </x:c>
      <x:c r="F1484" s="10" t="str">
        <x:v>CAT002</x:v>
      </x:c>
      <x:c r="G1484" s="10" t="str">
        <x:v>Projeto especial</x:v>
      </x:c>
      <x:c r="H1484" s="10" t="str">
        <x:v>REC00326</x:v>
      </x:c>
      <x:c r="I1484" s="20" t="n">
        <x:v>131719.57</x:v>
      </x:c>
      <x:c r="J1484" s="20" t="n">
        <x:v>131719.57</x:v>
      </x:c>
      <x:c r="K1484" s="10" t="str">
        <x:v>Realizado</x:v>
      </x:c>
      <x:c r="L1484" s="10" t="str">
        <x:v>Contas a Receber</x:v>
      </x:c>
    </x:row>
    <x:row r="1485" ht="18" customHeight="1">
      <x:c r="A1485" s="10" t="str">
        <x:v>MOV001071</x:v>
      </x:c>
      <x:c r="B1485" s="16" t="n">
        <x:v>45933.36460021991</x:v>
      </x:c>
      <x:c r="C1485" s="10" t="str">
        <x:v>EMP002</x:v>
      </x:c>
      <x:c r="D1485" s="10" t="str">
        <x:v>CTA003</x:v>
      </x:c>
      <x:c r="E1485" s="10" t="str">
        <x:v>Entrada</x:v>
      </x:c>
      <x:c r="F1485" s="10" t="str">
        <x:v>CAT002</x:v>
      </x:c>
      <x:c r="G1485" s="10" t="str">
        <x:v>Venda de produtos</x:v>
      </x:c>
      <x:c r="H1485" s="10" t="str">
        <x:v>REC00392</x:v>
      </x:c>
      <x:c r="I1485" s="20" t="n">
        <x:v>5565.82</x:v>
      </x:c>
      <x:c r="J1485" s="20" t="n">
        <x:v>5565.82</x:v>
      </x:c>
      <x:c r="K1485" s="10" t="str">
        <x:v>Realizado</x:v>
      </x:c>
      <x:c r="L1485" s="10" t="str">
        <x:v>Contas a Receber</x:v>
      </x:c>
    </x:row>
    <x:row r="1486" ht="18" customHeight="1">
      <x:c r="A1486" s="10" t="str">
        <x:v>MOV000476</x:v>
      </x:c>
      <x:c r="B1486" s="16" t="n">
        <x:v>45933.446991400466</x:v>
      </x:c>
      <x:c r="C1486" s="10" t="str">
        <x:v>EMP002</x:v>
      </x:c>
      <x:c r="D1486" s="10" t="str">
        <x:v>CTA003</x:v>
      </x:c>
      <x:c r="E1486" s="10" t="str">
        <x:v>Saída</x:v>
      </x:c>
      <x:c r="F1486" s="10" t="str">
        <x:v>CAT017</x:v>
      </x:c>
      <x:c r="G1486" s="10" t="str">
        <x:v>Tributos e taxas</x:v>
      </x:c>
      <x:c r="H1486" s="10" t="str">
        <x:v>PAG00558</x:v>
      </x:c>
      <x:c r="I1486" s="20" t="n">
        <x:v>35883.81</x:v>
      </x:c>
      <x:c r="J1486" s="20" t="n">
        <x:v>-35883.81</x:v>
      </x:c>
      <x:c r="K1486" s="10" t="str">
        <x:v>Realizado</x:v>
      </x:c>
      <x:c r="L1486" s="10" t="str">
        <x:v>Contas a Pagar</x:v>
      </x:c>
    </x:row>
    <x:row r="1487" ht="18" customHeight="1">
      <x:c r="A1487" s="10" t="str">
        <x:v>MOV001000</x:v>
      </x:c>
      <x:c r="B1487" s="16" t="n">
        <x:v>45933.60281707176</x:v>
      </x:c>
      <x:c r="C1487" s="10" t="str">
        <x:v>EMP002</x:v>
      </x:c>
      <x:c r="D1487" s="10" t="str">
        <x:v>CTA004</x:v>
      </x:c>
      <x:c r="E1487" s="10" t="str">
        <x:v>Entrada</x:v>
      </x:c>
      <x:c r="F1487" s="10" t="str">
        <x:v>CAT004</x:v>
      </x:c>
      <x:c r="G1487" s="10" t="str">
        <x:v>Projeto especial</x:v>
      </x:c>
      <x:c r="H1487" s="10" t="str">
        <x:v>REC00299</x:v>
      </x:c>
      <x:c r="I1487" s="20" t="n">
        <x:v>27972.3</x:v>
      </x:c>
      <x:c r="J1487" s="20" t="n">
        <x:v>27972.3</x:v>
      </x:c>
      <x:c r="K1487" s="10" t="str">
        <x:v>Realizado</x:v>
      </x:c>
      <x:c r="L1487" s="10" t="str">
        <x:v>Contas a Receber</x:v>
      </x:c>
    </x:row>
    <x:row r="1488" ht="18" customHeight="1">
      <x:c r="A1488" s="10" t="str">
        <x:v>MOV000966</x:v>
      </x:c>
      <x:c r="B1488" s="16" t="n">
        <x:v>45933.624071886574</x:v>
      </x:c>
      <x:c r="C1488" s="10" t="str">
        <x:v>EMP003</x:v>
      </x:c>
      <x:c r="D1488" s="10" t="str">
        <x:v>CTA006</x:v>
      </x:c>
      <x:c r="E1488" s="10" t="str">
        <x:v>Entrada</x:v>
      </x:c>
      <x:c r="F1488" s="10" t="str">
        <x:v>CAT002</x:v>
      </x:c>
      <x:c r="G1488" s="10" t="str">
        <x:v>Contrato mensal</x:v>
      </x:c>
      <x:c r="H1488" s="10" t="str">
        <x:v>REC00256</x:v>
      </x:c>
      <x:c r="I1488" s="20" t="n">
        <x:v>67970.84</x:v>
      </x:c>
      <x:c r="J1488" s="20" t="n">
        <x:v>67970.84</x:v>
      </x:c>
      <x:c r="K1488" s="10" t="str">
        <x:v>Realizado</x:v>
      </x:c>
      <x:c r="L1488" s="10" t="str">
        <x:v>Contas a Receber</x:v>
      </x:c>
    </x:row>
    <x:row r="1489" ht="18" customHeight="1">
      <x:c r="A1489" s="10" t="str">
        <x:v>MOV000991</x:v>
      </x:c>
      <x:c r="B1489" s="16" t="n">
        <x:v>45933.80349424769</x:v>
      </x:c>
      <x:c r="C1489" s="10" t="str">
        <x:v>EMP002</x:v>
      </x:c>
      <x:c r="D1489" s="10" t="str">
        <x:v>CTA004</x:v>
      </x:c>
      <x:c r="E1489" s="10" t="str">
        <x:v>Entrada</x:v>
      </x:c>
      <x:c r="F1489" s="10" t="str">
        <x:v>CAT002</x:v>
      </x:c>
      <x:c r="G1489" s="10" t="str">
        <x:v>Contrato mensal</x:v>
      </x:c>
      <x:c r="H1489" s="10" t="str">
        <x:v>REC00288</x:v>
      </x:c>
      <x:c r="I1489" s="20" t="n">
        <x:v>2414.73</x:v>
      </x:c>
      <x:c r="J1489" s="20" t="n">
        <x:v>2414.73</x:v>
      </x:c>
      <x:c r="K1489" s="10" t="str">
        <x:v>Realizado</x:v>
      </x:c>
      <x:c r="L1489" s="10" t="str">
        <x:v>Contas a Receber</x:v>
      </x:c>
    </x:row>
    <x:row r="1490" ht="18" customHeight="1">
      <x:c r="A1490" s="10" t="str">
        <x:v>MOV000503</x:v>
      </x:c>
      <x:c r="B1490" s="16" t="n">
        <x:v>45934.16457930556</x:v>
      </x:c>
      <x:c r="C1490" s="10" t="str">
        <x:v>EMP001</x:v>
      </x:c>
      <x:c r="D1490" s="10" t="str">
        <x:v>CTA002</x:v>
      </x:c>
      <x:c r="E1490" s="10" t="str">
        <x:v>Saída</x:v>
      </x:c>
      <x:c r="F1490" s="10" t="str">
        <x:v>CAT018</x:v>
      </x:c>
      <x:c r="G1490" s="10" t="str">
        <x:v>Compra de materiais</x:v>
      </x:c>
      <x:c r="H1490" s="10" t="str">
        <x:v>PAG00592</x:v>
      </x:c>
      <x:c r="I1490" s="20" t="n">
        <x:v>20426.48</x:v>
      </x:c>
      <x:c r="J1490" s="20" t="n">
        <x:v>-20426.48</x:v>
      </x:c>
      <x:c r="K1490" s="10" t="str">
        <x:v>Realizado</x:v>
      </x:c>
      <x:c r="L1490" s="10" t="str">
        <x:v>Contas a Pagar</x:v>
      </x:c>
    </x:row>
    <x:row r="1491" ht="18" customHeight="1">
      <x:c r="A1491" s="10" t="str">
        <x:v>MOV000250</x:v>
      </x:c>
      <x:c r="B1491" s="16" t="n">
        <x:v>45934.675646157404</x:v>
      </x:c>
      <x:c r="C1491" s="10" t="str">
        <x:v>EMP002</x:v>
      </x:c>
      <x:c r="D1491" s="10" t="str">
        <x:v>CTA004</x:v>
      </x:c>
      <x:c r="E1491" s="10" t="str">
        <x:v>Saída</x:v>
      </x:c>
      <x:c r="F1491" s="10" t="str">
        <x:v>CAT007</x:v>
      </x:c>
      <x:c r="G1491" s="10" t="str">
        <x:v>Prestação de serviços</x:v>
      </x:c>
      <x:c r="H1491" s="10" t="str">
        <x:v>PAG00292</x:v>
      </x:c>
      <x:c r="I1491" s="20" t="n">
        <x:v>24039.3</x:v>
      </x:c>
      <x:c r="J1491" s="20" t="n">
        <x:v>-24039.3</x:v>
      </x:c>
      <x:c r="K1491" s="10" t="str">
        <x:v>Realizado</x:v>
      </x:c>
      <x:c r="L1491" s="10" t="str">
        <x:v>Contas a Pagar</x:v>
      </x:c>
    </x:row>
    <x:row r="1492" ht="18" customHeight="1">
      <x:c r="A1492" s="10" t="str">
        <x:v>MOV001209</x:v>
      </x:c>
      <x:c r="B1492" s="16" t="n">
        <x:v>45934.968851909725</x:v>
      </x:c>
      <x:c r="C1492" s="10" t="str">
        <x:v>EMP003</x:v>
      </x:c>
      <x:c r="D1492" s="10" t="str">
        <x:v>CTA006</x:v>
      </x:c>
      <x:c r="E1492" s="10" t="str">
        <x:v>Entrada</x:v>
      </x:c>
      <x:c r="F1492" s="10" t="str">
        <x:v>CAT003</x:v>
      </x:c>
      <x:c r="G1492" s="10" t="str">
        <x:v>Projeto especial</x:v>
      </x:c>
      <x:c r="H1492" s="10" t="str">
        <x:v>REC00554</x:v>
      </x:c>
      <x:c r="I1492" s="20" t="n">
        <x:v>1744.57</x:v>
      </x:c>
      <x:c r="J1492" s="20" t="n">
        <x:v>1744.57</x:v>
      </x:c>
      <x:c r="K1492" s="10" t="str">
        <x:v>Realizado</x:v>
      </x:c>
      <x:c r="L1492" s="10" t="str">
        <x:v>Contas a Receber</x:v>
      </x:c>
    </x:row>
    <x:row r="1493" ht="18" customHeight="1">
      <x:c r="A1493" s="10" t="str">
        <x:v>MOV000029</x:v>
      </x:c>
      <x:c r="B1493" s="16" t="n">
        <x:v>45935.51049208333</x:v>
      </x:c>
      <x:c r="C1493" s="10" t="str">
        <x:v>EMP002</x:v>
      </x:c>
      <x:c r="D1493" s="10" t="str">
        <x:v>CTA003</x:v>
      </x:c>
      <x:c r="E1493" s="10" t="str">
        <x:v>Saída</x:v>
      </x:c>
      <x:c r="F1493" s="10" t="str">
        <x:v>CAT011</x:v>
      </x:c>
      <x:c r="G1493" s="10" t="str">
        <x:v>Despesa operacional</x:v>
      </x:c>
      <x:c r="H1493" s="10" t="str">
        <x:v>PAG00029</x:v>
      </x:c>
      <x:c r="I1493" s="20" t="n">
        <x:v>19179.66</x:v>
      </x:c>
      <x:c r="J1493" s="20" t="n">
        <x:v>-19179.66</x:v>
      </x:c>
      <x:c r="K1493" s="10" t="str">
        <x:v>Realizado</x:v>
      </x:c>
      <x:c r="L1493" s="10" t="str">
        <x:v>Contas a Pagar</x:v>
      </x:c>
    </x:row>
    <x:row r="1494" ht="18" customHeight="1">
      <x:c r="A1494" s="10" t="str">
        <x:v>MOV001428</x:v>
      </x:c>
      <x:c r="B1494" s="16" t="n">
        <x:v>45935.66770347222</x:v>
      </x:c>
      <x:c r="C1494" s="10" t="str">
        <x:v>EMP002</x:v>
      </x:c>
      <x:c r="D1494" s="10" t="str">
        <x:v>CTA003</x:v>
      </x:c>
      <x:c r="E1494" s="10" t="str">
        <x:v>Entrada</x:v>
      </x:c>
      <x:c r="F1494" s="10" t="str">
        <x:v>CAT002</x:v>
      </x:c>
      <x:c r="G1494" s="10" t="str">
        <x:v>Contrato mensal</x:v>
      </x:c>
      <x:c r="H1494" s="10" t="str">
        <x:v>REC00818</x:v>
      </x:c>
      <x:c r="I1494" s="20" t="n">
        <x:v>85656.37</x:v>
      </x:c>
      <x:c r="J1494" s="20" t="n">
        <x:v>85656.37</x:v>
      </x:c>
      <x:c r="K1494" s="10" t="str">
        <x:v>Realizado</x:v>
      </x:c>
      <x:c r="L1494" s="10" t="str">
        <x:v>Contas a Receber</x:v>
      </x:c>
    </x:row>
    <x:row r="1495" ht="18" customHeight="1">
      <x:c r="A1495" s="10" t="str">
        <x:v>MOV000411</x:v>
      </x:c>
      <x:c r="B1495" s="16" t="n">
        <x:v>45936.535003391204</x:v>
      </x:c>
      <x:c r="C1495" s="10" t="str">
        <x:v>EMP002</x:v>
      </x:c>
      <x:c r="D1495" s="10" t="str">
        <x:v>CTA003</x:v>
      </x:c>
      <x:c r="E1495" s="10" t="str">
        <x:v>Saída</x:v>
      </x:c>
      <x:c r="F1495" s="10" t="str">
        <x:v>CAT016</x:v>
      </x:c>
      <x:c r="G1495" s="10" t="str">
        <x:v>Tributos e taxas</x:v>
      </x:c>
      <x:c r="H1495" s="10" t="str">
        <x:v>PAG00479</x:v>
      </x:c>
      <x:c r="I1495" s="20" t="n">
        <x:v>29917.37</x:v>
      </x:c>
      <x:c r="J1495" s="20" t="n">
        <x:v>-29917.37</x:v>
      </x:c>
      <x:c r="K1495" s="10" t="str">
        <x:v>Realizado</x:v>
      </x:c>
      <x:c r="L1495" s="10" t="str">
        <x:v>Contas a Pagar</x:v>
      </x:c>
    </x:row>
    <x:row r="1496" ht="18" customHeight="1">
      <x:c r="A1496" s="10" t="str">
        <x:v>MOV001577</x:v>
      </x:c>
      <x:c r="B1496" s="16" t="n">
        <x:v>45937.16763606481</x:v>
      </x:c>
      <x:c r="C1496" s="10" t="str">
        <x:v>EMP001</x:v>
      </x:c>
      <x:c r="D1496" s="10" t="str">
        <x:v>CTA001</x:v>
      </x:c>
      <x:c r="E1496" s="10" t="str">
        <x:v>Entrada</x:v>
      </x:c>
      <x:c r="F1496" s="10" t="str">
        <x:v>CAT004</x:v>
      </x:c>
      <x:c r="G1496" s="10" t="str">
        <x:v>Frete faturado</x:v>
      </x:c>
      <x:c r="H1496" s="10" t="str">
        <x:v>REC00999</x:v>
      </x:c>
      <x:c r="I1496" s="20" t="n">
        <x:v>144799.18</x:v>
      </x:c>
      <x:c r="J1496" s="20" t="n">
        <x:v>144799.18</x:v>
      </x:c>
      <x:c r="K1496" s="10" t="str">
        <x:v>Realizado</x:v>
      </x:c>
      <x:c r="L1496" s="10" t="str">
        <x:v>Contas a Receber</x:v>
      </x:c>
    </x:row>
    <x:row r="1497" ht="18" customHeight="1">
      <x:c r="A1497" s="10" t="str">
        <x:v>MOV001481</x:v>
      </x:c>
      <x:c r="B1497" s="16" t="n">
        <x:v>45939.08935422454</x:v>
      </x:c>
      <x:c r="C1497" s="10" t="str">
        <x:v>EMP002</x:v>
      </x:c>
      <x:c r="D1497" s="10" t="str">
        <x:v>CTA004</x:v>
      </x:c>
      <x:c r="E1497" s="10" t="str">
        <x:v>Entrada</x:v>
      </x:c>
      <x:c r="F1497" s="10" t="str">
        <x:v>CAT001</x:v>
      </x:c>
      <x:c r="G1497" s="10" t="str">
        <x:v>Frete faturado</x:v>
      </x:c>
      <x:c r="H1497" s="10" t="str">
        <x:v>REC00881</x:v>
      </x:c>
      <x:c r="I1497" s="20" t="n">
        <x:v>8389.15</x:v>
      </x:c>
      <x:c r="J1497" s="20" t="n">
        <x:v>8389.15</x:v>
      </x:c>
      <x:c r="K1497" s="10" t="str">
        <x:v>Realizado</x:v>
      </x:c>
      <x:c r="L1497" s="10" t="str">
        <x:v>Contas a Receber</x:v>
      </x:c>
    </x:row>
    <x:row r="1498" ht="18" customHeight="1">
      <x:c r="A1498" s="10" t="str">
        <x:v>MOV001427</x:v>
      </x:c>
      <x:c r="B1498" s="16" t="n">
        <x:v>45939.142032233794</x:v>
      </x:c>
      <x:c r="C1498" s="10" t="str">
        <x:v>EMP002</x:v>
      </x:c>
      <x:c r="D1498" s="10" t="str">
        <x:v>CTA004</x:v>
      </x:c>
      <x:c r="E1498" s="10" t="str">
        <x:v>Entrada</x:v>
      </x:c>
      <x:c r="F1498" s="10" t="str">
        <x:v>CAT004</x:v>
      </x:c>
      <x:c r="G1498" s="10" t="str">
        <x:v>Venda de produtos</x:v>
      </x:c>
      <x:c r="H1498" s="10" t="str">
        <x:v>REC00817</x:v>
      </x:c>
      <x:c r="I1498" s="20" t="n">
        <x:v>966.98</x:v>
      </x:c>
      <x:c r="J1498" s="20" t="n">
        <x:v>966.98</x:v>
      </x:c>
      <x:c r="K1498" s="10" t="str">
        <x:v>Realizado</x:v>
      </x:c>
      <x:c r="L1498" s="10" t="str">
        <x:v>Contas a Receber</x:v>
      </x:c>
    </x:row>
    <x:row r="1499" ht="18" customHeight="1">
      <x:c r="A1499" s="10" t="str">
        <x:v>MOV001387</x:v>
      </x:c>
      <x:c r="B1499" s="16" t="n">
        <x:v>45940.16190438657</x:v>
      </x:c>
      <x:c r="C1499" s="10" t="str">
        <x:v>EMP002</x:v>
      </x:c>
      <x:c r="D1499" s="10" t="str">
        <x:v>CTA004</x:v>
      </x:c>
      <x:c r="E1499" s="10" t="str">
        <x:v>Entrada</x:v>
      </x:c>
      <x:c r="F1499" s="10" t="str">
        <x:v>CAT002</x:v>
      </x:c>
      <x:c r="G1499" s="10" t="str">
        <x:v>Frete faturado</x:v>
      </x:c>
      <x:c r="H1499" s="10" t="str">
        <x:v>REC00764</x:v>
      </x:c>
      <x:c r="I1499" s="20" t="n">
        <x:v>116830.99</x:v>
      </x:c>
      <x:c r="J1499" s="20" t="n">
        <x:v>116830.99</x:v>
      </x:c>
      <x:c r="K1499" s="10" t="str">
        <x:v>Realizado</x:v>
      </x:c>
      <x:c r="L1499" s="10" t="str">
        <x:v>Contas a Receber</x:v>
      </x:c>
    </x:row>
    <x:row r="1500" ht="18" customHeight="1">
      <x:c r="A1500" s="10" t="str">
        <x:v>MOV000995</x:v>
      </x:c>
      <x:c r="B1500" s="16" t="n">
        <x:v>45940.617431342595</x:v>
      </x:c>
      <x:c r="C1500" s="10" t="str">
        <x:v>EMP001</x:v>
      </x:c>
      <x:c r="D1500" s="10" t="str">
        <x:v>CTA002</x:v>
      </x:c>
      <x:c r="E1500" s="10" t="str">
        <x:v>Entrada</x:v>
      </x:c>
      <x:c r="F1500" s="10" t="str">
        <x:v>CAT001</x:v>
      </x:c>
      <x:c r="G1500" s="10" t="str">
        <x:v>Prestação de serviços</x:v>
      </x:c>
      <x:c r="H1500" s="10" t="str">
        <x:v>REC00293</x:v>
      </x:c>
      <x:c r="I1500" s="20" t="n">
        <x:v>81232.8</x:v>
      </x:c>
      <x:c r="J1500" s="20" t="n">
        <x:v>81232.8</x:v>
      </x:c>
      <x:c r="K1500" s="10" t="str">
        <x:v>Realizado</x:v>
      </x:c>
      <x:c r="L1500" s="10" t="str">
        <x:v>Contas a Receber</x:v>
      </x:c>
    </x:row>
    <x:row r="1501" ht="18" customHeight="1">
      <x:c r="A1501" s="10" t="str">
        <x:v>MOV000448</x:v>
      </x:c>
      <x:c r="B1501" s="16" t="n">
        <x:v>45941.46627082176</x:v>
      </x:c>
      <x:c r="C1501" s="10" t="str">
        <x:v>EMP001</x:v>
      </x:c>
      <x:c r="D1501" s="10" t="str">
        <x:v>CTA002</x:v>
      </x:c>
      <x:c r="E1501" s="10" t="str">
        <x:v>Saída</x:v>
      </x:c>
      <x:c r="F1501" s="10" t="str">
        <x:v>CAT016</x:v>
      </x:c>
      <x:c r="G1501" s="10" t="str">
        <x:v>Tributos e taxas</x:v>
      </x:c>
      <x:c r="H1501" s="10" t="str">
        <x:v>PAG00526</x:v>
      </x:c>
      <x:c r="I1501" s="20" t="n">
        <x:v>11697.08</x:v>
      </x:c>
      <x:c r="J1501" s="20" t="n">
        <x:v>-11697.08</x:v>
      </x:c>
      <x:c r="K1501" s="10" t="str">
        <x:v>Realizado</x:v>
      </x:c>
      <x:c r="L1501" s="10" t="str">
        <x:v>Contas a Pagar</x:v>
      </x:c>
    </x:row>
    <x:row r="1502" ht="18" customHeight="1">
      <x:c r="A1502" s="10" t="str">
        <x:v>MOV000592</x:v>
      </x:c>
      <x:c r="B1502" s="16" t="n">
        <x:v>45941.478244895836</x:v>
      </x:c>
      <x:c r="C1502" s="10" t="str">
        <x:v>EMP001</x:v>
      </x:c>
      <x:c r="D1502" s="10" t="str">
        <x:v>CTA001</x:v>
      </x:c>
      <x:c r="E1502" s="10" t="str">
        <x:v>Saída</x:v>
      </x:c>
      <x:c r="F1502" s="10" t="str">
        <x:v>CAT009</x:v>
      </x:c>
      <x:c r="G1502" s="10" t="str">
        <x:v>Tributos e taxas</x:v>
      </x:c>
      <x:c r="H1502" s="10" t="str">
        <x:v>PAG00698</x:v>
      </x:c>
      <x:c r="I1502" s="20" t="n">
        <x:v>86628</x:v>
      </x:c>
      <x:c r="J1502" s="20" t="n">
        <x:v>-86628</x:v>
      </x:c>
      <x:c r="K1502" s="10" t="str">
        <x:v>Realizado</x:v>
      </x:c>
      <x:c r="L1502" s="10" t="str">
        <x:v>Contas a Pagar</x:v>
      </x:c>
    </x:row>
    <x:row r="1503" ht="18" customHeight="1">
      <x:c r="A1503" s="10" t="str">
        <x:v>MOV000562</x:v>
      </x:c>
      <x:c r="B1503" s="16" t="n">
        <x:v>45941.90738167824</x:v>
      </x:c>
      <x:c r="C1503" s="10" t="str">
        <x:v>EMP003</x:v>
      </x:c>
      <x:c r="D1503" s="10" t="str">
        <x:v>CTA006</x:v>
      </x:c>
      <x:c r="E1503" s="10" t="str">
        <x:v>Saída</x:v>
      </x:c>
      <x:c r="F1503" s="10" t="str">
        <x:v>CAT015</x:v>
      </x:c>
      <x:c r="G1503" s="10" t="str">
        <x:v>Prestação de serviços</x:v>
      </x:c>
      <x:c r="H1503" s="10" t="str">
        <x:v>PAG00659</x:v>
      </x:c>
      <x:c r="I1503" s="20" t="n">
        <x:v>698.06</x:v>
      </x:c>
      <x:c r="J1503" s="20" t="n">
        <x:v>-698.06</x:v>
      </x:c>
      <x:c r="K1503" s="10" t="str">
        <x:v>Realizado</x:v>
      </x:c>
      <x:c r="L1503" s="10" t="str">
        <x:v>Contas a Pagar</x:v>
      </x:c>
    </x:row>
    <x:row r="1504" ht="18" customHeight="1">
      <x:c r="A1504" s="10" t="str">
        <x:v>MOV001515</x:v>
      </x:c>
      <x:c r="B1504" s="16" t="n">
        <x:v>45942.71781263889</x:v>
      </x:c>
      <x:c r="C1504" s="10" t="str">
        <x:v>EMP002</x:v>
      </x:c>
      <x:c r="D1504" s="10" t="str">
        <x:v>CTA004</x:v>
      </x:c>
      <x:c r="E1504" s="10" t="str">
        <x:v>Entrada</x:v>
      </x:c>
      <x:c r="F1504" s="10" t="str">
        <x:v>CAT002</x:v>
      </x:c>
      <x:c r="G1504" s="10" t="str">
        <x:v>Contrato mensal</x:v>
      </x:c>
      <x:c r="H1504" s="10" t="str">
        <x:v>REC00925</x:v>
      </x:c>
      <x:c r="I1504" s="20" t="n">
        <x:v>31254.81</x:v>
      </x:c>
      <x:c r="J1504" s="20" t="n">
        <x:v>31254.81</x:v>
      </x:c>
      <x:c r="K1504" s="10" t="str">
        <x:v>Realizado</x:v>
      </x:c>
      <x:c r="L1504" s="10" t="str">
        <x:v>Contas a Receber</x:v>
      </x:c>
    </x:row>
    <x:row r="1505" ht="18" customHeight="1">
      <x:c r="A1505" s="10" t="str">
        <x:v>MOV000689</x:v>
      </x:c>
      <x:c r="B1505" s="16" t="n">
        <x:v>45944.62099427083</x:v>
      </x:c>
      <x:c r="C1505" s="10" t="str">
        <x:v>EMP003</x:v>
      </x:c>
      <x:c r="D1505" s="10" t="str">
        <x:v>CTA005</x:v>
      </x:c>
      <x:c r="E1505" s="10" t="str">
        <x:v>Saída</x:v>
      </x:c>
      <x:c r="F1505" s="10" t="str">
        <x:v>CAT015</x:v>
      </x:c>
      <x:c r="G1505" s="10" t="str">
        <x:v>Compra de materiais</x:v>
      </x:c>
      <x:c r="H1505" s="10" t="str">
        <x:v>PAG00819</x:v>
      </x:c>
      <x:c r="I1505" s="20" t="n">
        <x:v>7011.4</x:v>
      </x:c>
      <x:c r="J1505" s="20" t="n">
        <x:v>-7011.4</x:v>
      </x:c>
      <x:c r="K1505" s="10" t="str">
        <x:v>Realizado</x:v>
      </x:c>
      <x:c r="L1505" s="10" t="str">
        <x:v>Contas a Pagar</x:v>
      </x:c>
    </x:row>
    <x:row r="1506" ht="18" customHeight="1">
      <x:c r="A1506" s="10" t="str">
        <x:v>MOV000479</x:v>
      </x:c>
      <x:c r="B1506" s="16" t="n">
        <x:v>45944.932593564816</x:v>
      </x:c>
      <x:c r="C1506" s="10" t="str">
        <x:v>EMP002</x:v>
      </x:c>
      <x:c r="D1506" s="10" t="str">
        <x:v>CTA003</x:v>
      </x:c>
      <x:c r="E1506" s="10" t="str">
        <x:v>Saída</x:v>
      </x:c>
      <x:c r="F1506" s="10" t="str">
        <x:v>CAT009</x:v>
      </x:c>
      <x:c r="G1506" s="10" t="str">
        <x:v>Prestação de serviços</x:v>
      </x:c>
      <x:c r="H1506" s="10" t="str">
        <x:v>PAG00562</x:v>
      </x:c>
      <x:c r="I1506" s="20" t="n">
        <x:v>113428.2</x:v>
      </x:c>
      <x:c r="J1506" s="20" t="n">
        <x:v>-113428.2</x:v>
      </x:c>
      <x:c r="K1506" s="10" t="str">
        <x:v>Realizado</x:v>
      </x:c>
      <x:c r="L1506" s="10" t="str">
        <x:v>Contas a Pagar</x:v>
      </x:c>
    </x:row>
    <x:row r="1507" ht="18" customHeight="1">
      <x:c r="A1507" s="10" t="str">
        <x:v>MOV001095</x:v>
      </x:c>
      <x:c r="B1507" s="16" t="n">
        <x:v>45945.11258962963</x:v>
      </x:c>
      <x:c r="C1507" s="10" t="str">
        <x:v>EMP003</x:v>
      </x:c>
      <x:c r="D1507" s="10" t="str">
        <x:v>CTA006</x:v>
      </x:c>
      <x:c r="E1507" s="10" t="str">
        <x:v>Entrada</x:v>
      </x:c>
      <x:c r="F1507" s="10" t="str">
        <x:v>CAT002</x:v>
      </x:c>
      <x:c r="G1507" s="10" t="str">
        <x:v>Projeto especial</x:v>
      </x:c>
      <x:c r="H1507" s="10" t="str">
        <x:v>REC00420</x:v>
      </x:c>
      <x:c r="I1507" s="20" t="n">
        <x:v>27802.31</x:v>
      </x:c>
      <x:c r="J1507" s="20" t="n">
        <x:v>27802.31</x:v>
      </x:c>
      <x:c r="K1507" s="10" t="str">
        <x:v>Realizado</x:v>
      </x:c>
      <x:c r="L1507" s="10" t="str">
        <x:v>Contas a Receber</x:v>
      </x:c>
    </x:row>
    <x:row r="1508" ht="18" customHeight="1">
      <x:c r="A1508" s="10" t="str">
        <x:v>MOV000735</x:v>
      </x:c>
      <x:c r="B1508" s="16" t="n">
        <x:v>45945.13183704861</x:v>
      </x:c>
      <x:c r="C1508" s="10" t="str">
        <x:v>EMP003</x:v>
      </x:c>
      <x:c r="D1508" s="10" t="str">
        <x:v>CTA005</x:v>
      </x:c>
      <x:c r="E1508" s="10" t="str">
        <x:v>Saída</x:v>
      </x:c>
      <x:c r="F1508" s="10" t="str">
        <x:v>CAT009</x:v>
      </x:c>
      <x:c r="G1508" s="10" t="str">
        <x:v>Contrato recorrente</x:v>
      </x:c>
      <x:c r="H1508" s="10" t="str">
        <x:v>PAG00874</x:v>
      </x:c>
      <x:c r="I1508" s="20" t="n">
        <x:v>9884.75</x:v>
      </x:c>
      <x:c r="J1508" s="20" t="n">
        <x:v>-9884.75</x:v>
      </x:c>
      <x:c r="K1508" s="10" t="str">
        <x:v>Realizado</x:v>
      </x:c>
      <x:c r="L1508" s="10" t="str">
        <x:v>Contas a Pagar</x:v>
      </x:c>
    </x:row>
    <x:row r="1509" ht="18" customHeight="1">
      <x:c r="A1509" s="10" t="str">
        <x:v>MOV000161</x:v>
      </x:c>
      <x:c r="B1509" s="16" t="n">
        <x:v>45945.164082476855</x:v>
      </x:c>
      <x:c r="C1509" s="10" t="str">
        <x:v>EMP001</x:v>
      </x:c>
      <x:c r="D1509" s="10" t="str">
        <x:v>CTA001</x:v>
      </x:c>
      <x:c r="E1509" s="10" t="str">
        <x:v>Saída</x:v>
      </x:c>
      <x:c r="F1509" s="10" t="str">
        <x:v>CAT015</x:v>
      </x:c>
      <x:c r="G1509" s="10" t="str">
        <x:v>Tributos e taxas</x:v>
      </x:c>
      <x:c r="H1509" s="10" t="str">
        <x:v>PAG00188</x:v>
      </x:c>
      <x:c r="I1509" s="20" t="n">
        <x:v>107851.98</x:v>
      </x:c>
      <x:c r="J1509" s="20" t="n">
        <x:v>-107851.98</x:v>
      </x:c>
      <x:c r="K1509" s="10" t="str">
        <x:v>Realizado</x:v>
      </x:c>
      <x:c r="L1509" s="10" t="str">
        <x:v>Contas a Pagar</x:v>
      </x:c>
    </x:row>
    <x:row r="1510" ht="18" customHeight="1">
      <x:c r="A1510" s="10" t="str">
        <x:v>MOV000622</x:v>
      </x:c>
      <x:c r="B1510" s="16" t="n">
        <x:v>45945.558943206015</x:v>
      </x:c>
      <x:c r="C1510" s="10" t="str">
        <x:v>EMP002</x:v>
      </x:c>
      <x:c r="D1510" s="10" t="str">
        <x:v>CTA004</x:v>
      </x:c>
      <x:c r="E1510" s="10" t="str">
        <x:v>Saída</x:v>
      </x:c>
      <x:c r="F1510" s="10" t="str">
        <x:v>CAT007</x:v>
      </x:c>
      <x:c r="G1510" s="10" t="str">
        <x:v>Contrato recorrente</x:v>
      </x:c>
      <x:c r="H1510" s="10" t="str">
        <x:v>PAG00736</x:v>
      </x:c>
      <x:c r="I1510" s="20" t="n">
        <x:v>6835.47</x:v>
      </x:c>
      <x:c r="J1510" s="20" t="n">
        <x:v>-6835.47</x:v>
      </x:c>
      <x:c r="K1510" s="10" t="str">
        <x:v>Realizado</x:v>
      </x:c>
      <x:c r="L1510" s="10" t="str">
        <x:v>Contas a Pagar</x:v>
      </x:c>
    </x:row>
    <x:row r="1511" ht="18" customHeight="1">
      <x:c r="A1511" s="10" t="str">
        <x:v>MOV000667</x:v>
      </x:c>
      <x:c r="B1511" s="16" t="n">
        <x:v>45945.67149905093</x:v>
      </x:c>
      <x:c r="C1511" s="10" t="str">
        <x:v>EMP003</x:v>
      </x:c>
      <x:c r="D1511" s="10" t="str">
        <x:v>CTA006</x:v>
      </x:c>
      <x:c r="E1511" s="10" t="str">
        <x:v>Saída</x:v>
      </x:c>
      <x:c r="F1511" s="10" t="str">
        <x:v>CAT011</x:v>
      </x:c>
      <x:c r="G1511" s="10" t="str">
        <x:v>Contrato recorrente</x:v>
      </x:c>
      <x:c r="H1511" s="10" t="str">
        <x:v>PAG00792</x:v>
      </x:c>
      <x:c r="I1511" s="20" t="n">
        <x:v>40448.56</x:v>
      </x:c>
      <x:c r="J1511" s="20" t="n">
        <x:v>-40448.56</x:v>
      </x:c>
      <x:c r="K1511" s="10" t="str">
        <x:v>Realizado</x:v>
      </x:c>
      <x:c r="L1511" s="10" t="str">
        <x:v>Contas a Pagar</x:v>
      </x:c>
    </x:row>
    <x:row r="1512" ht="18" customHeight="1">
      <x:c r="A1512" s="10" t="str">
        <x:v>MOV000763</x:v>
      </x:c>
      <x:c r="B1512" s="16" t="n">
        <x:v>45945.87512809028</x:v>
      </x:c>
      <x:c r="C1512" s="10" t="str">
        <x:v>EMP003</x:v>
      </x:c>
      <x:c r="D1512" s="10" t="str">
        <x:v>CTA005</x:v>
      </x:c>
      <x:c r="E1512" s="10" t="str">
        <x:v>Entrada</x:v>
      </x:c>
      <x:c r="F1512" s="10" t="str">
        <x:v>CAT004</x:v>
      </x:c>
      <x:c r="G1512" s="10" t="str">
        <x:v>Contrato mensal</x:v>
      </x:c>
      <x:c r="H1512" s="10" t="str">
        <x:v>REC00006</x:v>
      </x:c>
      <x:c r="I1512" s="20" t="n">
        <x:v>125380.45</x:v>
      </x:c>
      <x:c r="J1512" s="20" t="n">
        <x:v>125380.45</x:v>
      </x:c>
      <x:c r="K1512" s="10" t="str">
        <x:v>Realizado</x:v>
      </x:c>
      <x:c r="L1512" s="10" t="str">
        <x:v>Contas a Receber</x:v>
      </x:c>
    </x:row>
    <x:row r="1513" ht="18" customHeight="1">
      <x:c r="A1513" s="10" t="str">
        <x:v>MOV000748</x:v>
      </x:c>
      <x:c r="B1513" s="16" t="n">
        <x:v>45946.85607787037</x:v>
      </x:c>
      <x:c r="C1513" s="10" t="str">
        <x:v>EMP003</x:v>
      </x:c>
      <x:c r="D1513" s="10" t="str">
        <x:v>CTA005</x:v>
      </x:c>
      <x:c r="E1513" s="10" t="str">
        <x:v>Saída</x:v>
      </x:c>
      <x:c r="F1513" s="10" t="str">
        <x:v>CAT010</x:v>
      </x:c>
      <x:c r="G1513" s="10" t="str">
        <x:v>Tributos e taxas</x:v>
      </x:c>
      <x:c r="H1513" s="10" t="str">
        <x:v>PAG00888</x:v>
      </x:c>
      <x:c r="I1513" s="20" t="n">
        <x:v>19505.09</x:v>
      </x:c>
      <x:c r="J1513" s="20" t="n">
        <x:v>-19505.09</x:v>
      </x:c>
      <x:c r="K1513" s="10" t="str">
        <x:v>Realizado</x:v>
      </x:c>
      <x:c r="L1513" s="10" t="str">
        <x:v>Contas a Pagar</x:v>
      </x:c>
    </x:row>
    <x:row r="1514" ht="18" customHeight="1">
      <x:c r="A1514" s="10" t="str">
        <x:v>MOV000427</x:v>
      </x:c>
      <x:c r="B1514" s="16" t="n">
        <x:v>45947.43836458334</x:v>
      </x:c>
      <x:c r="C1514" s="10" t="str">
        <x:v>EMP002</x:v>
      </x:c>
      <x:c r="D1514" s="10" t="str">
        <x:v>CTA004</x:v>
      </x:c>
      <x:c r="E1514" s="10" t="str">
        <x:v>Saída</x:v>
      </x:c>
      <x:c r="F1514" s="10" t="str">
        <x:v>CAT005</x:v>
      </x:c>
      <x:c r="G1514" s="10" t="str">
        <x:v>Despesa operacional</x:v>
      </x:c>
      <x:c r="H1514" s="10" t="str">
        <x:v>PAG00500</x:v>
      </x:c>
      <x:c r="I1514" s="20" t="n">
        <x:v>74528.88</x:v>
      </x:c>
      <x:c r="J1514" s="20" t="n">
        <x:v>-74528.88</x:v>
      </x:c>
      <x:c r="K1514" s="10" t="str">
        <x:v>Realizado</x:v>
      </x:c>
      <x:c r="L1514" s="10" t="str">
        <x:v>Contas a Pagar</x:v>
      </x:c>
    </x:row>
    <x:row r="1515" ht="18" customHeight="1">
      <x:c r="A1515" s="10" t="str">
        <x:v>MOV001140</x:v>
      </x:c>
      <x:c r="B1515" s="16" t="n">
        <x:v>45948.149421724534</x:v>
      </x:c>
      <x:c r="C1515" s="10" t="str">
        <x:v>EMP002</x:v>
      </x:c>
      <x:c r="D1515" s="10" t="str">
        <x:v>CTA004</x:v>
      </x:c>
      <x:c r="E1515" s="10" t="str">
        <x:v>Entrada</x:v>
      </x:c>
      <x:c r="F1515" s="10" t="str">
        <x:v>CAT004</x:v>
      </x:c>
      <x:c r="G1515" s="10" t="str">
        <x:v>Contrato mensal</x:v>
      </x:c>
      <x:c r="H1515" s="10" t="str">
        <x:v>REC00472</x:v>
      </x:c>
      <x:c r="I1515" s="20" t="n">
        <x:v>109198.88</x:v>
      </x:c>
      <x:c r="J1515" s="20" t="n">
        <x:v>109198.88</x:v>
      </x:c>
      <x:c r="K1515" s="10" t="str">
        <x:v>Realizado</x:v>
      </x:c>
      <x:c r="L1515" s="10" t="str">
        <x:v>Contas a Receber</x:v>
      </x:c>
    </x:row>
    <x:row r="1516" ht="18" customHeight="1">
      <x:c r="A1516" s="10" t="str">
        <x:v>MOV001004</x:v>
      </x:c>
      <x:c r="B1516" s="16" t="n">
        <x:v>45948.55473686343</x:v>
      </x:c>
      <x:c r="C1516" s="10" t="str">
        <x:v>EMP003</x:v>
      </x:c>
      <x:c r="D1516" s="10" t="str">
        <x:v>CTA006</x:v>
      </x:c>
      <x:c r="E1516" s="10" t="str">
        <x:v>Entrada</x:v>
      </x:c>
      <x:c r="F1516" s="10" t="str">
        <x:v>CAT003</x:v>
      </x:c>
      <x:c r="G1516" s="10" t="str">
        <x:v>Projeto especial</x:v>
      </x:c>
      <x:c r="H1516" s="10" t="str">
        <x:v>REC00304</x:v>
      </x:c>
      <x:c r="I1516" s="20" t="n">
        <x:v>128233.44</x:v>
      </x:c>
      <x:c r="J1516" s="20" t="n">
        <x:v>128233.44</x:v>
      </x:c>
      <x:c r="K1516" s="10" t="str">
        <x:v>Realizado</x:v>
      </x:c>
      <x:c r="L1516" s="10" t="str">
        <x:v>Contas a Receber</x:v>
      </x:c>
    </x:row>
    <x:row r="1517" ht="18" customHeight="1">
      <x:c r="A1517" s="10" t="str">
        <x:v>MOV000247</x:v>
      </x:c>
      <x:c r="B1517" s="16" t="n">
        <x:v>45948.87467082176</x:v>
      </x:c>
      <x:c r="C1517" s="10" t="str">
        <x:v>EMP001</x:v>
      </x:c>
      <x:c r="D1517" s="10" t="str">
        <x:v>CTA001</x:v>
      </x:c>
      <x:c r="E1517" s="10" t="str">
        <x:v>Saída</x:v>
      </x:c>
      <x:c r="F1517" s="10" t="str">
        <x:v>CAT017</x:v>
      </x:c>
      <x:c r="G1517" s="10" t="str">
        <x:v>Compra de materiais</x:v>
      </x:c>
      <x:c r="H1517" s="10" t="str">
        <x:v>PAG00288</x:v>
      </x:c>
      <x:c r="I1517" s="20" t="n">
        <x:v>6481.81</x:v>
      </x:c>
      <x:c r="J1517" s="20" t="n">
        <x:v>-6481.81</x:v>
      </x:c>
      <x:c r="K1517" s="10" t="str">
        <x:v>Realizado</x:v>
      </x:c>
      <x:c r="L1517" s="10" t="str">
        <x:v>Contas a Pagar</x:v>
      </x:c>
    </x:row>
    <x:row r="1518" ht="18" customHeight="1">
      <x:c r="A1518" s="10" t="str">
        <x:v>MOV000012</x:v>
      </x:c>
      <x:c r="B1518" s="16" t="n">
        <x:v>45948.92454438657</x:v>
      </x:c>
      <x:c r="C1518" s="10" t="str">
        <x:v>EMP002</x:v>
      </x:c>
      <x:c r="D1518" s="10" t="str">
        <x:v>CTA004</x:v>
      </x:c>
      <x:c r="E1518" s="10" t="str">
        <x:v>Saída</x:v>
      </x:c>
      <x:c r="F1518" s="10" t="str">
        <x:v>CAT006</x:v>
      </x:c>
      <x:c r="G1518" s="10" t="str">
        <x:v>Contrato recorrente</x:v>
      </x:c>
      <x:c r="H1518" s="10" t="str">
        <x:v>PAG00009</x:v>
      </x:c>
      <x:c r="I1518" s="20" t="n">
        <x:v>52209.32</x:v>
      </x:c>
      <x:c r="J1518" s="20" t="n">
        <x:v>-52209.32</x:v>
      </x:c>
      <x:c r="K1518" s="10" t="str">
        <x:v>Realizado</x:v>
      </x:c>
      <x:c r="L1518" s="10" t="str">
        <x:v>Contas a Pagar</x:v>
      </x:c>
    </x:row>
    <x:row r="1519" ht="18" customHeight="1">
      <x:c r="A1519" s="10" t="str">
        <x:v>MOV001248</x:v>
      </x:c>
      <x:c r="B1519" s="16" t="n">
        <x:v>45949.70161033565</x:v>
      </x:c>
      <x:c r="C1519" s="10" t="str">
        <x:v>EMP003</x:v>
      </x:c>
      <x:c r="D1519" s="10" t="str">
        <x:v>CTA005</x:v>
      </x:c>
      <x:c r="E1519" s="10" t="str">
        <x:v>Entrada</x:v>
      </x:c>
      <x:c r="F1519" s="10" t="str">
        <x:v>CAT003</x:v>
      </x:c>
      <x:c r="G1519" s="10" t="str">
        <x:v>Prestação de serviços</x:v>
      </x:c>
      <x:c r="H1519" s="10" t="str">
        <x:v>REC00601</x:v>
      </x:c>
      <x:c r="I1519" s="20" t="n">
        <x:v>112746.05</x:v>
      </x:c>
      <x:c r="J1519" s="20" t="n">
        <x:v>112746.05</x:v>
      </x:c>
      <x:c r="K1519" s="10" t="str">
        <x:v>Realizado</x:v>
      </x:c>
      <x:c r="L1519" s="10" t="str">
        <x:v>Contas a Receber</x:v>
      </x:c>
    </x:row>
    <x:row r="1520" ht="18" customHeight="1">
      <x:c r="A1520" s="10" t="str">
        <x:v>MOV000024</x:v>
      </x:c>
      <x:c r="B1520" s="16" t="n">
        <x:v>45950.028937152776</x:v>
      </x:c>
      <x:c r="C1520" s="10" t="str">
        <x:v>EMP001</x:v>
      </x:c>
      <x:c r="D1520" s="10" t="str">
        <x:v>CTA001</x:v>
      </x:c>
      <x:c r="E1520" s="10" t="str">
        <x:v>Saída</x:v>
      </x:c>
      <x:c r="F1520" s="10" t="str">
        <x:v>CAT008</x:v>
      </x:c>
      <x:c r="G1520" s="10" t="str">
        <x:v>Prestação de serviços</x:v>
      </x:c>
      <x:c r="H1520" s="10" t="str">
        <x:v>PAG00023</x:v>
      </x:c>
      <x:c r="I1520" s="20" t="n">
        <x:v>38862.62</x:v>
      </x:c>
      <x:c r="J1520" s="20" t="n">
        <x:v>-38862.62</x:v>
      </x:c>
      <x:c r="K1520" s="10" t="str">
        <x:v>Realizado</x:v>
      </x:c>
      <x:c r="L1520" s="10" t="str">
        <x:v>Contas a Pagar</x:v>
      </x:c>
    </x:row>
    <x:row r="1521" ht="18" customHeight="1">
      <x:c r="A1521" s="10" t="str">
        <x:v>MOV001010</x:v>
      </x:c>
      <x:c r="B1521" s="16" t="n">
        <x:v>45950.65712822917</x:v>
      </x:c>
      <x:c r="C1521" s="10" t="str">
        <x:v>EMP002</x:v>
      </x:c>
      <x:c r="D1521" s="10" t="str">
        <x:v>CTA004</x:v>
      </x:c>
      <x:c r="E1521" s="10" t="str">
        <x:v>Entrada</x:v>
      </x:c>
      <x:c r="F1521" s="10" t="str">
        <x:v>CAT003</x:v>
      </x:c>
      <x:c r="G1521" s="10" t="str">
        <x:v>Venda de produtos</x:v>
      </x:c>
      <x:c r="H1521" s="10" t="str">
        <x:v>REC00312</x:v>
      </x:c>
      <x:c r="I1521" s="20" t="n">
        <x:v>94471.5</x:v>
      </x:c>
      <x:c r="J1521" s="20" t="n">
        <x:v>94471.5</x:v>
      </x:c>
      <x:c r="K1521" s="10" t="str">
        <x:v>Realizado</x:v>
      </x:c>
      <x:c r="L1521" s="10" t="str">
        <x:v>Contas a Receber</x:v>
      </x:c>
    </x:row>
    <x:row r="1522" ht="18" customHeight="1">
      <x:c r="A1522" s="10" t="str">
        <x:v>MOV001433</x:v>
      </x:c>
      <x:c r="B1522" s="16" t="n">
        <x:v>45952.343911944445</x:v>
      </x:c>
      <x:c r="C1522" s="10" t="str">
        <x:v>EMP001</x:v>
      </x:c>
      <x:c r="D1522" s="10" t="str">
        <x:v>CTA001</x:v>
      </x:c>
      <x:c r="E1522" s="10" t="str">
        <x:v>Entrada</x:v>
      </x:c>
      <x:c r="F1522" s="10" t="str">
        <x:v>CAT002</x:v>
      </x:c>
      <x:c r="G1522" s="10" t="str">
        <x:v>Venda de produtos</x:v>
      </x:c>
      <x:c r="H1522" s="10" t="str">
        <x:v>REC00823</x:v>
      </x:c>
      <x:c r="I1522" s="20" t="n">
        <x:v>3858.04</x:v>
      </x:c>
      <x:c r="J1522" s="20" t="n">
        <x:v>3858.04</x:v>
      </x:c>
      <x:c r="K1522" s="10" t="str">
        <x:v>Realizado</x:v>
      </x:c>
      <x:c r="L1522" s="10" t="str">
        <x:v>Contas a Receber</x:v>
      </x:c>
    </x:row>
    <x:row r="1523" ht="18" customHeight="1">
      <x:c r="A1523" s="10" t="str">
        <x:v>MOV001091</x:v>
      </x:c>
      <x:c r="B1523" s="16" t="n">
        <x:v>45952.76329964121</x:v>
      </x:c>
      <x:c r="C1523" s="10" t="str">
        <x:v>EMP002</x:v>
      </x:c>
      <x:c r="D1523" s="10" t="str">
        <x:v>CTA003</x:v>
      </x:c>
      <x:c r="E1523" s="10" t="str">
        <x:v>Entrada</x:v>
      </x:c>
      <x:c r="F1523" s="10" t="str">
        <x:v>CAT003</x:v>
      </x:c>
      <x:c r="G1523" s="10" t="str">
        <x:v>Venda de produtos</x:v>
      </x:c>
      <x:c r="H1523" s="10" t="str">
        <x:v>REC00414</x:v>
      </x:c>
      <x:c r="I1523" s="20" t="n">
        <x:v>68674.99</x:v>
      </x:c>
      <x:c r="J1523" s="20" t="n">
        <x:v>68674.99</x:v>
      </x:c>
      <x:c r="K1523" s="10" t="str">
        <x:v>Realizado</x:v>
      </x:c>
      <x:c r="L1523" s="10" t="str">
        <x:v>Contas a Receber</x:v>
      </x:c>
    </x:row>
    <x:row r="1524" ht="18" customHeight="1">
      <x:c r="A1524" s="10" t="str">
        <x:v>MOV000733</x:v>
      </x:c>
      <x:c r="B1524" s="16" t="n">
        <x:v>45952.839185324076</x:v>
      </x:c>
      <x:c r="C1524" s="10" t="str">
        <x:v>EMP001</x:v>
      </x:c>
      <x:c r="D1524" s="10" t="str">
        <x:v>CTA002</x:v>
      </x:c>
      <x:c r="E1524" s="10" t="str">
        <x:v>Saída</x:v>
      </x:c>
      <x:c r="F1524" s="10" t="str">
        <x:v>CAT014</x:v>
      </x:c>
      <x:c r="G1524" s="10" t="str">
        <x:v>Prestação de serviços</x:v>
      </x:c>
      <x:c r="H1524" s="10" t="str">
        <x:v>PAG00872</x:v>
      </x:c>
      <x:c r="I1524" s="20" t="n">
        <x:v>115817.44</x:v>
      </x:c>
      <x:c r="J1524" s="20" t="n">
        <x:v>-115817.44</x:v>
      </x:c>
      <x:c r="K1524" s="10" t="str">
        <x:v>Realizado</x:v>
      </x:c>
      <x:c r="L1524" s="10" t="str">
        <x:v>Contas a Pagar</x:v>
      </x:c>
    </x:row>
    <x:row r="1525" ht="18" customHeight="1">
      <x:c r="A1525" s="10" t="str">
        <x:v>MOV000434</x:v>
      </x:c>
      <x:c r="B1525" s="16" t="n">
        <x:v>45953.394690127316</x:v>
      </x:c>
      <x:c r="C1525" s="10" t="str">
        <x:v>EMP001</x:v>
      </x:c>
      <x:c r="D1525" s="10" t="str">
        <x:v>CTA002</x:v>
      </x:c>
      <x:c r="E1525" s="10" t="str">
        <x:v>Saída</x:v>
      </x:c>
      <x:c r="F1525" s="10" t="str">
        <x:v>CAT016</x:v>
      </x:c>
      <x:c r="G1525" s="10" t="str">
        <x:v>Despesa operacional</x:v>
      </x:c>
      <x:c r="H1525" s="10" t="str">
        <x:v>PAG00508</x:v>
      </x:c>
      <x:c r="I1525" s="20" t="n">
        <x:v>10453.99</x:v>
      </x:c>
      <x:c r="J1525" s="20" t="n">
        <x:v>-10453.99</x:v>
      </x:c>
      <x:c r="K1525" s="10" t="str">
        <x:v>Realizado</x:v>
      </x:c>
      <x:c r="L1525" s="10" t="str">
        <x:v>Contas a Pagar</x:v>
      </x:c>
    </x:row>
    <x:row r="1526" ht="18" customHeight="1">
      <x:c r="A1526" s="10" t="str">
        <x:v>MOV001015</x:v>
      </x:c>
      <x:c r="B1526" s="16" t="n">
        <x:v>45953.56837674769</x:v>
      </x:c>
      <x:c r="C1526" s="10" t="str">
        <x:v>EMP003</x:v>
      </x:c>
      <x:c r="D1526" s="10" t="str">
        <x:v>CTA005</x:v>
      </x:c>
      <x:c r="E1526" s="10" t="str">
        <x:v>Entrada</x:v>
      </x:c>
      <x:c r="F1526" s="10" t="str">
        <x:v>CAT004</x:v>
      </x:c>
      <x:c r="G1526" s="10" t="str">
        <x:v>Contrato mensal</x:v>
      </x:c>
      <x:c r="H1526" s="10" t="str">
        <x:v>REC00318</x:v>
      </x:c>
      <x:c r="I1526" s="20" t="n">
        <x:v>41630.82</x:v>
      </x:c>
      <x:c r="J1526" s="20" t="n">
        <x:v>41630.82</x:v>
      </x:c>
      <x:c r="K1526" s="10" t="str">
        <x:v>Realizado</x:v>
      </x:c>
      <x:c r="L1526" s="10" t="str">
        <x:v>Contas a Receber</x:v>
      </x:c>
    </x:row>
    <x:row r="1527" ht="18" customHeight="1">
      <x:c r="A1527" s="10" t="str">
        <x:v>MOV001016</x:v>
      </x:c>
      <x:c r="B1527" s="16" t="n">
        <x:v>45955.51424074074</x:v>
      </x:c>
      <x:c r="C1527" s="10" t="str">
        <x:v>EMP001</x:v>
      </x:c>
      <x:c r="D1527" s="10" t="str">
        <x:v>CTA001</x:v>
      </x:c>
      <x:c r="E1527" s="10" t="str">
        <x:v>Entrada</x:v>
      </x:c>
      <x:c r="F1527" s="10" t="str">
        <x:v>CAT002</x:v>
      </x:c>
      <x:c r="G1527" s="10" t="str">
        <x:v>Contrato mensal</x:v>
      </x:c>
      <x:c r="H1527" s="10" t="str">
        <x:v>REC00319</x:v>
      </x:c>
      <x:c r="I1527" s="20" t="n">
        <x:v>6491.53</x:v>
      </x:c>
      <x:c r="J1527" s="20" t="n">
        <x:v>6491.53</x:v>
      </x:c>
      <x:c r="K1527" s="10" t="str">
        <x:v>Realizado</x:v>
      </x:c>
      <x:c r="L1527" s="10" t="str">
        <x:v>Contas a Receber</x:v>
      </x:c>
    </x:row>
    <x:row r="1528" ht="18" customHeight="1">
      <x:c r="A1528" s="10" t="str">
        <x:v>MOV001606</x:v>
      </x:c>
      <x:c r="B1528" s="16" t="n">
        <x:v>45956.192430648145</x:v>
      </x:c>
      <x:c r="C1528" s="10" t="str">
        <x:v>EMP002</x:v>
      </x:c>
      <x:c r="D1528" s="10" t="str">
        <x:v>CTA003</x:v>
      </x:c>
      <x:c r="E1528" s="10" t="str">
        <x:v>Entrada</x:v>
      </x:c>
      <x:c r="F1528" s="10" t="str">
        <x:v>CAT004</x:v>
      </x:c>
      <x:c r="G1528" s="10" t="str">
        <x:v>Venda de produtos</x:v>
      </x:c>
      <x:c r="H1528" s="10" t="str">
        <x:v>REC01034</x:v>
      </x:c>
      <x:c r="I1528" s="20" t="n">
        <x:v>56849.86</x:v>
      </x:c>
      <x:c r="J1528" s="20" t="n">
        <x:v>56849.86</x:v>
      </x:c>
      <x:c r="K1528" s="10" t="str">
        <x:v>Realizado</x:v>
      </x:c>
      <x:c r="L1528" s="10" t="str">
        <x:v>Contas a Receber</x:v>
      </x:c>
    </x:row>
    <x:row r="1529" ht="18" customHeight="1">
      <x:c r="A1529" s="10" t="str">
        <x:v>MOV000113</x:v>
      </x:c>
      <x:c r="B1529" s="16" t="n">
        <x:v>45957.67478059028</x:v>
      </x:c>
      <x:c r="C1529" s="10" t="str">
        <x:v>EMP003</x:v>
      </x:c>
      <x:c r="D1529" s="10" t="str">
        <x:v>CTA005</x:v>
      </x:c>
      <x:c r="E1529" s="10" t="str">
        <x:v>Saída</x:v>
      </x:c>
      <x:c r="F1529" s="10" t="str">
        <x:v>CAT005</x:v>
      </x:c>
      <x:c r="G1529" s="10" t="str">
        <x:v>Contrato recorrente</x:v>
      </x:c>
      <x:c r="H1529" s="10" t="str">
        <x:v>PAG00130</x:v>
      </x:c>
      <x:c r="I1529" s="20" t="n">
        <x:v>971.08</x:v>
      </x:c>
      <x:c r="J1529" s="20" t="n">
        <x:v>-971.08</x:v>
      </x:c>
      <x:c r="K1529" s="10" t="str">
        <x:v>Realizado</x:v>
      </x:c>
      <x:c r="L1529" s="10" t="str">
        <x:v>Contas a Pagar</x:v>
      </x:c>
    </x:row>
    <x:row r="1530" ht="18" customHeight="1">
      <x:c r="A1530" s="10" t="str">
        <x:v>MOV000696</x:v>
      </x:c>
      <x:c r="B1530" s="16" t="n">
        <x:v>45958.11085931713</x:v>
      </x:c>
      <x:c r="C1530" s="10" t="str">
        <x:v>EMP003</x:v>
      </x:c>
      <x:c r="D1530" s="10" t="str">
        <x:v>CTA005</x:v>
      </x:c>
      <x:c r="E1530" s="10" t="str">
        <x:v>Saída</x:v>
      </x:c>
      <x:c r="F1530" s="10" t="str">
        <x:v>CAT016</x:v>
      </x:c>
      <x:c r="G1530" s="10" t="str">
        <x:v>Tributos e taxas</x:v>
      </x:c>
      <x:c r="H1530" s="10" t="str">
        <x:v>PAG00826</x:v>
      </x:c>
      <x:c r="I1530" s="20" t="n">
        <x:v>14614.02</x:v>
      </x:c>
      <x:c r="J1530" s="20" t="n">
        <x:v>-14614.02</x:v>
      </x:c>
      <x:c r="K1530" s="10" t="str">
        <x:v>Realizado</x:v>
      </x:c>
      <x:c r="L1530" s="10" t="str">
        <x:v>Contas a Pagar</x:v>
      </x:c>
    </x:row>
    <x:row r="1531" ht="18" customHeight="1">
      <x:c r="A1531" s="10" t="str">
        <x:v>MOV001517</x:v>
      </x:c>
      <x:c r="B1531" s="16" t="n">
        <x:v>45958.276008009256</x:v>
      </x:c>
      <x:c r="C1531" s="10" t="str">
        <x:v>EMP001</x:v>
      </x:c>
      <x:c r="D1531" s="10" t="str">
        <x:v>CTA002</x:v>
      </x:c>
      <x:c r="E1531" s="10" t="str">
        <x:v>Entrada</x:v>
      </x:c>
      <x:c r="F1531" s="10" t="str">
        <x:v>CAT004</x:v>
      </x:c>
      <x:c r="G1531" s="10" t="str">
        <x:v>Projeto especial</x:v>
      </x:c>
      <x:c r="H1531" s="10" t="str">
        <x:v>REC00928</x:v>
      </x:c>
      <x:c r="I1531" s="20" t="n">
        <x:v>134173.08</x:v>
      </x:c>
      <x:c r="J1531" s="20" t="n">
        <x:v>134173.08</x:v>
      </x:c>
      <x:c r="K1531" s="10" t="str">
        <x:v>Realizado</x:v>
      </x:c>
      <x:c r="L1531" s="10" t="str">
        <x:v>Contas a Receber</x:v>
      </x:c>
    </x:row>
    <x:row r="1532" ht="18" customHeight="1">
      <x:c r="A1532" s="10" t="str">
        <x:v>MOV000998</x:v>
      </x:c>
      <x:c r="B1532" s="16" t="n">
        <x:v>45958.276245625</x:v>
      </x:c>
      <x:c r="C1532" s="10" t="str">
        <x:v>EMP001</x:v>
      </x:c>
      <x:c r="D1532" s="10" t="str">
        <x:v>CTA001</x:v>
      </x:c>
      <x:c r="E1532" s="10" t="str">
        <x:v>Entrada</x:v>
      </x:c>
      <x:c r="F1532" s="10" t="str">
        <x:v>CAT004</x:v>
      </x:c>
      <x:c r="G1532" s="10" t="str">
        <x:v>Projeto especial</x:v>
      </x:c>
      <x:c r="H1532" s="10" t="str">
        <x:v>REC00296</x:v>
      </x:c>
      <x:c r="I1532" s="20" t="n">
        <x:v>63653.06</x:v>
      </x:c>
      <x:c r="J1532" s="20" t="n">
        <x:v>63653.06</x:v>
      </x:c>
      <x:c r="K1532" s="10" t="str">
        <x:v>Realizado</x:v>
      </x:c>
      <x:c r="L1532" s="10" t="str">
        <x:v>Contas a Receber</x:v>
      </x:c>
    </x:row>
    <x:row r="1533" ht="18" customHeight="1">
      <x:c r="A1533" s="10" t="str">
        <x:v>MOV000826</x:v>
      </x:c>
      <x:c r="B1533" s="16" t="n">
        <x:v>45958.45111792824</x:v>
      </x:c>
      <x:c r="C1533" s="10" t="str">
        <x:v>EMP002</x:v>
      </x:c>
      <x:c r="D1533" s="10" t="str">
        <x:v>CTA004</x:v>
      </x:c>
      <x:c r="E1533" s="10" t="str">
        <x:v>Entrada</x:v>
      </x:c>
      <x:c r="F1533" s="10" t="str">
        <x:v>CAT003</x:v>
      </x:c>
      <x:c r="G1533" s="10" t="str">
        <x:v>Frete faturado</x:v>
      </x:c>
      <x:c r="H1533" s="10" t="str">
        <x:v>REC00088</x:v>
      </x:c>
      <x:c r="I1533" s="20" t="n">
        <x:v>120157.28</x:v>
      </x:c>
      <x:c r="J1533" s="20" t="n">
        <x:v>120157.28</x:v>
      </x:c>
      <x:c r="K1533" s="10" t="str">
        <x:v>Realizado</x:v>
      </x:c>
      <x:c r="L1533" s="10" t="str">
        <x:v>Contas a Receber</x:v>
      </x:c>
    </x:row>
    <x:row r="1534" ht="18" customHeight="1">
      <x:c r="A1534" s="10" t="str">
        <x:v>MOV000710</x:v>
      </x:c>
      <x:c r="B1534" s="16" t="n">
        <x:v>45959.112727789354</x:v>
      </x:c>
      <x:c r="C1534" s="10" t="str">
        <x:v>EMP003</x:v>
      </x:c>
      <x:c r="D1534" s="10" t="str">
        <x:v>CTA006</x:v>
      </x:c>
      <x:c r="E1534" s="10" t="str">
        <x:v>Saída</x:v>
      </x:c>
      <x:c r="F1534" s="10" t="str">
        <x:v>CAT008</x:v>
      </x:c>
      <x:c r="G1534" s="10" t="str">
        <x:v>Compra de materiais</x:v>
      </x:c>
      <x:c r="H1534" s="10" t="str">
        <x:v>PAG00844</x:v>
      </x:c>
      <x:c r="I1534" s="20" t="n">
        <x:v>6319.91</x:v>
      </x:c>
      <x:c r="J1534" s="20" t="n">
        <x:v>-6319.91</x:v>
      </x:c>
      <x:c r="K1534" s="10" t="str">
        <x:v>Realizado</x:v>
      </x:c>
      <x:c r="L1534" s="10" t="str">
        <x:v>Contas a Pagar</x:v>
      </x:c>
    </x:row>
    <x:row r="1535" ht="18" customHeight="1">
      <x:c r="A1535" s="10" t="str">
        <x:v>MOV000756</x:v>
      </x:c>
      <x:c r="B1535" s="16" t="n">
        <x:v>45959.463535393515</x:v>
      </x:c>
      <x:c r="C1535" s="10" t="str">
        <x:v>EMP003</x:v>
      </x:c>
      <x:c r="D1535" s="10" t="str">
        <x:v>CTA005</x:v>
      </x:c>
      <x:c r="E1535" s="10" t="str">
        <x:v>Saída</x:v>
      </x:c>
      <x:c r="F1535" s="10" t="str">
        <x:v>CAT011</x:v>
      </x:c>
      <x:c r="G1535" s="10" t="str">
        <x:v>Prestação de serviços</x:v>
      </x:c>
      <x:c r="H1535" s="10" t="str">
        <x:v>PAG00899</x:v>
      </x:c>
      <x:c r="I1535" s="20" t="n">
        <x:v>2888.17</x:v>
      </x:c>
      <x:c r="J1535" s="20" t="n">
        <x:v>-2888.17</x:v>
      </x:c>
      <x:c r="K1535" s="10" t="str">
        <x:v>Realizado</x:v>
      </x:c>
      <x:c r="L1535" s="10" t="str">
        <x:v>Contas a Pagar</x:v>
      </x:c>
    </x:row>
    <x:row r="1536" ht="18" customHeight="1">
      <x:c r="A1536" s="10" t="str">
        <x:v>MOV000078</x:v>
      </x:c>
      <x:c r="B1536" s="16" t="n">
        <x:v>45959.82006201389</x:v>
      </x:c>
      <x:c r="C1536" s="10" t="str">
        <x:v>EMP001</x:v>
      </x:c>
      <x:c r="D1536" s="10" t="str">
        <x:v>CTA002</x:v>
      </x:c>
      <x:c r="E1536" s="10" t="str">
        <x:v>Saída</x:v>
      </x:c>
      <x:c r="F1536" s="10" t="str">
        <x:v>CAT011</x:v>
      </x:c>
      <x:c r="G1536" s="10" t="str">
        <x:v>Contrato recorrente</x:v>
      </x:c>
      <x:c r="H1536" s="10" t="str">
        <x:v>PAG00088</x:v>
      </x:c>
      <x:c r="I1536" s="20" t="n">
        <x:v>95127.9</x:v>
      </x:c>
      <x:c r="J1536" s="20" t="n">
        <x:v>-95127.9</x:v>
      </x:c>
      <x:c r="K1536" s="10" t="str">
        <x:v>Realizado</x:v>
      </x:c>
      <x:c r="L1536" s="10" t="str">
        <x:v>Contas a Pagar</x:v>
      </x:c>
    </x:row>
    <x:row r="1537" ht="18" customHeight="1">
      <x:c r="A1537" s="10" t="str">
        <x:v>MOV000186</x:v>
      </x:c>
      <x:c r="B1537" s="16" t="n">
        <x:v>45960.83294363426</x:v>
      </x:c>
      <x:c r="C1537" s="10" t="str">
        <x:v>EMP003</x:v>
      </x:c>
      <x:c r="D1537" s="10" t="str">
        <x:v>CTA006</x:v>
      </x:c>
      <x:c r="E1537" s="10" t="str">
        <x:v>Saída</x:v>
      </x:c>
      <x:c r="F1537" s="10" t="str">
        <x:v>CAT010</x:v>
      </x:c>
      <x:c r="G1537" s="10" t="str">
        <x:v>Compra de materiais</x:v>
      </x:c>
      <x:c r="H1537" s="10" t="str">
        <x:v>PAG00219</x:v>
      </x:c>
      <x:c r="I1537" s="20" t="n">
        <x:v>17475.58</x:v>
      </x:c>
      <x:c r="J1537" s="20" t="n">
        <x:v>-17475.58</x:v>
      </x:c>
      <x:c r="K1537" s="10" t="str">
        <x:v>Realizado</x:v>
      </x:c>
      <x:c r="L1537" s="10" t="str">
        <x:v>Contas a Pagar</x:v>
      </x:c>
    </x:row>
    <x:row r="1538" ht="18" customHeight="1">
      <x:c r="A1538" s="10" t="str">
        <x:v>MOV001522</x:v>
      </x:c>
      <x:c r="B1538" s="16" t="n">
        <x:v>45961.434420798614</x:v>
      </x:c>
      <x:c r="C1538" s="10" t="str">
        <x:v>EMP003</x:v>
      </x:c>
      <x:c r="D1538" s="10" t="str">
        <x:v>CTA006</x:v>
      </x:c>
      <x:c r="E1538" s="10" t="str">
        <x:v>Entrada</x:v>
      </x:c>
      <x:c r="F1538" s="10" t="str">
        <x:v>CAT003</x:v>
      </x:c>
      <x:c r="G1538" s="10" t="str">
        <x:v>Projeto especial</x:v>
      </x:c>
      <x:c r="H1538" s="10" t="str">
        <x:v>REC00934</x:v>
      </x:c>
      <x:c r="I1538" s="20" t="n">
        <x:v>43767.46</x:v>
      </x:c>
      <x:c r="J1538" s="20" t="n">
        <x:v>43767.46</x:v>
      </x:c>
      <x:c r="K1538" s="10" t="str">
        <x:v>Realizado</x:v>
      </x:c>
      <x:c r="L1538" s="10" t="str">
        <x:v>Contas a Receber</x:v>
      </x:c>
    </x:row>
    <x:row r="1539" ht="18" customHeight="1">
      <x:c r="A1539" s="10" t="str">
        <x:v>MOV000936</x:v>
      </x:c>
      <x:c r="B1539" s="16" t="n">
        <x:v>45961.83786032407</x:v>
      </x:c>
      <x:c r="C1539" s="10" t="str">
        <x:v>EMP001</x:v>
      </x:c>
      <x:c r="D1539" s="10" t="str">
        <x:v>CTA002</x:v>
      </x:c>
      <x:c r="E1539" s="10" t="str">
        <x:v>Entrada</x:v>
      </x:c>
      <x:c r="F1539" s="10" t="str">
        <x:v>CAT001</x:v>
      </x:c>
      <x:c r="G1539" s="10" t="str">
        <x:v>Projeto especial</x:v>
      </x:c>
      <x:c r="H1539" s="10" t="str">
        <x:v>REC00217</x:v>
      </x:c>
      <x:c r="I1539" s="20" t="n">
        <x:v>97227.29</x:v>
      </x:c>
      <x:c r="J1539" s="20" t="n">
        <x:v>97227.29</x:v>
      </x:c>
      <x:c r="K1539" s="10" t="str">
        <x:v>Realizado</x:v>
      </x:c>
      <x:c r="L1539" s="10" t="str">
        <x:v>Contas a Receber</x:v>
      </x:c>
    </x:row>
    <x:row r="1540" ht="18" customHeight="1">
      <x:c r="A1540" s="10" t="str">
        <x:v>MOV000959</x:v>
      </x:c>
      <x:c r="B1540" s="16" t="n">
        <x:v>45962.779827592596</x:v>
      </x:c>
      <x:c r="C1540" s="10" t="str">
        <x:v>EMP003</x:v>
      </x:c>
      <x:c r="D1540" s="10" t="str">
        <x:v>CTA006</x:v>
      </x:c>
      <x:c r="E1540" s="10" t="str">
        <x:v>Entrada</x:v>
      </x:c>
      <x:c r="F1540" s="10" t="str">
        <x:v>CAT004</x:v>
      </x:c>
      <x:c r="G1540" s="10" t="str">
        <x:v>Projeto especial</x:v>
      </x:c>
      <x:c r="H1540" s="10" t="str">
        <x:v>REC00245</x:v>
      </x:c>
      <x:c r="I1540" s="20" t="n">
        <x:v>10555.61</x:v>
      </x:c>
      <x:c r="J1540" s="20" t="n">
        <x:v>10555.61</x:v>
      </x:c>
      <x:c r="K1540" s="10" t="str">
        <x:v>Realizado</x:v>
      </x:c>
      <x:c r="L1540" s="10" t="str">
        <x:v>Contas a Receber</x:v>
      </x:c>
    </x:row>
    <x:row r="1541" ht="18" customHeight="1">
      <x:c r="A1541" s="10" t="str">
        <x:v>MOV000228</x:v>
      </x:c>
      <x:c r="B1541" s="16" t="n">
        <x:v>45962.95452921296</x:v>
      </x:c>
      <x:c r="C1541" s="10" t="str">
        <x:v>EMP003</x:v>
      </x:c>
      <x:c r="D1541" s="10" t="str">
        <x:v>CTA006</x:v>
      </x:c>
      <x:c r="E1541" s="10" t="str">
        <x:v>Saída</x:v>
      </x:c>
      <x:c r="F1541" s="10" t="str">
        <x:v>CAT005</x:v>
      </x:c>
      <x:c r="G1541" s="10" t="str">
        <x:v>Despesa operacional</x:v>
      </x:c>
      <x:c r="H1541" s="10" t="str">
        <x:v>PAG00267</x:v>
      </x:c>
      <x:c r="I1541" s="20" t="n">
        <x:v>39450.02</x:v>
      </x:c>
      <x:c r="J1541" s="20" t="n">
        <x:v>-39450.02</x:v>
      </x:c>
      <x:c r="K1541" s="10" t="str">
        <x:v>Realizado</x:v>
      </x:c>
      <x:c r="L1541" s="10" t="str">
        <x:v>Contas a Pagar</x:v>
      </x:c>
    </x:row>
    <x:row r="1542" ht="18" customHeight="1">
      <x:c r="A1542" s="10" t="str">
        <x:v>MOV000007</x:v>
      </x:c>
      <x:c r="B1542" s="16" t="n">
        <x:v>45964.02148239583</x:v>
      </x:c>
      <x:c r="C1542" s="10" t="str">
        <x:v>EMP001</x:v>
      </x:c>
      <x:c r="D1542" s="10" t="str">
        <x:v>CTA001</x:v>
      </x:c>
      <x:c r="E1542" s="10" t="str">
        <x:v>Saída</x:v>
      </x:c>
      <x:c r="F1542" s="10" t="str">
        <x:v>CAT009</x:v>
      </x:c>
      <x:c r="G1542" s="10" t="str">
        <x:v>Tributos e taxas</x:v>
      </x:c>
      <x:c r="H1542" s="10" t="str">
        <x:v>PAG00001</x:v>
      </x:c>
      <x:c r="I1542" s="20" t="n">
        <x:v>1579.96</x:v>
      </x:c>
      <x:c r="J1542" s="20" t="n">
        <x:v>-1579.96</x:v>
      </x:c>
      <x:c r="K1542" s="10" t="str">
        <x:v>Realizado</x:v>
      </x:c>
      <x:c r="L1542" s="10" t="str">
        <x:v>Contas a Pagar</x:v>
      </x:c>
    </x:row>
    <x:row r="1543" ht="18" customHeight="1">
      <x:c r="A1543" s="10" t="str">
        <x:v>MOV001579</x:v>
      </x:c>
      <x:c r="B1543" s="16" t="n">
        <x:v>45964.656621863425</x:v>
      </x:c>
      <x:c r="C1543" s="10" t="str">
        <x:v>EMP002</x:v>
      </x:c>
      <x:c r="D1543" s="10" t="str">
        <x:v>CTA003</x:v>
      </x:c>
      <x:c r="E1543" s="10" t="str">
        <x:v>Entrada</x:v>
      </x:c>
      <x:c r="F1543" s="10" t="str">
        <x:v>CAT003</x:v>
      </x:c>
      <x:c r="G1543" s="10" t="str">
        <x:v>Frete faturado</x:v>
      </x:c>
      <x:c r="H1543" s="10" t="str">
        <x:v>REC01003</x:v>
      </x:c>
      <x:c r="I1543" s="20" t="n">
        <x:v>13876.32</x:v>
      </x:c>
      <x:c r="J1543" s="20" t="n">
        <x:v>13876.32</x:v>
      </x:c>
      <x:c r="K1543" s="10" t="str">
        <x:v>Realizado</x:v>
      </x:c>
      <x:c r="L1543" s="10" t="str">
        <x:v>Contas a Receber</x:v>
      </x:c>
    </x:row>
    <x:row r="1544" ht="18" customHeight="1">
      <x:c r="A1544" s="10" t="str">
        <x:v>MOV000593</x:v>
      </x:c>
      <x:c r="B1544" s="16" t="n">
        <x:v>45964.90636346065</x:v>
      </x:c>
      <x:c r="C1544" s="10" t="str">
        <x:v>EMP002</x:v>
      </x:c>
      <x:c r="D1544" s="10" t="str">
        <x:v>CTA004</x:v>
      </x:c>
      <x:c r="E1544" s="10" t="str">
        <x:v>Saída</x:v>
      </x:c>
      <x:c r="F1544" s="10" t="str">
        <x:v>CAT012</x:v>
      </x:c>
      <x:c r="G1544" s="10" t="str">
        <x:v>Compra de materiais</x:v>
      </x:c>
      <x:c r="H1544" s="10" t="str">
        <x:v>PAG00699</x:v>
      </x:c>
      <x:c r="I1544" s="20" t="n">
        <x:v>57388.82</x:v>
      </x:c>
      <x:c r="J1544" s="20" t="n">
        <x:v>-57388.82</x:v>
      </x:c>
      <x:c r="K1544" s="10" t="str">
        <x:v>Realizado</x:v>
      </x:c>
      <x:c r="L1544" s="10" t="str">
        <x:v>Contas a Pagar</x:v>
      </x:c>
    </x:row>
    <x:row r="1545" ht="18" customHeight="1">
      <x:c r="A1545" s="10" t="str">
        <x:v>MOV001293</x:v>
      </x:c>
      <x:c r="B1545" s="16" t="n">
        <x:v>45965.10263783565</x:v>
      </x:c>
      <x:c r="C1545" s="10" t="str">
        <x:v>EMP003</x:v>
      </x:c>
      <x:c r="D1545" s="10" t="str">
        <x:v>CTA005</x:v>
      </x:c>
      <x:c r="E1545" s="10" t="str">
        <x:v>Entrada</x:v>
      </x:c>
      <x:c r="F1545" s="10" t="str">
        <x:v>CAT002</x:v>
      </x:c>
      <x:c r="G1545" s="10" t="str">
        <x:v>Projeto especial</x:v>
      </x:c>
      <x:c r="H1545" s="10" t="str">
        <x:v>REC00655</x:v>
      </x:c>
      <x:c r="I1545" s="20" t="n">
        <x:v>6274.03</x:v>
      </x:c>
      <x:c r="J1545" s="20" t="n">
        <x:v>6274.03</x:v>
      </x:c>
      <x:c r="K1545" s="10" t="str">
        <x:v>Realizado</x:v>
      </x:c>
      <x:c r="L1545" s="10" t="str">
        <x:v>Contas a Receber</x:v>
      </x:c>
    </x:row>
    <x:row r="1546" ht="18" customHeight="1">
      <x:c r="A1546" s="10" t="str">
        <x:v>MOV000727</x:v>
      </x:c>
      <x:c r="B1546" s="16" t="n">
        <x:v>45967.360019988424</x:v>
      </x:c>
      <x:c r="C1546" s="10" t="str">
        <x:v>EMP001</x:v>
      </x:c>
      <x:c r="D1546" s="10" t="str">
        <x:v>CTA002</x:v>
      </x:c>
      <x:c r="E1546" s="10" t="str">
        <x:v>Saída</x:v>
      </x:c>
      <x:c r="F1546" s="10" t="str">
        <x:v>CAT013</x:v>
      </x:c>
      <x:c r="G1546" s="10" t="str">
        <x:v>Compra de materiais</x:v>
      </x:c>
      <x:c r="H1546" s="10" t="str">
        <x:v>PAG00865</x:v>
      </x:c>
      <x:c r="I1546" s="20" t="n">
        <x:v>112099.37</x:v>
      </x:c>
      <x:c r="J1546" s="20" t="n">
        <x:v>-112099.37</x:v>
      </x:c>
      <x:c r="K1546" s="10" t="str">
        <x:v>Realizado</x:v>
      </x:c>
      <x:c r="L1546" s="10" t="str">
        <x:v>Contas a Pagar</x:v>
      </x:c>
    </x:row>
    <x:row r="1547" ht="18" customHeight="1">
      <x:c r="A1547" s="10" t="str">
        <x:v>MOV000442</x:v>
      </x:c>
      <x:c r="B1547" s="16" t="n">
        <x:v>45967.483158703704</x:v>
      </x:c>
      <x:c r="C1547" s="10" t="str">
        <x:v>EMP003</x:v>
      </x:c>
      <x:c r="D1547" s="10" t="str">
        <x:v>CTA006</x:v>
      </x:c>
      <x:c r="E1547" s="10" t="str">
        <x:v>Saída</x:v>
      </x:c>
      <x:c r="F1547" s="10" t="str">
        <x:v>CAT005</x:v>
      </x:c>
      <x:c r="G1547" s="10" t="str">
        <x:v>Tributos e taxas</x:v>
      </x:c>
      <x:c r="H1547" s="10" t="str">
        <x:v>PAG00516</x:v>
      </x:c>
      <x:c r="I1547" s="20" t="n">
        <x:v>26306</x:v>
      </x:c>
      <x:c r="J1547" s="20" t="n">
        <x:v>-26306</x:v>
      </x:c>
      <x:c r="K1547" s="10" t="str">
        <x:v>Realizado</x:v>
      </x:c>
      <x:c r="L1547" s="10" t="str">
        <x:v>Contas a Pagar</x:v>
      </x:c>
    </x:row>
    <x:row r="1548" ht="18" customHeight="1">
      <x:c r="A1548" s="10" t="str">
        <x:v>MOV000462</x:v>
      </x:c>
      <x:c r="B1548" s="16" t="n">
        <x:v>45967.695171747684</x:v>
      </x:c>
      <x:c r="C1548" s="10" t="str">
        <x:v>EMP003</x:v>
      </x:c>
      <x:c r="D1548" s="10" t="str">
        <x:v>CTA005</x:v>
      </x:c>
      <x:c r="E1548" s="10" t="str">
        <x:v>Saída</x:v>
      </x:c>
      <x:c r="F1548" s="10" t="str">
        <x:v>CAT013</x:v>
      </x:c>
      <x:c r="G1548" s="10" t="str">
        <x:v>Contrato recorrente</x:v>
      </x:c>
      <x:c r="H1548" s="10" t="str">
        <x:v>PAG00542</x:v>
      </x:c>
      <x:c r="I1548" s="20" t="n">
        <x:v>54698.25</x:v>
      </x:c>
      <x:c r="J1548" s="20" t="n">
        <x:v>-54698.25</x:v>
      </x:c>
      <x:c r="K1548" s="10" t="str">
        <x:v>Realizado</x:v>
      </x:c>
      <x:c r="L1548" s="10" t="str">
        <x:v>Contas a Pagar</x:v>
      </x:c>
    </x:row>
    <x:row r="1549" ht="18" customHeight="1">
      <x:c r="A1549" s="10" t="str">
        <x:v>MOV001404</x:v>
      </x:c>
      <x:c r="B1549" s="16" t="n">
        <x:v>45967.92950157407</x:v>
      </x:c>
      <x:c r="C1549" s="10" t="str">
        <x:v>EMP003</x:v>
      </x:c>
      <x:c r="D1549" s="10" t="str">
        <x:v>CTA005</x:v>
      </x:c>
      <x:c r="E1549" s="10" t="str">
        <x:v>Entrada</x:v>
      </x:c>
      <x:c r="F1549" s="10" t="str">
        <x:v>CAT001</x:v>
      </x:c>
      <x:c r="G1549" s="10" t="str">
        <x:v>Contrato mensal</x:v>
      </x:c>
      <x:c r="H1549" s="10" t="str">
        <x:v>REC00785</x:v>
      </x:c>
      <x:c r="I1549" s="20" t="n">
        <x:v>5896.76</x:v>
      </x:c>
      <x:c r="J1549" s="20" t="n">
        <x:v>5896.76</x:v>
      </x:c>
      <x:c r="K1549" s="10" t="str">
        <x:v>Realizado</x:v>
      </x:c>
      <x:c r="L1549" s="10" t="str">
        <x:v>Contas a Receber</x:v>
      </x:c>
    </x:row>
    <x:row r="1550" ht="18" customHeight="1">
      <x:c r="A1550" s="10" t="str">
        <x:v>MOV001096</x:v>
      </x:c>
      <x:c r="B1550" s="16" t="n">
        <x:v>45968.42542516204</x:v>
      </x:c>
      <x:c r="C1550" s="10" t="str">
        <x:v>EMP002</x:v>
      </x:c>
      <x:c r="D1550" s="10" t="str">
        <x:v>CTA003</x:v>
      </x:c>
      <x:c r="E1550" s="10" t="str">
        <x:v>Entrada</x:v>
      </x:c>
      <x:c r="F1550" s="10" t="str">
        <x:v>CAT002</x:v>
      </x:c>
      <x:c r="G1550" s="10" t="str">
        <x:v>Prestação de serviços</x:v>
      </x:c>
      <x:c r="H1550" s="10" t="str">
        <x:v>REC00421</x:v>
      </x:c>
      <x:c r="I1550" s="20" t="n">
        <x:v>136454.37</x:v>
      </x:c>
      <x:c r="J1550" s="20" t="n">
        <x:v>136454.37</x:v>
      </x:c>
      <x:c r="K1550" s="10" t="str">
        <x:v>Realizado</x:v>
      </x:c>
      <x:c r="L1550" s="10" t="str">
        <x:v>Contas a Receber</x:v>
      </x:c>
    </x:row>
    <x:row r="1551" ht="18" customHeight="1">
      <x:c r="A1551" s="10" t="str">
        <x:v>MOV000514</x:v>
      </x:c>
      <x:c r="B1551" s="16" t="n">
        <x:v>45968.67886818287</x:v>
      </x:c>
      <x:c r="C1551" s="10" t="str">
        <x:v>EMP001</x:v>
      </x:c>
      <x:c r="D1551" s="10" t="str">
        <x:v>CTA002</x:v>
      </x:c>
      <x:c r="E1551" s="10" t="str">
        <x:v>Saída</x:v>
      </x:c>
      <x:c r="F1551" s="10" t="str">
        <x:v>CAT006</x:v>
      </x:c>
      <x:c r="G1551" s="10" t="str">
        <x:v>Tributos e taxas</x:v>
      </x:c>
      <x:c r="H1551" s="10" t="str">
        <x:v>PAG00604</x:v>
      </x:c>
      <x:c r="I1551" s="20" t="n">
        <x:v>2129.02</x:v>
      </x:c>
      <x:c r="J1551" s="20" t="n">
        <x:v>-2129.02</x:v>
      </x:c>
      <x:c r="K1551" s="10" t="str">
        <x:v>Realizado</x:v>
      </x:c>
      <x:c r="L1551" s="10" t="str">
        <x:v>Contas a Pagar</x:v>
      </x:c>
    </x:row>
    <x:row r="1552" ht="18" customHeight="1">
      <x:c r="A1552" s="10" t="str">
        <x:v>MOV000552</x:v>
      </x:c>
      <x:c r="B1552" s="16" t="n">
        <x:v>45969.225474189814</x:v>
      </x:c>
      <x:c r="C1552" s="10" t="str">
        <x:v>EMP003</x:v>
      </x:c>
      <x:c r="D1552" s="10" t="str">
        <x:v>CTA006</x:v>
      </x:c>
      <x:c r="E1552" s="10" t="str">
        <x:v>Saída</x:v>
      </x:c>
      <x:c r="F1552" s="10" t="str">
        <x:v>CAT017</x:v>
      </x:c>
      <x:c r="G1552" s="10" t="str">
        <x:v>Tributos e taxas</x:v>
      </x:c>
      <x:c r="H1552" s="10" t="str">
        <x:v>PAG00646</x:v>
      </x:c>
      <x:c r="I1552" s="20" t="n">
        <x:v>1206.79</x:v>
      </x:c>
      <x:c r="J1552" s="20" t="n">
        <x:v>-1206.79</x:v>
      </x:c>
      <x:c r="K1552" s="10" t="str">
        <x:v>Realizado</x:v>
      </x:c>
      <x:c r="L1552" s="10" t="str">
        <x:v>Contas a Pagar</x:v>
      </x:c>
    </x:row>
    <x:row r="1553" ht="18" customHeight="1">
      <x:c r="A1553" s="10" t="str">
        <x:v>MOV001005</x:v>
      </x:c>
      <x:c r="B1553" s="16" t="n">
        <x:v>45969.35018572916</x:v>
      </x:c>
      <x:c r="C1553" s="10" t="str">
        <x:v>EMP003</x:v>
      </x:c>
      <x:c r="D1553" s="10" t="str">
        <x:v>CTA006</x:v>
      </x:c>
      <x:c r="E1553" s="10" t="str">
        <x:v>Entrada</x:v>
      </x:c>
      <x:c r="F1553" s="10" t="str">
        <x:v>CAT004</x:v>
      </x:c>
      <x:c r="G1553" s="10" t="str">
        <x:v>Prestação de serviços</x:v>
      </x:c>
      <x:c r="H1553" s="10" t="str">
        <x:v>REC00305</x:v>
      </x:c>
      <x:c r="I1553" s="20" t="n">
        <x:v>10190.68</x:v>
      </x:c>
      <x:c r="J1553" s="20" t="n">
        <x:v>10190.68</x:v>
      </x:c>
      <x:c r="K1553" s="10" t="str">
        <x:v>Realizado</x:v>
      </x:c>
      <x:c r="L1553" s="10" t="str">
        <x:v>Contas a Receber</x:v>
      </x:c>
    </x:row>
    <x:row r="1554" ht="18" customHeight="1">
      <x:c r="A1554" s="10" t="str">
        <x:v>MOV001542</x:v>
      </x:c>
      <x:c r="B1554" s="16" t="n">
        <x:v>45969.39794371528</x:v>
      </x:c>
      <x:c r="C1554" s="10" t="str">
        <x:v>EMP001</x:v>
      </x:c>
      <x:c r="D1554" s="10" t="str">
        <x:v>CTA002</x:v>
      </x:c>
      <x:c r="E1554" s="10" t="str">
        <x:v>Entrada</x:v>
      </x:c>
      <x:c r="F1554" s="10" t="str">
        <x:v>CAT002</x:v>
      </x:c>
      <x:c r="G1554" s="10" t="str">
        <x:v>Frete faturado</x:v>
      </x:c>
      <x:c r="H1554" s="10" t="str">
        <x:v>REC00959</x:v>
      </x:c>
      <x:c r="I1554" s="20" t="n">
        <x:v>92748.15</x:v>
      </x:c>
      <x:c r="J1554" s="20" t="n">
        <x:v>92748.15</x:v>
      </x:c>
      <x:c r="K1554" s="10" t="str">
        <x:v>Realizado</x:v>
      </x:c>
      <x:c r="L1554" s="10" t="str">
        <x:v>Contas a Receber</x:v>
      </x:c>
    </x:row>
    <x:row r="1555" ht="18" customHeight="1">
      <x:c r="A1555" s="10" t="str">
        <x:v>MOV000307</x:v>
      </x:c>
      <x:c r="B1555" s="16" t="n">
        <x:v>45969.58571074074</x:v>
      </x:c>
      <x:c r="C1555" s="10" t="str">
        <x:v>EMP003</x:v>
      </x:c>
      <x:c r="D1555" s="10" t="str">
        <x:v>CTA006</x:v>
      </x:c>
      <x:c r="E1555" s="10" t="str">
        <x:v>Saída</x:v>
      </x:c>
      <x:c r="F1555" s="10" t="str">
        <x:v>CAT013</x:v>
      </x:c>
      <x:c r="G1555" s="10" t="str">
        <x:v>Contrato recorrente</x:v>
      </x:c>
      <x:c r="H1555" s="10" t="str">
        <x:v>PAG00356</x:v>
      </x:c>
      <x:c r="I1555" s="20" t="n">
        <x:v>25685.08</x:v>
      </x:c>
      <x:c r="J1555" s="20" t="n">
        <x:v>-25685.08</x:v>
      </x:c>
      <x:c r="K1555" s="10" t="str">
        <x:v>Realizado</x:v>
      </x:c>
      <x:c r="L1555" s="10" t="str">
        <x:v>Contas a Pagar</x:v>
      </x:c>
    </x:row>
    <x:row r="1556" ht="18" customHeight="1">
      <x:c r="A1556" s="10" t="str">
        <x:v>MOV000754</x:v>
      </x:c>
      <x:c r="B1556" s="16" t="n">
        <x:v>45970.961695300924</x:v>
      </x:c>
      <x:c r="C1556" s="10" t="str">
        <x:v>EMP003</x:v>
      </x:c>
      <x:c r="D1556" s="10" t="str">
        <x:v>CTA005</x:v>
      </x:c>
      <x:c r="E1556" s="10" t="str">
        <x:v>Saída</x:v>
      </x:c>
      <x:c r="F1556" s="10" t="str">
        <x:v>CAT014</x:v>
      </x:c>
      <x:c r="G1556" s="10" t="str">
        <x:v>Despesa operacional</x:v>
      </x:c>
      <x:c r="H1556" s="10" t="str">
        <x:v>PAG00896</x:v>
      </x:c>
      <x:c r="I1556" s="20" t="n">
        <x:v>869.68</x:v>
      </x:c>
      <x:c r="J1556" s="20" t="n">
        <x:v>-869.68</x:v>
      </x:c>
      <x:c r="K1556" s="10" t="str">
        <x:v>Realizado</x:v>
      </x:c>
      <x:c r="L1556" s="10" t="str">
        <x:v>Contas a Pagar</x:v>
      </x:c>
    </x:row>
    <x:row r="1557" ht="18" customHeight="1">
      <x:c r="A1557" s="10" t="str">
        <x:v>MOV000218</x:v>
      </x:c>
      <x:c r="B1557" s="16" t="n">
        <x:v>45971.03801179398</x:v>
      </x:c>
      <x:c r="C1557" s="10" t="str">
        <x:v>EMP003</x:v>
      </x:c>
      <x:c r="D1557" s="10" t="str">
        <x:v>CTA006</x:v>
      </x:c>
      <x:c r="E1557" s="10" t="str">
        <x:v>Saída</x:v>
      </x:c>
      <x:c r="F1557" s="10" t="str">
        <x:v>CAT009</x:v>
      </x:c>
      <x:c r="G1557" s="10" t="str">
        <x:v>Despesa operacional</x:v>
      </x:c>
      <x:c r="H1557" s="10" t="str">
        <x:v>PAG00254</x:v>
      </x:c>
      <x:c r="I1557" s="20" t="n">
        <x:v>6160.41</x:v>
      </x:c>
      <x:c r="J1557" s="20" t="n">
        <x:v>-6160.41</x:v>
      </x:c>
      <x:c r="K1557" s="10" t="str">
        <x:v>Realizado</x:v>
      </x:c>
      <x:c r="L1557" s="10" t="str">
        <x:v>Contas a Pagar</x:v>
      </x:c>
    </x:row>
    <x:row r="1558" ht="18" customHeight="1">
      <x:c r="A1558" s="10" t="str">
        <x:v>MOV000435</x:v>
      </x:c>
      <x:c r="B1558" s="16" t="n">
        <x:v>45971.89489603009</x:v>
      </x:c>
      <x:c r="C1558" s="10" t="str">
        <x:v>EMP001</x:v>
      </x:c>
      <x:c r="D1558" s="10" t="str">
        <x:v>CTA002</x:v>
      </x:c>
      <x:c r="E1558" s="10" t="str">
        <x:v>Saída</x:v>
      </x:c>
      <x:c r="F1558" s="10" t="str">
        <x:v>CAT010</x:v>
      </x:c>
      <x:c r="G1558" s="10" t="str">
        <x:v>Tributos e taxas</x:v>
      </x:c>
      <x:c r="H1558" s="10" t="str">
        <x:v>PAG00509</x:v>
      </x:c>
      <x:c r="I1558" s="20" t="n">
        <x:v>16063.23</x:v>
      </x:c>
      <x:c r="J1558" s="20" t="n">
        <x:v>-16063.23</x:v>
      </x:c>
      <x:c r="K1558" s="10" t="str">
        <x:v>Realizado</x:v>
      </x:c>
      <x:c r="L1558" s="10" t="str">
        <x:v>Contas a Pagar</x:v>
      </x:c>
    </x:row>
    <x:row r="1559" ht="18" customHeight="1">
      <x:c r="A1559" s="10" t="str">
        <x:v>MOV001191</x:v>
      </x:c>
      <x:c r="B1559" s="16" t="n">
        <x:v>45972.04540423611</x:v>
      </x:c>
      <x:c r="C1559" s="10" t="str">
        <x:v>EMP001</x:v>
      </x:c>
      <x:c r="D1559" s="10" t="str">
        <x:v>CTA002</x:v>
      </x:c>
      <x:c r="E1559" s="10" t="str">
        <x:v>Entrada</x:v>
      </x:c>
      <x:c r="F1559" s="10" t="str">
        <x:v>CAT002</x:v>
      </x:c>
      <x:c r="G1559" s="10" t="str">
        <x:v>Prestação de serviços</x:v>
      </x:c>
      <x:c r="H1559" s="10" t="str">
        <x:v>REC00534</x:v>
      </x:c>
      <x:c r="I1559" s="20" t="n">
        <x:v>46605.39</x:v>
      </x:c>
      <x:c r="J1559" s="20" t="n">
        <x:v>46605.39</x:v>
      </x:c>
      <x:c r="K1559" s="10" t="str">
        <x:v>Realizado</x:v>
      </x:c>
      <x:c r="L1559" s="10" t="str">
        <x:v>Contas a Receber</x:v>
      </x:c>
    </x:row>
    <x:row r="1560" ht="18" customHeight="1">
      <x:c r="A1560" s="10" t="str">
        <x:v>MOV001012</x:v>
      </x:c>
      <x:c r="B1560" s="16" t="n">
        <x:v>45972.67120790509</x:v>
      </x:c>
      <x:c r="C1560" s="10" t="str">
        <x:v>EMP003</x:v>
      </x:c>
      <x:c r="D1560" s="10" t="str">
        <x:v>CTA006</x:v>
      </x:c>
      <x:c r="E1560" s="10" t="str">
        <x:v>Entrada</x:v>
      </x:c>
      <x:c r="F1560" s="10" t="str">
        <x:v>CAT001</x:v>
      </x:c>
      <x:c r="G1560" s="10" t="str">
        <x:v>Projeto especial</x:v>
      </x:c>
      <x:c r="H1560" s="10" t="str">
        <x:v>REC00314</x:v>
      </x:c>
      <x:c r="I1560" s="20" t="n">
        <x:v>97958.15</x:v>
      </x:c>
      <x:c r="J1560" s="20" t="n">
        <x:v>97958.15</x:v>
      </x:c>
      <x:c r="K1560" s="10" t="str">
        <x:v>Realizado</x:v>
      </x:c>
      <x:c r="L1560" s="10" t="str">
        <x:v>Contas a Receber</x:v>
      </x:c>
    </x:row>
    <x:row r="1561" ht="18" customHeight="1">
      <x:c r="A1561" s="10" t="str">
        <x:v>MOV001570</x:v>
      </x:c>
      <x:c r="B1561" s="16" t="n">
        <x:v>45972.704939953706</x:v>
      </x:c>
      <x:c r="C1561" s="10" t="str">
        <x:v>EMP002</x:v>
      </x:c>
      <x:c r="D1561" s="10" t="str">
        <x:v>CTA003</x:v>
      </x:c>
      <x:c r="E1561" s="10" t="str">
        <x:v>Entrada</x:v>
      </x:c>
      <x:c r="F1561" s="10" t="str">
        <x:v>CAT002</x:v>
      </x:c>
      <x:c r="G1561" s="10" t="str">
        <x:v>Contrato mensal</x:v>
      </x:c>
      <x:c r="H1561" s="10" t="str">
        <x:v>REC00992</x:v>
      </x:c>
      <x:c r="I1561" s="20" t="n">
        <x:v>135733.01</x:v>
      </x:c>
      <x:c r="J1561" s="20" t="n">
        <x:v>135733.01</x:v>
      </x:c>
      <x:c r="K1561" s="10" t="str">
        <x:v>Realizado</x:v>
      </x:c>
      <x:c r="L1561" s="10" t="str">
        <x:v>Contas a Receber</x:v>
      </x:c>
    </x:row>
    <x:row r="1562" ht="18" customHeight="1">
      <x:c r="A1562" s="10" t="str">
        <x:v>MOV000493</x:v>
      </x:c>
      <x:c r="B1562" s="16" t="n">
        <x:v>45973.407702766206</x:v>
      </x:c>
      <x:c r="C1562" s="10" t="str">
        <x:v>EMP001</x:v>
      </x:c>
      <x:c r="D1562" s="10" t="str">
        <x:v>CTA001</x:v>
      </x:c>
      <x:c r="E1562" s="10" t="str">
        <x:v>Saída</x:v>
      </x:c>
      <x:c r="F1562" s="10" t="str">
        <x:v>CAT013</x:v>
      </x:c>
      <x:c r="G1562" s="10" t="str">
        <x:v>Contrato recorrente</x:v>
      </x:c>
      <x:c r="H1562" s="10" t="str">
        <x:v>PAG00578</x:v>
      </x:c>
      <x:c r="I1562" s="20" t="n">
        <x:v>25941.71</x:v>
      </x:c>
      <x:c r="J1562" s="20" t="n">
        <x:v>-25941.71</x:v>
      </x:c>
      <x:c r="K1562" s="10" t="str">
        <x:v>Realizado</x:v>
      </x:c>
      <x:c r="L1562" s="10" t="str">
        <x:v>Contas a Pagar</x:v>
      </x:c>
    </x:row>
    <x:row r="1563" ht="18" customHeight="1">
      <x:c r="A1563" s="10" t="str">
        <x:v>MOV000258</x:v>
      </x:c>
      <x:c r="B1563" s="16" t="n">
        <x:v>45975.03521210648</x:v>
      </x:c>
      <x:c r="C1563" s="10" t="str">
        <x:v>EMP002</x:v>
      </x:c>
      <x:c r="D1563" s="10" t="str">
        <x:v>CTA004</x:v>
      </x:c>
      <x:c r="E1563" s="10" t="str">
        <x:v>Saída</x:v>
      </x:c>
      <x:c r="F1563" s="10" t="str">
        <x:v>CAT008</x:v>
      </x:c>
      <x:c r="G1563" s="10" t="str">
        <x:v>Contrato recorrente</x:v>
      </x:c>
      <x:c r="H1563" s="10" t="str">
        <x:v>PAG00301</x:v>
      </x:c>
      <x:c r="I1563" s="20" t="n">
        <x:v>33242.81</x:v>
      </x:c>
      <x:c r="J1563" s="20" t="n">
        <x:v>-33242.81</x:v>
      </x:c>
      <x:c r="K1563" s="10" t="str">
        <x:v>Realizado</x:v>
      </x:c>
      <x:c r="L1563" s="10" t="str">
        <x:v>Contas a Pagar</x:v>
      </x:c>
    </x:row>
    <x:row r="1564" ht="18" customHeight="1">
      <x:c r="A1564" s="10" t="str">
        <x:v>MOV000414</x:v>
      </x:c>
      <x:c r="B1564" s="16" t="n">
        <x:v>45975.53942903935</x:v>
      </x:c>
      <x:c r="C1564" s="10" t="str">
        <x:v>EMP002</x:v>
      </x:c>
      <x:c r="D1564" s="10" t="str">
        <x:v>CTA003</x:v>
      </x:c>
      <x:c r="E1564" s="10" t="str">
        <x:v>Saída</x:v>
      </x:c>
      <x:c r="F1564" s="10" t="str">
        <x:v>CAT012</x:v>
      </x:c>
      <x:c r="G1564" s="10" t="str">
        <x:v>Compra de materiais</x:v>
      </x:c>
      <x:c r="H1564" s="10" t="str">
        <x:v>PAG00483</x:v>
      </x:c>
      <x:c r="I1564" s="20" t="n">
        <x:v>79740.32</x:v>
      </x:c>
      <x:c r="J1564" s="20" t="n">
        <x:v>-79740.32</x:v>
      </x:c>
      <x:c r="K1564" s="10" t="str">
        <x:v>Realizado</x:v>
      </x:c>
      <x:c r="L1564" s="10" t="str">
        <x:v>Contas a Pagar</x:v>
      </x:c>
    </x:row>
    <x:row r="1565" ht="18" customHeight="1">
      <x:c r="A1565" s="10" t="str">
        <x:v>MOV000376</x:v>
      </x:c>
      <x:c r="B1565" s="16" t="n">
        <x:v>45976.40523297454</x:v>
      </x:c>
      <x:c r="C1565" s="10" t="str">
        <x:v>EMP001</x:v>
      </x:c>
      <x:c r="D1565" s="10" t="str">
        <x:v>CTA002</x:v>
      </x:c>
      <x:c r="E1565" s="10" t="str">
        <x:v>Saída</x:v>
      </x:c>
      <x:c r="F1565" s="10" t="str">
        <x:v>CAT010</x:v>
      </x:c>
      <x:c r="G1565" s="10" t="str">
        <x:v>Tributos e taxas</x:v>
      </x:c>
      <x:c r="H1565" s="10" t="str">
        <x:v>PAG00437</x:v>
      </x:c>
      <x:c r="I1565" s="20" t="n">
        <x:v>29068.62</x:v>
      </x:c>
      <x:c r="J1565" s="20" t="n">
        <x:v>-29068.62</x:v>
      </x:c>
      <x:c r="K1565" s="10" t="str">
        <x:v>Realizado</x:v>
      </x:c>
      <x:c r="L1565" s="10" t="str">
        <x:v>Contas a Pagar</x:v>
      </x:c>
    </x:row>
    <x:row r="1566" ht="18" customHeight="1">
      <x:c r="A1566" s="10" t="str">
        <x:v>MOV000412</x:v>
      </x:c>
      <x:c r="B1566" s="16" t="n">
        <x:v>45976.40981900463</x:v>
      </x:c>
      <x:c r="C1566" s="10" t="str">
        <x:v>EMP001</x:v>
      </x:c>
      <x:c r="D1566" s="10" t="str">
        <x:v>CTA001</x:v>
      </x:c>
      <x:c r="E1566" s="10" t="str">
        <x:v>Saída</x:v>
      </x:c>
      <x:c r="F1566" s="10" t="str">
        <x:v>CAT016</x:v>
      </x:c>
      <x:c r="G1566" s="10" t="str">
        <x:v>Compra de materiais</x:v>
      </x:c>
      <x:c r="H1566" s="10" t="str">
        <x:v>PAG00480</x:v>
      </x:c>
      <x:c r="I1566" s="20" t="n">
        <x:v>3888.8</x:v>
      </x:c>
      <x:c r="J1566" s="20" t="n">
        <x:v>-3888.8</x:v>
      </x:c>
      <x:c r="K1566" s="10" t="str">
        <x:v>Realizado</x:v>
      </x:c>
      <x:c r="L1566" s="10" t="str">
        <x:v>Contas a Pagar</x:v>
      </x:c>
    </x:row>
    <x:row r="1567" ht="18" customHeight="1">
      <x:c r="A1567" s="10" t="str">
        <x:v>MOV001060</x:v>
      </x:c>
      <x:c r="B1567" s="16" t="n">
        <x:v>45976.950863391205</x:v>
      </x:c>
      <x:c r="C1567" s="10" t="str">
        <x:v>EMP002</x:v>
      </x:c>
      <x:c r="D1567" s="10" t="str">
        <x:v>CTA003</x:v>
      </x:c>
      <x:c r="E1567" s="10" t="str">
        <x:v>Entrada</x:v>
      </x:c>
      <x:c r="F1567" s="10" t="str">
        <x:v>CAT002</x:v>
      </x:c>
      <x:c r="G1567" s="10" t="str">
        <x:v>Prestação de serviços</x:v>
      </x:c>
      <x:c r="H1567" s="10" t="str">
        <x:v>REC00376</x:v>
      </x:c>
      <x:c r="I1567" s="20" t="n">
        <x:v>6356.53</x:v>
      </x:c>
      <x:c r="J1567" s="20" t="n">
        <x:v>6356.53</x:v>
      </x:c>
      <x:c r="K1567" s="10" t="str">
        <x:v>Realizado</x:v>
      </x:c>
      <x:c r="L1567" s="10" t="str">
        <x:v>Contas a Receber</x:v>
      </x:c>
    </x:row>
    <x:row r="1568" ht="18" customHeight="1">
      <x:c r="A1568" s="10" t="str">
        <x:v>MOV000713</x:v>
      </x:c>
      <x:c r="B1568" s="16" t="n">
        <x:v>45976.98862667824</x:v>
      </x:c>
      <x:c r="C1568" s="10" t="str">
        <x:v>EMP002</x:v>
      </x:c>
      <x:c r="D1568" s="10" t="str">
        <x:v>CTA003</x:v>
      </x:c>
      <x:c r="E1568" s="10" t="str">
        <x:v>Saída</x:v>
      </x:c>
      <x:c r="F1568" s="10" t="str">
        <x:v>CAT015</x:v>
      </x:c>
      <x:c r="G1568" s="10" t="str">
        <x:v>Compra de materiais</x:v>
      </x:c>
      <x:c r="H1568" s="10" t="str">
        <x:v>PAG00847</x:v>
      </x:c>
      <x:c r="I1568" s="20" t="n">
        <x:v>6709.5</x:v>
      </x:c>
      <x:c r="J1568" s="20" t="n">
        <x:v>-6709.5</x:v>
      </x:c>
      <x:c r="K1568" s="10" t="str">
        <x:v>Realizado</x:v>
      </x:c>
      <x:c r="L1568" s="10" t="str">
        <x:v>Contas a Pagar</x:v>
      </x:c>
    </x:row>
    <x:row r="1569" ht="18" customHeight="1">
      <x:c r="A1569" s="10" t="str">
        <x:v>MOV000965</x:v>
      </x:c>
      <x:c r="B1569" s="16" t="n">
        <x:v>45977.01691614583</x:v>
      </x:c>
      <x:c r="C1569" s="10" t="str">
        <x:v>EMP002</x:v>
      </x:c>
      <x:c r="D1569" s="10" t="str">
        <x:v>CTA003</x:v>
      </x:c>
      <x:c r="E1569" s="10" t="str">
        <x:v>Entrada</x:v>
      </x:c>
      <x:c r="F1569" s="10" t="str">
        <x:v>CAT001</x:v>
      </x:c>
      <x:c r="G1569" s="10" t="str">
        <x:v>Venda de produtos</x:v>
      </x:c>
      <x:c r="H1569" s="10" t="str">
        <x:v>REC00254</x:v>
      </x:c>
      <x:c r="I1569" s="20" t="n">
        <x:v>145425.41</x:v>
      </x:c>
      <x:c r="J1569" s="20" t="n">
        <x:v>145425.41</x:v>
      </x:c>
      <x:c r="K1569" s="10" t="str">
        <x:v>Realizado</x:v>
      </x:c>
      <x:c r="L1569" s="10" t="str">
        <x:v>Contas a Receber</x:v>
      </x:c>
    </x:row>
    <x:row r="1570" ht="18" customHeight="1">
      <x:c r="A1570" s="10" t="str">
        <x:v>MOV000353</x:v>
      </x:c>
      <x:c r="B1570" s="16" t="n">
        <x:v>45977.48766262732</x:v>
      </x:c>
      <x:c r="C1570" s="10" t="str">
        <x:v>EMP003</x:v>
      </x:c>
      <x:c r="D1570" s="10" t="str">
        <x:v>CTA005</x:v>
      </x:c>
      <x:c r="E1570" s="10" t="str">
        <x:v>Saída</x:v>
      </x:c>
      <x:c r="F1570" s="10" t="str">
        <x:v>CAT016</x:v>
      </x:c>
      <x:c r="G1570" s="10" t="str">
        <x:v>Contrato recorrente</x:v>
      </x:c>
      <x:c r="H1570" s="10" t="str">
        <x:v>PAG00409</x:v>
      </x:c>
      <x:c r="I1570" s="20" t="n">
        <x:v>11955.29</x:v>
      </x:c>
      <x:c r="J1570" s="20" t="n">
        <x:v>-11955.29</x:v>
      </x:c>
      <x:c r="K1570" s="10" t="str">
        <x:v>Realizado</x:v>
      </x:c>
      <x:c r="L1570" s="10" t="str">
        <x:v>Contas a Pagar</x:v>
      </x:c>
    </x:row>
    <x:row r="1571" ht="18" customHeight="1">
      <x:c r="A1571" s="10" t="str">
        <x:v>MOV001301</x:v>
      </x:c>
      <x:c r="B1571" s="16" t="n">
        <x:v>45977.832526909726</x:v>
      </x:c>
      <x:c r="C1571" s="10" t="str">
        <x:v>EMP001</x:v>
      </x:c>
      <x:c r="D1571" s="10" t="str">
        <x:v>CTA002</x:v>
      </x:c>
      <x:c r="E1571" s="10" t="str">
        <x:v>Entrada</x:v>
      </x:c>
      <x:c r="F1571" s="10" t="str">
        <x:v>CAT004</x:v>
      </x:c>
      <x:c r="G1571" s="10" t="str">
        <x:v>Projeto especial</x:v>
      </x:c>
      <x:c r="H1571" s="10" t="str">
        <x:v>REC00663</x:v>
      </x:c>
      <x:c r="I1571" s="20" t="n">
        <x:v>49626.82</x:v>
      </x:c>
      <x:c r="J1571" s="20" t="n">
        <x:v>49626.82</x:v>
      </x:c>
      <x:c r="K1571" s="10" t="str">
        <x:v>Realizado</x:v>
      </x:c>
      <x:c r="L1571" s="10" t="str">
        <x:v>Contas a Receber</x:v>
      </x:c>
    </x:row>
    <x:row r="1572" ht="18" customHeight="1">
      <x:c r="A1572" s="10" t="str">
        <x:v>MOV000581</x:v>
      </x:c>
      <x:c r="B1572" s="16" t="n">
        <x:v>45978.00317902778</x:v>
      </x:c>
      <x:c r="C1572" s="10" t="str">
        <x:v>EMP003</x:v>
      </x:c>
      <x:c r="D1572" s="10" t="str">
        <x:v>CTA005</x:v>
      </x:c>
      <x:c r="E1572" s="10" t="str">
        <x:v>Saída</x:v>
      </x:c>
      <x:c r="F1572" s="10" t="str">
        <x:v>CAT011</x:v>
      </x:c>
      <x:c r="G1572" s="10" t="str">
        <x:v>Contrato recorrente</x:v>
      </x:c>
      <x:c r="H1572" s="10" t="str">
        <x:v>PAG00683</x:v>
      </x:c>
      <x:c r="I1572" s="20" t="n">
        <x:v>78889.42</x:v>
      </x:c>
      <x:c r="J1572" s="20" t="n">
        <x:v>-78889.42</x:v>
      </x:c>
      <x:c r="K1572" s="10" t="str">
        <x:v>Realizado</x:v>
      </x:c>
      <x:c r="L1572" s="10" t="str">
        <x:v>Contas a Pagar</x:v>
      </x:c>
    </x:row>
    <x:row r="1573" ht="18" customHeight="1">
      <x:c r="A1573" s="10" t="str">
        <x:v>MOV001496</x:v>
      </x:c>
      <x:c r="B1573" s="16" t="n">
        <x:v>45978.92291790509</x:v>
      </x:c>
      <x:c r="C1573" s="10" t="str">
        <x:v>EMP002</x:v>
      </x:c>
      <x:c r="D1573" s="10" t="str">
        <x:v>CTA003</x:v>
      </x:c>
      <x:c r="E1573" s="10" t="str">
        <x:v>Entrada</x:v>
      </x:c>
      <x:c r="F1573" s="10" t="str">
        <x:v>CAT002</x:v>
      </x:c>
      <x:c r="G1573" s="10" t="str">
        <x:v>Prestação de serviços</x:v>
      </x:c>
      <x:c r="H1573" s="10" t="str">
        <x:v>REC00902</x:v>
      </x:c>
      <x:c r="I1573" s="20" t="n">
        <x:v>127465.13</x:v>
      </x:c>
      <x:c r="J1573" s="20" t="n">
        <x:v>127465.13</x:v>
      </x:c>
      <x:c r="K1573" s="10" t="str">
        <x:v>Realizado</x:v>
      </x:c>
      <x:c r="L1573" s="10" t="str">
        <x:v>Contas a Receber</x:v>
      </x:c>
    </x:row>
    <x:row r="1574" ht="18" customHeight="1">
      <x:c r="A1574" s="10" t="str">
        <x:v>MOV000672</x:v>
      </x:c>
      <x:c r="B1574" s="16" t="n">
        <x:v>45978.9740094213</x:v>
      </x:c>
      <x:c r="C1574" s="10" t="str">
        <x:v>EMP002</x:v>
      </x:c>
      <x:c r="D1574" s="10" t="str">
        <x:v>CTA003</x:v>
      </x:c>
      <x:c r="E1574" s="10" t="str">
        <x:v>Saída</x:v>
      </x:c>
      <x:c r="F1574" s="10" t="str">
        <x:v>CAT018</x:v>
      </x:c>
      <x:c r="G1574" s="10" t="str">
        <x:v>Contrato recorrente</x:v>
      </x:c>
      <x:c r="H1574" s="10" t="str">
        <x:v>PAG00799</x:v>
      </x:c>
      <x:c r="I1574" s="20" t="n">
        <x:v>27637.41</x:v>
      </x:c>
      <x:c r="J1574" s="20" t="n">
        <x:v>-27637.41</x:v>
      </x:c>
      <x:c r="K1574" s="10" t="str">
        <x:v>Realizado</x:v>
      </x:c>
      <x:c r="L1574" s="10" t="str">
        <x:v>Contas a Pagar</x:v>
      </x:c>
    </x:row>
    <x:row r="1575" ht="18" customHeight="1">
      <x:c r="A1575" s="10" t="str">
        <x:v>MOV001141</x:v>
      </x:c>
      <x:c r="B1575" s="16" t="n">
        <x:v>45979.11993414352</x:v>
      </x:c>
      <x:c r="C1575" s="10" t="str">
        <x:v>EMP003</x:v>
      </x:c>
      <x:c r="D1575" s="10" t="str">
        <x:v>CTA006</x:v>
      </x:c>
      <x:c r="E1575" s="10" t="str">
        <x:v>Entrada</x:v>
      </x:c>
      <x:c r="F1575" s="10" t="str">
        <x:v>CAT001</x:v>
      </x:c>
      <x:c r="G1575" s="10" t="str">
        <x:v>Projeto especial</x:v>
      </x:c>
      <x:c r="H1575" s="10" t="str">
        <x:v>REC00473</x:v>
      </x:c>
      <x:c r="I1575" s="20" t="n">
        <x:v>18584.26</x:v>
      </x:c>
      <x:c r="J1575" s="20" t="n">
        <x:v>18584.26</x:v>
      </x:c>
      <x:c r="K1575" s="10" t="str">
        <x:v>Realizado</x:v>
      </x:c>
      <x:c r="L1575" s="10" t="str">
        <x:v>Contas a Receber</x:v>
      </x:c>
    </x:row>
    <x:row r="1576" ht="18" customHeight="1">
      <x:c r="A1576" s="10" t="str">
        <x:v>MOV001150</x:v>
      </x:c>
      <x:c r="B1576" s="16" t="n">
        <x:v>45979.34409305556</x:v>
      </x:c>
      <x:c r="C1576" s="10" t="str">
        <x:v>EMP001</x:v>
      </x:c>
      <x:c r="D1576" s="10" t="str">
        <x:v>CTA002</x:v>
      </x:c>
      <x:c r="E1576" s="10" t="str">
        <x:v>Entrada</x:v>
      </x:c>
      <x:c r="F1576" s="10" t="str">
        <x:v>CAT001</x:v>
      </x:c>
      <x:c r="G1576" s="10" t="str">
        <x:v>Frete faturado</x:v>
      </x:c>
      <x:c r="H1576" s="10" t="str">
        <x:v>REC00483</x:v>
      </x:c>
      <x:c r="I1576" s="20" t="n">
        <x:v>96755.11</x:v>
      </x:c>
      <x:c r="J1576" s="20" t="n">
        <x:v>96755.11</x:v>
      </x:c>
      <x:c r="K1576" s="10" t="str">
        <x:v>Realizado</x:v>
      </x:c>
      <x:c r="L1576" s="10" t="str">
        <x:v>Contas a Receber</x:v>
      </x:c>
    </x:row>
    <x:row r="1577" ht="18" customHeight="1">
      <x:c r="A1577" s="10" t="str">
        <x:v>MOV001393</x:v>
      </x:c>
      <x:c r="B1577" s="16" t="n">
        <x:v>45980.03394818287</x:v>
      </x:c>
      <x:c r="C1577" s="10" t="str">
        <x:v>EMP001</x:v>
      </x:c>
      <x:c r="D1577" s="10" t="str">
        <x:v>CTA002</x:v>
      </x:c>
      <x:c r="E1577" s="10" t="str">
        <x:v>Entrada</x:v>
      </x:c>
      <x:c r="F1577" s="10" t="str">
        <x:v>CAT004</x:v>
      </x:c>
      <x:c r="G1577" s="10" t="str">
        <x:v>Frete faturado</x:v>
      </x:c>
      <x:c r="H1577" s="10" t="str">
        <x:v>REC00773</x:v>
      </x:c>
      <x:c r="I1577" s="20" t="n">
        <x:v>117204.87</x:v>
      </x:c>
      <x:c r="J1577" s="20" t="n">
        <x:v>117204.87</x:v>
      </x:c>
      <x:c r="K1577" s="10" t="str">
        <x:v>Realizado</x:v>
      </x:c>
      <x:c r="L1577" s="10" t="str">
        <x:v>Contas a Receber</x:v>
      </x:c>
    </x:row>
    <x:row r="1578" ht="18" customHeight="1">
      <x:c r="A1578" s="10" t="str">
        <x:v>MOV001014</x:v>
      </x:c>
      <x:c r="B1578" s="16" t="n">
        <x:v>45980.20860061343</x:v>
      </x:c>
      <x:c r="C1578" s="10" t="str">
        <x:v>EMP001</x:v>
      </x:c>
      <x:c r="D1578" s="10" t="str">
        <x:v>CTA001</x:v>
      </x:c>
      <x:c r="E1578" s="10" t="str">
        <x:v>Entrada</x:v>
      </x:c>
      <x:c r="F1578" s="10" t="str">
        <x:v>CAT003</x:v>
      </x:c>
      <x:c r="G1578" s="10" t="str">
        <x:v>Projeto especial</x:v>
      </x:c>
      <x:c r="H1578" s="10" t="str">
        <x:v>REC00317</x:v>
      </x:c>
      <x:c r="I1578" s="20" t="n">
        <x:v>43709.69</x:v>
      </x:c>
      <x:c r="J1578" s="20" t="n">
        <x:v>43709.69</x:v>
      </x:c>
      <x:c r="K1578" s="10" t="str">
        <x:v>Realizado</x:v>
      </x:c>
      <x:c r="L1578" s="10" t="str">
        <x:v>Contas a Receber</x:v>
      </x:c>
    </x:row>
    <x:row r="1579" ht="18" customHeight="1">
      <x:c r="A1579" s="10" t="str">
        <x:v>MOV001441</x:v>
      </x:c>
      <x:c r="B1579" s="16" t="n">
        <x:v>45980.31059738426</x:v>
      </x:c>
      <x:c r="C1579" s="10" t="str">
        <x:v>EMP002</x:v>
      </x:c>
      <x:c r="D1579" s="10" t="str">
        <x:v>CTA003</x:v>
      </x:c>
      <x:c r="E1579" s="10" t="str">
        <x:v>Entrada</x:v>
      </x:c>
      <x:c r="F1579" s="10" t="str">
        <x:v>CAT001</x:v>
      </x:c>
      <x:c r="G1579" s="10" t="str">
        <x:v>Venda de produtos</x:v>
      </x:c>
      <x:c r="H1579" s="10" t="str">
        <x:v>REC00833</x:v>
      </x:c>
      <x:c r="I1579" s="20" t="n">
        <x:v>88502.35</x:v>
      </x:c>
      <x:c r="J1579" s="20" t="n">
        <x:v>88502.35</x:v>
      </x:c>
      <x:c r="K1579" s="10" t="str">
        <x:v>Realizado</x:v>
      </x:c>
      <x:c r="L1579" s="10" t="str">
        <x:v>Contas a Receber</x:v>
      </x:c>
    </x:row>
    <x:row r="1580" ht="18" customHeight="1">
      <x:c r="A1580" s="10" t="str">
        <x:v>MOV001654</x:v>
      </x:c>
      <x:c r="B1580" s="16" t="n">
        <x:v>45980.904428877315</x:v>
      </x:c>
      <x:c r="C1580" s="10" t="str">
        <x:v>EMP002</x:v>
      </x:c>
      <x:c r="D1580" s="10" t="str">
        <x:v>CTA003</x:v>
      </x:c>
      <x:c r="E1580" s="10" t="str">
        <x:v>Entrada</x:v>
      </x:c>
      <x:c r="F1580" s="10" t="str">
        <x:v>CAT003</x:v>
      </x:c>
      <x:c r="G1580" s="10" t="str">
        <x:v>Projeto especial</x:v>
      </x:c>
      <x:c r="H1580" s="10" t="str">
        <x:v>REC01094</x:v>
      </x:c>
      <x:c r="I1580" s="20" t="n">
        <x:v>63096.56</x:v>
      </x:c>
      <x:c r="J1580" s="20" t="n">
        <x:v>63096.56</x:v>
      </x:c>
      <x:c r="K1580" s="10" t="str">
        <x:v>Realizado</x:v>
      </x:c>
      <x:c r="L1580" s="10" t="str">
        <x:v>Contas a Receber</x:v>
      </x:c>
    </x:row>
    <x:row r="1581" ht="18" customHeight="1">
      <x:c r="A1581" s="10" t="str">
        <x:v>MOV001243</x:v>
      </x:c>
      <x:c r="B1581" s="16" t="n">
        <x:v>45981.13191192129</x:v>
      </x:c>
      <x:c r="C1581" s="10" t="str">
        <x:v>EMP003</x:v>
      </x:c>
      <x:c r="D1581" s="10" t="str">
        <x:v>CTA006</x:v>
      </x:c>
      <x:c r="E1581" s="10" t="str">
        <x:v>Entrada</x:v>
      </x:c>
      <x:c r="F1581" s="10" t="str">
        <x:v>CAT003</x:v>
      </x:c>
      <x:c r="G1581" s="10" t="str">
        <x:v>Prestação de serviços</x:v>
      </x:c>
      <x:c r="H1581" s="10" t="str">
        <x:v>REC00595</x:v>
      </x:c>
      <x:c r="I1581" s="20" t="n">
        <x:v>17148.35</x:v>
      </x:c>
      <x:c r="J1581" s="20" t="n">
        <x:v>17148.35</x:v>
      </x:c>
      <x:c r="K1581" s="10" t="str">
        <x:v>Realizado</x:v>
      </x:c>
      <x:c r="L1581" s="10" t="str">
        <x:v>Contas a Receber</x:v>
      </x:c>
    </x:row>
    <x:row r="1582" ht="18" customHeight="1">
      <x:c r="A1582" s="10" t="str">
        <x:v>MOV001408</x:v>
      </x:c>
      <x:c r="B1582" s="16" t="n">
        <x:v>45981.83453074074</x:v>
      </x:c>
      <x:c r="C1582" s="10" t="str">
        <x:v>EMP001</x:v>
      </x:c>
      <x:c r="D1582" s="10" t="str">
        <x:v>CTA002</x:v>
      </x:c>
      <x:c r="E1582" s="10" t="str">
        <x:v>Entrada</x:v>
      </x:c>
      <x:c r="F1582" s="10" t="str">
        <x:v>CAT002</x:v>
      </x:c>
      <x:c r="G1582" s="10" t="str">
        <x:v>Frete faturado</x:v>
      </x:c>
      <x:c r="H1582" s="10" t="str">
        <x:v>REC00790</x:v>
      </x:c>
      <x:c r="I1582" s="20" t="n">
        <x:v>38959.72</x:v>
      </x:c>
      <x:c r="J1582" s="20" t="n">
        <x:v>38959.72</x:v>
      </x:c>
      <x:c r="K1582" s="10" t="str">
        <x:v>Realizado</x:v>
      </x:c>
      <x:c r="L1582" s="10" t="str">
        <x:v>Contas a Receber</x:v>
      </x:c>
    </x:row>
    <x:row r="1583" ht="18" customHeight="1">
      <x:c r="A1583" s="10" t="str">
        <x:v>MOV000372</x:v>
      </x:c>
      <x:c r="B1583" s="16" t="n">
        <x:v>45982.25379310185</x:v>
      </x:c>
      <x:c r="C1583" s="10" t="str">
        <x:v>EMP001</x:v>
      </x:c>
      <x:c r="D1583" s="10" t="str">
        <x:v>CTA001</x:v>
      </x:c>
      <x:c r="E1583" s="10" t="str">
        <x:v>Saída</x:v>
      </x:c>
      <x:c r="F1583" s="10" t="str">
        <x:v>CAT010</x:v>
      </x:c>
      <x:c r="G1583" s="10" t="str">
        <x:v>Contrato recorrente</x:v>
      </x:c>
      <x:c r="H1583" s="10" t="str">
        <x:v>PAG00432</x:v>
      </x:c>
      <x:c r="I1583" s="20" t="n">
        <x:v>115439.08</x:v>
      </x:c>
      <x:c r="J1583" s="20" t="n">
        <x:v>-115439.08</x:v>
      </x:c>
      <x:c r="K1583" s="10" t="str">
        <x:v>Realizado</x:v>
      </x:c>
      <x:c r="L1583" s="10" t="str">
        <x:v>Contas a Pagar</x:v>
      </x:c>
    </x:row>
    <x:row r="1584" ht="18" customHeight="1">
      <x:c r="A1584" s="10" t="str">
        <x:v>MOV000979</x:v>
      </x:c>
      <x:c r="B1584" s="16" t="n">
        <x:v>45982.32603780093</x:v>
      </x:c>
      <x:c r="C1584" s="10" t="str">
        <x:v>EMP002</x:v>
      </x:c>
      <x:c r="D1584" s="10" t="str">
        <x:v>CTA003</x:v>
      </x:c>
      <x:c r="E1584" s="10" t="str">
        <x:v>Entrada</x:v>
      </x:c>
      <x:c r="F1584" s="10" t="str">
        <x:v>CAT004</x:v>
      </x:c>
      <x:c r="G1584" s="10" t="str">
        <x:v>Frete faturado</x:v>
      </x:c>
      <x:c r="H1584" s="10" t="str">
        <x:v>REC00273</x:v>
      </x:c>
      <x:c r="I1584" s="20" t="n">
        <x:v>66111.58</x:v>
      </x:c>
      <x:c r="J1584" s="20" t="n">
        <x:v>66111.58</x:v>
      </x:c>
      <x:c r="K1584" s="10" t="str">
        <x:v>Realizado</x:v>
      </x:c>
      <x:c r="L1584" s="10" t="str">
        <x:v>Contas a Receber</x:v>
      </x:c>
    </x:row>
    <x:row r="1585" ht="18" customHeight="1">
      <x:c r="A1585" s="10" t="str">
        <x:v>MOV000206</x:v>
      </x:c>
      <x:c r="B1585" s="16" t="n">
        <x:v>45982.674107418985</x:v>
      </x:c>
      <x:c r="C1585" s="10" t="str">
        <x:v>EMP003</x:v>
      </x:c>
      <x:c r="D1585" s="10" t="str">
        <x:v>CTA005</x:v>
      </x:c>
      <x:c r="E1585" s="10" t="str">
        <x:v>Saída</x:v>
      </x:c>
      <x:c r="F1585" s="10" t="str">
        <x:v>CAT010</x:v>
      </x:c>
      <x:c r="G1585" s="10" t="str">
        <x:v>Contrato recorrente</x:v>
      </x:c>
      <x:c r="H1585" s="10" t="str">
        <x:v>PAG00240</x:v>
      </x:c>
      <x:c r="I1585" s="20" t="n">
        <x:v>69257.24</x:v>
      </x:c>
      <x:c r="J1585" s="20" t="n">
        <x:v>-69257.24</x:v>
      </x:c>
      <x:c r="K1585" s="10" t="str">
        <x:v>Realizado</x:v>
      </x:c>
      <x:c r="L1585" s="10" t="str">
        <x:v>Contas a Pagar</x:v>
      </x:c>
    </x:row>
    <x:row r="1586" ht="18" customHeight="1">
      <x:c r="A1586" s="10" t="str">
        <x:v>MOV000049</x:v>
      </x:c>
      <x:c r="B1586" s="16" t="n">
        <x:v>45982.67499166667</x:v>
      </x:c>
      <x:c r="C1586" s="10" t="str">
        <x:v>EMP002</x:v>
      </x:c>
      <x:c r="D1586" s="10" t="str">
        <x:v>CTA003</x:v>
      </x:c>
      <x:c r="E1586" s="10" t="str">
        <x:v>Saída</x:v>
      </x:c>
      <x:c r="F1586" s="10" t="str">
        <x:v>CAT012</x:v>
      </x:c>
      <x:c r="G1586" s="10" t="str">
        <x:v>Compra de materiais</x:v>
      </x:c>
      <x:c r="H1586" s="10" t="str">
        <x:v>PAG00050</x:v>
      </x:c>
      <x:c r="I1586" s="20" t="n">
        <x:v>49101.56</x:v>
      </x:c>
      <x:c r="J1586" s="20" t="n">
        <x:v>-49101.56</x:v>
      </x:c>
      <x:c r="K1586" s="10" t="str">
        <x:v>Realizado</x:v>
      </x:c>
      <x:c r="L1586" s="10" t="str">
        <x:v>Contas a Pagar</x:v>
      </x:c>
    </x:row>
    <x:row r="1587" ht="18" customHeight="1">
      <x:c r="A1587" s="10" t="str">
        <x:v>MOV000230</x:v>
      </x:c>
      <x:c r="B1587" s="16" t="n">
        <x:v>45982.69055881944</x:v>
      </x:c>
      <x:c r="C1587" s="10" t="str">
        <x:v>EMP003</x:v>
      </x:c>
      <x:c r="D1587" s="10" t="str">
        <x:v>CTA006</x:v>
      </x:c>
      <x:c r="E1587" s="10" t="str">
        <x:v>Saída</x:v>
      </x:c>
      <x:c r="F1587" s="10" t="str">
        <x:v>CAT016</x:v>
      </x:c>
      <x:c r="G1587" s="10" t="str">
        <x:v>Despesa operacional</x:v>
      </x:c>
      <x:c r="H1587" s="10" t="str">
        <x:v>PAG00269</x:v>
      </x:c>
      <x:c r="I1587" s="20" t="n">
        <x:v>37711.4</x:v>
      </x:c>
      <x:c r="J1587" s="20" t="n">
        <x:v>-37711.4</x:v>
      </x:c>
      <x:c r="K1587" s="10" t="str">
        <x:v>Realizado</x:v>
      </x:c>
      <x:c r="L1587" s="10" t="str">
        <x:v>Contas a Pagar</x:v>
      </x:c>
    </x:row>
    <x:row r="1588" ht="18" customHeight="1">
      <x:c r="A1588" s="10" t="str">
        <x:v>MOV000716</x:v>
      </x:c>
      <x:c r="B1588" s="16" t="n">
        <x:v>45982.71374731482</x:v>
      </x:c>
      <x:c r="C1588" s="10" t="str">
        <x:v>EMP001</x:v>
      </x:c>
      <x:c r="D1588" s="10" t="str">
        <x:v>CTA001</x:v>
      </x:c>
      <x:c r="E1588" s="10" t="str">
        <x:v>Saída</x:v>
      </x:c>
      <x:c r="F1588" s="10" t="str">
        <x:v>CAT012</x:v>
      </x:c>
      <x:c r="G1588" s="10" t="str">
        <x:v>Despesa operacional</x:v>
      </x:c>
      <x:c r="H1588" s="10" t="str">
        <x:v>PAG00850</x:v>
      </x:c>
      <x:c r="I1588" s="20" t="n">
        <x:v>100139.73</x:v>
      </x:c>
      <x:c r="J1588" s="20" t="n">
        <x:v>-100139.73</x:v>
      </x:c>
      <x:c r="K1588" s="10" t="str">
        <x:v>Realizado</x:v>
      </x:c>
      <x:c r="L1588" s="10" t="str">
        <x:v>Contas a Pagar</x:v>
      </x:c>
    </x:row>
    <x:row r="1589" ht="18" customHeight="1">
      <x:c r="A1589" s="10" t="str">
        <x:v>MOV001489</x:v>
      </x:c>
      <x:c r="B1589" s="16" t="n">
        <x:v>45982.83371737268</x:v>
      </x:c>
      <x:c r="C1589" s="10" t="str">
        <x:v>EMP001</x:v>
      </x:c>
      <x:c r="D1589" s="10" t="str">
        <x:v>CTA001</x:v>
      </x:c>
      <x:c r="E1589" s="10" t="str">
        <x:v>Entrada</x:v>
      </x:c>
      <x:c r="F1589" s="10" t="str">
        <x:v>CAT002</x:v>
      </x:c>
      <x:c r="G1589" s="10" t="str">
        <x:v>Frete faturado</x:v>
      </x:c>
      <x:c r="H1589" s="10" t="str">
        <x:v>REC00893</x:v>
      </x:c>
      <x:c r="I1589" s="20" t="n">
        <x:v>129026.86</x:v>
      </x:c>
      <x:c r="J1589" s="20" t="n">
        <x:v>129026.86</x:v>
      </x:c>
      <x:c r="K1589" s="10" t="str">
        <x:v>Realizado</x:v>
      </x:c>
      <x:c r="L1589" s="10" t="str">
        <x:v>Contas a Receber</x:v>
      </x:c>
    </x:row>
    <x:row r="1590" ht="18" customHeight="1">
      <x:c r="A1590" s="10" t="str">
        <x:v>MOV000558</x:v>
      </x:c>
      <x:c r="B1590" s="16" t="n">
        <x:v>45983.14694402778</x:v>
      </x:c>
      <x:c r="C1590" s="10" t="str">
        <x:v>EMP003</x:v>
      </x:c>
      <x:c r="D1590" s="10" t="str">
        <x:v>CTA005</x:v>
      </x:c>
      <x:c r="E1590" s="10" t="str">
        <x:v>Saída</x:v>
      </x:c>
      <x:c r="F1590" s="10" t="str">
        <x:v>CAT006</x:v>
      </x:c>
      <x:c r="G1590" s="10" t="str">
        <x:v>Despesa operacional</x:v>
      </x:c>
      <x:c r="H1590" s="10" t="str">
        <x:v>PAG00652</x:v>
      </x:c>
      <x:c r="I1590" s="20" t="n">
        <x:v>90585.87</x:v>
      </x:c>
      <x:c r="J1590" s="20" t="n">
        <x:v>-90585.87</x:v>
      </x:c>
      <x:c r="K1590" s="10" t="str">
        <x:v>Realizado</x:v>
      </x:c>
      <x:c r="L1590" s="10" t="str">
        <x:v>Contas a Pagar</x:v>
      </x:c>
    </x:row>
    <x:row r="1591" ht="18" customHeight="1">
      <x:c r="A1591" s="10" t="str">
        <x:v>MOV000290</x:v>
      </x:c>
      <x:c r="B1591" s="16" t="n">
        <x:v>45983.62148849537</x:v>
      </x:c>
      <x:c r="C1591" s="10" t="str">
        <x:v>EMP003</x:v>
      </x:c>
      <x:c r="D1591" s="10" t="str">
        <x:v>CTA005</x:v>
      </x:c>
      <x:c r="E1591" s="10" t="str">
        <x:v>Saída</x:v>
      </x:c>
      <x:c r="F1591" s="10" t="str">
        <x:v>CAT008</x:v>
      </x:c>
      <x:c r="G1591" s="10" t="str">
        <x:v>Prestação de serviços</x:v>
      </x:c>
      <x:c r="H1591" s="10" t="str">
        <x:v>PAG00336</x:v>
      </x:c>
      <x:c r="I1591" s="20" t="n">
        <x:v>1998.54</x:v>
      </x:c>
      <x:c r="J1591" s="20" t="n">
        <x:v>-1998.54</x:v>
      </x:c>
      <x:c r="K1591" s="10" t="str">
        <x:v>Realizado</x:v>
      </x:c>
      <x:c r="L1591" s="10" t="str">
        <x:v>Contas a Pagar</x:v>
      </x:c>
    </x:row>
    <x:row r="1592" ht="18" customHeight="1">
      <x:c r="A1592" s="10" t="str">
        <x:v>MOV001381</x:v>
      </x:c>
      <x:c r="B1592" s="16" t="n">
        <x:v>45984.00117018518</x:v>
      </x:c>
      <x:c r="C1592" s="10" t="str">
        <x:v>EMP003</x:v>
      </x:c>
      <x:c r="D1592" s="10" t="str">
        <x:v>CTA006</x:v>
      </x:c>
      <x:c r="E1592" s="10" t="str">
        <x:v>Entrada</x:v>
      </x:c>
      <x:c r="F1592" s="10" t="str">
        <x:v>CAT002</x:v>
      </x:c>
      <x:c r="G1592" s="10" t="str">
        <x:v>Frete faturado</x:v>
      </x:c>
      <x:c r="H1592" s="10" t="str">
        <x:v>REC00755</x:v>
      </x:c>
      <x:c r="I1592" s="20" t="n">
        <x:v>66605.79</x:v>
      </x:c>
      <x:c r="J1592" s="20" t="n">
        <x:v>66605.79</x:v>
      </x:c>
      <x:c r="K1592" s="10" t="str">
        <x:v>Realizado</x:v>
      </x:c>
      <x:c r="L1592" s="10" t="str">
        <x:v>Contas a Receber</x:v>
      </x:c>
    </x:row>
    <x:row r="1593" ht="18" customHeight="1">
      <x:c r="A1593" s="10" t="str">
        <x:v>MOV001056</x:v>
      </x:c>
      <x:c r="B1593" s="16" t="n">
        <x:v>45986.71829834491</x:v>
      </x:c>
      <x:c r="C1593" s="10" t="str">
        <x:v>EMP001</x:v>
      </x:c>
      <x:c r="D1593" s="10" t="str">
        <x:v>CTA002</x:v>
      </x:c>
      <x:c r="E1593" s="10" t="str">
        <x:v>Entrada</x:v>
      </x:c>
      <x:c r="F1593" s="10" t="str">
        <x:v>CAT002</x:v>
      </x:c>
      <x:c r="G1593" s="10" t="str">
        <x:v>Projeto especial</x:v>
      </x:c>
      <x:c r="H1593" s="10" t="str">
        <x:v>REC00368</x:v>
      </x:c>
      <x:c r="I1593" s="20" t="n">
        <x:v>23253.55</x:v>
      </x:c>
      <x:c r="J1593" s="20" t="n">
        <x:v>23253.55</x:v>
      </x:c>
      <x:c r="K1593" s="10" t="str">
        <x:v>Realizado</x:v>
      </x:c>
      <x:c r="L1593" s="10" t="str">
        <x:v>Contas a Receber</x:v>
      </x:c>
    </x:row>
    <x:row r="1594" ht="18" customHeight="1">
      <x:c r="A1594" s="10" t="str">
        <x:v>MOV000252</x:v>
      </x:c>
      <x:c r="B1594" s="16" t="n">
        <x:v>45986.75299361111</x:v>
      </x:c>
      <x:c r="C1594" s="10" t="str">
        <x:v>EMP001</x:v>
      </x:c>
      <x:c r="D1594" s="10" t="str">
        <x:v>CTA002</x:v>
      </x:c>
      <x:c r="E1594" s="10" t="str">
        <x:v>Saída</x:v>
      </x:c>
      <x:c r="F1594" s="10" t="str">
        <x:v>CAT012</x:v>
      </x:c>
      <x:c r="G1594" s="10" t="str">
        <x:v>Tributos e taxas</x:v>
      </x:c>
      <x:c r="H1594" s="10" t="str">
        <x:v>PAG00294</x:v>
      </x:c>
      <x:c r="I1594" s="20" t="n">
        <x:v>24967.39</x:v>
      </x:c>
      <x:c r="J1594" s="20" t="n">
        <x:v>-24967.39</x:v>
      </x:c>
      <x:c r="K1594" s="10" t="str">
        <x:v>Realizado</x:v>
      </x:c>
      <x:c r="L1594" s="10" t="str">
        <x:v>Contas a Pagar</x:v>
      </x:c>
    </x:row>
    <x:row r="1595" ht="18" customHeight="1">
      <x:c r="A1595" s="10" t="str">
        <x:v>MOV000196</x:v>
      </x:c>
      <x:c r="B1595" s="16" t="n">
        <x:v>45986.87914800926</x:v>
      </x:c>
      <x:c r="C1595" s="10" t="str">
        <x:v>EMP001</x:v>
      </x:c>
      <x:c r="D1595" s="10" t="str">
        <x:v>CTA001</x:v>
      </x:c>
      <x:c r="E1595" s="10" t="str">
        <x:v>Saída</x:v>
      </x:c>
      <x:c r="F1595" s="10" t="str">
        <x:v>CAT012</x:v>
      </x:c>
      <x:c r="G1595" s="10" t="str">
        <x:v>Tributos e taxas</x:v>
      </x:c>
      <x:c r="H1595" s="10" t="str">
        <x:v>PAG00229</x:v>
      </x:c>
      <x:c r="I1595" s="20" t="n">
        <x:v>12443.71</x:v>
      </x:c>
      <x:c r="J1595" s="20" t="n">
        <x:v>-12443.71</x:v>
      </x:c>
      <x:c r="K1595" s="10" t="str">
        <x:v>Realizado</x:v>
      </x:c>
      <x:c r="L1595" s="10" t="str">
        <x:v>Contas a Pagar</x:v>
      </x:c>
    </x:row>
    <x:row r="1596" ht="18" customHeight="1">
      <x:c r="A1596" s="10" t="str">
        <x:v>MOV000410</x:v>
      </x:c>
      <x:c r="B1596" s="16" t="n">
        <x:v>45986.9017812963</x:v>
      </x:c>
      <x:c r="C1596" s="10" t="str">
        <x:v>EMP003</x:v>
      </x:c>
      <x:c r="D1596" s="10" t="str">
        <x:v>CTA005</x:v>
      </x:c>
      <x:c r="E1596" s="10" t="str">
        <x:v>Saída</x:v>
      </x:c>
      <x:c r="F1596" s="10" t="str">
        <x:v>CAT015</x:v>
      </x:c>
      <x:c r="G1596" s="10" t="str">
        <x:v>Prestação de serviços</x:v>
      </x:c>
      <x:c r="H1596" s="10" t="str">
        <x:v>PAG00478</x:v>
      </x:c>
      <x:c r="I1596" s="20" t="n">
        <x:v>43565.88</x:v>
      </x:c>
      <x:c r="J1596" s="20" t="n">
        <x:v>-43565.88</x:v>
      </x:c>
      <x:c r="K1596" s="10" t="str">
        <x:v>Realizado</x:v>
      </x:c>
      <x:c r="L1596" s="10" t="str">
        <x:v>Contas a Pagar</x:v>
      </x:c>
    </x:row>
    <x:row r="1597" ht="18" customHeight="1">
      <x:c r="A1597" s="10" t="str">
        <x:v>MOV000610</x:v>
      </x:c>
      <x:c r="B1597" s="16" t="n">
        <x:v>45987.19288306713</x:v>
      </x:c>
      <x:c r="C1597" s="10" t="str">
        <x:v>EMP003</x:v>
      </x:c>
      <x:c r="D1597" s="10" t="str">
        <x:v>CTA006</x:v>
      </x:c>
      <x:c r="E1597" s="10" t="str">
        <x:v>Saída</x:v>
      </x:c>
      <x:c r="F1597" s="10" t="str">
        <x:v>CAT013</x:v>
      </x:c>
      <x:c r="G1597" s="10" t="str">
        <x:v>Prestação de serviços</x:v>
      </x:c>
      <x:c r="H1597" s="10" t="str">
        <x:v>PAG00722</x:v>
      </x:c>
      <x:c r="I1597" s="20" t="n">
        <x:v>99488.82</x:v>
      </x:c>
      <x:c r="J1597" s="20" t="n">
        <x:v>-99488.82</x:v>
      </x:c>
      <x:c r="K1597" s="10" t="str">
        <x:v>Realizado</x:v>
      </x:c>
      <x:c r="L1597" s="10" t="str">
        <x:v>Contas a Pagar</x:v>
      </x:c>
    </x:row>
    <x:row r="1598" ht="18" customHeight="1">
      <x:c r="A1598" s="10" t="str">
        <x:v>MOV001650</x:v>
      </x:c>
      <x:c r="B1598" s="16" t="n">
        <x:v>45987.83200206018</x:v>
      </x:c>
      <x:c r="C1598" s="10" t="str">
        <x:v>EMP002</x:v>
      </x:c>
      <x:c r="D1598" s="10" t="str">
        <x:v>CTA003</x:v>
      </x:c>
      <x:c r="E1598" s="10" t="str">
        <x:v>Entrada</x:v>
      </x:c>
      <x:c r="F1598" s="10" t="str">
        <x:v>CAT004</x:v>
      </x:c>
      <x:c r="G1598" s="10" t="str">
        <x:v>Frete faturado</x:v>
      </x:c>
      <x:c r="H1598" s="10" t="str">
        <x:v>REC01090</x:v>
      </x:c>
      <x:c r="I1598" s="20" t="n">
        <x:v>7139.33</x:v>
      </x:c>
      <x:c r="J1598" s="20" t="n">
        <x:v>7139.33</x:v>
      </x:c>
      <x:c r="K1598" s="10" t="str">
        <x:v>Realizado</x:v>
      </x:c>
      <x:c r="L1598" s="10" t="str">
        <x:v>Contas a Receber</x:v>
      </x:c>
    </x:row>
    <x:row r="1599" ht="18" customHeight="1">
      <x:c r="A1599" s="10" t="str">
        <x:v>MOV001409</x:v>
      </x:c>
      <x:c r="B1599" s="16" t="n">
        <x:v>45988.43827446759</x:v>
      </x:c>
      <x:c r="C1599" s="10" t="str">
        <x:v>EMP003</x:v>
      </x:c>
      <x:c r="D1599" s="10" t="str">
        <x:v>CTA005</x:v>
      </x:c>
      <x:c r="E1599" s="10" t="str">
        <x:v>Entrada</x:v>
      </x:c>
      <x:c r="F1599" s="10" t="str">
        <x:v>CAT002</x:v>
      </x:c>
      <x:c r="G1599" s="10" t="str">
        <x:v>Projeto especial</x:v>
      </x:c>
      <x:c r="H1599" s="10" t="str">
        <x:v>REC00791</x:v>
      </x:c>
      <x:c r="I1599" s="20" t="n">
        <x:v>91863.96</x:v>
      </x:c>
      <x:c r="J1599" s="20" t="n">
        <x:v>91863.96</x:v>
      </x:c>
      <x:c r="K1599" s="10" t="str">
        <x:v>Realizado</x:v>
      </x:c>
      <x:c r="L1599" s="10" t="str">
        <x:v>Contas a Receber</x:v>
      </x:c>
    </x:row>
    <x:row r="1600" ht="18" customHeight="1">
      <x:c r="A1600" s="10" t="str">
        <x:v>MOV000487</x:v>
      </x:c>
      <x:c r="B1600" s="16" t="n">
        <x:v>45989.44584638889</x:v>
      </x:c>
      <x:c r="C1600" s="10" t="str">
        <x:v>EMP002</x:v>
      </x:c>
      <x:c r="D1600" s="10" t="str">
        <x:v>CTA004</x:v>
      </x:c>
      <x:c r="E1600" s="10" t="str">
        <x:v>Saída</x:v>
      </x:c>
      <x:c r="F1600" s="10" t="str">
        <x:v>CAT016</x:v>
      </x:c>
      <x:c r="G1600" s="10" t="str">
        <x:v>Prestação de serviços</x:v>
      </x:c>
      <x:c r="H1600" s="10" t="str">
        <x:v>PAG00571</x:v>
      </x:c>
      <x:c r="I1600" s="20" t="n">
        <x:v>64244.46</x:v>
      </x:c>
      <x:c r="J1600" s="20" t="n">
        <x:v>-64244.46</x:v>
      </x:c>
      <x:c r="K1600" s="10" t="str">
        <x:v>Realizado</x:v>
      </x:c>
      <x:c r="L1600" s="10" t="str">
        <x:v>Contas a Pagar</x:v>
      </x:c>
    </x:row>
    <x:row r="1601" ht="18" customHeight="1">
      <x:c r="A1601" s="10" t="str">
        <x:v>MOV001218</x:v>
      </x:c>
      <x:c r="B1601" s="16" t="n">
        <x:v>45990.0226718287</x:v>
      </x:c>
      <x:c r="C1601" s="10" t="str">
        <x:v>EMP003</x:v>
      </x:c>
      <x:c r="D1601" s="10" t="str">
        <x:v>CTA006</x:v>
      </x:c>
      <x:c r="E1601" s="10" t="str">
        <x:v>Entrada</x:v>
      </x:c>
      <x:c r="F1601" s="10" t="str">
        <x:v>CAT003</x:v>
      </x:c>
      <x:c r="G1601" s="10" t="str">
        <x:v>Contrato mensal</x:v>
      </x:c>
      <x:c r="H1601" s="10" t="str">
        <x:v>REC00568</x:v>
      </x:c>
      <x:c r="I1601" s="20" t="n">
        <x:v>2153.31</x:v>
      </x:c>
      <x:c r="J1601" s="20" t="n">
        <x:v>2153.31</x:v>
      </x:c>
      <x:c r="K1601" s="10" t="str">
        <x:v>Realizado</x:v>
      </x:c>
      <x:c r="L1601" s="10" t="str">
        <x:v>Contas a Receber</x:v>
      </x:c>
    </x:row>
    <x:row r="1602" ht="18" customHeight="1">
      <x:c r="A1602" s="10" t="str">
        <x:v>MOV001062</x:v>
      </x:c>
      <x:c r="B1602" s="16" t="n">
        <x:v>45990.03526892361</x:v>
      </x:c>
      <x:c r="C1602" s="10" t="str">
        <x:v>EMP001</x:v>
      </x:c>
      <x:c r="D1602" s="10" t="str">
        <x:v>CTA002</x:v>
      </x:c>
      <x:c r="E1602" s="10" t="str">
        <x:v>Entrada</x:v>
      </x:c>
      <x:c r="F1602" s="10" t="str">
        <x:v>CAT002</x:v>
      </x:c>
      <x:c r="G1602" s="10" t="str">
        <x:v>Contrato mensal</x:v>
      </x:c>
      <x:c r="H1602" s="10" t="str">
        <x:v>REC00379</x:v>
      </x:c>
      <x:c r="I1602" s="20" t="n">
        <x:v>96233.29</x:v>
      </x:c>
      <x:c r="J1602" s="20" t="n">
        <x:v>96233.29</x:v>
      </x:c>
      <x:c r="K1602" s="10" t="str">
        <x:v>Realizado</x:v>
      </x:c>
      <x:c r="L1602" s="10" t="str">
        <x:v>Contas a Receber</x:v>
      </x:c>
    </x:row>
    <x:row r="1603" ht="18" customHeight="1">
      <x:c r="A1603" s="10" t="str">
        <x:v>MOV000043</x:v>
      </x:c>
      <x:c r="B1603" s="16" t="n">
        <x:v>45990.07708894676</x:v>
      </x:c>
      <x:c r="C1603" s="10" t="str">
        <x:v>EMP001</x:v>
      </x:c>
      <x:c r="D1603" s="10" t="str">
        <x:v>CTA002</x:v>
      </x:c>
      <x:c r="E1603" s="10" t="str">
        <x:v>Saída</x:v>
      </x:c>
      <x:c r="F1603" s="10" t="str">
        <x:v>CAT005</x:v>
      </x:c>
      <x:c r="G1603" s="10" t="str">
        <x:v>Contrato recorrente</x:v>
      </x:c>
      <x:c r="H1603" s="10" t="str">
        <x:v>PAG00043</x:v>
      </x:c>
      <x:c r="I1603" s="20" t="n">
        <x:v>1238.71</x:v>
      </x:c>
      <x:c r="J1603" s="20" t="n">
        <x:v>-1238.71</x:v>
      </x:c>
      <x:c r="K1603" s="10" t="str">
        <x:v>Realizado</x:v>
      </x:c>
      <x:c r="L1603" s="10" t="str">
        <x:v>Contas a Pagar</x:v>
      </x:c>
    </x:row>
    <x:row r="1604" ht="18" customHeight="1">
      <x:c r="A1604" s="10" t="str">
        <x:v>MOV000702</x:v>
      </x:c>
      <x:c r="B1604" s="16" t="n">
        <x:v>45990.09525409722</x:v>
      </x:c>
      <x:c r="C1604" s="10" t="str">
        <x:v>EMP003</x:v>
      </x:c>
      <x:c r="D1604" s="10" t="str">
        <x:v>CTA006</x:v>
      </x:c>
      <x:c r="E1604" s="10" t="str">
        <x:v>Saída</x:v>
      </x:c>
      <x:c r="F1604" s="10" t="str">
        <x:v>CAT018</x:v>
      </x:c>
      <x:c r="G1604" s="10" t="str">
        <x:v>Despesa operacional</x:v>
      </x:c>
      <x:c r="H1604" s="10" t="str">
        <x:v>PAG00834</x:v>
      </x:c>
      <x:c r="I1604" s="20" t="n">
        <x:v>13308.41</x:v>
      </x:c>
      <x:c r="J1604" s="20" t="n">
        <x:v>-13308.41</x:v>
      </x:c>
      <x:c r="K1604" s="10" t="str">
        <x:v>Realizado</x:v>
      </x:c>
      <x:c r="L1604" s="10" t="str">
        <x:v>Contas a Pagar</x:v>
      </x:c>
    </x:row>
    <x:row r="1605" ht="18" customHeight="1">
      <x:c r="A1605" s="10" t="str">
        <x:v>MOV000964</x:v>
      </x:c>
      <x:c r="B1605" s="16" t="n">
        <x:v>45992.059823483796</x:v>
      </x:c>
      <x:c r="C1605" s="10" t="str">
        <x:v>EMP003</x:v>
      </x:c>
      <x:c r="D1605" s="10" t="str">
        <x:v>CTA006</x:v>
      </x:c>
      <x:c r="E1605" s="10" t="str">
        <x:v>Entrada</x:v>
      </x:c>
      <x:c r="F1605" s="10" t="str">
        <x:v>CAT004</x:v>
      </x:c>
      <x:c r="G1605" s="10" t="str">
        <x:v>Venda de produtos</x:v>
      </x:c>
      <x:c r="H1605" s="10" t="str">
        <x:v>REC00252</x:v>
      </x:c>
      <x:c r="I1605" s="20" t="n">
        <x:v>8052.58</x:v>
      </x:c>
      <x:c r="J1605" s="20" t="n">
        <x:v>8052.58</x:v>
      </x:c>
      <x:c r="K1605" s="10" t="str">
        <x:v>Realizado</x:v>
      </x:c>
      <x:c r="L1605" s="10" t="str">
        <x:v>Contas a Receber</x:v>
      </x:c>
    </x:row>
    <x:row r="1606" ht="18" customHeight="1">
      <x:c r="A1606" s="10" t="str">
        <x:v>MOV001282</x:v>
      </x:c>
      <x:c r="B1606" s="16" t="n">
        <x:v>45992.22135319444</x:v>
      </x:c>
      <x:c r="C1606" s="10" t="str">
        <x:v>EMP003</x:v>
      </x:c>
      <x:c r="D1606" s="10" t="str">
        <x:v>CTA005</x:v>
      </x:c>
      <x:c r="E1606" s="10" t="str">
        <x:v>Entrada</x:v>
      </x:c>
      <x:c r="F1606" s="10" t="str">
        <x:v>CAT004</x:v>
      </x:c>
      <x:c r="G1606" s="10" t="str">
        <x:v>Contrato mensal</x:v>
      </x:c>
      <x:c r="H1606" s="10" t="str">
        <x:v>REC00642</x:v>
      </x:c>
      <x:c r="I1606" s="20" t="n">
        <x:v>46806.16</x:v>
      </x:c>
      <x:c r="J1606" s="20" t="n">
        <x:v>46806.16</x:v>
      </x:c>
      <x:c r="K1606" s="10" t="str">
        <x:v>Realizado</x:v>
      </x:c>
      <x:c r="L1606" s="10" t="str">
        <x:v>Contas a Receber</x:v>
      </x:c>
    </x:row>
    <x:row r="1607" ht="18" customHeight="1">
      <x:c r="A1607" s="10" t="str">
        <x:v>MOV001490</x:v>
      </x:c>
      <x:c r="B1607" s="16" t="n">
        <x:v>45992.43782024305</x:v>
      </x:c>
      <x:c r="C1607" s="10" t="str">
        <x:v>EMP001</x:v>
      </x:c>
      <x:c r="D1607" s="10" t="str">
        <x:v>CTA001</x:v>
      </x:c>
      <x:c r="E1607" s="10" t="str">
        <x:v>Entrada</x:v>
      </x:c>
      <x:c r="F1607" s="10" t="str">
        <x:v>CAT002</x:v>
      </x:c>
      <x:c r="G1607" s="10" t="str">
        <x:v>Prestação de serviços</x:v>
      </x:c>
      <x:c r="H1607" s="10" t="str">
        <x:v>REC00894</x:v>
      </x:c>
      <x:c r="I1607" s="20" t="n">
        <x:v>52262.44</x:v>
      </x:c>
      <x:c r="J1607" s="20" t="n">
        <x:v>52262.44</x:v>
      </x:c>
      <x:c r="K1607" s="10" t="str">
        <x:v>Realizado</x:v>
      </x:c>
      <x:c r="L1607" s="10" t="str">
        <x:v>Contas a Receber</x:v>
      </x:c>
    </x:row>
    <x:row r="1608" ht="18" customHeight="1">
      <x:c r="A1608" s="10" t="str">
        <x:v>MOV000664</x:v>
      </x:c>
      <x:c r="B1608" s="16" t="n">
        <x:v>45992.99312046296</x:v>
      </x:c>
      <x:c r="C1608" s="10" t="str">
        <x:v>EMP003</x:v>
      </x:c>
      <x:c r="D1608" s="10" t="str">
        <x:v>CTA005</x:v>
      </x:c>
      <x:c r="E1608" s="10" t="str">
        <x:v>Saída</x:v>
      </x:c>
      <x:c r="F1608" s="10" t="str">
        <x:v>CAT018</x:v>
      </x:c>
      <x:c r="G1608" s="10" t="str">
        <x:v>Compra de materiais</x:v>
      </x:c>
      <x:c r="H1608" s="10" t="str">
        <x:v>PAG00788</x:v>
      </x:c>
      <x:c r="I1608" s="20" t="n">
        <x:v>60574.52</x:v>
      </x:c>
      <x:c r="J1608" s="20" t="n">
        <x:v>-60574.52</x:v>
      </x:c>
      <x:c r="K1608" s="10" t="str">
        <x:v>Realizado</x:v>
      </x:c>
      <x:c r="L1608" s="10" t="str">
        <x:v>Contas a Pagar</x:v>
      </x:c>
    </x:row>
    <x:row r="1609" ht="18" customHeight="1">
      <x:c r="A1609" s="10" t="str">
        <x:v>MOV000994</x:v>
      </x:c>
      <x:c r="B1609" s="16" t="n">
        <x:v>45993.55008809028</x:v>
      </x:c>
      <x:c r="C1609" s="10" t="str">
        <x:v>EMP003</x:v>
      </x:c>
      <x:c r="D1609" s="10" t="str">
        <x:v>CTA005</x:v>
      </x:c>
      <x:c r="E1609" s="10" t="str">
        <x:v>Entrada</x:v>
      </x:c>
      <x:c r="F1609" s="10" t="str">
        <x:v>CAT002</x:v>
      </x:c>
      <x:c r="G1609" s="10" t="str">
        <x:v>Venda de produtos</x:v>
      </x:c>
      <x:c r="H1609" s="10" t="str">
        <x:v>REC00292</x:v>
      </x:c>
      <x:c r="I1609" s="20" t="n">
        <x:v>12517.03</x:v>
      </x:c>
      <x:c r="J1609" s="20" t="n">
        <x:v>12517.03</x:v>
      </x:c>
      <x:c r="K1609" s="10" t="str">
        <x:v>Realizado</x:v>
      </x:c>
      <x:c r="L1609" s="10" t="str">
        <x:v>Contas a Receber</x:v>
      </x:c>
    </x:row>
    <x:row r="1610" ht="18" customHeight="1">
      <x:c r="A1610" s="10" t="str">
        <x:v>MOV000017</x:v>
      </x:c>
      <x:c r="B1610" s="16" t="n">
        <x:v>45994.44724983796</x:v>
      </x:c>
      <x:c r="C1610" s="10" t="str">
        <x:v>EMP003</x:v>
      </x:c>
      <x:c r="D1610" s="10" t="str">
        <x:v>CTA005</x:v>
      </x:c>
      <x:c r="E1610" s="10" t="str">
        <x:v>Saída</x:v>
      </x:c>
      <x:c r="F1610" s="10" t="str">
        <x:v>CAT013</x:v>
      </x:c>
      <x:c r="G1610" s="10" t="str">
        <x:v>Contrato recorrente</x:v>
      </x:c>
      <x:c r="H1610" s="10" t="str">
        <x:v>PAG00015</x:v>
      </x:c>
      <x:c r="I1610" s="20" t="n">
        <x:v>62544.16</x:v>
      </x:c>
      <x:c r="J1610" s="20" t="n">
        <x:v>-62544.16</x:v>
      </x:c>
      <x:c r="K1610" s="10" t="str">
        <x:v>Realizado</x:v>
      </x:c>
      <x:c r="L1610" s="10" t="str">
        <x:v>Contas a Pagar</x:v>
      </x:c>
    </x:row>
    <x:row r="1611" ht="18" customHeight="1">
      <x:c r="A1611" s="10" t="str">
        <x:v>MOV000891</x:v>
      </x:c>
      <x:c r="B1611" s="16" t="n">
        <x:v>45994.71009533565</x:v>
      </x:c>
      <x:c r="C1611" s="10" t="str">
        <x:v>EMP003</x:v>
      </x:c>
      <x:c r="D1611" s="10" t="str">
        <x:v>CTA005</x:v>
      </x:c>
      <x:c r="E1611" s="10" t="str">
        <x:v>Entrada</x:v>
      </x:c>
      <x:c r="F1611" s="10" t="str">
        <x:v>CAT003</x:v>
      </x:c>
      <x:c r="G1611" s="10" t="str">
        <x:v>Frete faturado</x:v>
      </x:c>
      <x:c r="H1611" s="10" t="str">
        <x:v>REC00166</x:v>
      </x:c>
      <x:c r="I1611" s="20" t="n">
        <x:v>2925.22</x:v>
      </x:c>
      <x:c r="J1611" s="20" t="n">
        <x:v>2925.22</x:v>
      </x:c>
      <x:c r="K1611" s="10" t="str">
        <x:v>Realizado</x:v>
      </x:c>
      <x:c r="L1611" s="10" t="str">
        <x:v>Contas a Receber</x:v>
      </x:c>
    </x:row>
    <x:row r="1612" ht="18" customHeight="1">
      <x:c r="A1612" s="10" t="str">
        <x:v>MOV000100</x:v>
      </x:c>
      <x:c r="B1612" s="16" t="n">
        <x:v>45995.44973150463</x:v>
      </x:c>
      <x:c r="C1612" s="10" t="str">
        <x:v>EMP002</x:v>
      </x:c>
      <x:c r="D1612" s="10" t="str">
        <x:v>CTA003</x:v>
      </x:c>
      <x:c r="E1612" s="10" t="str">
        <x:v>Saída</x:v>
      </x:c>
      <x:c r="F1612" s="10" t="str">
        <x:v>CAT010</x:v>
      </x:c>
      <x:c r="G1612" s="10" t="str">
        <x:v>Prestação de serviços</x:v>
      </x:c>
      <x:c r="H1612" s="10" t="str">
        <x:v>PAG00111</x:v>
      </x:c>
      <x:c r="I1612" s="20" t="n">
        <x:v>20606.98</x:v>
      </x:c>
      <x:c r="J1612" s="20" t="n">
        <x:v>-20606.98</x:v>
      </x:c>
      <x:c r="K1612" s="10" t="str">
        <x:v>Realizado</x:v>
      </x:c>
      <x:c r="L1612" s="10" t="str">
        <x:v>Contas a Pagar</x:v>
      </x:c>
    </x:row>
    <x:row r="1613" ht="18" customHeight="1">
      <x:c r="A1613" s="10" t="str">
        <x:v>MOV000951</x:v>
      </x:c>
      <x:c r="B1613" s="16" t="n">
        <x:v>45995.81607061343</x:v>
      </x:c>
      <x:c r="C1613" s="10" t="str">
        <x:v>EMP003</x:v>
      </x:c>
      <x:c r="D1613" s="10" t="str">
        <x:v>CTA005</x:v>
      </x:c>
      <x:c r="E1613" s="10" t="str">
        <x:v>Entrada</x:v>
      </x:c>
      <x:c r="F1613" s="10" t="str">
        <x:v>CAT002</x:v>
      </x:c>
      <x:c r="G1613" s="10" t="str">
        <x:v>Contrato mensal</x:v>
      </x:c>
      <x:c r="H1613" s="10" t="str">
        <x:v>REC00233</x:v>
      </x:c>
      <x:c r="I1613" s="20" t="n">
        <x:v>80814.47</x:v>
      </x:c>
      <x:c r="J1613" s="20" t="n">
        <x:v>80814.47</x:v>
      </x:c>
      <x:c r="K1613" s="10" t="str">
        <x:v>Realizado</x:v>
      </x:c>
      <x:c r="L1613" s="10" t="str">
        <x:v>Contas a Receber</x:v>
      </x:c>
    </x:row>
    <x:row r="1614" ht="18" customHeight="1">
      <x:c r="A1614" s="10" t="str">
        <x:v>MOV000934</x:v>
      </x:c>
      <x:c r="B1614" s="16" t="n">
        <x:v>45996.47770258102</x:v>
      </x:c>
      <x:c r="C1614" s="10" t="str">
        <x:v>EMP003</x:v>
      </x:c>
      <x:c r="D1614" s="10" t="str">
        <x:v>CTA006</x:v>
      </x:c>
      <x:c r="E1614" s="10" t="str">
        <x:v>Entrada</x:v>
      </x:c>
      <x:c r="F1614" s="10" t="str">
        <x:v>CAT004</x:v>
      </x:c>
      <x:c r="G1614" s="10" t="str">
        <x:v>Prestação de serviços</x:v>
      </x:c>
      <x:c r="H1614" s="10" t="str">
        <x:v>REC00214</x:v>
      </x:c>
      <x:c r="I1614" s="20" t="n">
        <x:v>96591.75</x:v>
      </x:c>
      <x:c r="J1614" s="20" t="n">
        <x:v>96591.75</x:v>
      </x:c>
      <x:c r="K1614" s="10" t="str">
        <x:v>Realizado</x:v>
      </x:c>
      <x:c r="L1614" s="10" t="str">
        <x:v>Contas a Receber</x:v>
      </x:c>
    </x:row>
    <x:row r="1615" ht="18" customHeight="1">
      <x:c r="A1615" s="10" t="str">
        <x:v>MOV000192</x:v>
      </x:c>
      <x:c r="B1615" s="16" t="n">
        <x:v>45997.680046469904</x:v>
      </x:c>
      <x:c r="C1615" s="10" t="str">
        <x:v>EMP003</x:v>
      </x:c>
      <x:c r="D1615" s="10" t="str">
        <x:v>CTA005</x:v>
      </x:c>
      <x:c r="E1615" s="10" t="str">
        <x:v>Saída</x:v>
      </x:c>
      <x:c r="F1615" s="10" t="str">
        <x:v>CAT016</x:v>
      </x:c>
      <x:c r="G1615" s="10" t="str">
        <x:v>Despesa operacional</x:v>
      </x:c>
      <x:c r="H1615" s="10" t="str">
        <x:v>PAG00225</x:v>
      </x:c>
      <x:c r="I1615" s="20" t="n">
        <x:v>105281.11</x:v>
      </x:c>
      <x:c r="J1615" s="20" t="n">
        <x:v>-105281.11</x:v>
      </x:c>
      <x:c r="K1615" s="10" t="str">
        <x:v>Realizado</x:v>
      </x:c>
      <x:c r="L1615" s="10" t="str">
        <x:v>Contas a Pagar</x:v>
      </x:c>
    </x:row>
    <x:row r="1616" ht="18" customHeight="1">
      <x:c r="A1616" s="10" t="str">
        <x:v>MOV000243</x:v>
      </x:c>
      <x:c r="B1616" s="16" t="n">
        <x:v>45998.48293113426</x:v>
      </x:c>
      <x:c r="C1616" s="10" t="str">
        <x:v>EMP002</x:v>
      </x:c>
      <x:c r="D1616" s="10" t="str">
        <x:v>CTA004</x:v>
      </x:c>
      <x:c r="E1616" s="10" t="str">
        <x:v>Saída</x:v>
      </x:c>
      <x:c r="F1616" s="10" t="str">
        <x:v>CAT009</x:v>
      </x:c>
      <x:c r="G1616" s="10" t="str">
        <x:v>Tributos e taxas</x:v>
      </x:c>
      <x:c r="H1616" s="10" t="str">
        <x:v>PAG00284</x:v>
      </x:c>
      <x:c r="I1616" s="20" t="n">
        <x:v>107581.4</x:v>
      </x:c>
      <x:c r="J1616" s="20" t="n">
        <x:v>-107581.4</x:v>
      </x:c>
      <x:c r="K1616" s="10" t="str">
        <x:v>Realizado</x:v>
      </x:c>
      <x:c r="L1616" s="10" t="str">
        <x:v>Contas a Pagar</x:v>
      </x:c>
    </x:row>
    <x:row r="1617" ht="18" customHeight="1">
      <x:c r="A1617" s="10" t="str">
        <x:v>MOV000097</x:v>
      </x:c>
      <x:c r="B1617" s="16" t="n">
        <x:v>45998.91213819444</x:v>
      </x:c>
      <x:c r="C1617" s="10" t="str">
        <x:v>EMP002</x:v>
      </x:c>
      <x:c r="D1617" s="10" t="str">
        <x:v>CTA003</x:v>
      </x:c>
      <x:c r="E1617" s="10" t="str">
        <x:v>Saída</x:v>
      </x:c>
      <x:c r="F1617" s="10" t="str">
        <x:v>CAT013</x:v>
      </x:c>
      <x:c r="G1617" s="10" t="str">
        <x:v>Contrato recorrente</x:v>
      </x:c>
      <x:c r="H1617" s="10" t="str">
        <x:v>PAG00108</x:v>
      </x:c>
      <x:c r="I1617" s="20" t="n">
        <x:v>17453.21</x:v>
      </x:c>
      <x:c r="J1617" s="20" t="n">
        <x:v>-17453.21</x:v>
      </x:c>
      <x:c r="K1617" s="10" t="str">
        <x:v>Realizado</x:v>
      </x:c>
      <x:c r="L1617" s="10" t="str">
        <x:v>Contas a Pagar</x:v>
      </x:c>
    </x:row>
    <x:row r="1618" ht="18" customHeight="1">
      <x:c r="A1618" s="10" t="str">
        <x:v>MOV000729</x:v>
      </x:c>
      <x:c r="B1618" s="16" t="n">
        <x:v>45999.62968866898</x:v>
      </x:c>
      <x:c r="C1618" s="10" t="str">
        <x:v>EMP002</x:v>
      </x:c>
      <x:c r="D1618" s="10" t="str">
        <x:v>CTA004</x:v>
      </x:c>
      <x:c r="E1618" s="10" t="str">
        <x:v>Saída</x:v>
      </x:c>
      <x:c r="F1618" s="10" t="str">
        <x:v>CAT009</x:v>
      </x:c>
      <x:c r="G1618" s="10" t="str">
        <x:v>Compra de materiais</x:v>
      </x:c>
      <x:c r="H1618" s="10" t="str">
        <x:v>PAG00867</x:v>
      </x:c>
      <x:c r="I1618" s="20" t="n">
        <x:v>81213.91</x:v>
      </x:c>
      <x:c r="J1618" s="20" t="n">
        <x:v>-81213.91</x:v>
      </x:c>
      <x:c r="K1618" s="10" t="str">
        <x:v>Realizado</x:v>
      </x:c>
      <x:c r="L1618" s="10" t="str">
        <x:v>Contas a Pagar</x:v>
      </x:c>
    </x:row>
    <x:row r="1619" ht="18" customHeight="1">
      <x:c r="A1619" s="10" t="str">
        <x:v>MOV000256</x:v>
      </x:c>
      <x:c r="B1619" s="16" t="n">
        <x:v>45999.82619712963</x:v>
      </x:c>
      <x:c r="C1619" s="10" t="str">
        <x:v>EMP001</x:v>
      </x:c>
      <x:c r="D1619" s="10" t="str">
        <x:v>CTA001</x:v>
      </x:c>
      <x:c r="E1619" s="10" t="str">
        <x:v>Saída</x:v>
      </x:c>
      <x:c r="F1619" s="10" t="str">
        <x:v>CAT006</x:v>
      </x:c>
      <x:c r="G1619" s="10" t="str">
        <x:v>Contrato recorrente</x:v>
      </x:c>
      <x:c r="H1619" s="10" t="str">
        <x:v>PAG00299</x:v>
      </x:c>
      <x:c r="I1619" s="20" t="n">
        <x:v>64276.63</x:v>
      </x:c>
      <x:c r="J1619" s="20" t="n">
        <x:v>-64276.63</x:v>
      </x:c>
      <x:c r="K1619" s="10" t="str">
        <x:v>Realizado</x:v>
      </x:c>
      <x:c r="L1619" s="10" t="str">
        <x:v>Contas a Pagar</x:v>
      </x:c>
    </x:row>
    <x:row r="1620" ht="18" customHeight="1">
      <x:c r="A1620" s="10" t="str">
        <x:v>MOV000968</x:v>
      </x:c>
      <x:c r="B1620" s="16" t="n">
        <x:v>46000.84844306713</x:v>
      </x:c>
      <x:c r="C1620" s="10" t="str">
        <x:v>EMP001</x:v>
      </x:c>
      <x:c r="D1620" s="10" t="str">
        <x:v>CTA001</x:v>
      </x:c>
      <x:c r="E1620" s="10" t="str">
        <x:v>Entrada</x:v>
      </x:c>
      <x:c r="F1620" s="10" t="str">
        <x:v>CAT004</x:v>
      </x:c>
      <x:c r="G1620" s="10" t="str">
        <x:v>Venda de produtos</x:v>
      </x:c>
      <x:c r="H1620" s="10" t="str">
        <x:v>REC00258</x:v>
      </x:c>
      <x:c r="I1620" s="20" t="n">
        <x:v>116657.23</x:v>
      </x:c>
      <x:c r="J1620" s="20" t="n">
        <x:v>116657.23</x:v>
      </x:c>
      <x:c r="K1620" s="10" t="str">
        <x:v>Realizado</x:v>
      </x:c>
      <x:c r="L1620" s="10" t="str">
        <x:v>Contas a Receber</x:v>
      </x:c>
    </x:row>
    <x:row r="1621" ht="18" customHeight="1">
      <x:c r="A1621" s="10" t="str">
        <x:v>MOV000653</x:v>
      </x:c>
      <x:c r="B1621" s="16" t="n">
        <x:v>46001.82258381944</x:v>
      </x:c>
      <x:c r="C1621" s="10" t="str">
        <x:v>EMP003</x:v>
      </x:c>
      <x:c r="D1621" s="10" t="str">
        <x:v>CTA006</x:v>
      </x:c>
      <x:c r="E1621" s="10" t="str">
        <x:v>Saída</x:v>
      </x:c>
      <x:c r="F1621" s="10" t="str">
        <x:v>CAT005</x:v>
      </x:c>
      <x:c r="G1621" s="10" t="str">
        <x:v>Prestação de serviços</x:v>
      </x:c>
      <x:c r="H1621" s="10" t="str">
        <x:v>PAG00773</x:v>
      </x:c>
      <x:c r="I1621" s="20" t="n">
        <x:v>18714.26</x:v>
      </x:c>
      <x:c r="J1621" s="20" t="n">
        <x:v>-18714.26</x:v>
      </x:c>
      <x:c r="K1621" s="10" t="str">
        <x:v>Realizado</x:v>
      </x:c>
      <x:c r="L1621" s="10" t="str">
        <x:v>Contas a Pagar</x:v>
      </x:c>
    </x:row>
    <x:row r="1622" ht="18" customHeight="1">
      <x:c r="A1622" s="10" t="str">
        <x:v>MOV001620</x:v>
      </x:c>
      <x:c r="B1622" s="16" t="n">
        <x:v>46002.583676064816</x:v>
      </x:c>
      <x:c r="C1622" s="10" t="str">
        <x:v>EMP003</x:v>
      </x:c>
      <x:c r="D1622" s="10" t="str">
        <x:v>CTA005</x:v>
      </x:c>
      <x:c r="E1622" s="10" t="str">
        <x:v>Entrada</x:v>
      </x:c>
      <x:c r="F1622" s="10" t="str">
        <x:v>CAT001</x:v>
      </x:c>
      <x:c r="G1622" s="10" t="str">
        <x:v>Prestação de serviços</x:v>
      </x:c>
      <x:c r="H1622" s="10" t="str">
        <x:v>REC01049</x:v>
      </x:c>
      <x:c r="I1622" s="20" t="n">
        <x:v>145286.84</x:v>
      </x:c>
      <x:c r="J1622" s="20" t="n">
        <x:v>145286.84</x:v>
      </x:c>
      <x:c r="K1622" s="10" t="str">
        <x:v>Realizado</x:v>
      </x:c>
      <x:c r="L1622" s="10" t="str">
        <x:v>Contas a Receber</x:v>
      </x:c>
    </x:row>
    <x:row r="1623" ht="18" customHeight="1">
      <x:c r="A1623" s="10" t="str">
        <x:v>MOV001592</x:v>
      </x:c>
      <x:c r="B1623" s="16" t="n">
        <x:v>46002.867698298614</x:v>
      </x:c>
      <x:c r="C1623" s="10" t="str">
        <x:v>EMP001</x:v>
      </x:c>
      <x:c r="D1623" s="10" t="str">
        <x:v>CTA002</x:v>
      </x:c>
      <x:c r="E1623" s="10" t="str">
        <x:v>Entrada</x:v>
      </x:c>
      <x:c r="F1623" s="10" t="str">
        <x:v>CAT003</x:v>
      </x:c>
      <x:c r="G1623" s="10" t="str">
        <x:v>Contrato mensal</x:v>
      </x:c>
      <x:c r="H1623" s="10" t="str">
        <x:v>REC01019</x:v>
      </x:c>
      <x:c r="I1623" s="20" t="n">
        <x:v>3590.87</x:v>
      </x:c>
      <x:c r="J1623" s="20" t="n">
        <x:v>3590.87</x:v>
      </x:c>
      <x:c r="K1623" s="10" t="str">
        <x:v>Realizado</x:v>
      </x:c>
      <x:c r="L1623" s="10" t="str">
        <x:v>Contas a Receber</x:v>
      </x:c>
    </x:row>
    <x:row r="1624" ht="18" customHeight="1">
      <x:c r="A1624" s="10" t="str">
        <x:v>MOV001429</x:v>
      </x:c>
      <x:c r="B1624" s="16" t="n">
        <x:v>46002.96311510417</x:v>
      </x:c>
      <x:c r="C1624" s="10" t="str">
        <x:v>EMP003</x:v>
      </x:c>
      <x:c r="D1624" s="10" t="str">
        <x:v>CTA006</x:v>
      </x:c>
      <x:c r="E1624" s="10" t="str">
        <x:v>Entrada</x:v>
      </x:c>
      <x:c r="F1624" s="10" t="str">
        <x:v>CAT004</x:v>
      </x:c>
      <x:c r="G1624" s="10" t="str">
        <x:v>Projeto especial</x:v>
      </x:c>
      <x:c r="H1624" s="10" t="str">
        <x:v>REC00819</x:v>
      </x:c>
      <x:c r="I1624" s="20" t="n">
        <x:v>11752.41</x:v>
      </x:c>
      <x:c r="J1624" s="20" t="n">
        <x:v>11752.41</x:v>
      </x:c>
      <x:c r="K1624" s="10" t="str">
        <x:v>Realizado</x:v>
      </x:c>
      <x:c r="L1624" s="10" t="str">
        <x:v>Contas a Receber</x:v>
      </x:c>
    </x:row>
    <x:row r="1625" ht="18" customHeight="1">
      <x:c r="A1625" s="10" t="str">
        <x:v>MOV000212</x:v>
      </x:c>
      <x:c r="B1625" s="16" t="n">
        <x:v>46003.102662337966</x:v>
      </x:c>
      <x:c r="C1625" s="10" t="str">
        <x:v>EMP001</x:v>
      </x:c>
      <x:c r="D1625" s="10" t="str">
        <x:v>CTA002</x:v>
      </x:c>
      <x:c r="E1625" s="10" t="str">
        <x:v>Saída</x:v>
      </x:c>
      <x:c r="F1625" s="10" t="str">
        <x:v>CAT005</x:v>
      </x:c>
      <x:c r="G1625" s="10" t="str">
        <x:v>Compra de materiais</x:v>
      </x:c>
      <x:c r="H1625" s="10" t="str">
        <x:v>PAG00246</x:v>
      </x:c>
      <x:c r="I1625" s="20" t="n">
        <x:v>46714.42</x:v>
      </x:c>
      <x:c r="J1625" s="20" t="n">
        <x:v>-46714.42</x:v>
      </x:c>
      <x:c r="K1625" s="10" t="str">
        <x:v>Realizado</x:v>
      </x:c>
      <x:c r="L1625" s="10" t="str">
        <x:v>Contas a Pagar</x:v>
      </x:c>
    </x:row>
    <x:row r="1626" ht="18" customHeight="1">
      <x:c r="A1626" s="10" t="str">
        <x:v>MOV000596</x:v>
      </x:c>
      <x:c r="B1626" s="16" t="n">
        <x:v>46003.405042060185</x:v>
      </x:c>
      <x:c r="C1626" s="10" t="str">
        <x:v>EMP002</x:v>
      </x:c>
      <x:c r="D1626" s="10" t="str">
        <x:v>CTA003</x:v>
      </x:c>
      <x:c r="E1626" s="10" t="str">
        <x:v>Saída</x:v>
      </x:c>
      <x:c r="F1626" s="10" t="str">
        <x:v>CAT011</x:v>
      </x:c>
      <x:c r="G1626" s="10" t="str">
        <x:v>Prestação de serviços</x:v>
      </x:c>
      <x:c r="H1626" s="10" t="str">
        <x:v>PAG00703</x:v>
      </x:c>
      <x:c r="I1626" s="20" t="n">
        <x:v>28012.81</x:v>
      </x:c>
      <x:c r="J1626" s="20" t="n">
        <x:v>-28012.81</x:v>
      </x:c>
      <x:c r="K1626" s="10" t="str">
        <x:v>Realizado</x:v>
      </x:c>
      <x:c r="L1626" s="10" t="str">
        <x:v>Contas a Pagar</x:v>
      </x:c>
    </x:row>
    <x:row r="1627" ht="18" customHeight="1">
      <x:c r="A1627" s="10" t="str">
        <x:v>MOV001571</x:v>
      </x:c>
      <x:c r="B1627" s="16" t="n">
        <x:v>46003.59628626157</x:v>
      </x:c>
      <x:c r="C1627" s="10" t="str">
        <x:v>EMP002</x:v>
      </x:c>
      <x:c r="D1627" s="10" t="str">
        <x:v>CTA003</x:v>
      </x:c>
      <x:c r="E1627" s="10" t="str">
        <x:v>Entrada</x:v>
      </x:c>
      <x:c r="F1627" s="10" t="str">
        <x:v>CAT003</x:v>
      </x:c>
      <x:c r="G1627" s="10" t="str">
        <x:v>Projeto especial</x:v>
      </x:c>
      <x:c r="H1627" s="10" t="str">
        <x:v>REC00993</x:v>
      </x:c>
      <x:c r="I1627" s="20" t="n">
        <x:v>66357.55</x:v>
      </x:c>
      <x:c r="J1627" s="20" t="n">
        <x:v>66357.55</x:v>
      </x:c>
      <x:c r="K1627" s="10" t="str">
        <x:v>Realizado</x:v>
      </x:c>
      <x:c r="L1627" s="10" t="str">
        <x:v>Contas a Receber</x:v>
      </x:c>
    </x:row>
    <x:row r="1628" ht="18" customHeight="1">
      <x:c r="A1628" s="10" t="str">
        <x:v>MOV000599</x:v>
      </x:c>
      <x:c r="B1628" s="16" t="n">
        <x:v>46003.92477583334</x:v>
      </x:c>
      <x:c r="C1628" s="10" t="str">
        <x:v>EMP002</x:v>
      </x:c>
      <x:c r="D1628" s="10" t="str">
        <x:v>CTA004</x:v>
      </x:c>
      <x:c r="E1628" s="10" t="str">
        <x:v>Saída</x:v>
      </x:c>
      <x:c r="F1628" s="10" t="str">
        <x:v>CAT009</x:v>
      </x:c>
      <x:c r="G1628" s="10" t="str">
        <x:v>Tributos e taxas</x:v>
      </x:c>
      <x:c r="H1628" s="10" t="str">
        <x:v>PAG00709</x:v>
      </x:c>
      <x:c r="I1628" s="20" t="n">
        <x:v>1595.67</x:v>
      </x:c>
      <x:c r="J1628" s="20" t="n">
        <x:v>-1595.67</x:v>
      </x:c>
      <x:c r="K1628" s="10" t="str">
        <x:v>Realizado</x:v>
      </x:c>
      <x:c r="L1628" s="10" t="str">
        <x:v>Contas a Pagar</x:v>
      </x:c>
    </x:row>
    <x:row r="1629" ht="18" customHeight="1">
      <x:c r="A1629" s="10" t="str">
        <x:v>MOV001228</x:v>
      </x:c>
      <x:c r="B1629" s="16" t="n">
        <x:v>46005.08625704861</x:v>
      </x:c>
      <x:c r="C1629" s="10" t="str">
        <x:v>EMP002</x:v>
      </x:c>
      <x:c r="D1629" s="10" t="str">
        <x:v>CTA003</x:v>
      </x:c>
      <x:c r="E1629" s="10" t="str">
        <x:v>Entrada</x:v>
      </x:c>
      <x:c r="F1629" s="10" t="str">
        <x:v>CAT004</x:v>
      </x:c>
      <x:c r="G1629" s="10" t="str">
        <x:v>Prestação de serviços</x:v>
      </x:c>
      <x:c r="H1629" s="10" t="str">
        <x:v>REC00580</x:v>
      </x:c>
      <x:c r="I1629" s="20" t="n">
        <x:v>36616.1</x:v>
      </x:c>
      <x:c r="J1629" s="20" t="n">
        <x:v>36616.1</x:v>
      </x:c>
      <x:c r="K1629" s="10" t="str">
        <x:v>Realizado</x:v>
      </x:c>
      <x:c r="L1629" s="10" t="str">
        <x:v>Contas a Receber</x:v>
      </x:c>
    </x:row>
    <x:row r="1630" ht="18" customHeight="1">
      <x:c r="A1630" s="10" t="str">
        <x:v>MOV000057</x:v>
      </x:c>
      <x:c r="B1630" s="16" t="n">
        <x:v>46005.09304086806</x:v>
      </x:c>
      <x:c r="C1630" s="10" t="str">
        <x:v>EMP003</x:v>
      </x:c>
      <x:c r="D1630" s="10" t="str">
        <x:v>CTA006</x:v>
      </x:c>
      <x:c r="E1630" s="10" t="str">
        <x:v>Saída</x:v>
      </x:c>
      <x:c r="F1630" s="10" t="str">
        <x:v>CAT006</x:v>
      </x:c>
      <x:c r="G1630" s="10" t="str">
        <x:v>Contrato recorrente</x:v>
      </x:c>
      <x:c r="H1630" s="10" t="str">
        <x:v>PAG00059</x:v>
      </x:c>
      <x:c r="I1630" s="20" t="n">
        <x:v>16427.11</x:v>
      </x:c>
      <x:c r="J1630" s="20" t="n">
        <x:v>-16427.11</x:v>
      </x:c>
      <x:c r="K1630" s="10" t="str">
        <x:v>Realizado</x:v>
      </x:c>
      <x:c r="L1630" s="10" t="str">
        <x:v>Contas a Pagar</x:v>
      </x:c>
    </x:row>
    <x:row r="1631" ht="18" customHeight="1">
      <x:c r="A1631" s="10" t="str">
        <x:v>MOV001520</x:v>
      </x:c>
      <x:c r="B1631" s="16" t="n">
        <x:v>46005.172501064815</x:v>
      </x:c>
      <x:c r="C1631" s="10" t="str">
        <x:v>EMP003</x:v>
      </x:c>
      <x:c r="D1631" s="10" t="str">
        <x:v>CTA006</x:v>
      </x:c>
      <x:c r="E1631" s="10" t="str">
        <x:v>Entrada</x:v>
      </x:c>
      <x:c r="F1631" s="10" t="str">
        <x:v>CAT001</x:v>
      </x:c>
      <x:c r="G1631" s="10" t="str">
        <x:v>Prestação de serviços</x:v>
      </x:c>
      <x:c r="H1631" s="10" t="str">
        <x:v>REC00932</x:v>
      </x:c>
      <x:c r="I1631" s="20" t="n">
        <x:v>18898.52</x:v>
      </x:c>
      <x:c r="J1631" s="20" t="n">
        <x:v>18898.52</x:v>
      </x:c>
      <x:c r="K1631" s="10" t="str">
        <x:v>Realizado</x:v>
      </x:c>
      <x:c r="L1631" s="10" t="str">
        <x:v>Contas a Receber</x:v>
      </x:c>
    </x:row>
    <x:row r="1632" ht="18" customHeight="1">
      <x:c r="A1632" s="10" t="str">
        <x:v>MOV000072</x:v>
      </x:c>
      <x:c r="B1632" s="16" t="n">
        <x:v>46005.63575508102</x:v>
      </x:c>
      <x:c r="C1632" s="10" t="str">
        <x:v>EMP003</x:v>
      </x:c>
      <x:c r="D1632" s="10" t="str">
        <x:v>CTA006</x:v>
      </x:c>
      <x:c r="E1632" s="10" t="str">
        <x:v>Saída</x:v>
      </x:c>
      <x:c r="F1632" s="10" t="str">
        <x:v>CAT018</x:v>
      </x:c>
      <x:c r="G1632" s="10" t="str">
        <x:v>Contrato recorrente</x:v>
      </x:c>
      <x:c r="H1632" s="10" t="str">
        <x:v>PAG00080</x:v>
      </x:c>
      <x:c r="I1632" s="20" t="n">
        <x:v>13759.45</x:v>
      </x:c>
      <x:c r="J1632" s="20" t="n">
        <x:v>-13759.45</x:v>
      </x:c>
      <x:c r="K1632" s="10" t="str">
        <x:v>Realizado</x:v>
      </x:c>
      <x:c r="L1632" s="10" t="str">
        <x:v>Contas a Pagar</x:v>
      </x:c>
    </x:row>
    <x:row r="1633" ht="18" customHeight="1">
      <x:c r="A1633" s="10" t="str">
        <x:v>MOV000092</x:v>
      </x:c>
      <x:c r="B1633" s="16" t="n">
        <x:v>46005.703478483796</x:v>
      </x:c>
      <x:c r="C1633" s="10" t="str">
        <x:v>EMP002</x:v>
      </x:c>
      <x:c r="D1633" s="10" t="str">
        <x:v>CTA003</x:v>
      </x:c>
      <x:c r="E1633" s="10" t="str">
        <x:v>Saída</x:v>
      </x:c>
      <x:c r="F1633" s="10" t="str">
        <x:v>CAT011</x:v>
      </x:c>
      <x:c r="G1633" s="10" t="str">
        <x:v>Compra de materiais</x:v>
      </x:c>
      <x:c r="H1633" s="10" t="str">
        <x:v>PAG00103</x:v>
      </x:c>
      <x:c r="I1633" s="20" t="n">
        <x:v>72022.33</x:v>
      </x:c>
      <x:c r="J1633" s="20" t="n">
        <x:v>-72022.33</x:v>
      </x:c>
      <x:c r="K1633" s="10" t="str">
        <x:v>Realizado</x:v>
      </x:c>
      <x:c r="L1633" s="10" t="str">
        <x:v>Contas a Pagar</x:v>
      </x:c>
    </x:row>
    <x:row r="1634" ht="18" customHeight="1">
      <x:c r="A1634" s="10" t="str">
        <x:v>MOV000553</x:v>
      </x:c>
      <x:c r="B1634" s="16" t="n">
        <x:v>46005.72614310185</x:v>
      </x:c>
      <x:c r="C1634" s="10" t="str">
        <x:v>EMP001</x:v>
      </x:c>
      <x:c r="D1634" s="10" t="str">
        <x:v>CTA002</x:v>
      </x:c>
      <x:c r="E1634" s="10" t="str">
        <x:v>Saída</x:v>
      </x:c>
      <x:c r="F1634" s="10" t="str">
        <x:v>CAT012</x:v>
      </x:c>
      <x:c r="G1634" s="10" t="str">
        <x:v>Contrato recorrente</x:v>
      </x:c>
      <x:c r="H1634" s="10" t="str">
        <x:v>PAG00647</x:v>
      </x:c>
      <x:c r="I1634" s="20" t="n">
        <x:v>9034.56</x:v>
      </x:c>
      <x:c r="J1634" s="20" t="n">
        <x:v>-9034.56</x:v>
      </x:c>
      <x:c r="K1634" s="10" t="str">
        <x:v>Realizado</x:v>
      </x:c>
      <x:c r="L1634" s="10" t="str">
        <x:v>Contas a Pagar</x:v>
      </x:c>
    </x:row>
    <x:row r="1635" ht="18" customHeight="1">
      <x:c r="A1635" s="10" t="str">
        <x:v>MOV001580</x:v>
      </x:c>
      <x:c r="B1635" s="16" t="n">
        <x:v>46006.0740190625</x:v>
      </x:c>
      <x:c r="C1635" s="10" t="str">
        <x:v>EMP003</x:v>
      </x:c>
      <x:c r="D1635" s="10" t="str">
        <x:v>CTA006</x:v>
      </x:c>
      <x:c r="E1635" s="10" t="str">
        <x:v>Entrada</x:v>
      </x:c>
      <x:c r="F1635" s="10" t="str">
        <x:v>CAT004</x:v>
      </x:c>
      <x:c r="G1635" s="10" t="str">
        <x:v>Prestação de serviços</x:v>
      </x:c>
      <x:c r="H1635" s="10" t="str">
        <x:v>REC01004</x:v>
      </x:c>
      <x:c r="I1635" s="20" t="n">
        <x:v>2030.33</x:v>
      </x:c>
      <x:c r="J1635" s="20" t="n">
        <x:v>2030.33</x:v>
      </x:c>
      <x:c r="K1635" s="10" t="str">
        <x:v>Realizado</x:v>
      </x:c>
      <x:c r="L1635" s="10" t="str">
        <x:v>Contas a Receber</x:v>
      </x:c>
    </x:row>
    <x:row r="1636" ht="18" customHeight="1">
      <x:c r="A1636" s="10" t="str">
        <x:v>MOV000135</x:v>
      </x:c>
      <x:c r="B1636" s="16" t="n">
        <x:v>46006.28494671296</x:v>
      </x:c>
      <x:c r="C1636" s="10" t="str">
        <x:v>EMP002</x:v>
      </x:c>
      <x:c r="D1636" s="10" t="str">
        <x:v>CTA004</x:v>
      </x:c>
      <x:c r="E1636" s="10" t="str">
        <x:v>Saída</x:v>
      </x:c>
      <x:c r="F1636" s="10" t="str">
        <x:v>CAT018</x:v>
      </x:c>
      <x:c r="G1636" s="10" t="str">
        <x:v>Tributos e taxas</x:v>
      </x:c>
      <x:c r="H1636" s="10" t="str">
        <x:v>PAG00156</x:v>
      </x:c>
      <x:c r="I1636" s="20" t="n">
        <x:v>7450.55</x:v>
      </x:c>
      <x:c r="J1636" s="20" t="n">
        <x:v>-7450.55</x:v>
      </x:c>
      <x:c r="K1636" s="10" t="str">
        <x:v>Realizado</x:v>
      </x:c>
      <x:c r="L1636" s="10" t="str">
        <x:v>Contas a Pagar</x:v>
      </x:c>
    </x:row>
    <x:row r="1637" ht="18" customHeight="1">
      <x:c r="A1637" s="10" t="str">
        <x:v>MOV000588</x:v>
      </x:c>
      <x:c r="B1637" s="16" t="n">
        <x:v>46006.50161057871</x:v>
      </x:c>
      <x:c r="C1637" s="10" t="str">
        <x:v>EMP002</x:v>
      </x:c>
      <x:c r="D1637" s="10" t="str">
        <x:v>CTA004</x:v>
      </x:c>
      <x:c r="E1637" s="10" t="str">
        <x:v>Saída</x:v>
      </x:c>
      <x:c r="F1637" s="10" t="str">
        <x:v>CAT012</x:v>
      </x:c>
      <x:c r="G1637" s="10" t="str">
        <x:v>Prestação de serviços</x:v>
      </x:c>
      <x:c r="H1637" s="10" t="str">
        <x:v>PAG00692</x:v>
      </x:c>
      <x:c r="I1637" s="20" t="n">
        <x:v>22964.27</x:v>
      </x:c>
      <x:c r="J1637" s="20" t="n">
        <x:v>-22964.27</x:v>
      </x:c>
      <x:c r="K1637" s="10" t="str">
        <x:v>Realizado</x:v>
      </x:c>
      <x:c r="L1637" s="10" t="str">
        <x:v>Contas a Pagar</x:v>
      </x:c>
    </x:row>
    <x:row r="1638" ht="18" customHeight="1">
      <x:c r="A1638" s="10" t="str">
        <x:v>MOV000392</x:v>
      </x:c>
      <x:c r="B1638" s="16" t="n">
        <x:v>46006.82086878472</x:v>
      </x:c>
      <x:c r="C1638" s="10" t="str">
        <x:v>EMP001</x:v>
      </x:c>
      <x:c r="D1638" s="10" t="str">
        <x:v>CTA001</x:v>
      </x:c>
      <x:c r="E1638" s="10" t="str">
        <x:v>Saída</x:v>
      </x:c>
      <x:c r="F1638" s="10" t="str">
        <x:v>CAT005</x:v>
      </x:c>
      <x:c r="G1638" s="10" t="str">
        <x:v>Tributos e taxas</x:v>
      </x:c>
      <x:c r="H1638" s="10" t="str">
        <x:v>PAG00456</x:v>
      </x:c>
      <x:c r="I1638" s="20" t="n">
        <x:v>52048.2</x:v>
      </x:c>
      <x:c r="J1638" s="20" t="n">
        <x:v>-52048.2</x:v>
      </x:c>
      <x:c r="K1638" s="10" t="str">
        <x:v>Realizado</x:v>
      </x:c>
      <x:c r="L1638" s="10" t="str">
        <x:v>Contas a Pagar</x:v>
      </x:c>
    </x:row>
    <x:row r="1639" ht="18" customHeight="1">
      <x:c r="A1639" s="10" t="str">
        <x:v>MOV000913</x:v>
      </x:c>
      <x:c r="B1639" s="16" t="n">
        <x:v>46007.42634460648</x:v>
      </x:c>
      <x:c r="C1639" s="10" t="str">
        <x:v>EMP003</x:v>
      </x:c>
      <x:c r="D1639" s="10" t="str">
        <x:v>CTA005</x:v>
      </x:c>
      <x:c r="E1639" s="10" t="str">
        <x:v>Entrada</x:v>
      </x:c>
      <x:c r="F1639" s="10" t="str">
        <x:v>CAT002</x:v>
      </x:c>
      <x:c r="G1639" s="10" t="str">
        <x:v>Prestação de serviços</x:v>
      </x:c>
      <x:c r="H1639" s="10" t="str">
        <x:v>REC00191</x:v>
      </x:c>
      <x:c r="I1639" s="20" t="n">
        <x:v>23973.81</x:v>
      </x:c>
      <x:c r="J1639" s="20" t="n">
        <x:v>23973.81</x:v>
      </x:c>
      <x:c r="K1639" s="10" t="str">
        <x:v>Realizado</x:v>
      </x:c>
      <x:c r="L1639" s="10" t="str">
        <x:v>Contas a Receber</x:v>
      </x:c>
    </x:row>
    <x:row r="1640" ht="18" customHeight="1">
      <x:c r="A1640" s="10" t="str">
        <x:v>MOV000162</x:v>
      </x:c>
      <x:c r="B1640" s="16" t="n">
        <x:v>46008.292808287035</x:v>
      </x:c>
      <x:c r="C1640" s="10" t="str">
        <x:v>EMP001</x:v>
      </x:c>
      <x:c r="D1640" s="10" t="str">
        <x:v>CTA001</x:v>
      </x:c>
      <x:c r="E1640" s="10" t="str">
        <x:v>Saída</x:v>
      </x:c>
      <x:c r="F1640" s="10" t="str">
        <x:v>CAT008</x:v>
      </x:c>
      <x:c r="G1640" s="10" t="str">
        <x:v>Prestação de serviços</x:v>
      </x:c>
      <x:c r="H1640" s="10" t="str">
        <x:v>PAG00190</x:v>
      </x:c>
      <x:c r="I1640" s="20" t="n">
        <x:v>1038.08</x:v>
      </x:c>
      <x:c r="J1640" s="20" t="n">
        <x:v>-1038.08</x:v>
      </x:c>
      <x:c r="K1640" s="10" t="str">
        <x:v>Realizado</x:v>
      </x:c>
      <x:c r="L1640" s="10" t="str">
        <x:v>Contas a Pagar</x:v>
      </x:c>
    </x:row>
    <x:row r="1641" ht="18" customHeight="1">
      <x:c r="A1641" s="10" t="str">
        <x:v>MOV001418</x:v>
      </x:c>
      <x:c r="B1641" s="16" t="n">
        <x:v>46008.65705664352</x:v>
      </x:c>
      <x:c r="C1641" s="10" t="str">
        <x:v>EMP002</x:v>
      </x:c>
      <x:c r="D1641" s="10" t="str">
        <x:v>CTA003</x:v>
      </x:c>
      <x:c r="E1641" s="10" t="str">
        <x:v>Entrada</x:v>
      </x:c>
      <x:c r="F1641" s="10" t="str">
        <x:v>CAT002</x:v>
      </x:c>
      <x:c r="G1641" s="10" t="str">
        <x:v>Venda de produtos</x:v>
      </x:c>
      <x:c r="H1641" s="10" t="str">
        <x:v>REC00803</x:v>
      </x:c>
      <x:c r="I1641" s="20" t="n">
        <x:v>96757.98</x:v>
      </x:c>
      <x:c r="J1641" s="20" t="n">
        <x:v>96757.98</x:v>
      </x:c>
      <x:c r="K1641" s="10" t="str">
        <x:v>Realizado</x:v>
      </x:c>
      <x:c r="L1641" s="10" t="str">
        <x:v>Contas a Receber</x:v>
      </x:c>
    </x:row>
    <x:row r="1642" ht="18" customHeight="1">
      <x:c r="A1642" s="10" t="str">
        <x:v>MOV000793</x:v>
      </x:c>
      <x:c r="B1642" s="16" t="n">
        <x:v>46008.795713657404</x:v>
      </x:c>
      <x:c r="C1642" s="10" t="str">
        <x:v>EMP002</x:v>
      </x:c>
      <x:c r="D1642" s="10" t="str">
        <x:v>CTA004</x:v>
      </x:c>
      <x:c r="E1642" s="10" t="str">
        <x:v>Entrada</x:v>
      </x:c>
      <x:c r="F1642" s="10" t="str">
        <x:v>CAT001</x:v>
      </x:c>
      <x:c r="G1642" s="10" t="str">
        <x:v>Prestação de serviços</x:v>
      </x:c>
      <x:c r="H1642" s="10" t="str">
        <x:v>REC00050</x:v>
      </x:c>
      <x:c r="I1642" s="20" t="n">
        <x:v>93027.04</x:v>
      </x:c>
      <x:c r="J1642" s="20" t="n">
        <x:v>93027.04</x:v>
      </x:c>
      <x:c r="K1642" s="10" t="str">
        <x:v>Realizado</x:v>
      </x:c>
      <x:c r="L1642" s="10" t="str">
        <x:v>Contas a Receber</x:v>
      </x:c>
    </x:row>
    <x:row r="1643" ht="18" customHeight="1">
      <x:c r="A1643" s="10" t="str">
        <x:v>MOV001160</x:v>
      </x:c>
      <x:c r="B1643" s="16" t="n">
        <x:v>46009.12052173611</x:v>
      </x:c>
      <x:c r="C1643" s="10" t="str">
        <x:v>EMP002</x:v>
      </x:c>
      <x:c r="D1643" s="10" t="str">
        <x:v>CTA003</x:v>
      </x:c>
      <x:c r="E1643" s="10" t="str">
        <x:v>Entrada</x:v>
      </x:c>
      <x:c r="F1643" s="10" t="str">
        <x:v>CAT004</x:v>
      </x:c>
      <x:c r="G1643" s="10" t="str">
        <x:v>Prestação de serviços</x:v>
      </x:c>
      <x:c r="H1643" s="10" t="str">
        <x:v>REC00493</x:v>
      </x:c>
      <x:c r="I1643" s="20" t="n">
        <x:v>22775.51</x:v>
      </x:c>
      <x:c r="J1643" s="20" t="n">
        <x:v>22775.51</x:v>
      </x:c>
      <x:c r="K1643" s="10" t="str">
        <x:v>Realizado</x:v>
      </x:c>
      <x:c r="L1643" s="10" t="str">
        <x:v>Contas a Receber</x:v>
      </x:c>
    </x:row>
    <x:row r="1644" ht="18" customHeight="1">
      <x:c r="A1644" s="10" t="str">
        <x:v>MOV000453</x:v>
      </x:c>
      <x:c r="B1644" s="16" t="n">
        <x:v>46010.320592118056</x:v>
      </x:c>
      <x:c r="C1644" s="10" t="str">
        <x:v>EMP002</x:v>
      </x:c>
      <x:c r="D1644" s="10" t="str">
        <x:v>CTA003</x:v>
      </x:c>
      <x:c r="E1644" s="10" t="str">
        <x:v>Saída</x:v>
      </x:c>
      <x:c r="F1644" s="10" t="str">
        <x:v>CAT016</x:v>
      </x:c>
      <x:c r="G1644" s="10" t="str">
        <x:v>Compra de materiais</x:v>
      </x:c>
      <x:c r="H1644" s="10" t="str">
        <x:v>PAG00532</x:v>
      </x:c>
      <x:c r="I1644" s="20" t="n">
        <x:v>14538.7</x:v>
      </x:c>
      <x:c r="J1644" s="20" t="n">
        <x:v>-14538.7</x:v>
      </x:c>
      <x:c r="K1644" s="10" t="str">
        <x:v>Realizado</x:v>
      </x:c>
      <x:c r="L1644" s="10" t="str">
        <x:v>Contas a Pagar</x:v>
      </x:c>
    </x:row>
    <x:row r="1645" ht="18" customHeight="1">
      <x:c r="A1645" s="10" t="str">
        <x:v>MOV001238</x:v>
      </x:c>
      <x:c r="B1645" s="16" t="n">
        <x:v>46010.38891300926</x:v>
      </x:c>
      <x:c r="C1645" s="10" t="str">
        <x:v>EMP002</x:v>
      </x:c>
      <x:c r="D1645" s="10" t="str">
        <x:v>CTA004</x:v>
      </x:c>
      <x:c r="E1645" s="10" t="str">
        <x:v>Entrada</x:v>
      </x:c>
      <x:c r="F1645" s="10" t="str">
        <x:v>CAT001</x:v>
      </x:c>
      <x:c r="G1645" s="10" t="str">
        <x:v>Frete faturado</x:v>
      </x:c>
      <x:c r="H1645" s="10" t="str">
        <x:v>REC00590</x:v>
      </x:c>
      <x:c r="I1645" s="20" t="n">
        <x:v>34605.23</x:v>
      </x:c>
      <x:c r="J1645" s="20" t="n">
        <x:v>34605.23</x:v>
      </x:c>
      <x:c r="K1645" s="10" t="str">
        <x:v>Realizado</x:v>
      </x:c>
      <x:c r="L1645" s="10" t="str">
        <x:v>Contas a Receber</x:v>
      </x:c>
    </x:row>
    <x:row r="1646" ht="18" customHeight="1">
      <x:c r="A1646" s="10" t="str">
        <x:v>MOV000451</x:v>
      </x:c>
      <x:c r="B1646" s="16" t="n">
        <x:v>46010.84899922454</x:v>
      </x:c>
      <x:c r="C1646" s="10" t="str">
        <x:v>EMP003</x:v>
      </x:c>
      <x:c r="D1646" s="10" t="str">
        <x:v>CTA006</x:v>
      </x:c>
      <x:c r="E1646" s="10" t="str">
        <x:v>Saída</x:v>
      </x:c>
      <x:c r="F1646" s="10" t="str">
        <x:v>CAT015</x:v>
      </x:c>
      <x:c r="G1646" s="10" t="str">
        <x:v>Compra de materiais</x:v>
      </x:c>
      <x:c r="H1646" s="10" t="str">
        <x:v>PAG00529</x:v>
      </x:c>
      <x:c r="I1646" s="20" t="n">
        <x:v>26017.16</x:v>
      </x:c>
      <x:c r="J1646" s="20" t="n">
        <x:v>-26017.16</x:v>
      </x:c>
      <x:c r="K1646" s="10" t="str">
        <x:v>Realizado</x:v>
      </x:c>
      <x:c r="L1646" s="10" t="str">
        <x:v>Contas a Pagar</x:v>
      </x:c>
    </x:row>
    <x:row r="1647" ht="18" customHeight="1">
      <x:c r="A1647" s="10" t="str">
        <x:v>MOV000986</x:v>
      </x:c>
      <x:c r="B1647" s="16" t="n">
        <x:v>46010.96945243055</x:v>
      </x:c>
      <x:c r="C1647" s="10" t="str">
        <x:v>EMP001</x:v>
      </x:c>
      <x:c r="D1647" s="10" t="str">
        <x:v>CTA001</x:v>
      </x:c>
      <x:c r="E1647" s="10" t="str">
        <x:v>Entrada</x:v>
      </x:c>
      <x:c r="F1647" s="10" t="str">
        <x:v>CAT002</x:v>
      </x:c>
      <x:c r="G1647" s="10" t="str">
        <x:v>Prestação de serviços</x:v>
      </x:c>
      <x:c r="H1647" s="10" t="str">
        <x:v>REC00282</x:v>
      </x:c>
      <x:c r="I1647" s="20" t="n">
        <x:v>56738.09</x:v>
      </x:c>
      <x:c r="J1647" s="20" t="n">
        <x:v>56738.09</x:v>
      </x:c>
      <x:c r="K1647" s="10" t="str">
        <x:v>Realizado</x:v>
      </x:c>
      <x:c r="L1647" s="10" t="str">
        <x:v>Contas a Receber</x:v>
      </x:c>
    </x:row>
    <x:row r="1648" ht="18" customHeight="1">
      <x:c r="A1648" s="10" t="str">
        <x:v>MOV000409</x:v>
      </x:c>
      <x:c r="B1648" s="16" t="n">
        <x:v>46011.10744998843</x:v>
      </x:c>
      <x:c r="C1648" s="10" t="str">
        <x:v>EMP001</x:v>
      </x:c>
      <x:c r="D1648" s="10" t="str">
        <x:v>CTA001</x:v>
      </x:c>
      <x:c r="E1648" s="10" t="str">
        <x:v>Saída</x:v>
      </x:c>
      <x:c r="F1648" s="10" t="str">
        <x:v>CAT016</x:v>
      </x:c>
      <x:c r="G1648" s="10" t="str">
        <x:v>Tributos e taxas</x:v>
      </x:c>
      <x:c r="H1648" s="10" t="str">
        <x:v>PAG00477</x:v>
      </x:c>
      <x:c r="I1648" s="20" t="n">
        <x:v>1052.33</x:v>
      </x:c>
      <x:c r="J1648" s="20" t="n">
        <x:v>-1052.33</x:v>
      </x:c>
      <x:c r="K1648" s="10" t="str">
        <x:v>Realizado</x:v>
      </x:c>
      <x:c r="L1648" s="10" t="str">
        <x:v>Contas a Pagar</x:v>
      </x:c>
    </x:row>
    <x:row r="1649" ht="18" customHeight="1">
      <x:c r="A1649" s="10" t="str">
        <x:v>MOV001109</x:v>
      </x:c>
      <x:c r="B1649" s="16" t="n">
        <x:v>46012.005979560185</x:v>
      </x:c>
      <x:c r="C1649" s="10" t="str">
        <x:v>EMP002</x:v>
      </x:c>
      <x:c r="D1649" s="10" t="str">
        <x:v>CTA004</x:v>
      </x:c>
      <x:c r="E1649" s="10" t="str">
        <x:v>Entrada</x:v>
      </x:c>
      <x:c r="F1649" s="10" t="str">
        <x:v>CAT001</x:v>
      </x:c>
      <x:c r="G1649" s="10" t="str">
        <x:v>Projeto especial</x:v>
      </x:c>
      <x:c r="H1649" s="10" t="str">
        <x:v>REC00435</x:v>
      </x:c>
      <x:c r="I1649" s="20" t="n">
        <x:v>136281.55</x:v>
      </x:c>
      <x:c r="J1649" s="20" t="n">
        <x:v>136281.55</x:v>
      </x:c>
      <x:c r="K1649" s="10" t="str">
        <x:v>Realizado</x:v>
      </x:c>
      <x:c r="L1649" s="10" t="str">
        <x:v>Contas a Receber</x:v>
      </x:c>
    </x:row>
    <x:row r="1650" ht="18" customHeight="1">
      <x:c r="A1650" s="10" t="str">
        <x:v>MOV000419</x:v>
      </x:c>
      <x:c r="B1650" s="16" t="n">
        <x:v>46013.81821579861</x:v>
      </x:c>
      <x:c r="C1650" s="10" t="str">
        <x:v>EMP003</x:v>
      </x:c>
      <x:c r="D1650" s="10" t="str">
        <x:v>CTA006</x:v>
      </x:c>
      <x:c r="E1650" s="10" t="str">
        <x:v>Saída</x:v>
      </x:c>
      <x:c r="F1650" s="10" t="str">
        <x:v>CAT007</x:v>
      </x:c>
      <x:c r="G1650" s="10" t="str">
        <x:v>Tributos e taxas</x:v>
      </x:c>
      <x:c r="H1650" s="10" t="str">
        <x:v>PAG00488</x:v>
      </x:c>
      <x:c r="I1650" s="20" t="n">
        <x:v>739.69</x:v>
      </x:c>
      <x:c r="J1650" s="20" t="n">
        <x:v>-739.69</x:v>
      </x:c>
      <x:c r="K1650" s="10" t="str">
        <x:v>Realizado</x:v>
      </x:c>
      <x:c r="L1650" s="10" t="str">
        <x:v>Contas a Pagar</x:v>
      </x:c>
    </x:row>
    <x:row r="1651" ht="18" customHeight="1">
      <x:c r="A1651" s="10" t="str">
        <x:v>MOV001044</x:v>
      </x:c>
      <x:c r="B1651" s="16" t="n">
        <x:v>46014.330051192126</x:v>
      </x:c>
      <x:c r="C1651" s="10" t="str">
        <x:v>EMP003</x:v>
      </x:c>
      <x:c r="D1651" s="10" t="str">
        <x:v>CTA005</x:v>
      </x:c>
      <x:c r="E1651" s="10" t="str">
        <x:v>Entrada</x:v>
      </x:c>
      <x:c r="F1651" s="10" t="str">
        <x:v>CAT002</x:v>
      </x:c>
      <x:c r="G1651" s="10" t="str">
        <x:v>Prestação de serviços</x:v>
      </x:c>
      <x:c r="H1651" s="10" t="str">
        <x:v>REC00355</x:v>
      </x:c>
      <x:c r="I1651" s="20" t="n">
        <x:v>68502.92</x:v>
      </x:c>
      <x:c r="J1651" s="20" t="n">
        <x:v>68502.92</x:v>
      </x:c>
      <x:c r="K1651" s="10" t="str">
        <x:v>Realizado</x:v>
      </x:c>
      <x:c r="L1651" s="10" t="str">
        <x:v>Contas a Receber</x:v>
      </x:c>
    </x:row>
    <x:row r="1652" ht="18" customHeight="1">
      <x:c r="A1652" s="10" t="str">
        <x:v>MOV001414</x:v>
      </x:c>
      <x:c r="B1652" s="16" t="n">
        <x:v>46015.2798425463</x:v>
      </x:c>
      <x:c r="C1652" s="10" t="str">
        <x:v>EMP001</x:v>
      </x:c>
      <x:c r="D1652" s="10" t="str">
        <x:v>CTA002</x:v>
      </x:c>
      <x:c r="E1652" s="10" t="str">
        <x:v>Entrada</x:v>
      </x:c>
      <x:c r="F1652" s="10" t="str">
        <x:v>CAT003</x:v>
      </x:c>
      <x:c r="G1652" s="10" t="str">
        <x:v>Frete faturado</x:v>
      </x:c>
      <x:c r="H1652" s="10" t="str">
        <x:v>REC00796</x:v>
      </x:c>
      <x:c r="I1652" s="20" t="n">
        <x:v>132457.57</x:v>
      </x:c>
      <x:c r="J1652" s="20" t="n">
        <x:v>132457.57</x:v>
      </x:c>
      <x:c r="K1652" s="10" t="str">
        <x:v>Realizado</x:v>
      </x:c>
      <x:c r="L1652" s="10" t="str">
        <x:v>Contas a Receber</x:v>
      </x:c>
    </x:row>
    <x:row r="1653" ht="18" customHeight="1">
      <x:c r="A1653" s="10" t="str">
        <x:v>MOV001488</x:v>
      </x:c>
      <x:c r="B1653" s="16" t="n">
        <x:v>46015.88998331018</x:v>
      </x:c>
      <x:c r="C1653" s="10" t="str">
        <x:v>EMP003</x:v>
      </x:c>
      <x:c r="D1653" s="10" t="str">
        <x:v>CTA005</x:v>
      </x:c>
      <x:c r="E1653" s="10" t="str">
        <x:v>Entrada</x:v>
      </x:c>
      <x:c r="F1653" s="10" t="str">
        <x:v>CAT001</x:v>
      </x:c>
      <x:c r="G1653" s="10" t="str">
        <x:v>Contrato mensal</x:v>
      </x:c>
      <x:c r="H1653" s="10" t="str">
        <x:v>REC00892</x:v>
      </x:c>
      <x:c r="I1653" s="20" t="n">
        <x:v>121675.32</x:v>
      </x:c>
      <x:c r="J1653" s="20" t="n">
        <x:v>121675.32</x:v>
      </x:c>
      <x:c r="K1653" s="10" t="str">
        <x:v>Realizado</x:v>
      </x:c>
      <x:c r="L1653" s="10" t="str">
        <x:v>Contas a Receber</x:v>
      </x:c>
    </x:row>
    <x:row r="1654" ht="18" customHeight="1">
      <x:c r="A1654" s="10" t="str">
        <x:v>MOV001601</x:v>
      </x:c>
      <x:c r="B1654" s="16" t="n">
        <x:v>46017.17922886574</x:v>
      </x:c>
      <x:c r="C1654" s="10" t="str">
        <x:v>EMP001</x:v>
      </x:c>
      <x:c r="D1654" s="10" t="str">
        <x:v>CTA001</x:v>
      </x:c>
      <x:c r="E1654" s="10" t="str">
        <x:v>Entrada</x:v>
      </x:c>
      <x:c r="F1654" s="10" t="str">
        <x:v>CAT002</x:v>
      </x:c>
      <x:c r="G1654" s="10" t="str">
        <x:v>Frete faturado</x:v>
      </x:c>
      <x:c r="H1654" s="10" t="str">
        <x:v>REC01029</x:v>
      </x:c>
      <x:c r="I1654" s="20" t="n">
        <x:v>4654.54</x:v>
      </x:c>
      <x:c r="J1654" s="20" t="n">
        <x:v>4654.54</x:v>
      </x:c>
      <x:c r="K1654" s="10" t="str">
        <x:v>Realizado</x:v>
      </x:c>
      <x:c r="L1654" s="10" t="str">
        <x:v>Contas a Receber</x:v>
      </x:c>
    </x:row>
    <x:row r="1655" ht="18" customHeight="1">
      <x:c r="A1655" s="10" t="str">
        <x:v>MOV000160</x:v>
      </x:c>
      <x:c r="B1655" s="16" t="n">
        <x:v>46017.26200814815</x:v>
      </x:c>
      <x:c r="C1655" s="10" t="str">
        <x:v>EMP003</x:v>
      </x:c>
      <x:c r="D1655" s="10" t="str">
        <x:v>CTA006</x:v>
      </x:c>
      <x:c r="E1655" s="10" t="str">
        <x:v>Saída</x:v>
      </x:c>
      <x:c r="F1655" s="10" t="str">
        <x:v>CAT016</x:v>
      </x:c>
      <x:c r="G1655" s="10" t="str">
        <x:v>Prestação de serviços</x:v>
      </x:c>
      <x:c r="H1655" s="10" t="str">
        <x:v>PAG00187</x:v>
      </x:c>
      <x:c r="I1655" s="20" t="n">
        <x:v>46914.21</x:v>
      </x:c>
      <x:c r="J1655" s="20" t="n">
        <x:v>-46914.21</x:v>
      </x:c>
      <x:c r="K1655" s="10" t="str">
        <x:v>Realizado</x:v>
      </x:c>
      <x:c r="L1655" s="10" t="str">
        <x:v>Contas a Pagar</x:v>
      </x:c>
    </x:row>
    <x:row r="1656" ht="18" customHeight="1">
      <x:c r="A1656" s="10" t="str">
        <x:v>MOV001442</x:v>
      </x:c>
      <x:c r="B1656" s="16" t="n">
        <x:v>46019.16622953704</x:v>
      </x:c>
      <x:c r="C1656" s="10" t="str">
        <x:v>EMP001</x:v>
      </x:c>
      <x:c r="D1656" s="10" t="str">
        <x:v>CTA001</x:v>
      </x:c>
      <x:c r="E1656" s="10" t="str">
        <x:v>Entrada</x:v>
      </x:c>
      <x:c r="F1656" s="10" t="str">
        <x:v>CAT001</x:v>
      </x:c>
      <x:c r="G1656" s="10" t="str">
        <x:v>Prestação de serviços</x:v>
      </x:c>
      <x:c r="H1656" s="10" t="str">
        <x:v>REC00834</x:v>
      </x:c>
      <x:c r="I1656" s="20" t="n">
        <x:v>1619.66</x:v>
      </x:c>
      <x:c r="J1656" s="20" t="n">
        <x:v>1619.66</x:v>
      </x:c>
      <x:c r="K1656" s="10" t="str">
        <x:v>Realizado</x:v>
      </x:c>
      <x:c r="L1656" s="10" t="str">
        <x:v>Contas a Receber</x:v>
      </x:c>
    </x:row>
    <x:row r="1657" ht="18" customHeight="1">
      <x:c r="A1657" s="10" t="str">
        <x:v>MOV001082</x:v>
      </x:c>
      <x:c r="B1657" s="16" t="n">
        <x:v>46019.283288287035</x:v>
      </x:c>
      <x:c r="C1657" s="10" t="str">
        <x:v>EMP002</x:v>
      </x:c>
      <x:c r="D1657" s="10" t="str">
        <x:v>CTA003</x:v>
      </x:c>
      <x:c r="E1657" s="10" t="str">
        <x:v>Entrada</x:v>
      </x:c>
      <x:c r="F1657" s="10" t="str">
        <x:v>CAT003</x:v>
      </x:c>
      <x:c r="G1657" s="10" t="str">
        <x:v>Frete faturado</x:v>
      </x:c>
      <x:c r="H1657" s="10" t="str">
        <x:v>REC00403</x:v>
      </x:c>
      <x:c r="I1657" s="20" t="n">
        <x:v>141400.35</x:v>
      </x:c>
      <x:c r="J1657" s="20" t="n">
        <x:v>141400.35</x:v>
      </x:c>
      <x:c r="K1657" s="10" t="str">
        <x:v>Realizado</x:v>
      </x:c>
      <x:c r="L1657" s="10" t="str">
        <x:v>Contas a Receber</x:v>
      </x:c>
    </x:row>
    <x:row r="1658" ht="18" customHeight="1">
      <x:c r="A1658" s="10" t="str">
        <x:v>MOV001499</x:v>
      </x:c>
      <x:c r="B1658" s="16" t="n">
        <x:v>46019.84535956018</x:v>
      </x:c>
      <x:c r="C1658" s="10" t="str">
        <x:v>EMP001</x:v>
      </x:c>
      <x:c r="D1658" s="10" t="str">
        <x:v>CTA002</x:v>
      </x:c>
      <x:c r="E1658" s="10" t="str">
        <x:v>Entrada</x:v>
      </x:c>
      <x:c r="F1658" s="10" t="str">
        <x:v>CAT001</x:v>
      </x:c>
      <x:c r="G1658" s="10" t="str">
        <x:v>Contrato mensal</x:v>
      </x:c>
      <x:c r="H1658" s="10" t="str">
        <x:v>REC00906</x:v>
      </x:c>
      <x:c r="I1658" s="20" t="n">
        <x:v>24082.33</x:v>
      </x:c>
      <x:c r="J1658" s="20" t="n">
        <x:v>24082.33</x:v>
      </x:c>
      <x:c r="K1658" s="10" t="str">
        <x:v>Realizado</x:v>
      </x:c>
      <x:c r="L1658" s="10" t="str">
        <x:v>Contas a Receber</x:v>
      </x:c>
    </x:row>
    <x:row r="1659" ht="18" customHeight="1">
      <x:c r="A1659" s="10" t="str">
        <x:v>MOV000897</x:v>
      </x:c>
      <x:c r="B1659" s="16" t="n">
        <x:v>46020.884029409724</x:v>
      </x:c>
      <x:c r="C1659" s="10" t="str">
        <x:v>EMP002</x:v>
      </x:c>
      <x:c r="D1659" s="10" t="str">
        <x:v>CTA004</x:v>
      </x:c>
      <x:c r="E1659" s="10" t="str">
        <x:v>Entrada</x:v>
      </x:c>
      <x:c r="F1659" s="10" t="str">
        <x:v>CAT004</x:v>
      </x:c>
      <x:c r="G1659" s="10" t="str">
        <x:v>Frete faturado</x:v>
      </x:c>
      <x:c r="H1659" s="10" t="str">
        <x:v>REC00174</x:v>
      </x:c>
      <x:c r="I1659" s="20" t="n">
        <x:v>139442.14</x:v>
      </x:c>
      <x:c r="J1659" s="20" t="n">
        <x:v>139442.14</x:v>
      </x:c>
      <x:c r="K1659" s="10" t="str">
        <x:v>Realizado</x:v>
      </x:c>
      <x:c r="L1659" s="10" t="str">
        <x:v>Contas a Receber</x:v>
      </x:c>
    </x:row>
    <x:row r="1660" ht="18" customHeight="1">
      <x:c r="A1660" s="12" t="str">
        <x:v>MOV001222</x:v>
      </x:c>
      <x:c r="B1660" s="17" t="n">
        <x:v>46021.17730024306</x:v>
      </x:c>
      <x:c r="C1660" s="12" t="str">
        <x:v>EMP001</x:v>
      </x:c>
      <x:c r="D1660" s="12" t="str">
        <x:v>CTA001</x:v>
      </x:c>
      <x:c r="E1660" s="12" t="str">
        <x:v>Entrada</x:v>
      </x:c>
      <x:c r="F1660" s="12" t="str">
        <x:v>CAT001</x:v>
      </x:c>
      <x:c r="G1660" s="12" t="str">
        <x:v>Prestação de serviços</x:v>
      </x:c>
      <x:c r="H1660" s="12" t="str">
        <x:v>REC00573</x:v>
      </x:c>
      <x:c r="I1660" s="21" t="n">
        <x:v>21443.09</x:v>
      </x:c>
      <x:c r="J1660" s="21" t="n">
        <x:v>21443.09</x:v>
      </x:c>
      <x:c r="K1660" s="12" t="str">
        <x:v>Realizado</x:v>
      </x:c>
      <x:c r="L1660" s="12" t="str">
        <x:v>Contas a Receber</x:v>
      </x:c>
    </x:row>
  </x:sheetData>
  <x:pageMargins left="0.7" right="0.7" top="0.75" bottom="0.75" header="0.3" footer="0.3"/>
  <x:tableParts count="1">
    <x:tablePart xmlns:r="http://schemas.openxmlformats.org/officeDocument/2006/relationships" r:id="Rcb5304bd56884e3b"/>
  </x:tableParts>
</x:worksheet>
</file>